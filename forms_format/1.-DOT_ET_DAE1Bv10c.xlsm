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GMO\Documents\STATISTICS\TEMPLATE\AE FORMS\"/>
    </mc:Choice>
  </mc:AlternateContent>
  <xr:revisionPtr revIDLastSave="0" documentId="13_ncr:1_{470ABE10-6C0D-4B26-BC63-7E5DAEE811B1}" xr6:coauthVersionLast="47" xr6:coauthVersionMax="47" xr10:uidLastSave="{00000000-0000-0000-0000-000000000000}"/>
  <bookViews>
    <workbookView xWindow="-108" yWindow="-108" windowWidth="23256" windowHeight="12456" tabRatio="663" activeTab="1" xr2:uid="{00000000-000D-0000-FFFF-FFFF00000000}"/>
  </bookViews>
  <sheets>
    <sheet name="DailyRecord" sheetId="3" r:id="rId1"/>
    <sheet name="DAE2_Auto" sheetId="12" r:id="rId2"/>
    <sheet name="MonthlyRecord" sheetId="5" r:id="rId3"/>
    <sheet name="AE DAE-1B by Country (Sum) " sheetId="17" r:id="rId4"/>
    <sheet name="Management" sheetId="7" state="hidden" r:id="rId5"/>
    <sheet name="AEType" sheetId="16" state="hidden" r:id="rId6"/>
  </sheets>
  <functionGroups builtInGroupCount="19"/>
  <definedNames>
    <definedName name="AEType">Management!$H$6</definedName>
    <definedName name="CountryNames">Management!$A$1:$A$230</definedName>
    <definedName name="Date">DailyRecord!$B$15:$B$19</definedName>
    <definedName name="MonthMaster">Management!$H$5</definedName>
    <definedName name="NumberOfRooms">Management!$H$7</definedName>
    <definedName name="_xlnm.Print_Area" localSheetId="3">'AE DAE-1B by Country (Sum) '!$A$1:$G$154</definedName>
    <definedName name="_xlnm.Print_Area" localSheetId="1">DAE2_Auto!$A$1:$G$52</definedName>
    <definedName name="_xlnm.Print_Area" localSheetId="0">DailyRecord!$B$1:$G$152</definedName>
    <definedName name="_xlnm.Print_Area" localSheetId="2">MonthlyRecord!$A$1:$H$55</definedName>
    <definedName name="_xlnm.Print_Titles" localSheetId="3">'AE DAE-1B by Country (Sum) '!$3:$13</definedName>
    <definedName name="YearMaster">Management!$H$4</definedName>
    <definedName name="YesNo">Management!$F$1:$F$2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0000" i="3" l="1"/>
  <c r="L10000" i="3"/>
  <c r="M9999" i="3"/>
  <c r="L9999" i="3"/>
  <c r="M9998" i="3"/>
  <c r="L9998" i="3"/>
  <c r="M9997" i="3"/>
  <c r="L9997" i="3"/>
  <c r="M9996" i="3"/>
  <c r="L9996" i="3"/>
  <c r="M9995" i="3"/>
  <c r="L9995" i="3"/>
  <c r="M9994" i="3"/>
  <c r="L9994" i="3"/>
  <c r="M9993" i="3"/>
  <c r="L9993" i="3"/>
  <c r="M9992" i="3"/>
  <c r="L9992" i="3"/>
  <c r="M9991" i="3"/>
  <c r="L9991" i="3"/>
  <c r="M9990" i="3"/>
  <c r="L9990" i="3"/>
  <c r="M9989" i="3"/>
  <c r="L9989" i="3"/>
  <c r="M9988" i="3"/>
  <c r="L9988" i="3"/>
  <c r="M9987" i="3"/>
  <c r="L9987" i="3"/>
  <c r="M9986" i="3"/>
  <c r="L9986" i="3"/>
  <c r="M9985" i="3"/>
  <c r="L9985" i="3"/>
  <c r="M9984" i="3"/>
  <c r="L9984" i="3"/>
  <c r="M9983" i="3"/>
  <c r="L9983" i="3"/>
  <c r="M9982" i="3"/>
  <c r="L9982" i="3"/>
  <c r="M9981" i="3"/>
  <c r="L9981" i="3"/>
  <c r="M9980" i="3"/>
  <c r="L9980" i="3"/>
  <c r="M9979" i="3"/>
  <c r="L9979" i="3"/>
  <c r="M9978" i="3"/>
  <c r="L9978" i="3"/>
  <c r="M9977" i="3"/>
  <c r="L9977" i="3"/>
  <c r="M9976" i="3"/>
  <c r="L9976" i="3"/>
  <c r="M9975" i="3"/>
  <c r="L9975" i="3"/>
  <c r="M9974" i="3"/>
  <c r="L9974" i="3"/>
  <c r="M9973" i="3"/>
  <c r="L9973" i="3"/>
  <c r="M9972" i="3"/>
  <c r="L9972" i="3"/>
  <c r="M9971" i="3"/>
  <c r="L9971" i="3"/>
  <c r="M9970" i="3"/>
  <c r="L9970" i="3"/>
  <c r="M9969" i="3"/>
  <c r="L9969" i="3"/>
  <c r="M9968" i="3"/>
  <c r="L9968" i="3"/>
  <c r="M9967" i="3"/>
  <c r="L9967" i="3"/>
  <c r="M9966" i="3"/>
  <c r="L9966" i="3"/>
  <c r="M9965" i="3"/>
  <c r="L9965" i="3"/>
  <c r="M9964" i="3"/>
  <c r="L9964" i="3"/>
  <c r="M9963" i="3"/>
  <c r="L9963" i="3"/>
  <c r="M9962" i="3"/>
  <c r="L9962" i="3"/>
  <c r="M9961" i="3"/>
  <c r="L9961" i="3"/>
  <c r="M9960" i="3"/>
  <c r="L9960" i="3"/>
  <c r="M9959" i="3"/>
  <c r="L9959" i="3"/>
  <c r="M9958" i="3"/>
  <c r="L9958" i="3"/>
  <c r="M9957" i="3"/>
  <c r="L9957" i="3"/>
  <c r="M9956" i="3"/>
  <c r="L9956" i="3"/>
  <c r="M9955" i="3"/>
  <c r="L9955" i="3"/>
  <c r="M9954" i="3"/>
  <c r="L9954" i="3"/>
  <c r="M9953" i="3"/>
  <c r="L9953" i="3"/>
  <c r="M9952" i="3"/>
  <c r="L9952" i="3"/>
  <c r="M9951" i="3"/>
  <c r="L9951" i="3"/>
  <c r="M9950" i="3"/>
  <c r="L9950" i="3"/>
  <c r="M9949" i="3"/>
  <c r="L9949" i="3"/>
  <c r="M9948" i="3"/>
  <c r="L9948" i="3"/>
  <c r="M9947" i="3"/>
  <c r="L9947" i="3"/>
  <c r="M9946" i="3"/>
  <c r="L9946" i="3"/>
  <c r="M9945" i="3"/>
  <c r="L9945" i="3"/>
  <c r="M9944" i="3"/>
  <c r="L9944" i="3"/>
  <c r="M9943" i="3"/>
  <c r="L9943" i="3"/>
  <c r="M9942" i="3"/>
  <c r="L9942" i="3"/>
  <c r="M9941" i="3"/>
  <c r="L9941" i="3"/>
  <c r="M9940" i="3"/>
  <c r="L9940" i="3"/>
  <c r="M9939" i="3"/>
  <c r="L9939" i="3"/>
  <c r="M9938" i="3"/>
  <c r="L9938" i="3"/>
  <c r="M9937" i="3"/>
  <c r="L9937" i="3"/>
  <c r="M9936" i="3"/>
  <c r="L9936" i="3"/>
  <c r="M9935" i="3"/>
  <c r="L9935" i="3"/>
  <c r="M9934" i="3"/>
  <c r="L9934" i="3"/>
  <c r="M9933" i="3"/>
  <c r="L9933" i="3"/>
  <c r="M9932" i="3"/>
  <c r="L9932" i="3"/>
  <c r="M9931" i="3"/>
  <c r="L9931" i="3"/>
  <c r="M9930" i="3"/>
  <c r="L9930" i="3"/>
  <c r="M9929" i="3"/>
  <c r="L9929" i="3"/>
  <c r="M9928" i="3"/>
  <c r="L9928" i="3"/>
  <c r="M9927" i="3"/>
  <c r="L9927" i="3"/>
  <c r="M9926" i="3"/>
  <c r="L9926" i="3"/>
  <c r="M9925" i="3"/>
  <c r="L9925" i="3"/>
  <c r="M9924" i="3"/>
  <c r="L9924" i="3"/>
  <c r="M9923" i="3"/>
  <c r="L9923" i="3"/>
  <c r="M9922" i="3"/>
  <c r="L9922" i="3"/>
  <c r="M9921" i="3"/>
  <c r="L9921" i="3"/>
  <c r="M9920" i="3"/>
  <c r="L9920" i="3"/>
  <c r="M9919" i="3"/>
  <c r="L9919" i="3"/>
  <c r="M9918" i="3"/>
  <c r="L9918" i="3"/>
  <c r="M9917" i="3"/>
  <c r="L9917" i="3"/>
  <c r="M9916" i="3"/>
  <c r="L9916" i="3"/>
  <c r="M9915" i="3"/>
  <c r="L9915" i="3"/>
  <c r="M9914" i="3"/>
  <c r="L9914" i="3"/>
  <c r="M9913" i="3"/>
  <c r="L9913" i="3"/>
  <c r="M9912" i="3"/>
  <c r="L9912" i="3"/>
  <c r="M9911" i="3"/>
  <c r="L9911" i="3"/>
  <c r="M9910" i="3"/>
  <c r="L9910" i="3"/>
  <c r="M9909" i="3"/>
  <c r="L9909" i="3"/>
  <c r="M9908" i="3"/>
  <c r="L9908" i="3"/>
  <c r="M9907" i="3"/>
  <c r="L9907" i="3"/>
  <c r="M9906" i="3"/>
  <c r="L9906" i="3"/>
  <c r="M9905" i="3"/>
  <c r="L9905" i="3"/>
  <c r="M9904" i="3"/>
  <c r="L9904" i="3"/>
  <c r="M9903" i="3"/>
  <c r="L9903" i="3"/>
  <c r="M9902" i="3"/>
  <c r="L9902" i="3"/>
  <c r="M9901" i="3"/>
  <c r="L9901" i="3"/>
  <c r="M9900" i="3"/>
  <c r="L9900" i="3"/>
  <c r="M9899" i="3"/>
  <c r="L9899" i="3"/>
  <c r="M9898" i="3"/>
  <c r="L9898" i="3"/>
  <c r="M9897" i="3"/>
  <c r="L9897" i="3"/>
  <c r="M9896" i="3"/>
  <c r="L9896" i="3"/>
  <c r="M9895" i="3"/>
  <c r="L9895" i="3"/>
  <c r="M9894" i="3"/>
  <c r="L9894" i="3"/>
  <c r="M9893" i="3"/>
  <c r="L9893" i="3"/>
  <c r="M9892" i="3"/>
  <c r="L9892" i="3"/>
  <c r="M9891" i="3"/>
  <c r="L9891" i="3"/>
  <c r="M9890" i="3"/>
  <c r="L9890" i="3"/>
  <c r="M9889" i="3"/>
  <c r="L9889" i="3"/>
  <c r="M9888" i="3"/>
  <c r="L9888" i="3"/>
  <c r="M9887" i="3"/>
  <c r="L9887" i="3"/>
  <c r="M9886" i="3"/>
  <c r="L9886" i="3"/>
  <c r="M9885" i="3"/>
  <c r="L9885" i="3"/>
  <c r="M9884" i="3"/>
  <c r="L9884" i="3"/>
  <c r="M9883" i="3"/>
  <c r="L9883" i="3"/>
  <c r="M9882" i="3"/>
  <c r="L9882" i="3"/>
  <c r="M9881" i="3"/>
  <c r="L9881" i="3"/>
  <c r="M9880" i="3"/>
  <c r="L9880" i="3"/>
  <c r="M9879" i="3"/>
  <c r="L9879" i="3"/>
  <c r="M9878" i="3"/>
  <c r="L9878" i="3"/>
  <c r="M9877" i="3"/>
  <c r="L9877" i="3"/>
  <c r="M9876" i="3"/>
  <c r="L9876" i="3"/>
  <c r="M9875" i="3"/>
  <c r="L9875" i="3"/>
  <c r="M9874" i="3"/>
  <c r="L9874" i="3"/>
  <c r="M9873" i="3"/>
  <c r="L9873" i="3"/>
  <c r="M9872" i="3"/>
  <c r="L9872" i="3"/>
  <c r="M9871" i="3"/>
  <c r="L9871" i="3"/>
  <c r="M9870" i="3"/>
  <c r="L9870" i="3"/>
  <c r="M9869" i="3"/>
  <c r="L9869" i="3"/>
  <c r="M9868" i="3"/>
  <c r="L9868" i="3"/>
  <c r="M9867" i="3"/>
  <c r="L9867" i="3"/>
  <c r="M9866" i="3"/>
  <c r="L9866" i="3"/>
  <c r="M9865" i="3"/>
  <c r="L9865" i="3"/>
  <c r="M9864" i="3"/>
  <c r="L9864" i="3"/>
  <c r="M9863" i="3"/>
  <c r="L9863" i="3"/>
  <c r="M9862" i="3"/>
  <c r="L9862" i="3"/>
  <c r="M9861" i="3"/>
  <c r="L9861" i="3"/>
  <c r="M9860" i="3"/>
  <c r="L9860" i="3"/>
  <c r="M9859" i="3"/>
  <c r="L9859" i="3"/>
  <c r="M9858" i="3"/>
  <c r="L9858" i="3"/>
  <c r="M9857" i="3"/>
  <c r="L9857" i="3"/>
  <c r="M9856" i="3"/>
  <c r="L9856" i="3"/>
  <c r="M9855" i="3"/>
  <c r="L9855" i="3"/>
  <c r="M9854" i="3"/>
  <c r="L9854" i="3"/>
  <c r="M9853" i="3"/>
  <c r="L9853" i="3"/>
  <c r="M9852" i="3"/>
  <c r="L9852" i="3"/>
  <c r="M9851" i="3"/>
  <c r="L9851" i="3"/>
  <c r="M9850" i="3"/>
  <c r="L9850" i="3"/>
  <c r="M9849" i="3"/>
  <c r="L9849" i="3"/>
  <c r="M9848" i="3"/>
  <c r="L9848" i="3"/>
  <c r="M9847" i="3"/>
  <c r="L9847" i="3"/>
  <c r="M9846" i="3"/>
  <c r="L9846" i="3"/>
  <c r="M9845" i="3"/>
  <c r="L9845" i="3"/>
  <c r="M9844" i="3"/>
  <c r="L9844" i="3"/>
  <c r="M9843" i="3"/>
  <c r="L9843" i="3"/>
  <c r="M9842" i="3"/>
  <c r="L9842" i="3"/>
  <c r="M9841" i="3"/>
  <c r="L9841" i="3"/>
  <c r="M9840" i="3"/>
  <c r="L9840" i="3"/>
  <c r="M9839" i="3"/>
  <c r="L9839" i="3"/>
  <c r="M9838" i="3"/>
  <c r="L9838" i="3"/>
  <c r="M9837" i="3"/>
  <c r="L9837" i="3"/>
  <c r="M9836" i="3"/>
  <c r="L9836" i="3"/>
  <c r="M9835" i="3"/>
  <c r="L9835" i="3"/>
  <c r="M9834" i="3"/>
  <c r="L9834" i="3"/>
  <c r="M9833" i="3"/>
  <c r="L9833" i="3"/>
  <c r="M9832" i="3"/>
  <c r="L9832" i="3"/>
  <c r="M9831" i="3"/>
  <c r="L9831" i="3"/>
  <c r="M9830" i="3"/>
  <c r="L9830" i="3"/>
  <c r="M9829" i="3"/>
  <c r="L9829" i="3"/>
  <c r="M9828" i="3"/>
  <c r="L9828" i="3"/>
  <c r="M9827" i="3"/>
  <c r="L9827" i="3"/>
  <c r="M9826" i="3"/>
  <c r="L9826" i="3"/>
  <c r="M9825" i="3"/>
  <c r="L9825" i="3"/>
  <c r="M9824" i="3"/>
  <c r="L9824" i="3"/>
  <c r="M9823" i="3"/>
  <c r="L9823" i="3"/>
  <c r="M9822" i="3"/>
  <c r="L9822" i="3"/>
  <c r="M9821" i="3"/>
  <c r="L9821" i="3"/>
  <c r="M9820" i="3"/>
  <c r="L9820" i="3"/>
  <c r="M9819" i="3"/>
  <c r="L9819" i="3"/>
  <c r="M9818" i="3"/>
  <c r="L9818" i="3"/>
  <c r="M9817" i="3"/>
  <c r="L9817" i="3"/>
  <c r="M9816" i="3"/>
  <c r="L9816" i="3"/>
  <c r="M9815" i="3"/>
  <c r="L9815" i="3"/>
  <c r="M9814" i="3"/>
  <c r="L9814" i="3"/>
  <c r="M9813" i="3"/>
  <c r="L9813" i="3"/>
  <c r="M9812" i="3"/>
  <c r="L9812" i="3"/>
  <c r="M9811" i="3"/>
  <c r="L9811" i="3"/>
  <c r="M9810" i="3"/>
  <c r="L9810" i="3"/>
  <c r="M9809" i="3"/>
  <c r="L9809" i="3"/>
  <c r="M9808" i="3"/>
  <c r="L9808" i="3"/>
  <c r="M9807" i="3"/>
  <c r="L9807" i="3"/>
  <c r="M9806" i="3"/>
  <c r="L9806" i="3"/>
  <c r="M9805" i="3"/>
  <c r="L9805" i="3"/>
  <c r="M9804" i="3"/>
  <c r="L9804" i="3"/>
  <c r="M9803" i="3"/>
  <c r="L9803" i="3"/>
  <c r="M9802" i="3"/>
  <c r="L9802" i="3"/>
  <c r="M9801" i="3"/>
  <c r="L9801" i="3"/>
  <c r="M9800" i="3"/>
  <c r="L9800" i="3"/>
  <c r="M9799" i="3"/>
  <c r="L9799" i="3"/>
  <c r="M9798" i="3"/>
  <c r="L9798" i="3"/>
  <c r="M9797" i="3"/>
  <c r="L9797" i="3"/>
  <c r="M9796" i="3"/>
  <c r="L9796" i="3"/>
  <c r="M9795" i="3"/>
  <c r="L9795" i="3"/>
  <c r="M9794" i="3"/>
  <c r="L9794" i="3"/>
  <c r="M9793" i="3"/>
  <c r="L9793" i="3"/>
  <c r="M9792" i="3"/>
  <c r="L9792" i="3"/>
  <c r="M9791" i="3"/>
  <c r="L9791" i="3"/>
  <c r="M9790" i="3"/>
  <c r="L9790" i="3"/>
  <c r="M9789" i="3"/>
  <c r="L9789" i="3"/>
  <c r="M9788" i="3"/>
  <c r="L9788" i="3"/>
  <c r="M9787" i="3"/>
  <c r="L9787" i="3"/>
  <c r="M9786" i="3"/>
  <c r="L9786" i="3"/>
  <c r="M9785" i="3"/>
  <c r="L9785" i="3"/>
  <c r="M9784" i="3"/>
  <c r="L9784" i="3"/>
  <c r="M9783" i="3"/>
  <c r="L9783" i="3"/>
  <c r="M9782" i="3"/>
  <c r="L9782" i="3"/>
  <c r="M9781" i="3"/>
  <c r="L9781" i="3"/>
  <c r="M9780" i="3"/>
  <c r="L9780" i="3"/>
  <c r="M9779" i="3"/>
  <c r="L9779" i="3"/>
  <c r="M9778" i="3"/>
  <c r="L9778" i="3"/>
  <c r="M9777" i="3"/>
  <c r="L9777" i="3"/>
  <c r="M9776" i="3"/>
  <c r="L9776" i="3"/>
  <c r="M9775" i="3"/>
  <c r="L9775" i="3"/>
  <c r="M9774" i="3"/>
  <c r="L9774" i="3"/>
  <c r="M9773" i="3"/>
  <c r="L9773" i="3"/>
  <c r="M9772" i="3"/>
  <c r="L9772" i="3"/>
  <c r="M9771" i="3"/>
  <c r="L9771" i="3"/>
  <c r="M9770" i="3"/>
  <c r="L9770" i="3"/>
  <c r="M9769" i="3"/>
  <c r="L9769" i="3"/>
  <c r="M9768" i="3"/>
  <c r="L9768" i="3"/>
  <c r="M9767" i="3"/>
  <c r="L9767" i="3"/>
  <c r="M9766" i="3"/>
  <c r="L9766" i="3"/>
  <c r="M9765" i="3"/>
  <c r="L9765" i="3"/>
  <c r="M9764" i="3"/>
  <c r="L9764" i="3"/>
  <c r="M9763" i="3"/>
  <c r="L9763" i="3"/>
  <c r="M9762" i="3"/>
  <c r="L9762" i="3"/>
  <c r="M9761" i="3"/>
  <c r="L9761" i="3"/>
  <c r="M9760" i="3"/>
  <c r="L9760" i="3"/>
  <c r="M9759" i="3"/>
  <c r="L9759" i="3"/>
  <c r="M9758" i="3"/>
  <c r="L9758" i="3"/>
  <c r="M9757" i="3"/>
  <c r="L9757" i="3"/>
  <c r="M9756" i="3"/>
  <c r="L9756" i="3"/>
  <c r="M9755" i="3"/>
  <c r="L9755" i="3"/>
  <c r="M9754" i="3"/>
  <c r="L9754" i="3"/>
  <c r="M9753" i="3"/>
  <c r="L9753" i="3"/>
  <c r="M9752" i="3"/>
  <c r="L9752" i="3"/>
  <c r="M9751" i="3"/>
  <c r="L9751" i="3"/>
  <c r="M9750" i="3"/>
  <c r="L9750" i="3"/>
  <c r="M9749" i="3"/>
  <c r="L9749" i="3"/>
  <c r="M9748" i="3"/>
  <c r="L9748" i="3"/>
  <c r="M9747" i="3"/>
  <c r="L9747" i="3"/>
  <c r="M9746" i="3"/>
  <c r="L9746" i="3"/>
  <c r="M9745" i="3"/>
  <c r="L9745" i="3"/>
  <c r="M9744" i="3"/>
  <c r="L9744" i="3"/>
  <c r="M9743" i="3"/>
  <c r="L9743" i="3"/>
  <c r="M9742" i="3"/>
  <c r="L9742" i="3"/>
  <c r="M9741" i="3"/>
  <c r="L9741" i="3"/>
  <c r="M9740" i="3"/>
  <c r="L9740" i="3"/>
  <c r="M9739" i="3"/>
  <c r="L9739" i="3"/>
  <c r="M9738" i="3"/>
  <c r="L9738" i="3"/>
  <c r="M9737" i="3"/>
  <c r="L9737" i="3"/>
  <c r="M9736" i="3"/>
  <c r="L9736" i="3"/>
  <c r="M9735" i="3"/>
  <c r="L9735" i="3"/>
  <c r="M9734" i="3"/>
  <c r="L9734" i="3"/>
  <c r="M9733" i="3"/>
  <c r="L9733" i="3"/>
  <c r="M9732" i="3"/>
  <c r="L9732" i="3"/>
  <c r="M9731" i="3"/>
  <c r="L9731" i="3"/>
  <c r="M9730" i="3"/>
  <c r="L9730" i="3"/>
  <c r="M9729" i="3"/>
  <c r="L9729" i="3"/>
  <c r="M9728" i="3"/>
  <c r="L9728" i="3"/>
  <c r="M9727" i="3"/>
  <c r="L9727" i="3"/>
  <c r="M9726" i="3"/>
  <c r="L9726" i="3"/>
  <c r="M9725" i="3"/>
  <c r="L9725" i="3"/>
  <c r="M9724" i="3"/>
  <c r="L9724" i="3"/>
  <c r="M9723" i="3"/>
  <c r="L9723" i="3"/>
  <c r="M9722" i="3"/>
  <c r="L9722" i="3"/>
  <c r="M9721" i="3"/>
  <c r="L9721" i="3"/>
  <c r="M9720" i="3"/>
  <c r="L9720" i="3"/>
  <c r="M9719" i="3"/>
  <c r="L9719" i="3"/>
  <c r="M9718" i="3"/>
  <c r="L9718" i="3"/>
  <c r="M9717" i="3"/>
  <c r="L9717" i="3"/>
  <c r="M9716" i="3"/>
  <c r="L9716" i="3"/>
  <c r="M9715" i="3"/>
  <c r="L9715" i="3"/>
  <c r="M9714" i="3"/>
  <c r="L9714" i="3"/>
  <c r="M9713" i="3"/>
  <c r="L9713" i="3"/>
  <c r="M9712" i="3"/>
  <c r="L9712" i="3"/>
  <c r="M9711" i="3"/>
  <c r="L9711" i="3"/>
  <c r="M9710" i="3"/>
  <c r="L9710" i="3"/>
  <c r="M9709" i="3"/>
  <c r="L9709" i="3"/>
  <c r="M9708" i="3"/>
  <c r="L9708" i="3"/>
  <c r="M9707" i="3"/>
  <c r="L9707" i="3"/>
  <c r="M9706" i="3"/>
  <c r="L9706" i="3"/>
  <c r="M9705" i="3"/>
  <c r="L9705" i="3"/>
  <c r="M9704" i="3"/>
  <c r="L9704" i="3"/>
  <c r="M9703" i="3"/>
  <c r="L9703" i="3"/>
  <c r="M9702" i="3"/>
  <c r="L9702" i="3"/>
  <c r="M9701" i="3"/>
  <c r="L9701" i="3"/>
  <c r="M9700" i="3"/>
  <c r="L9700" i="3"/>
  <c r="M9699" i="3"/>
  <c r="L9699" i="3"/>
  <c r="M9698" i="3"/>
  <c r="L9698" i="3"/>
  <c r="M9697" i="3"/>
  <c r="L9697" i="3"/>
  <c r="M9696" i="3"/>
  <c r="L9696" i="3"/>
  <c r="M9695" i="3"/>
  <c r="L9695" i="3"/>
  <c r="M9694" i="3"/>
  <c r="L9694" i="3"/>
  <c r="M9693" i="3"/>
  <c r="L9693" i="3"/>
  <c r="M9692" i="3"/>
  <c r="L9692" i="3"/>
  <c r="M9691" i="3"/>
  <c r="L9691" i="3"/>
  <c r="M9690" i="3"/>
  <c r="L9690" i="3"/>
  <c r="M9689" i="3"/>
  <c r="L9689" i="3"/>
  <c r="M9688" i="3"/>
  <c r="L9688" i="3"/>
  <c r="M9687" i="3"/>
  <c r="L9687" i="3"/>
  <c r="M9686" i="3"/>
  <c r="L9686" i="3"/>
  <c r="M9685" i="3"/>
  <c r="L9685" i="3"/>
  <c r="M9684" i="3"/>
  <c r="L9684" i="3"/>
  <c r="M9683" i="3"/>
  <c r="L9683" i="3"/>
  <c r="M9682" i="3"/>
  <c r="L9682" i="3"/>
  <c r="M9681" i="3"/>
  <c r="L9681" i="3"/>
  <c r="M9680" i="3"/>
  <c r="L9680" i="3"/>
  <c r="M9679" i="3"/>
  <c r="L9679" i="3"/>
  <c r="M9678" i="3"/>
  <c r="L9678" i="3"/>
  <c r="M9677" i="3"/>
  <c r="L9677" i="3"/>
  <c r="M9676" i="3"/>
  <c r="L9676" i="3"/>
  <c r="M9675" i="3"/>
  <c r="L9675" i="3"/>
  <c r="M9674" i="3"/>
  <c r="L9674" i="3"/>
  <c r="M9673" i="3"/>
  <c r="L9673" i="3"/>
  <c r="M9672" i="3"/>
  <c r="L9672" i="3"/>
  <c r="M9671" i="3"/>
  <c r="L9671" i="3"/>
  <c r="M9670" i="3"/>
  <c r="L9670" i="3"/>
  <c r="M9669" i="3"/>
  <c r="L9669" i="3"/>
  <c r="M9668" i="3"/>
  <c r="L9668" i="3"/>
  <c r="M9667" i="3"/>
  <c r="L9667" i="3"/>
  <c r="M9666" i="3"/>
  <c r="L9666" i="3"/>
  <c r="M9665" i="3"/>
  <c r="L9665" i="3"/>
  <c r="M9664" i="3"/>
  <c r="L9664" i="3"/>
  <c r="M9663" i="3"/>
  <c r="L9663" i="3"/>
  <c r="M9662" i="3"/>
  <c r="L9662" i="3"/>
  <c r="M9661" i="3"/>
  <c r="L9661" i="3"/>
  <c r="M9660" i="3"/>
  <c r="L9660" i="3"/>
  <c r="M9659" i="3"/>
  <c r="L9659" i="3"/>
  <c r="M9658" i="3"/>
  <c r="L9658" i="3"/>
  <c r="M9657" i="3"/>
  <c r="L9657" i="3"/>
  <c r="M9656" i="3"/>
  <c r="L9656" i="3"/>
  <c r="M9655" i="3"/>
  <c r="L9655" i="3"/>
  <c r="M9654" i="3"/>
  <c r="L9654" i="3"/>
  <c r="M9653" i="3"/>
  <c r="L9653" i="3"/>
  <c r="M9652" i="3"/>
  <c r="L9652" i="3"/>
  <c r="M9651" i="3"/>
  <c r="L9651" i="3"/>
  <c r="M9650" i="3"/>
  <c r="L9650" i="3"/>
  <c r="M9649" i="3"/>
  <c r="L9649" i="3"/>
  <c r="M9648" i="3"/>
  <c r="L9648" i="3"/>
  <c r="M9647" i="3"/>
  <c r="L9647" i="3"/>
  <c r="M9646" i="3"/>
  <c r="L9646" i="3"/>
  <c r="M9645" i="3"/>
  <c r="L9645" i="3"/>
  <c r="M9644" i="3"/>
  <c r="L9644" i="3"/>
  <c r="M9643" i="3"/>
  <c r="L9643" i="3"/>
  <c r="M9642" i="3"/>
  <c r="L9642" i="3"/>
  <c r="M9641" i="3"/>
  <c r="L9641" i="3"/>
  <c r="M9640" i="3"/>
  <c r="L9640" i="3"/>
  <c r="M9639" i="3"/>
  <c r="L9639" i="3"/>
  <c r="M9638" i="3"/>
  <c r="L9638" i="3"/>
  <c r="M9637" i="3"/>
  <c r="L9637" i="3"/>
  <c r="M9636" i="3"/>
  <c r="L9636" i="3"/>
  <c r="M9635" i="3"/>
  <c r="L9635" i="3"/>
  <c r="M9634" i="3"/>
  <c r="L9634" i="3"/>
  <c r="M9633" i="3"/>
  <c r="L9633" i="3"/>
  <c r="M9632" i="3"/>
  <c r="L9632" i="3"/>
  <c r="M9631" i="3"/>
  <c r="L9631" i="3"/>
  <c r="M9630" i="3"/>
  <c r="L9630" i="3"/>
  <c r="M9629" i="3"/>
  <c r="L9629" i="3"/>
  <c r="M9628" i="3"/>
  <c r="L9628" i="3"/>
  <c r="M9627" i="3"/>
  <c r="L9627" i="3"/>
  <c r="M9626" i="3"/>
  <c r="L9626" i="3"/>
  <c r="M9625" i="3"/>
  <c r="L9625" i="3"/>
  <c r="M9624" i="3"/>
  <c r="L9624" i="3"/>
  <c r="M9623" i="3"/>
  <c r="L9623" i="3"/>
  <c r="M9622" i="3"/>
  <c r="L9622" i="3"/>
  <c r="M9621" i="3"/>
  <c r="L9621" i="3"/>
  <c r="M9620" i="3"/>
  <c r="L9620" i="3"/>
  <c r="M9619" i="3"/>
  <c r="L9619" i="3"/>
  <c r="M9618" i="3"/>
  <c r="L9618" i="3"/>
  <c r="M9617" i="3"/>
  <c r="L9617" i="3"/>
  <c r="M9616" i="3"/>
  <c r="L9616" i="3"/>
  <c r="M9615" i="3"/>
  <c r="L9615" i="3"/>
  <c r="M9614" i="3"/>
  <c r="L9614" i="3"/>
  <c r="M9613" i="3"/>
  <c r="L9613" i="3"/>
  <c r="M9612" i="3"/>
  <c r="L9612" i="3"/>
  <c r="M9611" i="3"/>
  <c r="L9611" i="3"/>
  <c r="M9610" i="3"/>
  <c r="L9610" i="3"/>
  <c r="M9609" i="3"/>
  <c r="L9609" i="3"/>
  <c r="M9608" i="3"/>
  <c r="L9608" i="3"/>
  <c r="M9607" i="3"/>
  <c r="L9607" i="3"/>
  <c r="M9606" i="3"/>
  <c r="L9606" i="3"/>
  <c r="M9605" i="3"/>
  <c r="L9605" i="3"/>
  <c r="M9604" i="3"/>
  <c r="L9604" i="3"/>
  <c r="M9603" i="3"/>
  <c r="L9603" i="3"/>
  <c r="M9602" i="3"/>
  <c r="L9602" i="3"/>
  <c r="M9601" i="3"/>
  <c r="L9601" i="3"/>
  <c r="M9600" i="3"/>
  <c r="L9600" i="3"/>
  <c r="M9599" i="3"/>
  <c r="L9599" i="3"/>
  <c r="M9598" i="3"/>
  <c r="L9598" i="3"/>
  <c r="M9597" i="3"/>
  <c r="L9597" i="3"/>
  <c r="M9596" i="3"/>
  <c r="L9596" i="3"/>
  <c r="M9595" i="3"/>
  <c r="L9595" i="3"/>
  <c r="M9594" i="3"/>
  <c r="L9594" i="3"/>
  <c r="M9593" i="3"/>
  <c r="L9593" i="3"/>
  <c r="M9592" i="3"/>
  <c r="L9592" i="3"/>
  <c r="M9591" i="3"/>
  <c r="L9591" i="3"/>
  <c r="M9590" i="3"/>
  <c r="L9590" i="3"/>
  <c r="M9589" i="3"/>
  <c r="L9589" i="3"/>
  <c r="M9588" i="3"/>
  <c r="L9588" i="3"/>
  <c r="M9587" i="3"/>
  <c r="L9587" i="3"/>
  <c r="M9586" i="3"/>
  <c r="L9586" i="3"/>
  <c r="M9585" i="3"/>
  <c r="L9585" i="3"/>
  <c r="M9584" i="3"/>
  <c r="L9584" i="3"/>
  <c r="M9583" i="3"/>
  <c r="L9583" i="3"/>
  <c r="M9582" i="3"/>
  <c r="L9582" i="3"/>
  <c r="M9581" i="3"/>
  <c r="L9581" i="3"/>
  <c r="M9580" i="3"/>
  <c r="L9580" i="3"/>
  <c r="M9579" i="3"/>
  <c r="L9579" i="3"/>
  <c r="M9578" i="3"/>
  <c r="L9578" i="3"/>
  <c r="M9577" i="3"/>
  <c r="L9577" i="3"/>
  <c r="M9576" i="3"/>
  <c r="L9576" i="3"/>
  <c r="M9575" i="3"/>
  <c r="L9575" i="3"/>
  <c r="M9574" i="3"/>
  <c r="L9574" i="3"/>
  <c r="M9573" i="3"/>
  <c r="L9573" i="3"/>
  <c r="M9572" i="3"/>
  <c r="L9572" i="3"/>
  <c r="M9571" i="3"/>
  <c r="L9571" i="3"/>
  <c r="M9570" i="3"/>
  <c r="L9570" i="3"/>
  <c r="M9569" i="3"/>
  <c r="L9569" i="3"/>
  <c r="M9568" i="3"/>
  <c r="L9568" i="3"/>
  <c r="M9567" i="3"/>
  <c r="L9567" i="3"/>
  <c r="M9566" i="3"/>
  <c r="L9566" i="3"/>
  <c r="M9565" i="3"/>
  <c r="L9565" i="3"/>
  <c r="M9564" i="3"/>
  <c r="L9564" i="3"/>
  <c r="M9563" i="3"/>
  <c r="L9563" i="3"/>
  <c r="M9562" i="3"/>
  <c r="L9562" i="3"/>
  <c r="M9561" i="3"/>
  <c r="L9561" i="3"/>
  <c r="M9560" i="3"/>
  <c r="L9560" i="3"/>
  <c r="M9559" i="3"/>
  <c r="L9559" i="3"/>
  <c r="M9558" i="3"/>
  <c r="L9558" i="3"/>
  <c r="M9557" i="3"/>
  <c r="L9557" i="3"/>
  <c r="M9556" i="3"/>
  <c r="L9556" i="3"/>
  <c r="M9555" i="3"/>
  <c r="L9555" i="3"/>
  <c r="M9554" i="3"/>
  <c r="L9554" i="3"/>
  <c r="M9553" i="3"/>
  <c r="L9553" i="3"/>
  <c r="M9552" i="3"/>
  <c r="L9552" i="3"/>
  <c r="M9551" i="3"/>
  <c r="L9551" i="3"/>
  <c r="M9550" i="3"/>
  <c r="L9550" i="3"/>
  <c r="M9549" i="3"/>
  <c r="L9549" i="3"/>
  <c r="M9548" i="3"/>
  <c r="L9548" i="3"/>
  <c r="M9547" i="3"/>
  <c r="L9547" i="3"/>
  <c r="M9546" i="3"/>
  <c r="L9546" i="3"/>
  <c r="M9545" i="3"/>
  <c r="L9545" i="3"/>
  <c r="M9544" i="3"/>
  <c r="L9544" i="3"/>
  <c r="M9543" i="3"/>
  <c r="L9543" i="3"/>
  <c r="M9542" i="3"/>
  <c r="L9542" i="3"/>
  <c r="M9541" i="3"/>
  <c r="L9541" i="3"/>
  <c r="M9540" i="3"/>
  <c r="L9540" i="3"/>
  <c r="M9539" i="3"/>
  <c r="L9539" i="3"/>
  <c r="M9538" i="3"/>
  <c r="L9538" i="3"/>
  <c r="M9537" i="3"/>
  <c r="L9537" i="3"/>
  <c r="M9536" i="3"/>
  <c r="L9536" i="3"/>
  <c r="M9535" i="3"/>
  <c r="L9535" i="3"/>
  <c r="M9534" i="3"/>
  <c r="L9534" i="3"/>
  <c r="M9533" i="3"/>
  <c r="L9533" i="3"/>
  <c r="M9532" i="3"/>
  <c r="L9532" i="3"/>
  <c r="M9531" i="3"/>
  <c r="L9531" i="3"/>
  <c r="M9530" i="3"/>
  <c r="L9530" i="3"/>
  <c r="M9529" i="3"/>
  <c r="L9529" i="3"/>
  <c r="M9528" i="3"/>
  <c r="L9528" i="3"/>
  <c r="M9527" i="3"/>
  <c r="L9527" i="3"/>
  <c r="M9526" i="3"/>
  <c r="L9526" i="3"/>
  <c r="M9525" i="3"/>
  <c r="L9525" i="3"/>
  <c r="M9524" i="3"/>
  <c r="L9524" i="3"/>
  <c r="M9523" i="3"/>
  <c r="L9523" i="3"/>
  <c r="M9522" i="3"/>
  <c r="L9522" i="3"/>
  <c r="M9521" i="3"/>
  <c r="L9521" i="3"/>
  <c r="M9520" i="3"/>
  <c r="L9520" i="3"/>
  <c r="M9519" i="3"/>
  <c r="L9519" i="3"/>
  <c r="M9518" i="3"/>
  <c r="L9518" i="3"/>
  <c r="M9517" i="3"/>
  <c r="L9517" i="3"/>
  <c r="M9516" i="3"/>
  <c r="L9516" i="3"/>
  <c r="M9515" i="3"/>
  <c r="L9515" i="3"/>
  <c r="M9514" i="3"/>
  <c r="L9514" i="3"/>
  <c r="M9513" i="3"/>
  <c r="L9513" i="3"/>
  <c r="M9512" i="3"/>
  <c r="L9512" i="3"/>
  <c r="M9511" i="3"/>
  <c r="L9511" i="3"/>
  <c r="M9510" i="3"/>
  <c r="L9510" i="3"/>
  <c r="M9509" i="3"/>
  <c r="L9509" i="3"/>
  <c r="M9508" i="3"/>
  <c r="L9508" i="3"/>
  <c r="M9507" i="3"/>
  <c r="L9507" i="3"/>
  <c r="M9506" i="3"/>
  <c r="L9506" i="3"/>
  <c r="M9505" i="3"/>
  <c r="L9505" i="3"/>
  <c r="M9504" i="3"/>
  <c r="L9504" i="3"/>
  <c r="M9503" i="3"/>
  <c r="L9503" i="3"/>
  <c r="M9502" i="3"/>
  <c r="L9502" i="3"/>
  <c r="M9501" i="3"/>
  <c r="L9501" i="3"/>
  <c r="M9500" i="3"/>
  <c r="L9500" i="3"/>
  <c r="M9499" i="3"/>
  <c r="L9499" i="3"/>
  <c r="M9498" i="3"/>
  <c r="L9498" i="3"/>
  <c r="M9497" i="3"/>
  <c r="L9497" i="3"/>
  <c r="M9496" i="3"/>
  <c r="L9496" i="3"/>
  <c r="M9495" i="3"/>
  <c r="L9495" i="3"/>
  <c r="M9494" i="3"/>
  <c r="L9494" i="3"/>
  <c r="M9493" i="3"/>
  <c r="L9493" i="3"/>
  <c r="M9492" i="3"/>
  <c r="L9492" i="3"/>
  <c r="M9491" i="3"/>
  <c r="L9491" i="3"/>
  <c r="M9490" i="3"/>
  <c r="L9490" i="3"/>
  <c r="M9489" i="3"/>
  <c r="L9489" i="3"/>
  <c r="M9488" i="3"/>
  <c r="L9488" i="3"/>
  <c r="M9487" i="3"/>
  <c r="L9487" i="3"/>
  <c r="M9486" i="3"/>
  <c r="L9486" i="3"/>
  <c r="M9485" i="3"/>
  <c r="L9485" i="3"/>
  <c r="M9484" i="3"/>
  <c r="L9484" i="3"/>
  <c r="M9483" i="3"/>
  <c r="L9483" i="3"/>
  <c r="M9482" i="3"/>
  <c r="L9482" i="3"/>
  <c r="M9481" i="3"/>
  <c r="L9481" i="3"/>
  <c r="M9480" i="3"/>
  <c r="L9480" i="3"/>
  <c r="M9479" i="3"/>
  <c r="L9479" i="3"/>
  <c r="M9478" i="3"/>
  <c r="L9478" i="3"/>
  <c r="M9477" i="3"/>
  <c r="L9477" i="3"/>
  <c r="M9476" i="3"/>
  <c r="L9476" i="3"/>
  <c r="M9475" i="3"/>
  <c r="L9475" i="3"/>
  <c r="M9474" i="3"/>
  <c r="L9474" i="3"/>
  <c r="M9473" i="3"/>
  <c r="L9473" i="3"/>
  <c r="M9472" i="3"/>
  <c r="L9472" i="3"/>
  <c r="M9471" i="3"/>
  <c r="L9471" i="3"/>
  <c r="M9470" i="3"/>
  <c r="L9470" i="3"/>
  <c r="M9469" i="3"/>
  <c r="L9469" i="3"/>
  <c r="M9468" i="3"/>
  <c r="L9468" i="3"/>
  <c r="M9467" i="3"/>
  <c r="L9467" i="3"/>
  <c r="M9466" i="3"/>
  <c r="L9466" i="3"/>
  <c r="M9465" i="3"/>
  <c r="L9465" i="3"/>
  <c r="M9464" i="3"/>
  <c r="L9464" i="3"/>
  <c r="M9463" i="3"/>
  <c r="L9463" i="3"/>
  <c r="M9462" i="3"/>
  <c r="L9462" i="3"/>
  <c r="M9461" i="3"/>
  <c r="L9461" i="3"/>
  <c r="M9460" i="3"/>
  <c r="L9460" i="3"/>
  <c r="M9459" i="3"/>
  <c r="L9459" i="3"/>
  <c r="M9458" i="3"/>
  <c r="L9458" i="3"/>
  <c r="M9457" i="3"/>
  <c r="L9457" i="3"/>
  <c r="M9456" i="3"/>
  <c r="L9456" i="3"/>
  <c r="M9455" i="3"/>
  <c r="L9455" i="3"/>
  <c r="M9454" i="3"/>
  <c r="L9454" i="3"/>
  <c r="M9453" i="3"/>
  <c r="L9453" i="3"/>
  <c r="M9452" i="3"/>
  <c r="L9452" i="3"/>
  <c r="M9451" i="3"/>
  <c r="L9451" i="3"/>
  <c r="M9450" i="3"/>
  <c r="L9450" i="3"/>
  <c r="M9449" i="3"/>
  <c r="L9449" i="3"/>
  <c r="M9448" i="3"/>
  <c r="L9448" i="3"/>
  <c r="M9447" i="3"/>
  <c r="L9447" i="3"/>
  <c r="M9446" i="3"/>
  <c r="L9446" i="3"/>
  <c r="M9445" i="3"/>
  <c r="L9445" i="3"/>
  <c r="M9444" i="3"/>
  <c r="L9444" i="3"/>
  <c r="M9443" i="3"/>
  <c r="L9443" i="3"/>
  <c r="M9442" i="3"/>
  <c r="L9442" i="3"/>
  <c r="M9441" i="3"/>
  <c r="L9441" i="3"/>
  <c r="M9440" i="3"/>
  <c r="L9440" i="3"/>
  <c r="M9439" i="3"/>
  <c r="L9439" i="3"/>
  <c r="M9438" i="3"/>
  <c r="L9438" i="3"/>
  <c r="M9437" i="3"/>
  <c r="L9437" i="3"/>
  <c r="M9436" i="3"/>
  <c r="L9436" i="3"/>
  <c r="M9435" i="3"/>
  <c r="L9435" i="3"/>
  <c r="M9434" i="3"/>
  <c r="L9434" i="3"/>
  <c r="M9433" i="3"/>
  <c r="L9433" i="3"/>
  <c r="M9432" i="3"/>
  <c r="L9432" i="3"/>
  <c r="M9431" i="3"/>
  <c r="L9431" i="3"/>
  <c r="M9430" i="3"/>
  <c r="L9430" i="3"/>
  <c r="M9429" i="3"/>
  <c r="L9429" i="3"/>
  <c r="M9428" i="3"/>
  <c r="L9428" i="3"/>
  <c r="M9427" i="3"/>
  <c r="L9427" i="3"/>
  <c r="M9426" i="3"/>
  <c r="L9426" i="3"/>
  <c r="M9425" i="3"/>
  <c r="L9425" i="3"/>
  <c r="M9424" i="3"/>
  <c r="L9424" i="3"/>
  <c r="M9423" i="3"/>
  <c r="L9423" i="3"/>
  <c r="M9422" i="3"/>
  <c r="L9422" i="3"/>
  <c r="M9421" i="3"/>
  <c r="L9421" i="3"/>
  <c r="M9420" i="3"/>
  <c r="L9420" i="3"/>
  <c r="M9419" i="3"/>
  <c r="L9419" i="3"/>
  <c r="M9418" i="3"/>
  <c r="L9418" i="3"/>
  <c r="M9417" i="3"/>
  <c r="L9417" i="3"/>
  <c r="M9416" i="3"/>
  <c r="L9416" i="3"/>
  <c r="M9415" i="3"/>
  <c r="L9415" i="3"/>
  <c r="M9414" i="3"/>
  <c r="L9414" i="3"/>
  <c r="M9413" i="3"/>
  <c r="L9413" i="3"/>
  <c r="M9412" i="3"/>
  <c r="L9412" i="3"/>
  <c r="M9411" i="3"/>
  <c r="L9411" i="3"/>
  <c r="M9410" i="3"/>
  <c r="L9410" i="3"/>
  <c r="M9409" i="3"/>
  <c r="L9409" i="3"/>
  <c r="M9408" i="3"/>
  <c r="L9408" i="3"/>
  <c r="M9407" i="3"/>
  <c r="L9407" i="3"/>
  <c r="M9406" i="3"/>
  <c r="L9406" i="3"/>
  <c r="M9405" i="3"/>
  <c r="L9405" i="3"/>
  <c r="M9404" i="3"/>
  <c r="L9404" i="3"/>
  <c r="M9403" i="3"/>
  <c r="L9403" i="3"/>
  <c r="M9402" i="3"/>
  <c r="L9402" i="3"/>
  <c r="M9401" i="3"/>
  <c r="L9401" i="3"/>
  <c r="M9400" i="3"/>
  <c r="L9400" i="3"/>
  <c r="M9399" i="3"/>
  <c r="L9399" i="3"/>
  <c r="M9398" i="3"/>
  <c r="L9398" i="3"/>
  <c r="M9397" i="3"/>
  <c r="L9397" i="3"/>
  <c r="M9396" i="3"/>
  <c r="L9396" i="3"/>
  <c r="M9395" i="3"/>
  <c r="L9395" i="3"/>
  <c r="M9394" i="3"/>
  <c r="L9394" i="3"/>
  <c r="M9393" i="3"/>
  <c r="L9393" i="3"/>
  <c r="M9392" i="3"/>
  <c r="L9392" i="3"/>
  <c r="M9391" i="3"/>
  <c r="L9391" i="3"/>
  <c r="M9390" i="3"/>
  <c r="L9390" i="3"/>
  <c r="M9389" i="3"/>
  <c r="L9389" i="3"/>
  <c r="M9388" i="3"/>
  <c r="L9388" i="3"/>
  <c r="M9387" i="3"/>
  <c r="L9387" i="3"/>
  <c r="M9386" i="3"/>
  <c r="L9386" i="3"/>
  <c r="M9385" i="3"/>
  <c r="L9385" i="3"/>
  <c r="M9384" i="3"/>
  <c r="L9384" i="3"/>
  <c r="M9383" i="3"/>
  <c r="L9383" i="3"/>
  <c r="M9382" i="3"/>
  <c r="L9382" i="3"/>
  <c r="M9381" i="3"/>
  <c r="L9381" i="3"/>
  <c r="M9380" i="3"/>
  <c r="L9380" i="3"/>
  <c r="M9379" i="3"/>
  <c r="L9379" i="3"/>
  <c r="M9378" i="3"/>
  <c r="L9378" i="3"/>
  <c r="M9377" i="3"/>
  <c r="L9377" i="3"/>
  <c r="M9376" i="3"/>
  <c r="L9376" i="3"/>
  <c r="M9375" i="3"/>
  <c r="L9375" i="3"/>
  <c r="M9374" i="3"/>
  <c r="L9374" i="3"/>
  <c r="M9373" i="3"/>
  <c r="L9373" i="3"/>
  <c r="M9372" i="3"/>
  <c r="L9372" i="3"/>
  <c r="M9371" i="3"/>
  <c r="L9371" i="3"/>
  <c r="M9370" i="3"/>
  <c r="L9370" i="3"/>
  <c r="M9369" i="3"/>
  <c r="L9369" i="3"/>
  <c r="M9368" i="3"/>
  <c r="L9368" i="3"/>
  <c r="M9367" i="3"/>
  <c r="L9367" i="3"/>
  <c r="M9366" i="3"/>
  <c r="L9366" i="3"/>
  <c r="M9365" i="3"/>
  <c r="L9365" i="3"/>
  <c r="M9364" i="3"/>
  <c r="L9364" i="3"/>
  <c r="M9363" i="3"/>
  <c r="L9363" i="3"/>
  <c r="M9362" i="3"/>
  <c r="L9362" i="3"/>
  <c r="M9361" i="3"/>
  <c r="L9361" i="3"/>
  <c r="M9360" i="3"/>
  <c r="L9360" i="3"/>
  <c r="M9359" i="3"/>
  <c r="L9359" i="3"/>
  <c r="M9358" i="3"/>
  <c r="L9358" i="3"/>
  <c r="M9357" i="3"/>
  <c r="L9357" i="3"/>
  <c r="M9356" i="3"/>
  <c r="L9356" i="3"/>
  <c r="M9355" i="3"/>
  <c r="L9355" i="3"/>
  <c r="M9354" i="3"/>
  <c r="L9354" i="3"/>
  <c r="M9353" i="3"/>
  <c r="L9353" i="3"/>
  <c r="M9352" i="3"/>
  <c r="L9352" i="3"/>
  <c r="M9351" i="3"/>
  <c r="L9351" i="3"/>
  <c r="M9350" i="3"/>
  <c r="L9350" i="3"/>
  <c r="M9349" i="3"/>
  <c r="L9349" i="3"/>
  <c r="M9348" i="3"/>
  <c r="L9348" i="3"/>
  <c r="M9347" i="3"/>
  <c r="L9347" i="3"/>
  <c r="M9346" i="3"/>
  <c r="L9346" i="3"/>
  <c r="M9345" i="3"/>
  <c r="L9345" i="3"/>
  <c r="M9344" i="3"/>
  <c r="L9344" i="3"/>
  <c r="M9343" i="3"/>
  <c r="L9343" i="3"/>
  <c r="M9342" i="3"/>
  <c r="L9342" i="3"/>
  <c r="M9341" i="3"/>
  <c r="L9341" i="3"/>
  <c r="M9340" i="3"/>
  <c r="L9340" i="3"/>
  <c r="M9339" i="3"/>
  <c r="L9339" i="3"/>
  <c r="M9338" i="3"/>
  <c r="L9338" i="3"/>
  <c r="M9337" i="3"/>
  <c r="L9337" i="3"/>
  <c r="M9336" i="3"/>
  <c r="L9336" i="3"/>
  <c r="M9335" i="3"/>
  <c r="L9335" i="3"/>
  <c r="M9334" i="3"/>
  <c r="L9334" i="3"/>
  <c r="M9333" i="3"/>
  <c r="L9333" i="3"/>
  <c r="M9332" i="3"/>
  <c r="L9332" i="3"/>
  <c r="M9331" i="3"/>
  <c r="L9331" i="3"/>
  <c r="M9330" i="3"/>
  <c r="L9330" i="3"/>
  <c r="M9329" i="3"/>
  <c r="L9329" i="3"/>
  <c r="M9328" i="3"/>
  <c r="L9328" i="3"/>
  <c r="M9327" i="3"/>
  <c r="L9327" i="3"/>
  <c r="M9326" i="3"/>
  <c r="L9326" i="3"/>
  <c r="M9325" i="3"/>
  <c r="L9325" i="3"/>
  <c r="M9324" i="3"/>
  <c r="L9324" i="3"/>
  <c r="M9323" i="3"/>
  <c r="L9323" i="3"/>
  <c r="M9322" i="3"/>
  <c r="L9322" i="3"/>
  <c r="M9321" i="3"/>
  <c r="L9321" i="3"/>
  <c r="M9320" i="3"/>
  <c r="L9320" i="3"/>
  <c r="M9319" i="3"/>
  <c r="L9319" i="3"/>
  <c r="M9318" i="3"/>
  <c r="L9318" i="3"/>
  <c r="M9317" i="3"/>
  <c r="L9317" i="3"/>
  <c r="M9316" i="3"/>
  <c r="L9316" i="3"/>
  <c r="M9315" i="3"/>
  <c r="L9315" i="3"/>
  <c r="M9314" i="3"/>
  <c r="L9314" i="3"/>
  <c r="M9313" i="3"/>
  <c r="L9313" i="3"/>
  <c r="M9312" i="3"/>
  <c r="L9312" i="3"/>
  <c r="M9311" i="3"/>
  <c r="L9311" i="3"/>
  <c r="M9310" i="3"/>
  <c r="L9310" i="3"/>
  <c r="M9309" i="3"/>
  <c r="L9309" i="3"/>
  <c r="M9308" i="3"/>
  <c r="L9308" i="3"/>
  <c r="M9307" i="3"/>
  <c r="L9307" i="3"/>
  <c r="M9306" i="3"/>
  <c r="L9306" i="3"/>
  <c r="M9305" i="3"/>
  <c r="L9305" i="3"/>
  <c r="M9304" i="3"/>
  <c r="L9304" i="3"/>
  <c r="M9303" i="3"/>
  <c r="L9303" i="3"/>
  <c r="M9302" i="3"/>
  <c r="L9302" i="3"/>
  <c r="M9301" i="3"/>
  <c r="L9301" i="3"/>
  <c r="M9300" i="3"/>
  <c r="L9300" i="3"/>
  <c r="M9299" i="3"/>
  <c r="L9299" i="3"/>
  <c r="M9298" i="3"/>
  <c r="L9298" i="3"/>
  <c r="M9297" i="3"/>
  <c r="L9297" i="3"/>
  <c r="M9296" i="3"/>
  <c r="L9296" i="3"/>
  <c r="M9295" i="3"/>
  <c r="L9295" i="3"/>
  <c r="M9294" i="3"/>
  <c r="L9294" i="3"/>
  <c r="M9293" i="3"/>
  <c r="L9293" i="3"/>
  <c r="M9292" i="3"/>
  <c r="L9292" i="3"/>
  <c r="M9291" i="3"/>
  <c r="L9291" i="3"/>
  <c r="M9290" i="3"/>
  <c r="L9290" i="3"/>
  <c r="M9289" i="3"/>
  <c r="L9289" i="3"/>
  <c r="M9288" i="3"/>
  <c r="L9288" i="3"/>
  <c r="M9287" i="3"/>
  <c r="L9287" i="3"/>
  <c r="M9286" i="3"/>
  <c r="L9286" i="3"/>
  <c r="M9285" i="3"/>
  <c r="L9285" i="3"/>
  <c r="M9284" i="3"/>
  <c r="L9284" i="3"/>
  <c r="M9283" i="3"/>
  <c r="L9283" i="3"/>
  <c r="M9282" i="3"/>
  <c r="L9282" i="3"/>
  <c r="M9281" i="3"/>
  <c r="L9281" i="3"/>
  <c r="M9280" i="3"/>
  <c r="L9280" i="3"/>
  <c r="M9279" i="3"/>
  <c r="L9279" i="3"/>
  <c r="M9278" i="3"/>
  <c r="L9278" i="3"/>
  <c r="M9277" i="3"/>
  <c r="L9277" i="3"/>
  <c r="M9276" i="3"/>
  <c r="L9276" i="3"/>
  <c r="M9275" i="3"/>
  <c r="L9275" i="3"/>
  <c r="M9274" i="3"/>
  <c r="L9274" i="3"/>
  <c r="M9273" i="3"/>
  <c r="L9273" i="3"/>
  <c r="M9272" i="3"/>
  <c r="L9272" i="3"/>
  <c r="M9271" i="3"/>
  <c r="L9271" i="3"/>
  <c r="M9270" i="3"/>
  <c r="L9270" i="3"/>
  <c r="M9269" i="3"/>
  <c r="L9269" i="3"/>
  <c r="M9268" i="3"/>
  <c r="L9268" i="3"/>
  <c r="M9267" i="3"/>
  <c r="L9267" i="3"/>
  <c r="M9266" i="3"/>
  <c r="L9266" i="3"/>
  <c r="M9265" i="3"/>
  <c r="L9265" i="3"/>
  <c r="M9264" i="3"/>
  <c r="L9264" i="3"/>
  <c r="M9263" i="3"/>
  <c r="L9263" i="3"/>
  <c r="M9262" i="3"/>
  <c r="L9262" i="3"/>
  <c r="M9261" i="3"/>
  <c r="L9261" i="3"/>
  <c r="M9260" i="3"/>
  <c r="L9260" i="3"/>
  <c r="M9259" i="3"/>
  <c r="L9259" i="3"/>
  <c r="M9258" i="3"/>
  <c r="L9258" i="3"/>
  <c r="M9257" i="3"/>
  <c r="L9257" i="3"/>
  <c r="M9256" i="3"/>
  <c r="L9256" i="3"/>
  <c r="M9255" i="3"/>
  <c r="L9255" i="3"/>
  <c r="M9254" i="3"/>
  <c r="L9254" i="3"/>
  <c r="M9253" i="3"/>
  <c r="L9253" i="3"/>
  <c r="M9252" i="3"/>
  <c r="L9252" i="3"/>
  <c r="M9251" i="3"/>
  <c r="L9251" i="3"/>
  <c r="M9250" i="3"/>
  <c r="L9250" i="3"/>
  <c r="M9249" i="3"/>
  <c r="L9249" i="3"/>
  <c r="M9248" i="3"/>
  <c r="L9248" i="3"/>
  <c r="M9247" i="3"/>
  <c r="L9247" i="3"/>
  <c r="M9246" i="3"/>
  <c r="L9246" i="3"/>
  <c r="M9245" i="3"/>
  <c r="L9245" i="3"/>
  <c r="M9244" i="3"/>
  <c r="L9244" i="3"/>
  <c r="M9243" i="3"/>
  <c r="L9243" i="3"/>
  <c r="M9242" i="3"/>
  <c r="L9242" i="3"/>
  <c r="M9241" i="3"/>
  <c r="L9241" i="3"/>
  <c r="M9240" i="3"/>
  <c r="L9240" i="3"/>
  <c r="M9239" i="3"/>
  <c r="L9239" i="3"/>
  <c r="M9238" i="3"/>
  <c r="L9238" i="3"/>
  <c r="M9237" i="3"/>
  <c r="L9237" i="3"/>
  <c r="M9236" i="3"/>
  <c r="L9236" i="3"/>
  <c r="M9235" i="3"/>
  <c r="L9235" i="3"/>
  <c r="M9234" i="3"/>
  <c r="L9234" i="3"/>
  <c r="M9233" i="3"/>
  <c r="L9233" i="3"/>
  <c r="M9232" i="3"/>
  <c r="L9232" i="3"/>
  <c r="M9231" i="3"/>
  <c r="L9231" i="3"/>
  <c r="M9230" i="3"/>
  <c r="L9230" i="3"/>
  <c r="M9229" i="3"/>
  <c r="L9229" i="3"/>
  <c r="M9228" i="3"/>
  <c r="L9228" i="3"/>
  <c r="M9227" i="3"/>
  <c r="L9227" i="3"/>
  <c r="M9226" i="3"/>
  <c r="L9226" i="3"/>
  <c r="M9225" i="3"/>
  <c r="L9225" i="3"/>
  <c r="M9224" i="3"/>
  <c r="L9224" i="3"/>
  <c r="M9223" i="3"/>
  <c r="L9223" i="3"/>
  <c r="M9222" i="3"/>
  <c r="L9222" i="3"/>
  <c r="M9221" i="3"/>
  <c r="L9221" i="3"/>
  <c r="M9220" i="3"/>
  <c r="L9220" i="3"/>
  <c r="M9219" i="3"/>
  <c r="L9219" i="3"/>
  <c r="M9218" i="3"/>
  <c r="L9218" i="3"/>
  <c r="M9217" i="3"/>
  <c r="L9217" i="3"/>
  <c r="M9216" i="3"/>
  <c r="L9216" i="3"/>
  <c r="M9215" i="3"/>
  <c r="L9215" i="3"/>
  <c r="M9214" i="3"/>
  <c r="L9214" i="3"/>
  <c r="M9213" i="3"/>
  <c r="L9213" i="3"/>
  <c r="M9212" i="3"/>
  <c r="L9212" i="3"/>
  <c r="M9211" i="3"/>
  <c r="L9211" i="3"/>
  <c r="M9210" i="3"/>
  <c r="L9210" i="3"/>
  <c r="M9209" i="3"/>
  <c r="L9209" i="3"/>
  <c r="M9208" i="3"/>
  <c r="L9208" i="3"/>
  <c r="M9207" i="3"/>
  <c r="L9207" i="3"/>
  <c r="M9206" i="3"/>
  <c r="L9206" i="3"/>
  <c r="M9205" i="3"/>
  <c r="L9205" i="3"/>
  <c r="M9204" i="3"/>
  <c r="L9204" i="3"/>
  <c r="M9203" i="3"/>
  <c r="L9203" i="3"/>
  <c r="M9202" i="3"/>
  <c r="L9202" i="3"/>
  <c r="M9201" i="3"/>
  <c r="L9201" i="3"/>
  <c r="M9200" i="3"/>
  <c r="L9200" i="3"/>
  <c r="M9199" i="3"/>
  <c r="L9199" i="3"/>
  <c r="M9198" i="3"/>
  <c r="L9198" i="3"/>
  <c r="M9197" i="3"/>
  <c r="L9197" i="3"/>
  <c r="M9196" i="3"/>
  <c r="L9196" i="3"/>
  <c r="M9195" i="3"/>
  <c r="L9195" i="3"/>
  <c r="M9194" i="3"/>
  <c r="L9194" i="3"/>
  <c r="M9193" i="3"/>
  <c r="L9193" i="3"/>
  <c r="M9192" i="3"/>
  <c r="L9192" i="3"/>
  <c r="M9191" i="3"/>
  <c r="L9191" i="3"/>
  <c r="M9190" i="3"/>
  <c r="L9190" i="3"/>
  <c r="M9189" i="3"/>
  <c r="L9189" i="3"/>
  <c r="M9188" i="3"/>
  <c r="L9188" i="3"/>
  <c r="M9187" i="3"/>
  <c r="L9187" i="3"/>
  <c r="M9186" i="3"/>
  <c r="L9186" i="3"/>
  <c r="M9185" i="3"/>
  <c r="L9185" i="3"/>
  <c r="M9184" i="3"/>
  <c r="L9184" i="3"/>
  <c r="M9183" i="3"/>
  <c r="L9183" i="3"/>
  <c r="M9182" i="3"/>
  <c r="L9182" i="3"/>
  <c r="M9181" i="3"/>
  <c r="L9181" i="3"/>
  <c r="M9180" i="3"/>
  <c r="L9180" i="3"/>
  <c r="M9179" i="3"/>
  <c r="L9179" i="3"/>
  <c r="M9178" i="3"/>
  <c r="L9178" i="3"/>
  <c r="M9177" i="3"/>
  <c r="L9177" i="3"/>
  <c r="M9176" i="3"/>
  <c r="L9176" i="3"/>
  <c r="M9175" i="3"/>
  <c r="L9175" i="3"/>
  <c r="M9174" i="3"/>
  <c r="L9174" i="3"/>
  <c r="M9173" i="3"/>
  <c r="L9173" i="3"/>
  <c r="M9172" i="3"/>
  <c r="L9172" i="3"/>
  <c r="M9171" i="3"/>
  <c r="L9171" i="3"/>
  <c r="M9170" i="3"/>
  <c r="L9170" i="3"/>
  <c r="M9169" i="3"/>
  <c r="L9169" i="3"/>
  <c r="M9168" i="3"/>
  <c r="L9168" i="3"/>
  <c r="M9167" i="3"/>
  <c r="L9167" i="3"/>
  <c r="M9166" i="3"/>
  <c r="L9166" i="3"/>
  <c r="M9165" i="3"/>
  <c r="L9165" i="3"/>
  <c r="M9164" i="3"/>
  <c r="L9164" i="3"/>
  <c r="M9163" i="3"/>
  <c r="L9163" i="3"/>
  <c r="M9162" i="3"/>
  <c r="L9162" i="3"/>
  <c r="M9161" i="3"/>
  <c r="L9161" i="3"/>
  <c r="M9160" i="3"/>
  <c r="L9160" i="3"/>
  <c r="M9159" i="3"/>
  <c r="L9159" i="3"/>
  <c r="M9158" i="3"/>
  <c r="L9158" i="3"/>
  <c r="M9157" i="3"/>
  <c r="L9157" i="3"/>
  <c r="M9156" i="3"/>
  <c r="L9156" i="3"/>
  <c r="M9155" i="3"/>
  <c r="L9155" i="3"/>
  <c r="M9154" i="3"/>
  <c r="L9154" i="3"/>
  <c r="M9153" i="3"/>
  <c r="L9153" i="3"/>
  <c r="M9152" i="3"/>
  <c r="L9152" i="3"/>
  <c r="M9151" i="3"/>
  <c r="L9151" i="3"/>
  <c r="M9150" i="3"/>
  <c r="L9150" i="3"/>
  <c r="M9149" i="3"/>
  <c r="L9149" i="3"/>
  <c r="M9148" i="3"/>
  <c r="L9148" i="3"/>
  <c r="M9147" i="3"/>
  <c r="L9147" i="3"/>
  <c r="M9146" i="3"/>
  <c r="L9146" i="3"/>
  <c r="M9145" i="3"/>
  <c r="L9145" i="3"/>
  <c r="M9144" i="3"/>
  <c r="L9144" i="3"/>
  <c r="M9143" i="3"/>
  <c r="L9143" i="3"/>
  <c r="M9142" i="3"/>
  <c r="L9142" i="3"/>
  <c r="M9141" i="3"/>
  <c r="L9141" i="3"/>
  <c r="M9140" i="3"/>
  <c r="L9140" i="3"/>
  <c r="M9139" i="3"/>
  <c r="L9139" i="3"/>
  <c r="M9138" i="3"/>
  <c r="L9138" i="3"/>
  <c r="M9137" i="3"/>
  <c r="L9137" i="3"/>
  <c r="M9136" i="3"/>
  <c r="L9136" i="3"/>
  <c r="M9135" i="3"/>
  <c r="L9135" i="3"/>
  <c r="M9134" i="3"/>
  <c r="L9134" i="3"/>
  <c r="M9133" i="3"/>
  <c r="L9133" i="3"/>
  <c r="M9132" i="3"/>
  <c r="L9132" i="3"/>
  <c r="M9131" i="3"/>
  <c r="L9131" i="3"/>
  <c r="M9130" i="3"/>
  <c r="L9130" i="3"/>
  <c r="M9129" i="3"/>
  <c r="L9129" i="3"/>
  <c r="M9128" i="3"/>
  <c r="L9128" i="3"/>
  <c r="M9127" i="3"/>
  <c r="L9127" i="3"/>
  <c r="M9126" i="3"/>
  <c r="L9126" i="3"/>
  <c r="M9125" i="3"/>
  <c r="L9125" i="3"/>
  <c r="M9124" i="3"/>
  <c r="L9124" i="3"/>
  <c r="M9123" i="3"/>
  <c r="L9123" i="3"/>
  <c r="M9122" i="3"/>
  <c r="L9122" i="3"/>
  <c r="M9121" i="3"/>
  <c r="L9121" i="3"/>
  <c r="M9120" i="3"/>
  <c r="L9120" i="3"/>
  <c r="M9119" i="3"/>
  <c r="L9119" i="3"/>
  <c r="M9118" i="3"/>
  <c r="L9118" i="3"/>
  <c r="M9117" i="3"/>
  <c r="L9117" i="3"/>
  <c r="M9116" i="3"/>
  <c r="L9116" i="3"/>
  <c r="M9115" i="3"/>
  <c r="L9115" i="3"/>
  <c r="M9114" i="3"/>
  <c r="L9114" i="3"/>
  <c r="M9113" i="3"/>
  <c r="L9113" i="3"/>
  <c r="M9112" i="3"/>
  <c r="L9112" i="3"/>
  <c r="M9111" i="3"/>
  <c r="L9111" i="3"/>
  <c r="M9110" i="3"/>
  <c r="L9110" i="3"/>
  <c r="M9109" i="3"/>
  <c r="L9109" i="3"/>
  <c r="M9108" i="3"/>
  <c r="L9108" i="3"/>
  <c r="M9107" i="3"/>
  <c r="L9107" i="3"/>
  <c r="M9106" i="3"/>
  <c r="L9106" i="3"/>
  <c r="M9105" i="3"/>
  <c r="L9105" i="3"/>
  <c r="M9104" i="3"/>
  <c r="L9104" i="3"/>
  <c r="M9103" i="3"/>
  <c r="L9103" i="3"/>
  <c r="M9102" i="3"/>
  <c r="L9102" i="3"/>
  <c r="M9101" i="3"/>
  <c r="L9101" i="3"/>
  <c r="M9100" i="3"/>
  <c r="L9100" i="3"/>
  <c r="M9099" i="3"/>
  <c r="L9099" i="3"/>
  <c r="M9098" i="3"/>
  <c r="L9098" i="3"/>
  <c r="M9097" i="3"/>
  <c r="L9097" i="3"/>
  <c r="M9096" i="3"/>
  <c r="L9096" i="3"/>
  <c r="M9095" i="3"/>
  <c r="L9095" i="3"/>
  <c r="M9094" i="3"/>
  <c r="L9094" i="3"/>
  <c r="M9093" i="3"/>
  <c r="L9093" i="3"/>
  <c r="M9092" i="3"/>
  <c r="L9092" i="3"/>
  <c r="M9091" i="3"/>
  <c r="L9091" i="3"/>
  <c r="M9090" i="3"/>
  <c r="L9090" i="3"/>
  <c r="M9089" i="3"/>
  <c r="L9089" i="3"/>
  <c r="M9088" i="3"/>
  <c r="L9088" i="3"/>
  <c r="M9087" i="3"/>
  <c r="L9087" i="3"/>
  <c r="M9086" i="3"/>
  <c r="L9086" i="3"/>
  <c r="M9085" i="3"/>
  <c r="L9085" i="3"/>
  <c r="M9084" i="3"/>
  <c r="L9084" i="3"/>
  <c r="M9083" i="3"/>
  <c r="L9083" i="3"/>
  <c r="M9082" i="3"/>
  <c r="L9082" i="3"/>
  <c r="M9081" i="3"/>
  <c r="L9081" i="3"/>
  <c r="M9080" i="3"/>
  <c r="L9080" i="3"/>
  <c r="M9079" i="3"/>
  <c r="L9079" i="3"/>
  <c r="M9078" i="3"/>
  <c r="L9078" i="3"/>
  <c r="M9077" i="3"/>
  <c r="L9077" i="3"/>
  <c r="M9076" i="3"/>
  <c r="L9076" i="3"/>
  <c r="M9075" i="3"/>
  <c r="L9075" i="3"/>
  <c r="M9074" i="3"/>
  <c r="L9074" i="3"/>
  <c r="M9073" i="3"/>
  <c r="L9073" i="3"/>
  <c r="M9072" i="3"/>
  <c r="L9072" i="3"/>
  <c r="M9071" i="3"/>
  <c r="L9071" i="3"/>
  <c r="M9070" i="3"/>
  <c r="L9070" i="3"/>
  <c r="M9069" i="3"/>
  <c r="L9069" i="3"/>
  <c r="M9068" i="3"/>
  <c r="L9068" i="3"/>
  <c r="M9067" i="3"/>
  <c r="L9067" i="3"/>
  <c r="M9066" i="3"/>
  <c r="L9066" i="3"/>
  <c r="M9065" i="3"/>
  <c r="L9065" i="3"/>
  <c r="M9064" i="3"/>
  <c r="L9064" i="3"/>
  <c r="M9063" i="3"/>
  <c r="L9063" i="3"/>
  <c r="M9062" i="3"/>
  <c r="L9062" i="3"/>
  <c r="M9061" i="3"/>
  <c r="L9061" i="3"/>
  <c r="M9060" i="3"/>
  <c r="L9060" i="3"/>
  <c r="M9059" i="3"/>
  <c r="L9059" i="3"/>
  <c r="M9058" i="3"/>
  <c r="L9058" i="3"/>
  <c r="M9057" i="3"/>
  <c r="L9057" i="3"/>
  <c r="M9056" i="3"/>
  <c r="L9056" i="3"/>
  <c r="M9055" i="3"/>
  <c r="L9055" i="3"/>
  <c r="M9054" i="3"/>
  <c r="L9054" i="3"/>
  <c r="M9053" i="3"/>
  <c r="L9053" i="3"/>
  <c r="M9052" i="3"/>
  <c r="L9052" i="3"/>
  <c r="M9051" i="3"/>
  <c r="L9051" i="3"/>
  <c r="M9050" i="3"/>
  <c r="L9050" i="3"/>
  <c r="M9049" i="3"/>
  <c r="L9049" i="3"/>
  <c r="M9048" i="3"/>
  <c r="L9048" i="3"/>
  <c r="M9047" i="3"/>
  <c r="L9047" i="3"/>
  <c r="M9046" i="3"/>
  <c r="L9046" i="3"/>
  <c r="M9045" i="3"/>
  <c r="L9045" i="3"/>
  <c r="M9044" i="3"/>
  <c r="L9044" i="3"/>
  <c r="M9043" i="3"/>
  <c r="L9043" i="3"/>
  <c r="M9042" i="3"/>
  <c r="L9042" i="3"/>
  <c r="M9041" i="3"/>
  <c r="L9041" i="3"/>
  <c r="M9040" i="3"/>
  <c r="L9040" i="3"/>
  <c r="M9039" i="3"/>
  <c r="L9039" i="3"/>
  <c r="M9038" i="3"/>
  <c r="L9038" i="3"/>
  <c r="M9037" i="3"/>
  <c r="L9037" i="3"/>
  <c r="M9036" i="3"/>
  <c r="L9036" i="3"/>
  <c r="M9035" i="3"/>
  <c r="L9035" i="3"/>
  <c r="M9034" i="3"/>
  <c r="L9034" i="3"/>
  <c r="M9033" i="3"/>
  <c r="L9033" i="3"/>
  <c r="M9032" i="3"/>
  <c r="L9032" i="3"/>
  <c r="M9031" i="3"/>
  <c r="L9031" i="3"/>
  <c r="M9030" i="3"/>
  <c r="L9030" i="3"/>
  <c r="M9029" i="3"/>
  <c r="L9029" i="3"/>
  <c r="M9028" i="3"/>
  <c r="L9028" i="3"/>
  <c r="M9027" i="3"/>
  <c r="L9027" i="3"/>
  <c r="M9026" i="3"/>
  <c r="L9026" i="3"/>
  <c r="M9025" i="3"/>
  <c r="L9025" i="3"/>
  <c r="M9024" i="3"/>
  <c r="L9024" i="3"/>
  <c r="M9023" i="3"/>
  <c r="L9023" i="3"/>
  <c r="M9022" i="3"/>
  <c r="L9022" i="3"/>
  <c r="M9021" i="3"/>
  <c r="L9021" i="3"/>
  <c r="M9020" i="3"/>
  <c r="L9020" i="3"/>
  <c r="M9019" i="3"/>
  <c r="L9019" i="3"/>
  <c r="M9018" i="3"/>
  <c r="L9018" i="3"/>
  <c r="M9017" i="3"/>
  <c r="L9017" i="3"/>
  <c r="M9016" i="3"/>
  <c r="L9016" i="3"/>
  <c r="M9015" i="3"/>
  <c r="L9015" i="3"/>
  <c r="M9014" i="3"/>
  <c r="L9014" i="3"/>
  <c r="M9013" i="3"/>
  <c r="L9013" i="3"/>
  <c r="M9012" i="3"/>
  <c r="L9012" i="3"/>
  <c r="M9011" i="3"/>
  <c r="L9011" i="3"/>
  <c r="M9010" i="3"/>
  <c r="L9010" i="3"/>
  <c r="M9009" i="3"/>
  <c r="L9009" i="3"/>
  <c r="M9008" i="3"/>
  <c r="L9008" i="3"/>
  <c r="M9007" i="3"/>
  <c r="L9007" i="3"/>
  <c r="M9006" i="3"/>
  <c r="L9006" i="3"/>
  <c r="M9005" i="3"/>
  <c r="L9005" i="3"/>
  <c r="M9004" i="3"/>
  <c r="L9004" i="3"/>
  <c r="M9003" i="3"/>
  <c r="L9003" i="3"/>
  <c r="M9002" i="3"/>
  <c r="L9002" i="3"/>
  <c r="M9001" i="3"/>
  <c r="L9001" i="3"/>
  <c r="M9000" i="3"/>
  <c r="L9000" i="3"/>
  <c r="M8999" i="3"/>
  <c r="L8999" i="3"/>
  <c r="M8998" i="3"/>
  <c r="L8998" i="3"/>
  <c r="M8997" i="3"/>
  <c r="L8997" i="3"/>
  <c r="M8996" i="3"/>
  <c r="L8996" i="3"/>
  <c r="M8995" i="3"/>
  <c r="L8995" i="3"/>
  <c r="M8994" i="3"/>
  <c r="L8994" i="3"/>
  <c r="M8993" i="3"/>
  <c r="L8993" i="3"/>
  <c r="M8992" i="3"/>
  <c r="L8992" i="3"/>
  <c r="M8991" i="3"/>
  <c r="L8991" i="3"/>
  <c r="M8990" i="3"/>
  <c r="L8990" i="3"/>
  <c r="M8989" i="3"/>
  <c r="L8989" i="3"/>
  <c r="M8988" i="3"/>
  <c r="L8988" i="3"/>
  <c r="M8987" i="3"/>
  <c r="L8987" i="3"/>
  <c r="M8986" i="3"/>
  <c r="L8986" i="3"/>
  <c r="M8985" i="3"/>
  <c r="L8985" i="3"/>
  <c r="M8984" i="3"/>
  <c r="L8984" i="3"/>
  <c r="M8983" i="3"/>
  <c r="L8983" i="3"/>
  <c r="M8982" i="3"/>
  <c r="L8982" i="3"/>
  <c r="M8981" i="3"/>
  <c r="L8981" i="3"/>
  <c r="M8980" i="3"/>
  <c r="L8980" i="3"/>
  <c r="M8979" i="3"/>
  <c r="L8979" i="3"/>
  <c r="M8978" i="3"/>
  <c r="L8978" i="3"/>
  <c r="M8977" i="3"/>
  <c r="L8977" i="3"/>
  <c r="M8976" i="3"/>
  <c r="L8976" i="3"/>
  <c r="M8975" i="3"/>
  <c r="L8975" i="3"/>
  <c r="M8974" i="3"/>
  <c r="L8974" i="3"/>
  <c r="M8973" i="3"/>
  <c r="L8973" i="3"/>
  <c r="M8972" i="3"/>
  <c r="L8972" i="3"/>
  <c r="M8971" i="3"/>
  <c r="L8971" i="3"/>
  <c r="M8970" i="3"/>
  <c r="L8970" i="3"/>
  <c r="M8969" i="3"/>
  <c r="L8969" i="3"/>
  <c r="M8968" i="3"/>
  <c r="L8968" i="3"/>
  <c r="M8967" i="3"/>
  <c r="L8967" i="3"/>
  <c r="M8966" i="3"/>
  <c r="L8966" i="3"/>
  <c r="M8965" i="3"/>
  <c r="L8965" i="3"/>
  <c r="M8964" i="3"/>
  <c r="L8964" i="3"/>
  <c r="M8963" i="3"/>
  <c r="L8963" i="3"/>
  <c r="M8962" i="3"/>
  <c r="L8962" i="3"/>
  <c r="M8961" i="3"/>
  <c r="L8961" i="3"/>
  <c r="M8960" i="3"/>
  <c r="L8960" i="3"/>
  <c r="M8959" i="3"/>
  <c r="L8959" i="3"/>
  <c r="M8958" i="3"/>
  <c r="L8958" i="3"/>
  <c r="M8957" i="3"/>
  <c r="L8957" i="3"/>
  <c r="M8956" i="3"/>
  <c r="L8956" i="3"/>
  <c r="M8955" i="3"/>
  <c r="L8955" i="3"/>
  <c r="M8954" i="3"/>
  <c r="L8954" i="3"/>
  <c r="M8953" i="3"/>
  <c r="L8953" i="3"/>
  <c r="M8952" i="3"/>
  <c r="L8952" i="3"/>
  <c r="M8951" i="3"/>
  <c r="L8951" i="3"/>
  <c r="M8950" i="3"/>
  <c r="L8950" i="3"/>
  <c r="M8949" i="3"/>
  <c r="L8949" i="3"/>
  <c r="M8948" i="3"/>
  <c r="L8948" i="3"/>
  <c r="M8947" i="3"/>
  <c r="L8947" i="3"/>
  <c r="M8946" i="3"/>
  <c r="L8946" i="3"/>
  <c r="M8945" i="3"/>
  <c r="L8945" i="3"/>
  <c r="M8944" i="3"/>
  <c r="L8944" i="3"/>
  <c r="M8943" i="3"/>
  <c r="L8943" i="3"/>
  <c r="M8942" i="3"/>
  <c r="L8942" i="3"/>
  <c r="M8941" i="3"/>
  <c r="L8941" i="3"/>
  <c r="M8940" i="3"/>
  <c r="L8940" i="3"/>
  <c r="M8939" i="3"/>
  <c r="L8939" i="3"/>
  <c r="M8938" i="3"/>
  <c r="L8938" i="3"/>
  <c r="M8937" i="3"/>
  <c r="L8937" i="3"/>
  <c r="M8936" i="3"/>
  <c r="L8936" i="3"/>
  <c r="M8935" i="3"/>
  <c r="L8935" i="3"/>
  <c r="M8934" i="3"/>
  <c r="L8934" i="3"/>
  <c r="M8933" i="3"/>
  <c r="L8933" i="3"/>
  <c r="M8932" i="3"/>
  <c r="L8932" i="3"/>
  <c r="M8931" i="3"/>
  <c r="L8931" i="3"/>
  <c r="M8930" i="3"/>
  <c r="L8930" i="3"/>
  <c r="M8929" i="3"/>
  <c r="L8929" i="3"/>
  <c r="M8928" i="3"/>
  <c r="L8928" i="3"/>
  <c r="M8927" i="3"/>
  <c r="L8927" i="3"/>
  <c r="M8926" i="3"/>
  <c r="L8926" i="3"/>
  <c r="M8925" i="3"/>
  <c r="L8925" i="3"/>
  <c r="M8924" i="3"/>
  <c r="L8924" i="3"/>
  <c r="M8923" i="3"/>
  <c r="L8923" i="3"/>
  <c r="M8922" i="3"/>
  <c r="L8922" i="3"/>
  <c r="M8921" i="3"/>
  <c r="L8921" i="3"/>
  <c r="M8920" i="3"/>
  <c r="L8920" i="3"/>
  <c r="M8919" i="3"/>
  <c r="L8919" i="3"/>
  <c r="M8918" i="3"/>
  <c r="L8918" i="3"/>
  <c r="M8917" i="3"/>
  <c r="L8917" i="3"/>
  <c r="M8916" i="3"/>
  <c r="L8916" i="3"/>
  <c r="M8915" i="3"/>
  <c r="L8915" i="3"/>
  <c r="M8914" i="3"/>
  <c r="L8914" i="3"/>
  <c r="M8913" i="3"/>
  <c r="L8913" i="3"/>
  <c r="M8912" i="3"/>
  <c r="L8912" i="3"/>
  <c r="M8911" i="3"/>
  <c r="L8911" i="3"/>
  <c r="M8910" i="3"/>
  <c r="L8910" i="3"/>
  <c r="M8909" i="3"/>
  <c r="L8909" i="3"/>
  <c r="M8908" i="3"/>
  <c r="L8908" i="3"/>
  <c r="M8907" i="3"/>
  <c r="L8907" i="3"/>
  <c r="M8906" i="3"/>
  <c r="L8906" i="3"/>
  <c r="M8905" i="3"/>
  <c r="L8905" i="3"/>
  <c r="M8904" i="3"/>
  <c r="L8904" i="3"/>
  <c r="M8903" i="3"/>
  <c r="L8903" i="3"/>
  <c r="M8902" i="3"/>
  <c r="L8902" i="3"/>
  <c r="M8901" i="3"/>
  <c r="L8901" i="3"/>
  <c r="M8900" i="3"/>
  <c r="L8900" i="3"/>
  <c r="M8899" i="3"/>
  <c r="L8899" i="3"/>
  <c r="M8898" i="3"/>
  <c r="L8898" i="3"/>
  <c r="M8897" i="3"/>
  <c r="L8897" i="3"/>
  <c r="M8896" i="3"/>
  <c r="L8896" i="3"/>
  <c r="M8895" i="3"/>
  <c r="L8895" i="3"/>
  <c r="M8894" i="3"/>
  <c r="L8894" i="3"/>
  <c r="M8893" i="3"/>
  <c r="L8893" i="3"/>
  <c r="M8892" i="3"/>
  <c r="L8892" i="3"/>
  <c r="M8891" i="3"/>
  <c r="L8891" i="3"/>
  <c r="M8890" i="3"/>
  <c r="L8890" i="3"/>
  <c r="M8889" i="3"/>
  <c r="L8889" i="3"/>
  <c r="M8888" i="3"/>
  <c r="L8888" i="3"/>
  <c r="M8887" i="3"/>
  <c r="L8887" i="3"/>
  <c r="M8886" i="3"/>
  <c r="L8886" i="3"/>
  <c r="M8885" i="3"/>
  <c r="L8885" i="3"/>
  <c r="M8884" i="3"/>
  <c r="L8884" i="3"/>
  <c r="M8883" i="3"/>
  <c r="L8883" i="3"/>
  <c r="M8882" i="3"/>
  <c r="L8882" i="3"/>
  <c r="M8881" i="3"/>
  <c r="L8881" i="3"/>
  <c r="M8880" i="3"/>
  <c r="L8880" i="3"/>
  <c r="M8879" i="3"/>
  <c r="L8879" i="3"/>
  <c r="M8878" i="3"/>
  <c r="L8878" i="3"/>
  <c r="M8877" i="3"/>
  <c r="L8877" i="3"/>
  <c r="M8876" i="3"/>
  <c r="L8876" i="3"/>
  <c r="M8875" i="3"/>
  <c r="L8875" i="3"/>
  <c r="M8874" i="3"/>
  <c r="L8874" i="3"/>
  <c r="M8873" i="3"/>
  <c r="L8873" i="3"/>
  <c r="M8872" i="3"/>
  <c r="L8872" i="3"/>
  <c r="M8871" i="3"/>
  <c r="L8871" i="3"/>
  <c r="M8870" i="3"/>
  <c r="L8870" i="3"/>
  <c r="M8869" i="3"/>
  <c r="L8869" i="3"/>
  <c r="M8868" i="3"/>
  <c r="L8868" i="3"/>
  <c r="M8867" i="3"/>
  <c r="L8867" i="3"/>
  <c r="M8866" i="3"/>
  <c r="L8866" i="3"/>
  <c r="M8865" i="3"/>
  <c r="L8865" i="3"/>
  <c r="M8864" i="3"/>
  <c r="L8864" i="3"/>
  <c r="M8863" i="3"/>
  <c r="L8863" i="3"/>
  <c r="M8862" i="3"/>
  <c r="L8862" i="3"/>
  <c r="M8861" i="3"/>
  <c r="L8861" i="3"/>
  <c r="M8860" i="3"/>
  <c r="L8860" i="3"/>
  <c r="M8859" i="3"/>
  <c r="L8859" i="3"/>
  <c r="M8858" i="3"/>
  <c r="L8858" i="3"/>
  <c r="M8857" i="3"/>
  <c r="L8857" i="3"/>
  <c r="M8856" i="3"/>
  <c r="L8856" i="3"/>
  <c r="M8855" i="3"/>
  <c r="L8855" i="3"/>
  <c r="M8854" i="3"/>
  <c r="L8854" i="3"/>
  <c r="M8853" i="3"/>
  <c r="L8853" i="3"/>
  <c r="M8852" i="3"/>
  <c r="L8852" i="3"/>
  <c r="M8851" i="3"/>
  <c r="L8851" i="3"/>
  <c r="M8850" i="3"/>
  <c r="L8850" i="3"/>
  <c r="M8849" i="3"/>
  <c r="L8849" i="3"/>
  <c r="M8848" i="3"/>
  <c r="L8848" i="3"/>
  <c r="M8847" i="3"/>
  <c r="L8847" i="3"/>
  <c r="M8846" i="3"/>
  <c r="L8846" i="3"/>
  <c r="M8845" i="3"/>
  <c r="L8845" i="3"/>
  <c r="M8844" i="3"/>
  <c r="L8844" i="3"/>
  <c r="M8843" i="3"/>
  <c r="L8843" i="3"/>
  <c r="M8842" i="3"/>
  <c r="L8842" i="3"/>
  <c r="M8841" i="3"/>
  <c r="L8841" i="3"/>
  <c r="M8840" i="3"/>
  <c r="L8840" i="3"/>
  <c r="M8839" i="3"/>
  <c r="L8839" i="3"/>
  <c r="M8838" i="3"/>
  <c r="L8838" i="3"/>
  <c r="M8837" i="3"/>
  <c r="L8837" i="3"/>
  <c r="M8836" i="3"/>
  <c r="L8836" i="3"/>
  <c r="M8835" i="3"/>
  <c r="L8835" i="3"/>
  <c r="M8834" i="3"/>
  <c r="L8834" i="3"/>
  <c r="M8833" i="3"/>
  <c r="L8833" i="3"/>
  <c r="M8832" i="3"/>
  <c r="L8832" i="3"/>
  <c r="M8831" i="3"/>
  <c r="L8831" i="3"/>
  <c r="M8830" i="3"/>
  <c r="L8830" i="3"/>
  <c r="M8829" i="3"/>
  <c r="L8829" i="3"/>
  <c r="M8828" i="3"/>
  <c r="L8828" i="3"/>
  <c r="M8827" i="3"/>
  <c r="L8827" i="3"/>
  <c r="M8826" i="3"/>
  <c r="L8826" i="3"/>
  <c r="M8825" i="3"/>
  <c r="L8825" i="3"/>
  <c r="M8824" i="3"/>
  <c r="L8824" i="3"/>
  <c r="M8823" i="3"/>
  <c r="L8823" i="3"/>
  <c r="M8822" i="3"/>
  <c r="L8822" i="3"/>
  <c r="M8821" i="3"/>
  <c r="L8821" i="3"/>
  <c r="M8820" i="3"/>
  <c r="L8820" i="3"/>
  <c r="M8819" i="3"/>
  <c r="L8819" i="3"/>
  <c r="M8818" i="3"/>
  <c r="L8818" i="3"/>
  <c r="M8817" i="3"/>
  <c r="L8817" i="3"/>
  <c r="M8816" i="3"/>
  <c r="L8816" i="3"/>
  <c r="M8815" i="3"/>
  <c r="L8815" i="3"/>
  <c r="M8814" i="3"/>
  <c r="L8814" i="3"/>
  <c r="M8813" i="3"/>
  <c r="L8813" i="3"/>
  <c r="M8812" i="3"/>
  <c r="L8812" i="3"/>
  <c r="M8811" i="3"/>
  <c r="L8811" i="3"/>
  <c r="M8810" i="3"/>
  <c r="L8810" i="3"/>
  <c r="M8809" i="3"/>
  <c r="L8809" i="3"/>
  <c r="M8808" i="3"/>
  <c r="L8808" i="3"/>
  <c r="M8807" i="3"/>
  <c r="L8807" i="3"/>
  <c r="M8806" i="3"/>
  <c r="L8806" i="3"/>
  <c r="M8805" i="3"/>
  <c r="L8805" i="3"/>
  <c r="M8804" i="3"/>
  <c r="L8804" i="3"/>
  <c r="M8803" i="3"/>
  <c r="L8803" i="3"/>
  <c r="M8802" i="3"/>
  <c r="L8802" i="3"/>
  <c r="M8801" i="3"/>
  <c r="L8801" i="3"/>
  <c r="M8800" i="3"/>
  <c r="L8800" i="3"/>
  <c r="M8799" i="3"/>
  <c r="L8799" i="3"/>
  <c r="M8798" i="3"/>
  <c r="L8798" i="3"/>
  <c r="M8797" i="3"/>
  <c r="L8797" i="3"/>
  <c r="M8796" i="3"/>
  <c r="L8796" i="3"/>
  <c r="M8795" i="3"/>
  <c r="L8795" i="3"/>
  <c r="M8794" i="3"/>
  <c r="L8794" i="3"/>
  <c r="M8793" i="3"/>
  <c r="L8793" i="3"/>
  <c r="M8792" i="3"/>
  <c r="L8792" i="3"/>
  <c r="M8791" i="3"/>
  <c r="L8791" i="3"/>
  <c r="M8790" i="3"/>
  <c r="L8790" i="3"/>
  <c r="M8789" i="3"/>
  <c r="L8789" i="3"/>
  <c r="M8788" i="3"/>
  <c r="L8788" i="3"/>
  <c r="M8787" i="3"/>
  <c r="L8787" i="3"/>
  <c r="M8786" i="3"/>
  <c r="L8786" i="3"/>
  <c r="M8785" i="3"/>
  <c r="L8785" i="3"/>
  <c r="M8784" i="3"/>
  <c r="L8784" i="3"/>
  <c r="M8783" i="3"/>
  <c r="L8783" i="3"/>
  <c r="M8782" i="3"/>
  <c r="L8782" i="3"/>
  <c r="M8781" i="3"/>
  <c r="L8781" i="3"/>
  <c r="M8780" i="3"/>
  <c r="L8780" i="3"/>
  <c r="M8779" i="3"/>
  <c r="L8779" i="3"/>
  <c r="M8778" i="3"/>
  <c r="L8778" i="3"/>
  <c r="M8777" i="3"/>
  <c r="L8777" i="3"/>
  <c r="M8776" i="3"/>
  <c r="L8776" i="3"/>
  <c r="M8775" i="3"/>
  <c r="L8775" i="3"/>
  <c r="M8774" i="3"/>
  <c r="L8774" i="3"/>
  <c r="M8773" i="3"/>
  <c r="L8773" i="3"/>
  <c r="M8772" i="3"/>
  <c r="L8772" i="3"/>
  <c r="M8771" i="3"/>
  <c r="L8771" i="3"/>
  <c r="M8770" i="3"/>
  <c r="L8770" i="3"/>
  <c r="M8769" i="3"/>
  <c r="L8769" i="3"/>
  <c r="M8768" i="3"/>
  <c r="L8768" i="3"/>
  <c r="M8767" i="3"/>
  <c r="L8767" i="3"/>
  <c r="M8766" i="3"/>
  <c r="L8766" i="3"/>
  <c r="M8765" i="3"/>
  <c r="L8765" i="3"/>
  <c r="M8764" i="3"/>
  <c r="L8764" i="3"/>
  <c r="M8763" i="3"/>
  <c r="L8763" i="3"/>
  <c r="M8762" i="3"/>
  <c r="L8762" i="3"/>
  <c r="M8761" i="3"/>
  <c r="L8761" i="3"/>
  <c r="M8760" i="3"/>
  <c r="L8760" i="3"/>
  <c r="M8759" i="3"/>
  <c r="L8759" i="3"/>
  <c r="M8758" i="3"/>
  <c r="L8758" i="3"/>
  <c r="M8757" i="3"/>
  <c r="L8757" i="3"/>
  <c r="M8756" i="3"/>
  <c r="L8756" i="3"/>
  <c r="M8755" i="3"/>
  <c r="L8755" i="3"/>
  <c r="M8754" i="3"/>
  <c r="L8754" i="3"/>
  <c r="M8753" i="3"/>
  <c r="L8753" i="3"/>
  <c r="M8752" i="3"/>
  <c r="L8752" i="3"/>
  <c r="M8751" i="3"/>
  <c r="L8751" i="3"/>
  <c r="M8750" i="3"/>
  <c r="L8750" i="3"/>
  <c r="M8749" i="3"/>
  <c r="L8749" i="3"/>
  <c r="M8748" i="3"/>
  <c r="L8748" i="3"/>
  <c r="M8747" i="3"/>
  <c r="L8747" i="3"/>
  <c r="M8746" i="3"/>
  <c r="L8746" i="3"/>
  <c r="M8745" i="3"/>
  <c r="L8745" i="3"/>
  <c r="M8744" i="3"/>
  <c r="L8744" i="3"/>
  <c r="M8743" i="3"/>
  <c r="L8743" i="3"/>
  <c r="M8742" i="3"/>
  <c r="L8742" i="3"/>
  <c r="M8741" i="3"/>
  <c r="L8741" i="3"/>
  <c r="M8740" i="3"/>
  <c r="L8740" i="3"/>
  <c r="M8739" i="3"/>
  <c r="L8739" i="3"/>
  <c r="M8738" i="3"/>
  <c r="L8738" i="3"/>
  <c r="M8737" i="3"/>
  <c r="L8737" i="3"/>
  <c r="M8736" i="3"/>
  <c r="L8736" i="3"/>
  <c r="M8735" i="3"/>
  <c r="L8735" i="3"/>
  <c r="M8734" i="3"/>
  <c r="L8734" i="3"/>
  <c r="M8733" i="3"/>
  <c r="L8733" i="3"/>
  <c r="M8732" i="3"/>
  <c r="L8732" i="3"/>
  <c r="M8731" i="3"/>
  <c r="L8731" i="3"/>
  <c r="M8730" i="3"/>
  <c r="L8730" i="3"/>
  <c r="M8729" i="3"/>
  <c r="L8729" i="3"/>
  <c r="M8728" i="3"/>
  <c r="L8728" i="3"/>
  <c r="M8727" i="3"/>
  <c r="L8727" i="3"/>
  <c r="M8726" i="3"/>
  <c r="L8726" i="3"/>
  <c r="M8725" i="3"/>
  <c r="L8725" i="3"/>
  <c r="M8724" i="3"/>
  <c r="L8724" i="3"/>
  <c r="M8723" i="3"/>
  <c r="L8723" i="3"/>
  <c r="M8722" i="3"/>
  <c r="L8722" i="3"/>
  <c r="M8721" i="3"/>
  <c r="L8721" i="3"/>
  <c r="M8720" i="3"/>
  <c r="L8720" i="3"/>
  <c r="M8719" i="3"/>
  <c r="L8719" i="3"/>
  <c r="M8718" i="3"/>
  <c r="L8718" i="3"/>
  <c r="M8717" i="3"/>
  <c r="L8717" i="3"/>
  <c r="M8716" i="3"/>
  <c r="L8716" i="3"/>
  <c r="M8715" i="3"/>
  <c r="L8715" i="3"/>
  <c r="M8714" i="3"/>
  <c r="L8714" i="3"/>
  <c r="M8713" i="3"/>
  <c r="L8713" i="3"/>
  <c r="M8712" i="3"/>
  <c r="L8712" i="3"/>
  <c r="M8711" i="3"/>
  <c r="L8711" i="3"/>
  <c r="M8710" i="3"/>
  <c r="L8710" i="3"/>
  <c r="M8709" i="3"/>
  <c r="L8709" i="3"/>
  <c r="M8708" i="3"/>
  <c r="L8708" i="3"/>
  <c r="M8707" i="3"/>
  <c r="L8707" i="3"/>
  <c r="M8706" i="3"/>
  <c r="L8706" i="3"/>
  <c r="M8705" i="3"/>
  <c r="L8705" i="3"/>
  <c r="M8704" i="3"/>
  <c r="L8704" i="3"/>
  <c r="M8703" i="3"/>
  <c r="L8703" i="3"/>
  <c r="M8702" i="3"/>
  <c r="L8702" i="3"/>
  <c r="M8701" i="3"/>
  <c r="L8701" i="3"/>
  <c r="M8700" i="3"/>
  <c r="L8700" i="3"/>
  <c r="M8699" i="3"/>
  <c r="L8699" i="3"/>
  <c r="M8698" i="3"/>
  <c r="L8698" i="3"/>
  <c r="M8697" i="3"/>
  <c r="L8697" i="3"/>
  <c r="M8696" i="3"/>
  <c r="L8696" i="3"/>
  <c r="M8695" i="3"/>
  <c r="L8695" i="3"/>
  <c r="M8694" i="3"/>
  <c r="L8694" i="3"/>
  <c r="M8693" i="3"/>
  <c r="L8693" i="3"/>
  <c r="M8692" i="3"/>
  <c r="L8692" i="3"/>
  <c r="M8691" i="3"/>
  <c r="L8691" i="3"/>
  <c r="M8690" i="3"/>
  <c r="L8690" i="3"/>
  <c r="M8689" i="3"/>
  <c r="L8689" i="3"/>
  <c r="M8688" i="3"/>
  <c r="L8688" i="3"/>
  <c r="M8687" i="3"/>
  <c r="L8687" i="3"/>
  <c r="M8686" i="3"/>
  <c r="L8686" i="3"/>
  <c r="M8685" i="3"/>
  <c r="L8685" i="3"/>
  <c r="M8684" i="3"/>
  <c r="L8684" i="3"/>
  <c r="M8683" i="3"/>
  <c r="L8683" i="3"/>
  <c r="M8682" i="3"/>
  <c r="L8682" i="3"/>
  <c r="M8681" i="3"/>
  <c r="L8681" i="3"/>
  <c r="M8680" i="3"/>
  <c r="L8680" i="3"/>
  <c r="M8679" i="3"/>
  <c r="L8679" i="3"/>
  <c r="M8678" i="3"/>
  <c r="L8678" i="3"/>
  <c r="M8677" i="3"/>
  <c r="L8677" i="3"/>
  <c r="M8676" i="3"/>
  <c r="L8676" i="3"/>
  <c r="M8675" i="3"/>
  <c r="L8675" i="3"/>
  <c r="M8674" i="3"/>
  <c r="L8674" i="3"/>
  <c r="M8673" i="3"/>
  <c r="L8673" i="3"/>
  <c r="M8672" i="3"/>
  <c r="L8672" i="3"/>
  <c r="M8671" i="3"/>
  <c r="L8671" i="3"/>
  <c r="M8670" i="3"/>
  <c r="L8670" i="3"/>
  <c r="M8669" i="3"/>
  <c r="L8669" i="3"/>
  <c r="M8668" i="3"/>
  <c r="L8668" i="3"/>
  <c r="M8667" i="3"/>
  <c r="L8667" i="3"/>
  <c r="M8666" i="3"/>
  <c r="L8666" i="3"/>
  <c r="M8665" i="3"/>
  <c r="L8665" i="3"/>
  <c r="M8664" i="3"/>
  <c r="L8664" i="3"/>
  <c r="M8663" i="3"/>
  <c r="L8663" i="3"/>
  <c r="M8662" i="3"/>
  <c r="L8662" i="3"/>
  <c r="M8661" i="3"/>
  <c r="L8661" i="3"/>
  <c r="M8660" i="3"/>
  <c r="L8660" i="3"/>
  <c r="M8659" i="3"/>
  <c r="L8659" i="3"/>
  <c r="M8658" i="3"/>
  <c r="L8658" i="3"/>
  <c r="M8657" i="3"/>
  <c r="L8657" i="3"/>
  <c r="M8656" i="3"/>
  <c r="L8656" i="3"/>
  <c r="M8655" i="3"/>
  <c r="L8655" i="3"/>
  <c r="M8654" i="3"/>
  <c r="L8654" i="3"/>
  <c r="M8653" i="3"/>
  <c r="L8653" i="3"/>
  <c r="M8652" i="3"/>
  <c r="L8652" i="3"/>
  <c r="M8651" i="3"/>
  <c r="L8651" i="3"/>
  <c r="M8650" i="3"/>
  <c r="L8650" i="3"/>
  <c r="M8649" i="3"/>
  <c r="L8649" i="3"/>
  <c r="M8648" i="3"/>
  <c r="L8648" i="3"/>
  <c r="M8647" i="3"/>
  <c r="L8647" i="3"/>
  <c r="M8646" i="3"/>
  <c r="L8646" i="3"/>
  <c r="M8645" i="3"/>
  <c r="L8645" i="3"/>
  <c r="M8644" i="3"/>
  <c r="L8644" i="3"/>
  <c r="M8643" i="3"/>
  <c r="L8643" i="3"/>
  <c r="M8642" i="3"/>
  <c r="L8642" i="3"/>
  <c r="M8641" i="3"/>
  <c r="L8641" i="3"/>
  <c r="M8640" i="3"/>
  <c r="L8640" i="3"/>
  <c r="M8639" i="3"/>
  <c r="L8639" i="3"/>
  <c r="M8638" i="3"/>
  <c r="L8638" i="3"/>
  <c r="M8637" i="3"/>
  <c r="L8637" i="3"/>
  <c r="M8636" i="3"/>
  <c r="L8636" i="3"/>
  <c r="M8635" i="3"/>
  <c r="L8635" i="3"/>
  <c r="M8634" i="3"/>
  <c r="L8634" i="3"/>
  <c r="M8633" i="3"/>
  <c r="L8633" i="3"/>
  <c r="M8632" i="3"/>
  <c r="L8632" i="3"/>
  <c r="M8631" i="3"/>
  <c r="L8631" i="3"/>
  <c r="M8630" i="3"/>
  <c r="L8630" i="3"/>
  <c r="M8629" i="3"/>
  <c r="L8629" i="3"/>
  <c r="M8628" i="3"/>
  <c r="L8628" i="3"/>
  <c r="M8627" i="3"/>
  <c r="L8627" i="3"/>
  <c r="M8626" i="3"/>
  <c r="L8626" i="3"/>
  <c r="M8625" i="3"/>
  <c r="L8625" i="3"/>
  <c r="M8624" i="3"/>
  <c r="L8624" i="3"/>
  <c r="M8623" i="3"/>
  <c r="L8623" i="3"/>
  <c r="M8622" i="3"/>
  <c r="L8622" i="3"/>
  <c r="M8621" i="3"/>
  <c r="L8621" i="3"/>
  <c r="M8620" i="3"/>
  <c r="L8620" i="3"/>
  <c r="M8619" i="3"/>
  <c r="L8619" i="3"/>
  <c r="M8618" i="3"/>
  <c r="L8618" i="3"/>
  <c r="M8617" i="3"/>
  <c r="L8617" i="3"/>
  <c r="M8616" i="3"/>
  <c r="L8616" i="3"/>
  <c r="M8615" i="3"/>
  <c r="L8615" i="3"/>
  <c r="M8614" i="3"/>
  <c r="L8614" i="3"/>
  <c r="M8613" i="3"/>
  <c r="L8613" i="3"/>
  <c r="M8612" i="3"/>
  <c r="L8612" i="3"/>
  <c r="M8611" i="3"/>
  <c r="L8611" i="3"/>
  <c r="M8610" i="3"/>
  <c r="L8610" i="3"/>
  <c r="M8609" i="3"/>
  <c r="L8609" i="3"/>
  <c r="M8608" i="3"/>
  <c r="L8608" i="3"/>
  <c r="M8607" i="3"/>
  <c r="L8607" i="3"/>
  <c r="M8606" i="3"/>
  <c r="L8606" i="3"/>
  <c r="M8605" i="3"/>
  <c r="L8605" i="3"/>
  <c r="M8604" i="3"/>
  <c r="L8604" i="3"/>
  <c r="M8603" i="3"/>
  <c r="L8603" i="3"/>
  <c r="M8602" i="3"/>
  <c r="L8602" i="3"/>
  <c r="M8601" i="3"/>
  <c r="L8601" i="3"/>
  <c r="M8600" i="3"/>
  <c r="L8600" i="3"/>
  <c r="M8599" i="3"/>
  <c r="L8599" i="3"/>
  <c r="M8598" i="3"/>
  <c r="L8598" i="3"/>
  <c r="M8597" i="3"/>
  <c r="L8597" i="3"/>
  <c r="M8596" i="3"/>
  <c r="L8596" i="3"/>
  <c r="M8595" i="3"/>
  <c r="L8595" i="3"/>
  <c r="M8594" i="3"/>
  <c r="L8594" i="3"/>
  <c r="M8593" i="3"/>
  <c r="L8593" i="3"/>
  <c r="M8592" i="3"/>
  <c r="L8592" i="3"/>
  <c r="M8591" i="3"/>
  <c r="L8591" i="3"/>
  <c r="M8590" i="3"/>
  <c r="L8590" i="3"/>
  <c r="M8589" i="3"/>
  <c r="L8589" i="3"/>
  <c r="M8588" i="3"/>
  <c r="L8588" i="3"/>
  <c r="M8587" i="3"/>
  <c r="L8587" i="3"/>
  <c r="M8586" i="3"/>
  <c r="L8586" i="3"/>
  <c r="M8585" i="3"/>
  <c r="L8585" i="3"/>
  <c r="M8584" i="3"/>
  <c r="L8584" i="3"/>
  <c r="M8583" i="3"/>
  <c r="L8583" i="3"/>
  <c r="M8582" i="3"/>
  <c r="L8582" i="3"/>
  <c r="M8581" i="3"/>
  <c r="L8581" i="3"/>
  <c r="M8580" i="3"/>
  <c r="L8580" i="3"/>
  <c r="M8579" i="3"/>
  <c r="L8579" i="3"/>
  <c r="M8578" i="3"/>
  <c r="L8578" i="3"/>
  <c r="M8577" i="3"/>
  <c r="L8577" i="3"/>
  <c r="M8576" i="3"/>
  <c r="L8576" i="3"/>
  <c r="M8575" i="3"/>
  <c r="L8575" i="3"/>
  <c r="M8574" i="3"/>
  <c r="L8574" i="3"/>
  <c r="M8573" i="3"/>
  <c r="L8573" i="3"/>
  <c r="M8572" i="3"/>
  <c r="L8572" i="3"/>
  <c r="M8571" i="3"/>
  <c r="L8571" i="3"/>
  <c r="M8570" i="3"/>
  <c r="L8570" i="3"/>
  <c r="M8569" i="3"/>
  <c r="L8569" i="3"/>
  <c r="M8568" i="3"/>
  <c r="L8568" i="3"/>
  <c r="M8567" i="3"/>
  <c r="L8567" i="3"/>
  <c r="M8566" i="3"/>
  <c r="L8566" i="3"/>
  <c r="M8565" i="3"/>
  <c r="L8565" i="3"/>
  <c r="M8564" i="3"/>
  <c r="L8564" i="3"/>
  <c r="M8563" i="3"/>
  <c r="L8563" i="3"/>
  <c r="M8562" i="3"/>
  <c r="L8562" i="3"/>
  <c r="M8561" i="3"/>
  <c r="L8561" i="3"/>
  <c r="M8560" i="3"/>
  <c r="L8560" i="3"/>
  <c r="M8559" i="3"/>
  <c r="L8559" i="3"/>
  <c r="M8558" i="3"/>
  <c r="L8558" i="3"/>
  <c r="M8557" i="3"/>
  <c r="L8557" i="3"/>
  <c r="M8556" i="3"/>
  <c r="L8556" i="3"/>
  <c r="M8555" i="3"/>
  <c r="L8555" i="3"/>
  <c r="M8554" i="3"/>
  <c r="L8554" i="3"/>
  <c r="M8553" i="3"/>
  <c r="L8553" i="3"/>
  <c r="M8552" i="3"/>
  <c r="L8552" i="3"/>
  <c r="M8551" i="3"/>
  <c r="L8551" i="3"/>
  <c r="M8550" i="3"/>
  <c r="L8550" i="3"/>
  <c r="M8549" i="3"/>
  <c r="L8549" i="3"/>
  <c r="M8548" i="3"/>
  <c r="L8548" i="3"/>
  <c r="M8547" i="3"/>
  <c r="L8547" i="3"/>
  <c r="M8546" i="3"/>
  <c r="L8546" i="3"/>
  <c r="M8545" i="3"/>
  <c r="L8545" i="3"/>
  <c r="M8544" i="3"/>
  <c r="L8544" i="3"/>
  <c r="M8543" i="3"/>
  <c r="L8543" i="3"/>
  <c r="M8542" i="3"/>
  <c r="L8542" i="3"/>
  <c r="M8541" i="3"/>
  <c r="L8541" i="3"/>
  <c r="M8540" i="3"/>
  <c r="L8540" i="3"/>
  <c r="M8539" i="3"/>
  <c r="L8539" i="3"/>
  <c r="M8538" i="3"/>
  <c r="L8538" i="3"/>
  <c r="M8537" i="3"/>
  <c r="L8537" i="3"/>
  <c r="M8536" i="3"/>
  <c r="L8536" i="3"/>
  <c r="M8535" i="3"/>
  <c r="L8535" i="3"/>
  <c r="M8534" i="3"/>
  <c r="L8534" i="3"/>
  <c r="M8533" i="3"/>
  <c r="L8533" i="3"/>
  <c r="M8532" i="3"/>
  <c r="L8532" i="3"/>
  <c r="M8531" i="3"/>
  <c r="L8531" i="3"/>
  <c r="M8530" i="3"/>
  <c r="L8530" i="3"/>
  <c r="M8529" i="3"/>
  <c r="L8529" i="3"/>
  <c r="M8528" i="3"/>
  <c r="L8528" i="3"/>
  <c r="M8527" i="3"/>
  <c r="L8527" i="3"/>
  <c r="M8526" i="3"/>
  <c r="L8526" i="3"/>
  <c r="M8525" i="3"/>
  <c r="L8525" i="3"/>
  <c r="M8524" i="3"/>
  <c r="L8524" i="3"/>
  <c r="M8523" i="3"/>
  <c r="L8523" i="3"/>
  <c r="M8522" i="3"/>
  <c r="L8522" i="3"/>
  <c r="M8521" i="3"/>
  <c r="L8521" i="3"/>
  <c r="M8520" i="3"/>
  <c r="L8520" i="3"/>
  <c r="M8519" i="3"/>
  <c r="L8519" i="3"/>
  <c r="M8518" i="3"/>
  <c r="L8518" i="3"/>
  <c r="M8517" i="3"/>
  <c r="L8517" i="3"/>
  <c r="M8516" i="3"/>
  <c r="L8516" i="3"/>
  <c r="M8515" i="3"/>
  <c r="L8515" i="3"/>
  <c r="M8514" i="3"/>
  <c r="L8514" i="3"/>
  <c r="M8513" i="3"/>
  <c r="L8513" i="3"/>
  <c r="M8512" i="3"/>
  <c r="L8512" i="3"/>
  <c r="M8511" i="3"/>
  <c r="L8511" i="3"/>
  <c r="M8510" i="3"/>
  <c r="L8510" i="3"/>
  <c r="M8509" i="3"/>
  <c r="L8509" i="3"/>
  <c r="M8508" i="3"/>
  <c r="L8508" i="3"/>
  <c r="M8507" i="3"/>
  <c r="L8507" i="3"/>
  <c r="M8506" i="3"/>
  <c r="L8506" i="3"/>
  <c r="M8505" i="3"/>
  <c r="L8505" i="3"/>
  <c r="M8504" i="3"/>
  <c r="L8504" i="3"/>
  <c r="M8503" i="3"/>
  <c r="L8503" i="3"/>
  <c r="M8502" i="3"/>
  <c r="L8502" i="3"/>
  <c r="M8501" i="3"/>
  <c r="L8501" i="3"/>
  <c r="M8500" i="3"/>
  <c r="L8500" i="3"/>
  <c r="M8499" i="3"/>
  <c r="L8499" i="3"/>
  <c r="M8498" i="3"/>
  <c r="L8498" i="3"/>
  <c r="M8497" i="3"/>
  <c r="L8497" i="3"/>
  <c r="M8496" i="3"/>
  <c r="L8496" i="3"/>
  <c r="M8495" i="3"/>
  <c r="L8495" i="3"/>
  <c r="M8494" i="3"/>
  <c r="L8494" i="3"/>
  <c r="M8493" i="3"/>
  <c r="L8493" i="3"/>
  <c r="M8492" i="3"/>
  <c r="L8492" i="3"/>
  <c r="M8491" i="3"/>
  <c r="L8491" i="3"/>
  <c r="M8490" i="3"/>
  <c r="L8490" i="3"/>
  <c r="M8489" i="3"/>
  <c r="L8489" i="3"/>
  <c r="M8488" i="3"/>
  <c r="L8488" i="3"/>
  <c r="M8487" i="3"/>
  <c r="L8487" i="3"/>
  <c r="M8486" i="3"/>
  <c r="L8486" i="3"/>
  <c r="M8485" i="3"/>
  <c r="L8485" i="3"/>
  <c r="M8484" i="3"/>
  <c r="L8484" i="3"/>
  <c r="M8483" i="3"/>
  <c r="L8483" i="3"/>
  <c r="M8482" i="3"/>
  <c r="L8482" i="3"/>
  <c r="M8481" i="3"/>
  <c r="L8481" i="3"/>
  <c r="M8480" i="3"/>
  <c r="L8480" i="3"/>
  <c r="M8479" i="3"/>
  <c r="L8479" i="3"/>
  <c r="M8478" i="3"/>
  <c r="L8478" i="3"/>
  <c r="M8477" i="3"/>
  <c r="L8477" i="3"/>
  <c r="M8476" i="3"/>
  <c r="L8476" i="3"/>
  <c r="M8475" i="3"/>
  <c r="L8475" i="3"/>
  <c r="M8474" i="3"/>
  <c r="L8474" i="3"/>
  <c r="M8473" i="3"/>
  <c r="L8473" i="3"/>
  <c r="M8472" i="3"/>
  <c r="L8472" i="3"/>
  <c r="M8471" i="3"/>
  <c r="L8471" i="3"/>
  <c r="M8470" i="3"/>
  <c r="L8470" i="3"/>
  <c r="M8469" i="3"/>
  <c r="L8469" i="3"/>
  <c r="M8468" i="3"/>
  <c r="L8468" i="3"/>
  <c r="M8467" i="3"/>
  <c r="L8467" i="3"/>
  <c r="M8466" i="3"/>
  <c r="L8466" i="3"/>
  <c r="M8465" i="3"/>
  <c r="L8465" i="3"/>
  <c r="M8464" i="3"/>
  <c r="L8464" i="3"/>
  <c r="M8463" i="3"/>
  <c r="L8463" i="3"/>
  <c r="M8462" i="3"/>
  <c r="L8462" i="3"/>
  <c r="M8461" i="3"/>
  <c r="L8461" i="3"/>
  <c r="M8460" i="3"/>
  <c r="L8460" i="3"/>
  <c r="M8459" i="3"/>
  <c r="L8459" i="3"/>
  <c r="M8458" i="3"/>
  <c r="L8458" i="3"/>
  <c r="M8457" i="3"/>
  <c r="L8457" i="3"/>
  <c r="M8456" i="3"/>
  <c r="L8456" i="3"/>
  <c r="M8455" i="3"/>
  <c r="L8455" i="3"/>
  <c r="M8454" i="3"/>
  <c r="L8454" i="3"/>
  <c r="M8453" i="3"/>
  <c r="L8453" i="3"/>
  <c r="M8452" i="3"/>
  <c r="L8452" i="3"/>
  <c r="M8451" i="3"/>
  <c r="L8451" i="3"/>
  <c r="M8450" i="3"/>
  <c r="L8450" i="3"/>
  <c r="M8449" i="3"/>
  <c r="L8449" i="3"/>
  <c r="M8448" i="3"/>
  <c r="L8448" i="3"/>
  <c r="M8447" i="3"/>
  <c r="L8447" i="3"/>
  <c r="M8446" i="3"/>
  <c r="L8446" i="3"/>
  <c r="M8445" i="3"/>
  <c r="L8445" i="3"/>
  <c r="M8444" i="3"/>
  <c r="L8444" i="3"/>
  <c r="M8443" i="3"/>
  <c r="L8443" i="3"/>
  <c r="M8442" i="3"/>
  <c r="L8442" i="3"/>
  <c r="M8441" i="3"/>
  <c r="L8441" i="3"/>
  <c r="M8440" i="3"/>
  <c r="L8440" i="3"/>
  <c r="M8439" i="3"/>
  <c r="L8439" i="3"/>
  <c r="M8438" i="3"/>
  <c r="L8438" i="3"/>
  <c r="M8437" i="3"/>
  <c r="L8437" i="3"/>
  <c r="M8436" i="3"/>
  <c r="L8436" i="3"/>
  <c r="M8435" i="3"/>
  <c r="L8435" i="3"/>
  <c r="M8434" i="3"/>
  <c r="L8434" i="3"/>
  <c r="M8433" i="3"/>
  <c r="L8433" i="3"/>
  <c r="M8432" i="3"/>
  <c r="L8432" i="3"/>
  <c r="M8431" i="3"/>
  <c r="L8431" i="3"/>
  <c r="M8430" i="3"/>
  <c r="L8430" i="3"/>
  <c r="M8429" i="3"/>
  <c r="L8429" i="3"/>
  <c r="M8428" i="3"/>
  <c r="L8428" i="3"/>
  <c r="M8427" i="3"/>
  <c r="L8427" i="3"/>
  <c r="M8426" i="3"/>
  <c r="L8426" i="3"/>
  <c r="M8425" i="3"/>
  <c r="L8425" i="3"/>
  <c r="M8424" i="3"/>
  <c r="L8424" i="3"/>
  <c r="M8423" i="3"/>
  <c r="L8423" i="3"/>
  <c r="M8422" i="3"/>
  <c r="L8422" i="3"/>
  <c r="M8421" i="3"/>
  <c r="L8421" i="3"/>
  <c r="M8420" i="3"/>
  <c r="L8420" i="3"/>
  <c r="M8419" i="3"/>
  <c r="L8419" i="3"/>
  <c r="M8418" i="3"/>
  <c r="L8418" i="3"/>
  <c r="M8417" i="3"/>
  <c r="L8417" i="3"/>
  <c r="M8416" i="3"/>
  <c r="L8416" i="3"/>
  <c r="M8415" i="3"/>
  <c r="L8415" i="3"/>
  <c r="M8414" i="3"/>
  <c r="L8414" i="3"/>
  <c r="M8413" i="3"/>
  <c r="L8413" i="3"/>
  <c r="M8412" i="3"/>
  <c r="L8412" i="3"/>
  <c r="M8411" i="3"/>
  <c r="L8411" i="3"/>
  <c r="M8410" i="3"/>
  <c r="L8410" i="3"/>
  <c r="M8409" i="3"/>
  <c r="L8409" i="3"/>
  <c r="M8408" i="3"/>
  <c r="L8408" i="3"/>
  <c r="M8407" i="3"/>
  <c r="L8407" i="3"/>
  <c r="M8406" i="3"/>
  <c r="L8406" i="3"/>
  <c r="M8405" i="3"/>
  <c r="L8405" i="3"/>
  <c r="M8404" i="3"/>
  <c r="L8404" i="3"/>
  <c r="M8403" i="3"/>
  <c r="L8403" i="3"/>
  <c r="M8402" i="3"/>
  <c r="L8402" i="3"/>
  <c r="M8401" i="3"/>
  <c r="L8401" i="3"/>
  <c r="M8400" i="3"/>
  <c r="L8400" i="3"/>
  <c r="M8399" i="3"/>
  <c r="L8399" i="3"/>
  <c r="M8398" i="3"/>
  <c r="L8398" i="3"/>
  <c r="M8397" i="3"/>
  <c r="L8397" i="3"/>
  <c r="M8396" i="3"/>
  <c r="L8396" i="3"/>
  <c r="M8395" i="3"/>
  <c r="L8395" i="3"/>
  <c r="M8394" i="3"/>
  <c r="L8394" i="3"/>
  <c r="M8393" i="3"/>
  <c r="L8393" i="3"/>
  <c r="M8392" i="3"/>
  <c r="L8392" i="3"/>
  <c r="M8391" i="3"/>
  <c r="L8391" i="3"/>
  <c r="M8390" i="3"/>
  <c r="L8390" i="3"/>
  <c r="M8389" i="3"/>
  <c r="L8389" i="3"/>
  <c r="M8388" i="3"/>
  <c r="L8388" i="3"/>
  <c r="M8387" i="3"/>
  <c r="L8387" i="3"/>
  <c r="M8386" i="3"/>
  <c r="L8386" i="3"/>
  <c r="M8385" i="3"/>
  <c r="L8385" i="3"/>
  <c r="M8384" i="3"/>
  <c r="L8384" i="3"/>
  <c r="M8383" i="3"/>
  <c r="L8383" i="3"/>
  <c r="M8382" i="3"/>
  <c r="L8382" i="3"/>
  <c r="M8381" i="3"/>
  <c r="L8381" i="3"/>
  <c r="M8380" i="3"/>
  <c r="L8380" i="3"/>
  <c r="M8379" i="3"/>
  <c r="L8379" i="3"/>
  <c r="M8378" i="3"/>
  <c r="L8378" i="3"/>
  <c r="M8377" i="3"/>
  <c r="L8377" i="3"/>
  <c r="M8376" i="3"/>
  <c r="L8376" i="3"/>
  <c r="M8375" i="3"/>
  <c r="L8375" i="3"/>
  <c r="M8374" i="3"/>
  <c r="L8374" i="3"/>
  <c r="M8373" i="3"/>
  <c r="L8373" i="3"/>
  <c r="M8372" i="3"/>
  <c r="L8372" i="3"/>
  <c r="M8371" i="3"/>
  <c r="L8371" i="3"/>
  <c r="M8370" i="3"/>
  <c r="L8370" i="3"/>
  <c r="M8369" i="3"/>
  <c r="L8369" i="3"/>
  <c r="M8368" i="3"/>
  <c r="L8368" i="3"/>
  <c r="M8367" i="3"/>
  <c r="L8367" i="3"/>
  <c r="M8366" i="3"/>
  <c r="L8366" i="3"/>
  <c r="M8365" i="3"/>
  <c r="L8365" i="3"/>
  <c r="M8364" i="3"/>
  <c r="L8364" i="3"/>
  <c r="M8363" i="3"/>
  <c r="L8363" i="3"/>
  <c r="M8362" i="3"/>
  <c r="L8362" i="3"/>
  <c r="M8361" i="3"/>
  <c r="L8361" i="3"/>
  <c r="M8360" i="3"/>
  <c r="L8360" i="3"/>
  <c r="M8359" i="3"/>
  <c r="L8359" i="3"/>
  <c r="M8358" i="3"/>
  <c r="L8358" i="3"/>
  <c r="M8357" i="3"/>
  <c r="L8357" i="3"/>
  <c r="M8356" i="3"/>
  <c r="L8356" i="3"/>
  <c r="M8355" i="3"/>
  <c r="L8355" i="3"/>
  <c r="M8354" i="3"/>
  <c r="L8354" i="3"/>
  <c r="M8353" i="3"/>
  <c r="L8353" i="3"/>
  <c r="M8352" i="3"/>
  <c r="L8352" i="3"/>
  <c r="M8351" i="3"/>
  <c r="L8351" i="3"/>
  <c r="M8350" i="3"/>
  <c r="L8350" i="3"/>
  <c r="M8349" i="3"/>
  <c r="L8349" i="3"/>
  <c r="M8348" i="3"/>
  <c r="L8348" i="3"/>
  <c r="M8347" i="3"/>
  <c r="L8347" i="3"/>
  <c r="M8346" i="3"/>
  <c r="L8346" i="3"/>
  <c r="M8345" i="3"/>
  <c r="L8345" i="3"/>
  <c r="M8344" i="3"/>
  <c r="L8344" i="3"/>
  <c r="M8343" i="3"/>
  <c r="L8343" i="3"/>
  <c r="M8342" i="3"/>
  <c r="L8342" i="3"/>
  <c r="M8341" i="3"/>
  <c r="L8341" i="3"/>
  <c r="M8340" i="3"/>
  <c r="L8340" i="3"/>
  <c r="M8339" i="3"/>
  <c r="L8339" i="3"/>
  <c r="M8338" i="3"/>
  <c r="L8338" i="3"/>
  <c r="M8337" i="3"/>
  <c r="L8337" i="3"/>
  <c r="M8336" i="3"/>
  <c r="L8336" i="3"/>
  <c r="M8335" i="3"/>
  <c r="L8335" i="3"/>
  <c r="M8334" i="3"/>
  <c r="L8334" i="3"/>
  <c r="M8333" i="3"/>
  <c r="L8333" i="3"/>
  <c r="M8332" i="3"/>
  <c r="L8332" i="3"/>
  <c r="M8331" i="3"/>
  <c r="L8331" i="3"/>
  <c r="M8330" i="3"/>
  <c r="L8330" i="3"/>
  <c r="M8329" i="3"/>
  <c r="L8329" i="3"/>
  <c r="M8328" i="3"/>
  <c r="L8328" i="3"/>
  <c r="M8327" i="3"/>
  <c r="L8327" i="3"/>
  <c r="M8326" i="3"/>
  <c r="L8326" i="3"/>
  <c r="M8325" i="3"/>
  <c r="L8325" i="3"/>
  <c r="M8324" i="3"/>
  <c r="L8324" i="3"/>
  <c r="M8323" i="3"/>
  <c r="L8323" i="3"/>
  <c r="M8322" i="3"/>
  <c r="L8322" i="3"/>
  <c r="M8321" i="3"/>
  <c r="L8321" i="3"/>
  <c r="M8320" i="3"/>
  <c r="L8320" i="3"/>
  <c r="M8319" i="3"/>
  <c r="L8319" i="3"/>
  <c r="M8318" i="3"/>
  <c r="L8318" i="3"/>
  <c r="M8317" i="3"/>
  <c r="L8317" i="3"/>
  <c r="M8316" i="3"/>
  <c r="L8316" i="3"/>
  <c r="M8315" i="3"/>
  <c r="L8315" i="3"/>
  <c r="M8314" i="3"/>
  <c r="L8314" i="3"/>
  <c r="M8313" i="3"/>
  <c r="L8313" i="3"/>
  <c r="M8312" i="3"/>
  <c r="L8312" i="3"/>
  <c r="M8311" i="3"/>
  <c r="L8311" i="3"/>
  <c r="M8310" i="3"/>
  <c r="L8310" i="3"/>
  <c r="M8309" i="3"/>
  <c r="L8309" i="3"/>
  <c r="M8308" i="3"/>
  <c r="L8308" i="3"/>
  <c r="M8307" i="3"/>
  <c r="L8307" i="3"/>
  <c r="M8306" i="3"/>
  <c r="L8306" i="3"/>
  <c r="M8305" i="3"/>
  <c r="L8305" i="3"/>
  <c r="M8304" i="3"/>
  <c r="L8304" i="3"/>
  <c r="M8303" i="3"/>
  <c r="L8303" i="3"/>
  <c r="M8302" i="3"/>
  <c r="L8302" i="3"/>
  <c r="M8301" i="3"/>
  <c r="L8301" i="3"/>
  <c r="M8300" i="3"/>
  <c r="L8300" i="3"/>
  <c r="M8299" i="3"/>
  <c r="L8299" i="3"/>
  <c r="M8298" i="3"/>
  <c r="L8298" i="3"/>
  <c r="M8297" i="3"/>
  <c r="L8297" i="3"/>
  <c r="M8296" i="3"/>
  <c r="L8296" i="3"/>
  <c r="M8295" i="3"/>
  <c r="L8295" i="3"/>
  <c r="M8294" i="3"/>
  <c r="L8294" i="3"/>
  <c r="M8293" i="3"/>
  <c r="L8293" i="3"/>
  <c r="M8292" i="3"/>
  <c r="L8292" i="3"/>
  <c r="M8291" i="3"/>
  <c r="L8291" i="3"/>
  <c r="M8290" i="3"/>
  <c r="L8290" i="3"/>
  <c r="M8289" i="3"/>
  <c r="L8289" i="3"/>
  <c r="M8288" i="3"/>
  <c r="L8288" i="3"/>
  <c r="M8287" i="3"/>
  <c r="L8287" i="3"/>
  <c r="M8286" i="3"/>
  <c r="L8286" i="3"/>
  <c r="M8285" i="3"/>
  <c r="L8285" i="3"/>
  <c r="M8284" i="3"/>
  <c r="L8284" i="3"/>
  <c r="M8283" i="3"/>
  <c r="L8283" i="3"/>
  <c r="M8282" i="3"/>
  <c r="L8282" i="3"/>
  <c r="M8281" i="3"/>
  <c r="L8281" i="3"/>
  <c r="M8280" i="3"/>
  <c r="L8280" i="3"/>
  <c r="M8279" i="3"/>
  <c r="L8279" i="3"/>
  <c r="M8278" i="3"/>
  <c r="L8278" i="3"/>
  <c r="M8277" i="3"/>
  <c r="L8277" i="3"/>
  <c r="M8276" i="3"/>
  <c r="L8276" i="3"/>
  <c r="M8275" i="3"/>
  <c r="L8275" i="3"/>
  <c r="M8274" i="3"/>
  <c r="L8274" i="3"/>
  <c r="M8273" i="3"/>
  <c r="L8273" i="3"/>
  <c r="M8272" i="3"/>
  <c r="L8272" i="3"/>
  <c r="M8271" i="3"/>
  <c r="L8271" i="3"/>
  <c r="M8270" i="3"/>
  <c r="L8270" i="3"/>
  <c r="M8269" i="3"/>
  <c r="L8269" i="3"/>
  <c r="M8268" i="3"/>
  <c r="L8268" i="3"/>
  <c r="M8267" i="3"/>
  <c r="L8267" i="3"/>
  <c r="M8266" i="3"/>
  <c r="L8266" i="3"/>
  <c r="M8265" i="3"/>
  <c r="L8265" i="3"/>
  <c r="M8264" i="3"/>
  <c r="L8264" i="3"/>
  <c r="M8263" i="3"/>
  <c r="L8263" i="3"/>
  <c r="M8262" i="3"/>
  <c r="L8262" i="3"/>
  <c r="M8261" i="3"/>
  <c r="L8261" i="3"/>
  <c r="M8260" i="3"/>
  <c r="L8260" i="3"/>
  <c r="M8259" i="3"/>
  <c r="L8259" i="3"/>
  <c r="M8258" i="3"/>
  <c r="L8258" i="3"/>
  <c r="M8257" i="3"/>
  <c r="L8257" i="3"/>
  <c r="M8256" i="3"/>
  <c r="L8256" i="3"/>
  <c r="M8255" i="3"/>
  <c r="L8255" i="3"/>
  <c r="M8254" i="3"/>
  <c r="L8254" i="3"/>
  <c r="M8253" i="3"/>
  <c r="L8253" i="3"/>
  <c r="M8252" i="3"/>
  <c r="L8252" i="3"/>
  <c r="M8251" i="3"/>
  <c r="L8251" i="3"/>
  <c r="M8250" i="3"/>
  <c r="L8250" i="3"/>
  <c r="M8249" i="3"/>
  <c r="L8249" i="3"/>
  <c r="M8248" i="3"/>
  <c r="L8248" i="3"/>
  <c r="M8247" i="3"/>
  <c r="L8247" i="3"/>
  <c r="M8246" i="3"/>
  <c r="L8246" i="3"/>
  <c r="M8245" i="3"/>
  <c r="L8245" i="3"/>
  <c r="M8244" i="3"/>
  <c r="L8244" i="3"/>
  <c r="M8243" i="3"/>
  <c r="L8243" i="3"/>
  <c r="M8242" i="3"/>
  <c r="L8242" i="3"/>
  <c r="M8241" i="3"/>
  <c r="L8241" i="3"/>
  <c r="M8240" i="3"/>
  <c r="L8240" i="3"/>
  <c r="M8239" i="3"/>
  <c r="L8239" i="3"/>
  <c r="M8238" i="3"/>
  <c r="L8238" i="3"/>
  <c r="M8237" i="3"/>
  <c r="L8237" i="3"/>
  <c r="M8236" i="3"/>
  <c r="L8236" i="3"/>
  <c r="M8235" i="3"/>
  <c r="L8235" i="3"/>
  <c r="M8234" i="3"/>
  <c r="L8234" i="3"/>
  <c r="M8233" i="3"/>
  <c r="L8233" i="3"/>
  <c r="M8232" i="3"/>
  <c r="L8232" i="3"/>
  <c r="M8231" i="3"/>
  <c r="L8231" i="3"/>
  <c r="M8230" i="3"/>
  <c r="L8230" i="3"/>
  <c r="M8229" i="3"/>
  <c r="L8229" i="3"/>
  <c r="M8228" i="3"/>
  <c r="L8228" i="3"/>
  <c r="M8227" i="3"/>
  <c r="L8227" i="3"/>
  <c r="M8226" i="3"/>
  <c r="L8226" i="3"/>
  <c r="M8225" i="3"/>
  <c r="L8225" i="3"/>
  <c r="M8224" i="3"/>
  <c r="L8224" i="3"/>
  <c r="M8223" i="3"/>
  <c r="L8223" i="3"/>
  <c r="M8222" i="3"/>
  <c r="L8222" i="3"/>
  <c r="M8221" i="3"/>
  <c r="L8221" i="3"/>
  <c r="M8220" i="3"/>
  <c r="L8220" i="3"/>
  <c r="M8219" i="3"/>
  <c r="L8219" i="3"/>
  <c r="M8218" i="3"/>
  <c r="L8218" i="3"/>
  <c r="M8217" i="3"/>
  <c r="L8217" i="3"/>
  <c r="M8216" i="3"/>
  <c r="L8216" i="3"/>
  <c r="M8215" i="3"/>
  <c r="L8215" i="3"/>
  <c r="M8214" i="3"/>
  <c r="L8214" i="3"/>
  <c r="M8213" i="3"/>
  <c r="L8213" i="3"/>
  <c r="M8212" i="3"/>
  <c r="L8212" i="3"/>
  <c r="M8211" i="3"/>
  <c r="L8211" i="3"/>
  <c r="M8210" i="3"/>
  <c r="L8210" i="3"/>
  <c r="M8209" i="3"/>
  <c r="L8209" i="3"/>
  <c r="M8208" i="3"/>
  <c r="L8208" i="3"/>
  <c r="M8207" i="3"/>
  <c r="L8207" i="3"/>
  <c r="M8206" i="3"/>
  <c r="L8206" i="3"/>
  <c r="M8205" i="3"/>
  <c r="L8205" i="3"/>
  <c r="M8204" i="3"/>
  <c r="L8204" i="3"/>
  <c r="M8203" i="3"/>
  <c r="L8203" i="3"/>
  <c r="M8202" i="3"/>
  <c r="L8202" i="3"/>
  <c r="M8201" i="3"/>
  <c r="L8201" i="3"/>
  <c r="M8200" i="3"/>
  <c r="L8200" i="3"/>
  <c r="M8199" i="3"/>
  <c r="L8199" i="3"/>
  <c r="M8198" i="3"/>
  <c r="L8198" i="3"/>
  <c r="M8197" i="3"/>
  <c r="L8197" i="3"/>
  <c r="M8196" i="3"/>
  <c r="L8196" i="3"/>
  <c r="M8195" i="3"/>
  <c r="L8195" i="3"/>
  <c r="M8194" i="3"/>
  <c r="L8194" i="3"/>
  <c r="M8193" i="3"/>
  <c r="L8193" i="3"/>
  <c r="M8192" i="3"/>
  <c r="L8192" i="3"/>
  <c r="M8191" i="3"/>
  <c r="L8191" i="3"/>
  <c r="M8190" i="3"/>
  <c r="L8190" i="3"/>
  <c r="M8189" i="3"/>
  <c r="L8189" i="3"/>
  <c r="M8188" i="3"/>
  <c r="L8188" i="3"/>
  <c r="M8187" i="3"/>
  <c r="L8187" i="3"/>
  <c r="M8186" i="3"/>
  <c r="L8186" i="3"/>
  <c r="M8185" i="3"/>
  <c r="L8185" i="3"/>
  <c r="M8184" i="3"/>
  <c r="L8184" i="3"/>
  <c r="M8183" i="3"/>
  <c r="L8183" i="3"/>
  <c r="M8182" i="3"/>
  <c r="L8182" i="3"/>
  <c r="M8181" i="3"/>
  <c r="L8181" i="3"/>
  <c r="M8180" i="3"/>
  <c r="L8180" i="3"/>
  <c r="M8179" i="3"/>
  <c r="L8179" i="3"/>
  <c r="M8178" i="3"/>
  <c r="L8178" i="3"/>
  <c r="M8177" i="3"/>
  <c r="L8177" i="3"/>
  <c r="M8176" i="3"/>
  <c r="L8176" i="3"/>
  <c r="M8175" i="3"/>
  <c r="L8175" i="3"/>
  <c r="M8174" i="3"/>
  <c r="L8174" i="3"/>
  <c r="M8173" i="3"/>
  <c r="L8173" i="3"/>
  <c r="M8172" i="3"/>
  <c r="L8172" i="3"/>
  <c r="M8171" i="3"/>
  <c r="L8171" i="3"/>
  <c r="M8170" i="3"/>
  <c r="L8170" i="3"/>
  <c r="M8169" i="3"/>
  <c r="L8169" i="3"/>
  <c r="M8168" i="3"/>
  <c r="L8168" i="3"/>
  <c r="M8167" i="3"/>
  <c r="L8167" i="3"/>
  <c r="M8166" i="3"/>
  <c r="L8166" i="3"/>
  <c r="M8165" i="3"/>
  <c r="L8165" i="3"/>
  <c r="M8164" i="3"/>
  <c r="L8164" i="3"/>
  <c r="M8163" i="3"/>
  <c r="L8163" i="3"/>
  <c r="M8162" i="3"/>
  <c r="L8162" i="3"/>
  <c r="M8161" i="3"/>
  <c r="L8161" i="3"/>
  <c r="M8160" i="3"/>
  <c r="L8160" i="3"/>
  <c r="M8159" i="3"/>
  <c r="L8159" i="3"/>
  <c r="M8158" i="3"/>
  <c r="L8158" i="3"/>
  <c r="M8157" i="3"/>
  <c r="L8157" i="3"/>
  <c r="M8156" i="3"/>
  <c r="L8156" i="3"/>
  <c r="M8155" i="3"/>
  <c r="L8155" i="3"/>
  <c r="M8154" i="3"/>
  <c r="L8154" i="3"/>
  <c r="M8153" i="3"/>
  <c r="L8153" i="3"/>
  <c r="M8152" i="3"/>
  <c r="L8152" i="3"/>
  <c r="M8151" i="3"/>
  <c r="L8151" i="3"/>
  <c r="M8150" i="3"/>
  <c r="L8150" i="3"/>
  <c r="M8149" i="3"/>
  <c r="L8149" i="3"/>
  <c r="M8148" i="3"/>
  <c r="L8148" i="3"/>
  <c r="M8147" i="3"/>
  <c r="L8147" i="3"/>
  <c r="M8146" i="3"/>
  <c r="L8146" i="3"/>
  <c r="M8145" i="3"/>
  <c r="L8145" i="3"/>
  <c r="M8144" i="3"/>
  <c r="L8144" i="3"/>
  <c r="M8143" i="3"/>
  <c r="L8143" i="3"/>
  <c r="M8142" i="3"/>
  <c r="L8142" i="3"/>
  <c r="M8141" i="3"/>
  <c r="L8141" i="3"/>
  <c r="M8140" i="3"/>
  <c r="L8140" i="3"/>
  <c r="M8139" i="3"/>
  <c r="L8139" i="3"/>
  <c r="M8138" i="3"/>
  <c r="L8138" i="3"/>
  <c r="M8137" i="3"/>
  <c r="L8137" i="3"/>
  <c r="M8136" i="3"/>
  <c r="L8136" i="3"/>
  <c r="M8135" i="3"/>
  <c r="L8135" i="3"/>
  <c r="M8134" i="3"/>
  <c r="L8134" i="3"/>
  <c r="M8133" i="3"/>
  <c r="L8133" i="3"/>
  <c r="M8132" i="3"/>
  <c r="L8132" i="3"/>
  <c r="M8131" i="3"/>
  <c r="L8131" i="3"/>
  <c r="M8130" i="3"/>
  <c r="L8130" i="3"/>
  <c r="M8129" i="3"/>
  <c r="L8129" i="3"/>
  <c r="M8128" i="3"/>
  <c r="L8128" i="3"/>
  <c r="M8127" i="3"/>
  <c r="L8127" i="3"/>
  <c r="M8126" i="3"/>
  <c r="L8126" i="3"/>
  <c r="M8125" i="3"/>
  <c r="L8125" i="3"/>
  <c r="M8124" i="3"/>
  <c r="L8124" i="3"/>
  <c r="M8123" i="3"/>
  <c r="L8123" i="3"/>
  <c r="M8122" i="3"/>
  <c r="L8122" i="3"/>
  <c r="M8121" i="3"/>
  <c r="L8121" i="3"/>
  <c r="M8120" i="3"/>
  <c r="L8120" i="3"/>
  <c r="M8119" i="3"/>
  <c r="L8119" i="3"/>
  <c r="M8118" i="3"/>
  <c r="L8118" i="3"/>
  <c r="M8117" i="3"/>
  <c r="L8117" i="3"/>
  <c r="M8116" i="3"/>
  <c r="L8116" i="3"/>
  <c r="M8115" i="3"/>
  <c r="L8115" i="3"/>
  <c r="M8114" i="3"/>
  <c r="L8114" i="3"/>
  <c r="M8113" i="3"/>
  <c r="L8113" i="3"/>
  <c r="M8112" i="3"/>
  <c r="L8112" i="3"/>
  <c r="M8111" i="3"/>
  <c r="L8111" i="3"/>
  <c r="M8110" i="3"/>
  <c r="L8110" i="3"/>
  <c r="M8109" i="3"/>
  <c r="L8109" i="3"/>
  <c r="M8108" i="3"/>
  <c r="L8108" i="3"/>
  <c r="M8107" i="3"/>
  <c r="L8107" i="3"/>
  <c r="M8106" i="3"/>
  <c r="L8106" i="3"/>
  <c r="M8105" i="3"/>
  <c r="L8105" i="3"/>
  <c r="M8104" i="3"/>
  <c r="L8104" i="3"/>
  <c r="M8103" i="3"/>
  <c r="L8103" i="3"/>
  <c r="M8102" i="3"/>
  <c r="L8102" i="3"/>
  <c r="M8101" i="3"/>
  <c r="L8101" i="3"/>
  <c r="M8100" i="3"/>
  <c r="L8100" i="3"/>
  <c r="M8099" i="3"/>
  <c r="L8099" i="3"/>
  <c r="M8098" i="3"/>
  <c r="L8098" i="3"/>
  <c r="M8097" i="3"/>
  <c r="L8097" i="3"/>
  <c r="M8096" i="3"/>
  <c r="L8096" i="3"/>
  <c r="M8095" i="3"/>
  <c r="L8095" i="3"/>
  <c r="M8094" i="3"/>
  <c r="L8094" i="3"/>
  <c r="M8093" i="3"/>
  <c r="L8093" i="3"/>
  <c r="M8092" i="3"/>
  <c r="L8092" i="3"/>
  <c r="M8091" i="3"/>
  <c r="L8091" i="3"/>
  <c r="M8090" i="3"/>
  <c r="L8090" i="3"/>
  <c r="M8089" i="3"/>
  <c r="L8089" i="3"/>
  <c r="M8088" i="3"/>
  <c r="L8088" i="3"/>
  <c r="M8087" i="3"/>
  <c r="L8087" i="3"/>
  <c r="M8086" i="3"/>
  <c r="L8086" i="3"/>
  <c r="M8085" i="3"/>
  <c r="L8085" i="3"/>
  <c r="M8084" i="3"/>
  <c r="L8084" i="3"/>
  <c r="M8083" i="3"/>
  <c r="L8083" i="3"/>
  <c r="M8082" i="3"/>
  <c r="L8082" i="3"/>
  <c r="M8081" i="3"/>
  <c r="L8081" i="3"/>
  <c r="M8080" i="3"/>
  <c r="L8080" i="3"/>
  <c r="M8079" i="3"/>
  <c r="L8079" i="3"/>
  <c r="M8078" i="3"/>
  <c r="L8078" i="3"/>
  <c r="M8077" i="3"/>
  <c r="L8077" i="3"/>
  <c r="M8076" i="3"/>
  <c r="L8076" i="3"/>
  <c r="M8075" i="3"/>
  <c r="L8075" i="3"/>
  <c r="M8074" i="3"/>
  <c r="L8074" i="3"/>
  <c r="M8073" i="3"/>
  <c r="L8073" i="3"/>
  <c r="M8072" i="3"/>
  <c r="L8072" i="3"/>
  <c r="M8071" i="3"/>
  <c r="L8071" i="3"/>
  <c r="M8070" i="3"/>
  <c r="L8070" i="3"/>
  <c r="M8069" i="3"/>
  <c r="L8069" i="3"/>
  <c r="M8068" i="3"/>
  <c r="L8068" i="3"/>
  <c r="M8067" i="3"/>
  <c r="L8067" i="3"/>
  <c r="M8066" i="3"/>
  <c r="L8066" i="3"/>
  <c r="M8065" i="3"/>
  <c r="L8065" i="3"/>
  <c r="M8064" i="3"/>
  <c r="L8064" i="3"/>
  <c r="M8063" i="3"/>
  <c r="L8063" i="3"/>
  <c r="M8062" i="3"/>
  <c r="L8062" i="3"/>
  <c r="M8061" i="3"/>
  <c r="L8061" i="3"/>
  <c r="M8060" i="3"/>
  <c r="L8060" i="3"/>
  <c r="M8059" i="3"/>
  <c r="L8059" i="3"/>
  <c r="M8058" i="3"/>
  <c r="L8058" i="3"/>
  <c r="M8057" i="3"/>
  <c r="L8057" i="3"/>
  <c r="M8056" i="3"/>
  <c r="L8056" i="3"/>
  <c r="M8055" i="3"/>
  <c r="L8055" i="3"/>
  <c r="M8054" i="3"/>
  <c r="L8054" i="3"/>
  <c r="M8053" i="3"/>
  <c r="L8053" i="3"/>
  <c r="M8052" i="3"/>
  <c r="L8052" i="3"/>
  <c r="M8051" i="3"/>
  <c r="L8051" i="3"/>
  <c r="M8050" i="3"/>
  <c r="L8050" i="3"/>
  <c r="M8049" i="3"/>
  <c r="L8049" i="3"/>
  <c r="M8048" i="3"/>
  <c r="L8048" i="3"/>
  <c r="M8047" i="3"/>
  <c r="L8047" i="3"/>
  <c r="M8046" i="3"/>
  <c r="L8046" i="3"/>
  <c r="M8045" i="3"/>
  <c r="L8045" i="3"/>
  <c r="M8044" i="3"/>
  <c r="L8044" i="3"/>
  <c r="M8043" i="3"/>
  <c r="L8043" i="3"/>
  <c r="M8042" i="3"/>
  <c r="L8042" i="3"/>
  <c r="M8041" i="3"/>
  <c r="L8041" i="3"/>
  <c r="M8040" i="3"/>
  <c r="L8040" i="3"/>
  <c r="M8039" i="3"/>
  <c r="L8039" i="3"/>
  <c r="M8038" i="3"/>
  <c r="L8038" i="3"/>
  <c r="M8037" i="3"/>
  <c r="L8037" i="3"/>
  <c r="M8036" i="3"/>
  <c r="L8036" i="3"/>
  <c r="M8035" i="3"/>
  <c r="L8035" i="3"/>
  <c r="M8034" i="3"/>
  <c r="L8034" i="3"/>
  <c r="M8033" i="3"/>
  <c r="L8033" i="3"/>
  <c r="M8032" i="3"/>
  <c r="L8032" i="3"/>
  <c r="M8031" i="3"/>
  <c r="L8031" i="3"/>
  <c r="M8030" i="3"/>
  <c r="L8030" i="3"/>
  <c r="M8029" i="3"/>
  <c r="L8029" i="3"/>
  <c r="M8028" i="3"/>
  <c r="L8028" i="3"/>
  <c r="M8027" i="3"/>
  <c r="L8027" i="3"/>
  <c r="M8026" i="3"/>
  <c r="L8026" i="3"/>
  <c r="M8025" i="3"/>
  <c r="L8025" i="3"/>
  <c r="M8024" i="3"/>
  <c r="L8024" i="3"/>
  <c r="M8023" i="3"/>
  <c r="L8023" i="3"/>
  <c r="M8022" i="3"/>
  <c r="L8022" i="3"/>
  <c r="M8021" i="3"/>
  <c r="L8021" i="3"/>
  <c r="M8020" i="3"/>
  <c r="L8020" i="3"/>
  <c r="M8019" i="3"/>
  <c r="L8019" i="3"/>
  <c r="M8018" i="3"/>
  <c r="L8018" i="3"/>
  <c r="M8017" i="3"/>
  <c r="L8017" i="3"/>
  <c r="M8016" i="3"/>
  <c r="L8016" i="3"/>
  <c r="M8015" i="3"/>
  <c r="L8015" i="3"/>
  <c r="M8014" i="3"/>
  <c r="L8014" i="3"/>
  <c r="M8013" i="3"/>
  <c r="L8013" i="3"/>
  <c r="M8012" i="3"/>
  <c r="L8012" i="3"/>
  <c r="M8011" i="3"/>
  <c r="L8011" i="3"/>
  <c r="M8010" i="3"/>
  <c r="L8010" i="3"/>
  <c r="M8009" i="3"/>
  <c r="L8009" i="3"/>
  <c r="M8008" i="3"/>
  <c r="L8008" i="3"/>
  <c r="M8007" i="3"/>
  <c r="L8007" i="3"/>
  <c r="M8006" i="3"/>
  <c r="L8006" i="3"/>
  <c r="M8005" i="3"/>
  <c r="L8005" i="3"/>
  <c r="M8004" i="3"/>
  <c r="L8004" i="3"/>
  <c r="M8003" i="3"/>
  <c r="L8003" i="3"/>
  <c r="M8002" i="3"/>
  <c r="L8002" i="3"/>
  <c r="M8001" i="3"/>
  <c r="L8001" i="3"/>
  <c r="M8000" i="3"/>
  <c r="L8000" i="3"/>
  <c r="M7999" i="3"/>
  <c r="L7999" i="3"/>
  <c r="M7998" i="3"/>
  <c r="L7998" i="3"/>
  <c r="M7997" i="3"/>
  <c r="L7997" i="3"/>
  <c r="M7996" i="3"/>
  <c r="L7996" i="3"/>
  <c r="M7995" i="3"/>
  <c r="L7995" i="3"/>
  <c r="M7994" i="3"/>
  <c r="L7994" i="3"/>
  <c r="M7993" i="3"/>
  <c r="L7993" i="3"/>
  <c r="M7992" i="3"/>
  <c r="L7992" i="3"/>
  <c r="M7991" i="3"/>
  <c r="L7991" i="3"/>
  <c r="M7990" i="3"/>
  <c r="L7990" i="3"/>
  <c r="M7989" i="3"/>
  <c r="L7989" i="3"/>
  <c r="M7988" i="3"/>
  <c r="L7988" i="3"/>
  <c r="M7987" i="3"/>
  <c r="L7987" i="3"/>
  <c r="M7986" i="3"/>
  <c r="L7986" i="3"/>
  <c r="M7985" i="3"/>
  <c r="L7985" i="3"/>
  <c r="M7984" i="3"/>
  <c r="L7984" i="3"/>
  <c r="M7983" i="3"/>
  <c r="L7983" i="3"/>
  <c r="M7982" i="3"/>
  <c r="L7982" i="3"/>
  <c r="M7981" i="3"/>
  <c r="L7981" i="3"/>
  <c r="M7980" i="3"/>
  <c r="L7980" i="3"/>
  <c r="M7979" i="3"/>
  <c r="L7979" i="3"/>
  <c r="M7978" i="3"/>
  <c r="L7978" i="3"/>
  <c r="M7977" i="3"/>
  <c r="L7977" i="3"/>
  <c r="M7976" i="3"/>
  <c r="L7976" i="3"/>
  <c r="M7975" i="3"/>
  <c r="L7975" i="3"/>
  <c r="M7974" i="3"/>
  <c r="L7974" i="3"/>
  <c r="M7973" i="3"/>
  <c r="L7973" i="3"/>
  <c r="M7972" i="3"/>
  <c r="L7972" i="3"/>
  <c r="M7971" i="3"/>
  <c r="L7971" i="3"/>
  <c r="M7970" i="3"/>
  <c r="L7970" i="3"/>
  <c r="M7969" i="3"/>
  <c r="L7969" i="3"/>
  <c r="M7968" i="3"/>
  <c r="L7968" i="3"/>
  <c r="M7967" i="3"/>
  <c r="L7967" i="3"/>
  <c r="M7966" i="3"/>
  <c r="L7966" i="3"/>
  <c r="M7965" i="3"/>
  <c r="L7965" i="3"/>
  <c r="M7964" i="3"/>
  <c r="L7964" i="3"/>
  <c r="M7963" i="3"/>
  <c r="L7963" i="3"/>
  <c r="M7962" i="3"/>
  <c r="L7962" i="3"/>
  <c r="M7961" i="3"/>
  <c r="L7961" i="3"/>
  <c r="M7960" i="3"/>
  <c r="L7960" i="3"/>
  <c r="M7959" i="3"/>
  <c r="L7959" i="3"/>
  <c r="M7958" i="3"/>
  <c r="L7958" i="3"/>
  <c r="M7957" i="3"/>
  <c r="L7957" i="3"/>
  <c r="M7956" i="3"/>
  <c r="L7956" i="3"/>
  <c r="M7955" i="3"/>
  <c r="L7955" i="3"/>
  <c r="M7954" i="3"/>
  <c r="L7954" i="3"/>
  <c r="M7953" i="3"/>
  <c r="L7953" i="3"/>
  <c r="M7952" i="3"/>
  <c r="L7952" i="3"/>
  <c r="M7951" i="3"/>
  <c r="L7951" i="3"/>
  <c r="M7950" i="3"/>
  <c r="L7950" i="3"/>
  <c r="M7949" i="3"/>
  <c r="L7949" i="3"/>
  <c r="M7948" i="3"/>
  <c r="L7948" i="3"/>
  <c r="M7947" i="3"/>
  <c r="L7947" i="3"/>
  <c r="M7946" i="3"/>
  <c r="L7946" i="3"/>
  <c r="M7945" i="3"/>
  <c r="L7945" i="3"/>
  <c r="M7944" i="3"/>
  <c r="L7944" i="3"/>
  <c r="M7943" i="3"/>
  <c r="L7943" i="3"/>
  <c r="M7942" i="3"/>
  <c r="L7942" i="3"/>
  <c r="M7941" i="3"/>
  <c r="L7941" i="3"/>
  <c r="M7940" i="3"/>
  <c r="L7940" i="3"/>
  <c r="M7939" i="3"/>
  <c r="L7939" i="3"/>
  <c r="M7938" i="3"/>
  <c r="L7938" i="3"/>
  <c r="M7937" i="3"/>
  <c r="L7937" i="3"/>
  <c r="M7936" i="3"/>
  <c r="L7936" i="3"/>
  <c r="M7935" i="3"/>
  <c r="L7935" i="3"/>
  <c r="M7934" i="3"/>
  <c r="L7934" i="3"/>
  <c r="M7933" i="3"/>
  <c r="L7933" i="3"/>
  <c r="M7932" i="3"/>
  <c r="L7932" i="3"/>
  <c r="M7931" i="3"/>
  <c r="L7931" i="3"/>
  <c r="M7930" i="3"/>
  <c r="L7930" i="3"/>
  <c r="M7929" i="3"/>
  <c r="L7929" i="3"/>
  <c r="M7928" i="3"/>
  <c r="L7928" i="3"/>
  <c r="M7927" i="3"/>
  <c r="L7927" i="3"/>
  <c r="M7926" i="3"/>
  <c r="L7926" i="3"/>
  <c r="M7925" i="3"/>
  <c r="L7925" i="3"/>
  <c r="M7924" i="3"/>
  <c r="L7924" i="3"/>
  <c r="M7923" i="3"/>
  <c r="L7923" i="3"/>
  <c r="M7922" i="3"/>
  <c r="L7922" i="3"/>
  <c r="M7921" i="3"/>
  <c r="L7921" i="3"/>
  <c r="M7920" i="3"/>
  <c r="L7920" i="3"/>
  <c r="M7919" i="3"/>
  <c r="L7919" i="3"/>
  <c r="M7918" i="3"/>
  <c r="L7918" i="3"/>
  <c r="M7917" i="3"/>
  <c r="L7917" i="3"/>
  <c r="M7916" i="3"/>
  <c r="L7916" i="3"/>
  <c r="M7915" i="3"/>
  <c r="L7915" i="3"/>
  <c r="M7914" i="3"/>
  <c r="L7914" i="3"/>
  <c r="M7913" i="3"/>
  <c r="L7913" i="3"/>
  <c r="M7912" i="3"/>
  <c r="L7912" i="3"/>
  <c r="M7911" i="3"/>
  <c r="L7911" i="3"/>
  <c r="M7910" i="3"/>
  <c r="L7910" i="3"/>
  <c r="M7909" i="3"/>
  <c r="L7909" i="3"/>
  <c r="M7908" i="3"/>
  <c r="L7908" i="3"/>
  <c r="M7907" i="3"/>
  <c r="L7907" i="3"/>
  <c r="M7906" i="3"/>
  <c r="L7906" i="3"/>
  <c r="M7905" i="3"/>
  <c r="L7905" i="3"/>
  <c r="M7904" i="3"/>
  <c r="L7904" i="3"/>
  <c r="M7903" i="3"/>
  <c r="L7903" i="3"/>
  <c r="M7902" i="3"/>
  <c r="L7902" i="3"/>
  <c r="M7901" i="3"/>
  <c r="L7901" i="3"/>
  <c r="M7900" i="3"/>
  <c r="L7900" i="3"/>
  <c r="M7899" i="3"/>
  <c r="L7899" i="3"/>
  <c r="M7898" i="3"/>
  <c r="L7898" i="3"/>
  <c r="M7897" i="3"/>
  <c r="L7897" i="3"/>
  <c r="M7896" i="3"/>
  <c r="L7896" i="3"/>
  <c r="M7895" i="3"/>
  <c r="L7895" i="3"/>
  <c r="M7894" i="3"/>
  <c r="L7894" i="3"/>
  <c r="M7893" i="3"/>
  <c r="L7893" i="3"/>
  <c r="M7892" i="3"/>
  <c r="L7892" i="3"/>
  <c r="M7891" i="3"/>
  <c r="L7891" i="3"/>
  <c r="M7890" i="3"/>
  <c r="L7890" i="3"/>
  <c r="M7889" i="3"/>
  <c r="L7889" i="3"/>
  <c r="M7888" i="3"/>
  <c r="L7888" i="3"/>
  <c r="M7887" i="3"/>
  <c r="L7887" i="3"/>
  <c r="M7886" i="3"/>
  <c r="L7886" i="3"/>
  <c r="M7885" i="3"/>
  <c r="L7885" i="3"/>
  <c r="M7884" i="3"/>
  <c r="L7884" i="3"/>
  <c r="M7883" i="3"/>
  <c r="L7883" i="3"/>
  <c r="M7882" i="3"/>
  <c r="L7882" i="3"/>
  <c r="M7881" i="3"/>
  <c r="L7881" i="3"/>
  <c r="M7880" i="3"/>
  <c r="L7880" i="3"/>
  <c r="M7879" i="3"/>
  <c r="L7879" i="3"/>
  <c r="M7878" i="3"/>
  <c r="L7878" i="3"/>
  <c r="M7877" i="3"/>
  <c r="L7877" i="3"/>
  <c r="M7876" i="3"/>
  <c r="L7876" i="3"/>
  <c r="M7875" i="3"/>
  <c r="L7875" i="3"/>
  <c r="M7874" i="3"/>
  <c r="L7874" i="3"/>
  <c r="M7873" i="3"/>
  <c r="L7873" i="3"/>
  <c r="M7872" i="3"/>
  <c r="L7872" i="3"/>
  <c r="M7871" i="3"/>
  <c r="L7871" i="3"/>
  <c r="M7870" i="3"/>
  <c r="L7870" i="3"/>
  <c r="M7869" i="3"/>
  <c r="L7869" i="3"/>
  <c r="M7868" i="3"/>
  <c r="L7868" i="3"/>
  <c r="M7867" i="3"/>
  <c r="L7867" i="3"/>
  <c r="M7866" i="3"/>
  <c r="L7866" i="3"/>
  <c r="M7865" i="3"/>
  <c r="L7865" i="3"/>
  <c r="M7864" i="3"/>
  <c r="L7864" i="3"/>
  <c r="M7863" i="3"/>
  <c r="L7863" i="3"/>
  <c r="M7862" i="3"/>
  <c r="L7862" i="3"/>
  <c r="M7861" i="3"/>
  <c r="L7861" i="3"/>
  <c r="M7860" i="3"/>
  <c r="L7860" i="3"/>
  <c r="M7859" i="3"/>
  <c r="L7859" i="3"/>
  <c r="M7858" i="3"/>
  <c r="L7858" i="3"/>
  <c r="M7857" i="3"/>
  <c r="L7857" i="3"/>
  <c r="M7856" i="3"/>
  <c r="L7856" i="3"/>
  <c r="M7855" i="3"/>
  <c r="L7855" i="3"/>
  <c r="M7854" i="3"/>
  <c r="L7854" i="3"/>
  <c r="M7853" i="3"/>
  <c r="L7853" i="3"/>
  <c r="M7852" i="3"/>
  <c r="L7852" i="3"/>
  <c r="M7851" i="3"/>
  <c r="L7851" i="3"/>
  <c r="M7850" i="3"/>
  <c r="L7850" i="3"/>
  <c r="M7849" i="3"/>
  <c r="L7849" i="3"/>
  <c r="M7848" i="3"/>
  <c r="L7848" i="3"/>
  <c r="M7847" i="3"/>
  <c r="L7847" i="3"/>
  <c r="M7846" i="3"/>
  <c r="L7846" i="3"/>
  <c r="M7845" i="3"/>
  <c r="L7845" i="3"/>
  <c r="M7844" i="3"/>
  <c r="L7844" i="3"/>
  <c r="M7843" i="3"/>
  <c r="L7843" i="3"/>
  <c r="M7842" i="3"/>
  <c r="L7842" i="3"/>
  <c r="M7841" i="3"/>
  <c r="L7841" i="3"/>
  <c r="M7840" i="3"/>
  <c r="L7840" i="3"/>
  <c r="M7839" i="3"/>
  <c r="L7839" i="3"/>
  <c r="M7838" i="3"/>
  <c r="L7838" i="3"/>
  <c r="M7837" i="3"/>
  <c r="L7837" i="3"/>
  <c r="M7836" i="3"/>
  <c r="L7836" i="3"/>
  <c r="M7835" i="3"/>
  <c r="L7835" i="3"/>
  <c r="M7834" i="3"/>
  <c r="L7834" i="3"/>
  <c r="M7833" i="3"/>
  <c r="L7833" i="3"/>
  <c r="M7832" i="3"/>
  <c r="L7832" i="3"/>
  <c r="M7831" i="3"/>
  <c r="L7831" i="3"/>
  <c r="M7830" i="3"/>
  <c r="L7830" i="3"/>
  <c r="M7829" i="3"/>
  <c r="L7829" i="3"/>
  <c r="M7828" i="3"/>
  <c r="L7828" i="3"/>
  <c r="M7827" i="3"/>
  <c r="L7827" i="3"/>
  <c r="M7826" i="3"/>
  <c r="L7826" i="3"/>
  <c r="M7825" i="3"/>
  <c r="L7825" i="3"/>
  <c r="M7824" i="3"/>
  <c r="L7824" i="3"/>
  <c r="M7823" i="3"/>
  <c r="L7823" i="3"/>
  <c r="M7822" i="3"/>
  <c r="L7822" i="3"/>
  <c r="M7821" i="3"/>
  <c r="L7821" i="3"/>
  <c r="M7820" i="3"/>
  <c r="L7820" i="3"/>
  <c r="M7819" i="3"/>
  <c r="L7819" i="3"/>
  <c r="M7818" i="3"/>
  <c r="L7818" i="3"/>
  <c r="M7817" i="3"/>
  <c r="L7817" i="3"/>
  <c r="M7816" i="3"/>
  <c r="L7816" i="3"/>
  <c r="M7815" i="3"/>
  <c r="L7815" i="3"/>
  <c r="M7814" i="3"/>
  <c r="L7814" i="3"/>
  <c r="M7813" i="3"/>
  <c r="L7813" i="3"/>
  <c r="M7812" i="3"/>
  <c r="L7812" i="3"/>
  <c r="M7811" i="3"/>
  <c r="L7811" i="3"/>
  <c r="M7810" i="3"/>
  <c r="L7810" i="3"/>
  <c r="M7809" i="3"/>
  <c r="L7809" i="3"/>
  <c r="M7808" i="3"/>
  <c r="L7808" i="3"/>
  <c r="M7807" i="3"/>
  <c r="L7807" i="3"/>
  <c r="M7806" i="3"/>
  <c r="L7806" i="3"/>
  <c r="M7805" i="3"/>
  <c r="L7805" i="3"/>
  <c r="M7804" i="3"/>
  <c r="L7804" i="3"/>
  <c r="M7803" i="3"/>
  <c r="L7803" i="3"/>
  <c r="M7802" i="3"/>
  <c r="L7802" i="3"/>
  <c r="M7801" i="3"/>
  <c r="L7801" i="3"/>
  <c r="M7800" i="3"/>
  <c r="L7800" i="3"/>
  <c r="M7799" i="3"/>
  <c r="L7799" i="3"/>
  <c r="M7798" i="3"/>
  <c r="L7798" i="3"/>
  <c r="M7797" i="3"/>
  <c r="L7797" i="3"/>
  <c r="M7796" i="3"/>
  <c r="L7796" i="3"/>
  <c r="M7795" i="3"/>
  <c r="L7795" i="3"/>
  <c r="M7794" i="3"/>
  <c r="L7794" i="3"/>
  <c r="M7793" i="3"/>
  <c r="L7793" i="3"/>
  <c r="M7792" i="3"/>
  <c r="L7792" i="3"/>
  <c r="M7791" i="3"/>
  <c r="L7791" i="3"/>
  <c r="M7790" i="3"/>
  <c r="L7790" i="3"/>
  <c r="M7789" i="3"/>
  <c r="L7789" i="3"/>
  <c r="M7788" i="3"/>
  <c r="L7788" i="3"/>
  <c r="M7787" i="3"/>
  <c r="L7787" i="3"/>
  <c r="M7786" i="3"/>
  <c r="L7786" i="3"/>
  <c r="M7785" i="3"/>
  <c r="L7785" i="3"/>
  <c r="M7784" i="3"/>
  <c r="L7784" i="3"/>
  <c r="M7783" i="3"/>
  <c r="L7783" i="3"/>
  <c r="M7782" i="3"/>
  <c r="L7782" i="3"/>
  <c r="M7781" i="3"/>
  <c r="L7781" i="3"/>
  <c r="M7780" i="3"/>
  <c r="L7780" i="3"/>
  <c r="M7779" i="3"/>
  <c r="L7779" i="3"/>
  <c r="M7778" i="3"/>
  <c r="L7778" i="3"/>
  <c r="M7777" i="3"/>
  <c r="L7777" i="3"/>
  <c r="M7776" i="3"/>
  <c r="L7776" i="3"/>
  <c r="M7775" i="3"/>
  <c r="L7775" i="3"/>
  <c r="M7774" i="3"/>
  <c r="L7774" i="3"/>
  <c r="M7773" i="3"/>
  <c r="L7773" i="3"/>
  <c r="M7772" i="3"/>
  <c r="L7772" i="3"/>
  <c r="M7771" i="3"/>
  <c r="L7771" i="3"/>
  <c r="M7770" i="3"/>
  <c r="L7770" i="3"/>
  <c r="M7769" i="3"/>
  <c r="L7769" i="3"/>
  <c r="M7768" i="3"/>
  <c r="L7768" i="3"/>
  <c r="M7767" i="3"/>
  <c r="L7767" i="3"/>
  <c r="M7766" i="3"/>
  <c r="L7766" i="3"/>
  <c r="M7765" i="3"/>
  <c r="L7765" i="3"/>
  <c r="M7764" i="3"/>
  <c r="L7764" i="3"/>
  <c r="M7763" i="3"/>
  <c r="L7763" i="3"/>
  <c r="M7762" i="3"/>
  <c r="L7762" i="3"/>
  <c r="M7761" i="3"/>
  <c r="L7761" i="3"/>
  <c r="M7760" i="3"/>
  <c r="L7760" i="3"/>
  <c r="M7759" i="3"/>
  <c r="L7759" i="3"/>
  <c r="M7758" i="3"/>
  <c r="L7758" i="3"/>
  <c r="M7757" i="3"/>
  <c r="L7757" i="3"/>
  <c r="M7756" i="3"/>
  <c r="L7756" i="3"/>
  <c r="M7755" i="3"/>
  <c r="L7755" i="3"/>
  <c r="M7754" i="3"/>
  <c r="L7754" i="3"/>
  <c r="M7753" i="3"/>
  <c r="L7753" i="3"/>
  <c r="M7752" i="3"/>
  <c r="L7752" i="3"/>
  <c r="M7751" i="3"/>
  <c r="L7751" i="3"/>
  <c r="M7750" i="3"/>
  <c r="L7750" i="3"/>
  <c r="M7749" i="3"/>
  <c r="L7749" i="3"/>
  <c r="M7748" i="3"/>
  <c r="L7748" i="3"/>
  <c r="M7747" i="3"/>
  <c r="L7747" i="3"/>
  <c r="M7746" i="3"/>
  <c r="L7746" i="3"/>
  <c r="M7745" i="3"/>
  <c r="L7745" i="3"/>
  <c r="M7744" i="3"/>
  <c r="L7744" i="3"/>
  <c r="M7743" i="3"/>
  <c r="L7743" i="3"/>
  <c r="M7742" i="3"/>
  <c r="L7742" i="3"/>
  <c r="M7741" i="3"/>
  <c r="L7741" i="3"/>
  <c r="M7740" i="3"/>
  <c r="L7740" i="3"/>
  <c r="M7739" i="3"/>
  <c r="L7739" i="3"/>
  <c r="M7738" i="3"/>
  <c r="L7738" i="3"/>
  <c r="M7737" i="3"/>
  <c r="L7737" i="3"/>
  <c r="M7736" i="3"/>
  <c r="L7736" i="3"/>
  <c r="M7735" i="3"/>
  <c r="L7735" i="3"/>
  <c r="M7734" i="3"/>
  <c r="L7734" i="3"/>
  <c r="M7733" i="3"/>
  <c r="L7733" i="3"/>
  <c r="M7732" i="3"/>
  <c r="L7732" i="3"/>
  <c r="M7731" i="3"/>
  <c r="L7731" i="3"/>
  <c r="M7730" i="3"/>
  <c r="L7730" i="3"/>
  <c r="M7729" i="3"/>
  <c r="L7729" i="3"/>
  <c r="M7728" i="3"/>
  <c r="L7728" i="3"/>
  <c r="M7727" i="3"/>
  <c r="L7727" i="3"/>
  <c r="M7726" i="3"/>
  <c r="L7726" i="3"/>
  <c r="M7725" i="3"/>
  <c r="L7725" i="3"/>
  <c r="M7724" i="3"/>
  <c r="L7724" i="3"/>
  <c r="M7723" i="3"/>
  <c r="L7723" i="3"/>
  <c r="M7722" i="3"/>
  <c r="L7722" i="3"/>
  <c r="M7721" i="3"/>
  <c r="L7721" i="3"/>
  <c r="M7720" i="3"/>
  <c r="L7720" i="3"/>
  <c r="M7719" i="3"/>
  <c r="L7719" i="3"/>
  <c r="M7718" i="3"/>
  <c r="L7718" i="3"/>
  <c r="M7717" i="3"/>
  <c r="L7717" i="3"/>
  <c r="M7716" i="3"/>
  <c r="L7716" i="3"/>
  <c r="M7715" i="3"/>
  <c r="L7715" i="3"/>
  <c r="M7714" i="3"/>
  <c r="L7714" i="3"/>
  <c r="M7713" i="3"/>
  <c r="L7713" i="3"/>
  <c r="M7712" i="3"/>
  <c r="L7712" i="3"/>
  <c r="M7711" i="3"/>
  <c r="L7711" i="3"/>
  <c r="M7710" i="3"/>
  <c r="L7710" i="3"/>
  <c r="M7709" i="3"/>
  <c r="L7709" i="3"/>
  <c r="M7708" i="3"/>
  <c r="L7708" i="3"/>
  <c r="M7707" i="3"/>
  <c r="L7707" i="3"/>
  <c r="M7706" i="3"/>
  <c r="L7706" i="3"/>
  <c r="M7705" i="3"/>
  <c r="L7705" i="3"/>
  <c r="M7704" i="3"/>
  <c r="L7704" i="3"/>
  <c r="M7703" i="3"/>
  <c r="L7703" i="3"/>
  <c r="M7702" i="3"/>
  <c r="L7702" i="3"/>
  <c r="M7701" i="3"/>
  <c r="L7701" i="3"/>
  <c r="M7700" i="3"/>
  <c r="L7700" i="3"/>
  <c r="M7699" i="3"/>
  <c r="L7699" i="3"/>
  <c r="M7698" i="3"/>
  <c r="L7698" i="3"/>
  <c r="M7697" i="3"/>
  <c r="L7697" i="3"/>
  <c r="M7696" i="3"/>
  <c r="L7696" i="3"/>
  <c r="M7695" i="3"/>
  <c r="L7695" i="3"/>
  <c r="M7694" i="3"/>
  <c r="L7694" i="3"/>
  <c r="M7693" i="3"/>
  <c r="L7693" i="3"/>
  <c r="M7692" i="3"/>
  <c r="L7692" i="3"/>
  <c r="M7691" i="3"/>
  <c r="L7691" i="3"/>
  <c r="M7690" i="3"/>
  <c r="L7690" i="3"/>
  <c r="M7689" i="3"/>
  <c r="L7689" i="3"/>
  <c r="M7688" i="3"/>
  <c r="L7688" i="3"/>
  <c r="M7687" i="3"/>
  <c r="L7687" i="3"/>
  <c r="M7686" i="3"/>
  <c r="L7686" i="3"/>
  <c r="M7685" i="3"/>
  <c r="L7685" i="3"/>
  <c r="M7684" i="3"/>
  <c r="L7684" i="3"/>
  <c r="M7683" i="3"/>
  <c r="L7683" i="3"/>
  <c r="M7682" i="3"/>
  <c r="L7682" i="3"/>
  <c r="M7681" i="3"/>
  <c r="L7681" i="3"/>
  <c r="M7680" i="3"/>
  <c r="L7680" i="3"/>
  <c r="M7679" i="3"/>
  <c r="L7679" i="3"/>
  <c r="M7678" i="3"/>
  <c r="L7678" i="3"/>
  <c r="M7677" i="3"/>
  <c r="L7677" i="3"/>
  <c r="M7676" i="3"/>
  <c r="L7676" i="3"/>
  <c r="M7675" i="3"/>
  <c r="L7675" i="3"/>
  <c r="M7674" i="3"/>
  <c r="L7674" i="3"/>
  <c r="M7673" i="3"/>
  <c r="L7673" i="3"/>
  <c r="M7672" i="3"/>
  <c r="L7672" i="3"/>
  <c r="M7671" i="3"/>
  <c r="L7671" i="3"/>
  <c r="M7670" i="3"/>
  <c r="L7670" i="3"/>
  <c r="M7669" i="3"/>
  <c r="L7669" i="3"/>
  <c r="M7668" i="3"/>
  <c r="L7668" i="3"/>
  <c r="M7667" i="3"/>
  <c r="L7667" i="3"/>
  <c r="M7666" i="3"/>
  <c r="L7666" i="3"/>
  <c r="M7665" i="3"/>
  <c r="L7665" i="3"/>
  <c r="M7664" i="3"/>
  <c r="L7664" i="3"/>
  <c r="M7663" i="3"/>
  <c r="L7663" i="3"/>
  <c r="M7662" i="3"/>
  <c r="L7662" i="3"/>
  <c r="M7661" i="3"/>
  <c r="L7661" i="3"/>
  <c r="M7660" i="3"/>
  <c r="L7660" i="3"/>
  <c r="M7659" i="3"/>
  <c r="L7659" i="3"/>
  <c r="M7658" i="3"/>
  <c r="L7658" i="3"/>
  <c r="M7657" i="3"/>
  <c r="L7657" i="3"/>
  <c r="M7656" i="3"/>
  <c r="L7656" i="3"/>
  <c r="M7655" i="3"/>
  <c r="L7655" i="3"/>
  <c r="M7654" i="3"/>
  <c r="L7654" i="3"/>
  <c r="M7653" i="3"/>
  <c r="L7653" i="3"/>
  <c r="M7652" i="3"/>
  <c r="L7652" i="3"/>
  <c r="M7651" i="3"/>
  <c r="L7651" i="3"/>
  <c r="M7650" i="3"/>
  <c r="L7650" i="3"/>
  <c r="M7649" i="3"/>
  <c r="L7649" i="3"/>
  <c r="M7648" i="3"/>
  <c r="L7648" i="3"/>
  <c r="M7647" i="3"/>
  <c r="L7647" i="3"/>
  <c r="M7646" i="3"/>
  <c r="L7646" i="3"/>
  <c r="M7645" i="3"/>
  <c r="L7645" i="3"/>
  <c r="M7644" i="3"/>
  <c r="L7644" i="3"/>
  <c r="M7643" i="3"/>
  <c r="L7643" i="3"/>
  <c r="M7642" i="3"/>
  <c r="L7642" i="3"/>
  <c r="M7641" i="3"/>
  <c r="L7641" i="3"/>
  <c r="M7640" i="3"/>
  <c r="L7640" i="3"/>
  <c r="M7639" i="3"/>
  <c r="L7639" i="3"/>
  <c r="M7638" i="3"/>
  <c r="L7638" i="3"/>
  <c r="M7637" i="3"/>
  <c r="L7637" i="3"/>
  <c r="M7636" i="3"/>
  <c r="L7636" i="3"/>
  <c r="M7635" i="3"/>
  <c r="L7635" i="3"/>
  <c r="M7634" i="3"/>
  <c r="L7634" i="3"/>
  <c r="M7633" i="3"/>
  <c r="L7633" i="3"/>
  <c r="M7632" i="3"/>
  <c r="L7632" i="3"/>
  <c r="M7631" i="3"/>
  <c r="L7631" i="3"/>
  <c r="M7630" i="3"/>
  <c r="L7630" i="3"/>
  <c r="M7629" i="3"/>
  <c r="L7629" i="3"/>
  <c r="M7628" i="3"/>
  <c r="L7628" i="3"/>
  <c r="M7627" i="3"/>
  <c r="L7627" i="3"/>
  <c r="M7626" i="3"/>
  <c r="L7626" i="3"/>
  <c r="M7625" i="3"/>
  <c r="L7625" i="3"/>
  <c r="M7624" i="3"/>
  <c r="L7624" i="3"/>
  <c r="M7623" i="3"/>
  <c r="L7623" i="3"/>
  <c r="M7622" i="3"/>
  <c r="L7622" i="3"/>
  <c r="M7621" i="3"/>
  <c r="L7621" i="3"/>
  <c r="M7620" i="3"/>
  <c r="L7620" i="3"/>
  <c r="M7619" i="3"/>
  <c r="L7619" i="3"/>
  <c r="M7618" i="3"/>
  <c r="L7618" i="3"/>
  <c r="M7617" i="3"/>
  <c r="L7617" i="3"/>
  <c r="M7616" i="3"/>
  <c r="L7616" i="3"/>
  <c r="M7615" i="3"/>
  <c r="L7615" i="3"/>
  <c r="M7614" i="3"/>
  <c r="L7614" i="3"/>
  <c r="M7613" i="3"/>
  <c r="L7613" i="3"/>
  <c r="M7612" i="3"/>
  <c r="L7612" i="3"/>
  <c r="M7611" i="3"/>
  <c r="L7611" i="3"/>
  <c r="M7610" i="3"/>
  <c r="L7610" i="3"/>
  <c r="M7609" i="3"/>
  <c r="L7609" i="3"/>
  <c r="M7608" i="3"/>
  <c r="L7608" i="3"/>
  <c r="M7607" i="3"/>
  <c r="L7607" i="3"/>
  <c r="M7606" i="3"/>
  <c r="L7606" i="3"/>
  <c r="M7605" i="3"/>
  <c r="L7605" i="3"/>
  <c r="M7604" i="3"/>
  <c r="L7604" i="3"/>
  <c r="M7603" i="3"/>
  <c r="L7603" i="3"/>
  <c r="M7602" i="3"/>
  <c r="L7602" i="3"/>
  <c r="M7601" i="3"/>
  <c r="L7601" i="3"/>
  <c r="M7600" i="3"/>
  <c r="L7600" i="3"/>
  <c r="M7599" i="3"/>
  <c r="L7599" i="3"/>
  <c r="M7598" i="3"/>
  <c r="L7598" i="3"/>
  <c r="M7597" i="3"/>
  <c r="L7597" i="3"/>
  <c r="M7596" i="3"/>
  <c r="L7596" i="3"/>
  <c r="M7595" i="3"/>
  <c r="L7595" i="3"/>
  <c r="M7594" i="3"/>
  <c r="L7594" i="3"/>
  <c r="M7593" i="3"/>
  <c r="L7593" i="3"/>
  <c r="M7592" i="3"/>
  <c r="L7592" i="3"/>
  <c r="M7591" i="3"/>
  <c r="L7591" i="3"/>
  <c r="M7590" i="3"/>
  <c r="L7590" i="3"/>
  <c r="M7589" i="3"/>
  <c r="L7589" i="3"/>
  <c r="M7588" i="3"/>
  <c r="L7588" i="3"/>
  <c r="M7587" i="3"/>
  <c r="L7587" i="3"/>
  <c r="M7586" i="3"/>
  <c r="L7586" i="3"/>
  <c r="M7585" i="3"/>
  <c r="L7585" i="3"/>
  <c r="M7584" i="3"/>
  <c r="L7584" i="3"/>
  <c r="M7583" i="3"/>
  <c r="L7583" i="3"/>
  <c r="M7582" i="3"/>
  <c r="L7582" i="3"/>
  <c r="M7581" i="3"/>
  <c r="L7581" i="3"/>
  <c r="M7580" i="3"/>
  <c r="L7580" i="3"/>
  <c r="M7579" i="3"/>
  <c r="L7579" i="3"/>
  <c r="M7578" i="3"/>
  <c r="L7578" i="3"/>
  <c r="M7577" i="3"/>
  <c r="L7577" i="3"/>
  <c r="M7576" i="3"/>
  <c r="L7576" i="3"/>
  <c r="M7575" i="3"/>
  <c r="L7575" i="3"/>
  <c r="M7574" i="3"/>
  <c r="L7574" i="3"/>
  <c r="M7573" i="3"/>
  <c r="L7573" i="3"/>
  <c r="M7572" i="3"/>
  <c r="L7572" i="3"/>
  <c r="M7571" i="3"/>
  <c r="L7571" i="3"/>
  <c r="M7570" i="3"/>
  <c r="L7570" i="3"/>
  <c r="M7569" i="3"/>
  <c r="L7569" i="3"/>
  <c r="M7568" i="3"/>
  <c r="L7568" i="3"/>
  <c r="M7567" i="3"/>
  <c r="L7567" i="3"/>
  <c r="M7566" i="3"/>
  <c r="L7566" i="3"/>
  <c r="M7565" i="3"/>
  <c r="L7565" i="3"/>
  <c r="M7564" i="3"/>
  <c r="L7564" i="3"/>
  <c r="M7563" i="3"/>
  <c r="L7563" i="3"/>
  <c r="M7562" i="3"/>
  <c r="L7562" i="3"/>
  <c r="M7561" i="3"/>
  <c r="L7561" i="3"/>
  <c r="M7560" i="3"/>
  <c r="L7560" i="3"/>
  <c r="M7559" i="3"/>
  <c r="L7559" i="3"/>
  <c r="M7558" i="3"/>
  <c r="L7558" i="3"/>
  <c r="M7557" i="3"/>
  <c r="L7557" i="3"/>
  <c r="M7556" i="3"/>
  <c r="L7556" i="3"/>
  <c r="M7555" i="3"/>
  <c r="L7555" i="3"/>
  <c r="M7554" i="3"/>
  <c r="L7554" i="3"/>
  <c r="M7553" i="3"/>
  <c r="L7553" i="3"/>
  <c r="M7552" i="3"/>
  <c r="L7552" i="3"/>
  <c r="M7551" i="3"/>
  <c r="L7551" i="3"/>
  <c r="M7550" i="3"/>
  <c r="L7550" i="3"/>
  <c r="M7549" i="3"/>
  <c r="L7549" i="3"/>
  <c r="M7548" i="3"/>
  <c r="L7548" i="3"/>
  <c r="M7547" i="3"/>
  <c r="L7547" i="3"/>
  <c r="M7546" i="3"/>
  <c r="L7546" i="3"/>
  <c r="M7545" i="3"/>
  <c r="L7545" i="3"/>
  <c r="M7544" i="3"/>
  <c r="L7544" i="3"/>
  <c r="M7543" i="3"/>
  <c r="L7543" i="3"/>
  <c r="M7542" i="3"/>
  <c r="L7542" i="3"/>
  <c r="M7541" i="3"/>
  <c r="L7541" i="3"/>
  <c r="M7540" i="3"/>
  <c r="L7540" i="3"/>
  <c r="M7539" i="3"/>
  <c r="L7539" i="3"/>
  <c r="M7538" i="3"/>
  <c r="L7538" i="3"/>
  <c r="M7537" i="3"/>
  <c r="L7537" i="3"/>
  <c r="M7536" i="3"/>
  <c r="L7536" i="3"/>
  <c r="M7535" i="3"/>
  <c r="L7535" i="3"/>
  <c r="M7534" i="3"/>
  <c r="L7534" i="3"/>
  <c r="M7533" i="3"/>
  <c r="L7533" i="3"/>
  <c r="M7532" i="3"/>
  <c r="L7532" i="3"/>
  <c r="M7531" i="3"/>
  <c r="L7531" i="3"/>
  <c r="M7530" i="3"/>
  <c r="L7530" i="3"/>
  <c r="M7529" i="3"/>
  <c r="L7529" i="3"/>
  <c r="M7528" i="3"/>
  <c r="L7528" i="3"/>
  <c r="M7527" i="3"/>
  <c r="L7527" i="3"/>
  <c r="M7526" i="3"/>
  <c r="L7526" i="3"/>
  <c r="M7525" i="3"/>
  <c r="L7525" i="3"/>
  <c r="M7524" i="3"/>
  <c r="L7524" i="3"/>
  <c r="M7523" i="3"/>
  <c r="L7523" i="3"/>
  <c r="M7522" i="3"/>
  <c r="L7522" i="3"/>
  <c r="M7521" i="3"/>
  <c r="L7521" i="3"/>
  <c r="M7520" i="3"/>
  <c r="L7520" i="3"/>
  <c r="M7519" i="3"/>
  <c r="L7519" i="3"/>
  <c r="M7518" i="3"/>
  <c r="L7518" i="3"/>
  <c r="M7517" i="3"/>
  <c r="L7517" i="3"/>
  <c r="M7516" i="3"/>
  <c r="L7516" i="3"/>
  <c r="M7515" i="3"/>
  <c r="L7515" i="3"/>
  <c r="M7514" i="3"/>
  <c r="L7514" i="3"/>
  <c r="M7513" i="3"/>
  <c r="L7513" i="3"/>
  <c r="M7512" i="3"/>
  <c r="L7512" i="3"/>
  <c r="M7511" i="3"/>
  <c r="L7511" i="3"/>
  <c r="M7510" i="3"/>
  <c r="L7510" i="3"/>
  <c r="M7509" i="3"/>
  <c r="L7509" i="3"/>
  <c r="M7508" i="3"/>
  <c r="L7508" i="3"/>
  <c r="M7507" i="3"/>
  <c r="L7507" i="3"/>
  <c r="M7506" i="3"/>
  <c r="L7506" i="3"/>
  <c r="M7505" i="3"/>
  <c r="L7505" i="3"/>
  <c r="M7504" i="3"/>
  <c r="L7504" i="3"/>
  <c r="M7503" i="3"/>
  <c r="L7503" i="3"/>
  <c r="M7502" i="3"/>
  <c r="L7502" i="3"/>
  <c r="M7501" i="3"/>
  <c r="L7501" i="3"/>
  <c r="M7500" i="3"/>
  <c r="L7500" i="3"/>
  <c r="M7499" i="3"/>
  <c r="L7499" i="3"/>
  <c r="M7498" i="3"/>
  <c r="L7498" i="3"/>
  <c r="M7497" i="3"/>
  <c r="L7497" i="3"/>
  <c r="M7496" i="3"/>
  <c r="L7496" i="3"/>
  <c r="M7495" i="3"/>
  <c r="L7495" i="3"/>
  <c r="M7494" i="3"/>
  <c r="L7494" i="3"/>
  <c r="M7493" i="3"/>
  <c r="L7493" i="3"/>
  <c r="M7492" i="3"/>
  <c r="L7492" i="3"/>
  <c r="M7491" i="3"/>
  <c r="L7491" i="3"/>
  <c r="M7490" i="3"/>
  <c r="L7490" i="3"/>
  <c r="M7489" i="3"/>
  <c r="L7489" i="3"/>
  <c r="M7488" i="3"/>
  <c r="L7488" i="3"/>
  <c r="M7487" i="3"/>
  <c r="L7487" i="3"/>
  <c r="M7486" i="3"/>
  <c r="L7486" i="3"/>
  <c r="M7485" i="3"/>
  <c r="L7485" i="3"/>
  <c r="M7484" i="3"/>
  <c r="L7484" i="3"/>
  <c r="M7483" i="3"/>
  <c r="L7483" i="3"/>
  <c r="M7482" i="3"/>
  <c r="L7482" i="3"/>
  <c r="M7481" i="3"/>
  <c r="L7481" i="3"/>
  <c r="M7480" i="3"/>
  <c r="L7480" i="3"/>
  <c r="M7479" i="3"/>
  <c r="L7479" i="3"/>
  <c r="M7478" i="3"/>
  <c r="L7478" i="3"/>
  <c r="M7477" i="3"/>
  <c r="L7477" i="3"/>
  <c r="M7476" i="3"/>
  <c r="L7476" i="3"/>
  <c r="M7475" i="3"/>
  <c r="L7475" i="3"/>
  <c r="M7474" i="3"/>
  <c r="L7474" i="3"/>
  <c r="M7473" i="3"/>
  <c r="L7473" i="3"/>
  <c r="M7472" i="3"/>
  <c r="L7472" i="3"/>
  <c r="M7471" i="3"/>
  <c r="L7471" i="3"/>
  <c r="M7470" i="3"/>
  <c r="L7470" i="3"/>
  <c r="M7469" i="3"/>
  <c r="L7469" i="3"/>
  <c r="M7468" i="3"/>
  <c r="L7468" i="3"/>
  <c r="M7467" i="3"/>
  <c r="L7467" i="3"/>
  <c r="M7466" i="3"/>
  <c r="L7466" i="3"/>
  <c r="M7465" i="3"/>
  <c r="L7465" i="3"/>
  <c r="M7464" i="3"/>
  <c r="L7464" i="3"/>
  <c r="M7463" i="3"/>
  <c r="L7463" i="3"/>
  <c r="M7462" i="3"/>
  <c r="L7462" i="3"/>
  <c r="M7461" i="3"/>
  <c r="L7461" i="3"/>
  <c r="M7460" i="3"/>
  <c r="L7460" i="3"/>
  <c r="M7459" i="3"/>
  <c r="L7459" i="3"/>
  <c r="M7458" i="3"/>
  <c r="L7458" i="3"/>
  <c r="M7457" i="3"/>
  <c r="L7457" i="3"/>
  <c r="M7456" i="3"/>
  <c r="L7456" i="3"/>
  <c r="M7455" i="3"/>
  <c r="L7455" i="3"/>
  <c r="M7454" i="3"/>
  <c r="L7454" i="3"/>
  <c r="M7453" i="3"/>
  <c r="L7453" i="3"/>
  <c r="M7452" i="3"/>
  <c r="L7452" i="3"/>
  <c r="M7451" i="3"/>
  <c r="L7451" i="3"/>
  <c r="M7450" i="3"/>
  <c r="L7450" i="3"/>
  <c r="M7449" i="3"/>
  <c r="L7449" i="3"/>
  <c r="M7448" i="3"/>
  <c r="L7448" i="3"/>
  <c r="M7447" i="3"/>
  <c r="L7447" i="3"/>
  <c r="M7446" i="3"/>
  <c r="L7446" i="3"/>
  <c r="M7445" i="3"/>
  <c r="L7445" i="3"/>
  <c r="M7444" i="3"/>
  <c r="L7444" i="3"/>
  <c r="M7443" i="3"/>
  <c r="L7443" i="3"/>
  <c r="M7442" i="3"/>
  <c r="L7442" i="3"/>
  <c r="M7441" i="3"/>
  <c r="L7441" i="3"/>
  <c r="M7440" i="3"/>
  <c r="L7440" i="3"/>
  <c r="M7439" i="3"/>
  <c r="L7439" i="3"/>
  <c r="M7438" i="3"/>
  <c r="L7438" i="3"/>
  <c r="M7437" i="3"/>
  <c r="L7437" i="3"/>
  <c r="M7436" i="3"/>
  <c r="L7436" i="3"/>
  <c r="M7435" i="3"/>
  <c r="L7435" i="3"/>
  <c r="M7434" i="3"/>
  <c r="L7434" i="3"/>
  <c r="M7433" i="3"/>
  <c r="L7433" i="3"/>
  <c r="M7432" i="3"/>
  <c r="L7432" i="3"/>
  <c r="M7431" i="3"/>
  <c r="L7431" i="3"/>
  <c r="M7430" i="3"/>
  <c r="L7430" i="3"/>
  <c r="M7429" i="3"/>
  <c r="L7429" i="3"/>
  <c r="M7428" i="3"/>
  <c r="L7428" i="3"/>
  <c r="M7427" i="3"/>
  <c r="L7427" i="3"/>
  <c r="M7426" i="3"/>
  <c r="L7426" i="3"/>
  <c r="M7425" i="3"/>
  <c r="L7425" i="3"/>
  <c r="M7424" i="3"/>
  <c r="L7424" i="3"/>
  <c r="M7423" i="3"/>
  <c r="L7423" i="3"/>
  <c r="M7422" i="3"/>
  <c r="L7422" i="3"/>
  <c r="M7421" i="3"/>
  <c r="L7421" i="3"/>
  <c r="M7420" i="3"/>
  <c r="L7420" i="3"/>
  <c r="M7419" i="3"/>
  <c r="L7419" i="3"/>
  <c r="M7418" i="3"/>
  <c r="L7418" i="3"/>
  <c r="M7417" i="3"/>
  <c r="L7417" i="3"/>
  <c r="M7416" i="3"/>
  <c r="L7416" i="3"/>
  <c r="M7415" i="3"/>
  <c r="L7415" i="3"/>
  <c r="M7414" i="3"/>
  <c r="L7414" i="3"/>
  <c r="M7413" i="3"/>
  <c r="L7413" i="3"/>
  <c r="M7412" i="3"/>
  <c r="L7412" i="3"/>
  <c r="M7411" i="3"/>
  <c r="L7411" i="3"/>
  <c r="M7410" i="3"/>
  <c r="L7410" i="3"/>
  <c r="M7409" i="3"/>
  <c r="L7409" i="3"/>
  <c r="M7408" i="3"/>
  <c r="L7408" i="3"/>
  <c r="M7407" i="3"/>
  <c r="L7407" i="3"/>
  <c r="M7406" i="3"/>
  <c r="L7406" i="3"/>
  <c r="M7405" i="3"/>
  <c r="L7405" i="3"/>
  <c r="M7404" i="3"/>
  <c r="L7404" i="3"/>
  <c r="M7403" i="3"/>
  <c r="L7403" i="3"/>
  <c r="M7402" i="3"/>
  <c r="L7402" i="3"/>
  <c r="M7401" i="3"/>
  <c r="L7401" i="3"/>
  <c r="M7400" i="3"/>
  <c r="L7400" i="3"/>
  <c r="M7399" i="3"/>
  <c r="L7399" i="3"/>
  <c r="M7398" i="3"/>
  <c r="L7398" i="3"/>
  <c r="M7397" i="3"/>
  <c r="L7397" i="3"/>
  <c r="M7396" i="3"/>
  <c r="L7396" i="3"/>
  <c r="M7395" i="3"/>
  <c r="L7395" i="3"/>
  <c r="M7394" i="3"/>
  <c r="L7394" i="3"/>
  <c r="M7393" i="3"/>
  <c r="L7393" i="3"/>
  <c r="M7392" i="3"/>
  <c r="L7392" i="3"/>
  <c r="M7391" i="3"/>
  <c r="L7391" i="3"/>
  <c r="M7390" i="3"/>
  <c r="L7390" i="3"/>
  <c r="M7389" i="3"/>
  <c r="L7389" i="3"/>
  <c r="M7388" i="3"/>
  <c r="L7388" i="3"/>
  <c r="M7387" i="3"/>
  <c r="L7387" i="3"/>
  <c r="M7386" i="3"/>
  <c r="L7386" i="3"/>
  <c r="M7385" i="3"/>
  <c r="L7385" i="3"/>
  <c r="M7384" i="3"/>
  <c r="L7384" i="3"/>
  <c r="M7383" i="3"/>
  <c r="L7383" i="3"/>
  <c r="M7382" i="3"/>
  <c r="L7382" i="3"/>
  <c r="M7381" i="3"/>
  <c r="L7381" i="3"/>
  <c r="M7380" i="3"/>
  <c r="L7380" i="3"/>
  <c r="M7379" i="3"/>
  <c r="L7379" i="3"/>
  <c r="M7378" i="3"/>
  <c r="L7378" i="3"/>
  <c r="M7377" i="3"/>
  <c r="L7377" i="3"/>
  <c r="M7376" i="3"/>
  <c r="L7376" i="3"/>
  <c r="M7375" i="3"/>
  <c r="L7375" i="3"/>
  <c r="M7374" i="3"/>
  <c r="L7374" i="3"/>
  <c r="M7373" i="3"/>
  <c r="L7373" i="3"/>
  <c r="M7372" i="3"/>
  <c r="L7372" i="3"/>
  <c r="M7371" i="3"/>
  <c r="L7371" i="3"/>
  <c r="M7370" i="3"/>
  <c r="L7370" i="3"/>
  <c r="M7369" i="3"/>
  <c r="L7369" i="3"/>
  <c r="M7368" i="3"/>
  <c r="L7368" i="3"/>
  <c r="M7367" i="3"/>
  <c r="L7367" i="3"/>
  <c r="M7366" i="3"/>
  <c r="L7366" i="3"/>
  <c r="M7365" i="3"/>
  <c r="L7365" i="3"/>
  <c r="M7364" i="3"/>
  <c r="L7364" i="3"/>
  <c r="M7363" i="3"/>
  <c r="L7363" i="3"/>
  <c r="M7362" i="3"/>
  <c r="L7362" i="3"/>
  <c r="M7361" i="3"/>
  <c r="L7361" i="3"/>
  <c r="M7360" i="3"/>
  <c r="L7360" i="3"/>
  <c r="M7359" i="3"/>
  <c r="L7359" i="3"/>
  <c r="M7358" i="3"/>
  <c r="L7358" i="3"/>
  <c r="M7357" i="3"/>
  <c r="L7357" i="3"/>
  <c r="M7356" i="3"/>
  <c r="L7356" i="3"/>
  <c r="M7355" i="3"/>
  <c r="L7355" i="3"/>
  <c r="M7354" i="3"/>
  <c r="L7354" i="3"/>
  <c r="M7353" i="3"/>
  <c r="L7353" i="3"/>
  <c r="M7352" i="3"/>
  <c r="L7352" i="3"/>
  <c r="M7351" i="3"/>
  <c r="L7351" i="3"/>
  <c r="M7350" i="3"/>
  <c r="L7350" i="3"/>
  <c r="M7349" i="3"/>
  <c r="L7349" i="3"/>
  <c r="M7348" i="3"/>
  <c r="L7348" i="3"/>
  <c r="M7347" i="3"/>
  <c r="L7347" i="3"/>
  <c r="M7346" i="3"/>
  <c r="L7346" i="3"/>
  <c r="M7345" i="3"/>
  <c r="L7345" i="3"/>
  <c r="M7344" i="3"/>
  <c r="L7344" i="3"/>
  <c r="M7343" i="3"/>
  <c r="L7343" i="3"/>
  <c r="M7342" i="3"/>
  <c r="L7342" i="3"/>
  <c r="M7341" i="3"/>
  <c r="L7341" i="3"/>
  <c r="M7340" i="3"/>
  <c r="L7340" i="3"/>
  <c r="M7339" i="3"/>
  <c r="L7339" i="3"/>
  <c r="M7338" i="3"/>
  <c r="L7338" i="3"/>
  <c r="M7337" i="3"/>
  <c r="L7337" i="3"/>
  <c r="M7336" i="3"/>
  <c r="L7336" i="3"/>
  <c r="M7335" i="3"/>
  <c r="L7335" i="3"/>
  <c r="M7334" i="3"/>
  <c r="L7334" i="3"/>
  <c r="M7333" i="3"/>
  <c r="L7333" i="3"/>
  <c r="M7332" i="3"/>
  <c r="L7332" i="3"/>
  <c r="M7331" i="3"/>
  <c r="L7331" i="3"/>
  <c r="M7330" i="3"/>
  <c r="L7330" i="3"/>
  <c r="M7329" i="3"/>
  <c r="L7329" i="3"/>
  <c r="M7328" i="3"/>
  <c r="L7328" i="3"/>
  <c r="M7327" i="3"/>
  <c r="L7327" i="3"/>
  <c r="M7326" i="3"/>
  <c r="L7326" i="3"/>
  <c r="M7325" i="3"/>
  <c r="L7325" i="3"/>
  <c r="M7324" i="3"/>
  <c r="L7324" i="3"/>
  <c r="M7323" i="3"/>
  <c r="L7323" i="3"/>
  <c r="M7322" i="3"/>
  <c r="L7322" i="3"/>
  <c r="M7321" i="3"/>
  <c r="L7321" i="3"/>
  <c r="M7320" i="3"/>
  <c r="L7320" i="3"/>
  <c r="M7319" i="3"/>
  <c r="L7319" i="3"/>
  <c r="M7318" i="3"/>
  <c r="L7318" i="3"/>
  <c r="M7317" i="3"/>
  <c r="L7317" i="3"/>
  <c r="M7316" i="3"/>
  <c r="L7316" i="3"/>
  <c r="M7315" i="3"/>
  <c r="L7315" i="3"/>
  <c r="M7314" i="3"/>
  <c r="L7314" i="3"/>
  <c r="M7313" i="3"/>
  <c r="L7313" i="3"/>
  <c r="M7312" i="3"/>
  <c r="L7312" i="3"/>
  <c r="M7311" i="3"/>
  <c r="L7311" i="3"/>
  <c r="M7310" i="3"/>
  <c r="L7310" i="3"/>
  <c r="M7309" i="3"/>
  <c r="L7309" i="3"/>
  <c r="M7308" i="3"/>
  <c r="L7308" i="3"/>
  <c r="M7307" i="3"/>
  <c r="L7307" i="3"/>
  <c r="M7306" i="3"/>
  <c r="L7306" i="3"/>
  <c r="M7305" i="3"/>
  <c r="L7305" i="3"/>
  <c r="M7304" i="3"/>
  <c r="L7304" i="3"/>
  <c r="M7303" i="3"/>
  <c r="L7303" i="3"/>
  <c r="M7302" i="3"/>
  <c r="L7302" i="3"/>
  <c r="M7301" i="3"/>
  <c r="L7301" i="3"/>
  <c r="M7300" i="3"/>
  <c r="L7300" i="3"/>
  <c r="M7299" i="3"/>
  <c r="L7299" i="3"/>
  <c r="M7298" i="3"/>
  <c r="L7298" i="3"/>
  <c r="M7297" i="3"/>
  <c r="L7297" i="3"/>
  <c r="M7296" i="3"/>
  <c r="L7296" i="3"/>
  <c r="M7295" i="3"/>
  <c r="L7295" i="3"/>
  <c r="M7294" i="3"/>
  <c r="L7294" i="3"/>
  <c r="M7293" i="3"/>
  <c r="L7293" i="3"/>
  <c r="M7292" i="3"/>
  <c r="L7292" i="3"/>
  <c r="M7291" i="3"/>
  <c r="L7291" i="3"/>
  <c r="M7290" i="3"/>
  <c r="L7290" i="3"/>
  <c r="M7289" i="3"/>
  <c r="L7289" i="3"/>
  <c r="M7288" i="3"/>
  <c r="L7288" i="3"/>
  <c r="M7287" i="3"/>
  <c r="L7287" i="3"/>
  <c r="M7286" i="3"/>
  <c r="L7286" i="3"/>
  <c r="M7285" i="3"/>
  <c r="L7285" i="3"/>
  <c r="M7284" i="3"/>
  <c r="L7284" i="3"/>
  <c r="M7283" i="3"/>
  <c r="L7283" i="3"/>
  <c r="M7282" i="3"/>
  <c r="L7282" i="3"/>
  <c r="M7281" i="3"/>
  <c r="L7281" i="3"/>
  <c r="M7280" i="3"/>
  <c r="L7280" i="3"/>
  <c r="M7279" i="3"/>
  <c r="L7279" i="3"/>
  <c r="M7278" i="3"/>
  <c r="L7278" i="3"/>
  <c r="M7277" i="3"/>
  <c r="L7277" i="3"/>
  <c r="M7276" i="3"/>
  <c r="L7276" i="3"/>
  <c r="M7275" i="3"/>
  <c r="L7275" i="3"/>
  <c r="M7274" i="3"/>
  <c r="L7274" i="3"/>
  <c r="M7273" i="3"/>
  <c r="L7273" i="3"/>
  <c r="M7272" i="3"/>
  <c r="L7272" i="3"/>
  <c r="M7271" i="3"/>
  <c r="L7271" i="3"/>
  <c r="M7270" i="3"/>
  <c r="L7270" i="3"/>
  <c r="M7269" i="3"/>
  <c r="L7269" i="3"/>
  <c r="M7268" i="3"/>
  <c r="L7268" i="3"/>
  <c r="M7267" i="3"/>
  <c r="L7267" i="3"/>
  <c r="M7266" i="3"/>
  <c r="L7266" i="3"/>
  <c r="M7265" i="3"/>
  <c r="L7265" i="3"/>
  <c r="M7264" i="3"/>
  <c r="L7264" i="3"/>
  <c r="M7263" i="3"/>
  <c r="L7263" i="3"/>
  <c r="M7262" i="3"/>
  <c r="L7262" i="3"/>
  <c r="M7261" i="3"/>
  <c r="L7261" i="3"/>
  <c r="M7260" i="3"/>
  <c r="L7260" i="3"/>
  <c r="M7259" i="3"/>
  <c r="L7259" i="3"/>
  <c r="M7258" i="3"/>
  <c r="L7258" i="3"/>
  <c r="M7257" i="3"/>
  <c r="L7257" i="3"/>
  <c r="M7256" i="3"/>
  <c r="L7256" i="3"/>
  <c r="M7255" i="3"/>
  <c r="L7255" i="3"/>
  <c r="M7254" i="3"/>
  <c r="L7254" i="3"/>
  <c r="M7253" i="3"/>
  <c r="L7253" i="3"/>
  <c r="M7252" i="3"/>
  <c r="L7252" i="3"/>
  <c r="M7251" i="3"/>
  <c r="L7251" i="3"/>
  <c r="M7250" i="3"/>
  <c r="L7250" i="3"/>
  <c r="M7249" i="3"/>
  <c r="L7249" i="3"/>
  <c r="M7248" i="3"/>
  <c r="L7248" i="3"/>
  <c r="M7247" i="3"/>
  <c r="L7247" i="3"/>
  <c r="M7246" i="3"/>
  <c r="L7246" i="3"/>
  <c r="M7245" i="3"/>
  <c r="L7245" i="3"/>
  <c r="M7244" i="3"/>
  <c r="L7244" i="3"/>
  <c r="M7243" i="3"/>
  <c r="L7243" i="3"/>
  <c r="M7242" i="3"/>
  <c r="L7242" i="3"/>
  <c r="M7241" i="3"/>
  <c r="L7241" i="3"/>
  <c r="M7240" i="3"/>
  <c r="L7240" i="3"/>
  <c r="M7239" i="3"/>
  <c r="L7239" i="3"/>
  <c r="M7238" i="3"/>
  <c r="L7238" i="3"/>
  <c r="M7237" i="3"/>
  <c r="L7237" i="3"/>
  <c r="M7236" i="3"/>
  <c r="L7236" i="3"/>
  <c r="M7235" i="3"/>
  <c r="L7235" i="3"/>
  <c r="M7234" i="3"/>
  <c r="L7234" i="3"/>
  <c r="M7233" i="3"/>
  <c r="L7233" i="3"/>
  <c r="M7232" i="3"/>
  <c r="L7232" i="3"/>
  <c r="M7231" i="3"/>
  <c r="L7231" i="3"/>
  <c r="M7230" i="3"/>
  <c r="L7230" i="3"/>
  <c r="M7229" i="3"/>
  <c r="L7229" i="3"/>
  <c r="M7228" i="3"/>
  <c r="L7228" i="3"/>
  <c r="M7227" i="3"/>
  <c r="L7227" i="3"/>
  <c r="M7226" i="3"/>
  <c r="L7226" i="3"/>
  <c r="M7225" i="3"/>
  <c r="L7225" i="3"/>
  <c r="M7224" i="3"/>
  <c r="L7224" i="3"/>
  <c r="M7223" i="3"/>
  <c r="L7223" i="3"/>
  <c r="M7222" i="3"/>
  <c r="L7222" i="3"/>
  <c r="M7221" i="3"/>
  <c r="L7221" i="3"/>
  <c r="M7220" i="3"/>
  <c r="L7220" i="3"/>
  <c r="M7219" i="3"/>
  <c r="L7219" i="3"/>
  <c r="M7218" i="3"/>
  <c r="L7218" i="3"/>
  <c r="M7217" i="3"/>
  <c r="L7217" i="3"/>
  <c r="M7216" i="3"/>
  <c r="L7216" i="3"/>
  <c r="M7215" i="3"/>
  <c r="L7215" i="3"/>
  <c r="M7214" i="3"/>
  <c r="L7214" i="3"/>
  <c r="M7213" i="3"/>
  <c r="L7213" i="3"/>
  <c r="M7212" i="3"/>
  <c r="L7212" i="3"/>
  <c r="M7211" i="3"/>
  <c r="L7211" i="3"/>
  <c r="M7210" i="3"/>
  <c r="L7210" i="3"/>
  <c r="M7209" i="3"/>
  <c r="L7209" i="3"/>
  <c r="M7208" i="3"/>
  <c r="L7208" i="3"/>
  <c r="M7207" i="3"/>
  <c r="L7207" i="3"/>
  <c r="M7206" i="3"/>
  <c r="L7206" i="3"/>
  <c r="M7205" i="3"/>
  <c r="L7205" i="3"/>
  <c r="M7204" i="3"/>
  <c r="L7204" i="3"/>
  <c r="M7203" i="3"/>
  <c r="L7203" i="3"/>
  <c r="M7202" i="3"/>
  <c r="L7202" i="3"/>
  <c r="M7201" i="3"/>
  <c r="L7201" i="3"/>
  <c r="M7200" i="3"/>
  <c r="L7200" i="3"/>
  <c r="M7199" i="3"/>
  <c r="L7199" i="3"/>
  <c r="M7198" i="3"/>
  <c r="L7198" i="3"/>
  <c r="M7197" i="3"/>
  <c r="L7197" i="3"/>
  <c r="M7196" i="3"/>
  <c r="L7196" i="3"/>
  <c r="M7195" i="3"/>
  <c r="L7195" i="3"/>
  <c r="M7194" i="3"/>
  <c r="L7194" i="3"/>
  <c r="M7193" i="3"/>
  <c r="L7193" i="3"/>
  <c r="M7192" i="3"/>
  <c r="L7192" i="3"/>
  <c r="M7191" i="3"/>
  <c r="L7191" i="3"/>
  <c r="M7190" i="3"/>
  <c r="L7190" i="3"/>
  <c r="M7189" i="3"/>
  <c r="L7189" i="3"/>
  <c r="M7188" i="3"/>
  <c r="L7188" i="3"/>
  <c r="M7187" i="3"/>
  <c r="L7187" i="3"/>
  <c r="M7186" i="3"/>
  <c r="L7186" i="3"/>
  <c r="M7185" i="3"/>
  <c r="L7185" i="3"/>
  <c r="M7184" i="3"/>
  <c r="L7184" i="3"/>
  <c r="M7183" i="3"/>
  <c r="L7183" i="3"/>
  <c r="M7182" i="3"/>
  <c r="L7182" i="3"/>
  <c r="M7181" i="3"/>
  <c r="L7181" i="3"/>
  <c r="M7180" i="3"/>
  <c r="L7180" i="3"/>
  <c r="M7179" i="3"/>
  <c r="L7179" i="3"/>
  <c r="M7178" i="3"/>
  <c r="L7178" i="3"/>
  <c r="M7177" i="3"/>
  <c r="L7177" i="3"/>
  <c r="M7176" i="3"/>
  <c r="L7176" i="3"/>
  <c r="M7175" i="3"/>
  <c r="L7175" i="3"/>
  <c r="M7174" i="3"/>
  <c r="L7174" i="3"/>
  <c r="M7173" i="3"/>
  <c r="L7173" i="3"/>
  <c r="M7172" i="3"/>
  <c r="L7172" i="3"/>
  <c r="M7171" i="3"/>
  <c r="L7171" i="3"/>
  <c r="M7170" i="3"/>
  <c r="L7170" i="3"/>
  <c r="M7169" i="3"/>
  <c r="L7169" i="3"/>
  <c r="M7168" i="3"/>
  <c r="L7168" i="3"/>
  <c r="M7167" i="3"/>
  <c r="L7167" i="3"/>
  <c r="M7166" i="3"/>
  <c r="L7166" i="3"/>
  <c r="M7165" i="3"/>
  <c r="L7165" i="3"/>
  <c r="M7164" i="3"/>
  <c r="L7164" i="3"/>
  <c r="M7163" i="3"/>
  <c r="L7163" i="3"/>
  <c r="M7162" i="3"/>
  <c r="L7162" i="3"/>
  <c r="M7161" i="3"/>
  <c r="L7161" i="3"/>
  <c r="M7160" i="3"/>
  <c r="L7160" i="3"/>
  <c r="M7159" i="3"/>
  <c r="L7159" i="3"/>
  <c r="M7158" i="3"/>
  <c r="L7158" i="3"/>
  <c r="M7157" i="3"/>
  <c r="L7157" i="3"/>
  <c r="M7156" i="3"/>
  <c r="L7156" i="3"/>
  <c r="M7155" i="3"/>
  <c r="L7155" i="3"/>
  <c r="M7154" i="3"/>
  <c r="L7154" i="3"/>
  <c r="M7153" i="3"/>
  <c r="L7153" i="3"/>
  <c r="M7152" i="3"/>
  <c r="L7152" i="3"/>
  <c r="M7151" i="3"/>
  <c r="L7151" i="3"/>
  <c r="M7150" i="3"/>
  <c r="L7150" i="3"/>
  <c r="M7149" i="3"/>
  <c r="L7149" i="3"/>
  <c r="M7148" i="3"/>
  <c r="L7148" i="3"/>
  <c r="M7147" i="3"/>
  <c r="L7147" i="3"/>
  <c r="M7146" i="3"/>
  <c r="L7146" i="3"/>
  <c r="M7145" i="3"/>
  <c r="L7145" i="3"/>
  <c r="M7144" i="3"/>
  <c r="L7144" i="3"/>
  <c r="M7143" i="3"/>
  <c r="L7143" i="3"/>
  <c r="M7142" i="3"/>
  <c r="L7142" i="3"/>
  <c r="M7141" i="3"/>
  <c r="L7141" i="3"/>
  <c r="M7140" i="3"/>
  <c r="L7140" i="3"/>
  <c r="M7139" i="3"/>
  <c r="L7139" i="3"/>
  <c r="M7138" i="3"/>
  <c r="L7138" i="3"/>
  <c r="M7137" i="3"/>
  <c r="L7137" i="3"/>
  <c r="M7136" i="3"/>
  <c r="L7136" i="3"/>
  <c r="M7135" i="3"/>
  <c r="L7135" i="3"/>
  <c r="M7134" i="3"/>
  <c r="L7134" i="3"/>
  <c r="M7133" i="3"/>
  <c r="L7133" i="3"/>
  <c r="M7132" i="3"/>
  <c r="L7132" i="3"/>
  <c r="M7131" i="3"/>
  <c r="L7131" i="3"/>
  <c r="M7130" i="3"/>
  <c r="L7130" i="3"/>
  <c r="M7129" i="3"/>
  <c r="L7129" i="3"/>
  <c r="M7128" i="3"/>
  <c r="L7128" i="3"/>
  <c r="M7127" i="3"/>
  <c r="L7127" i="3"/>
  <c r="M7126" i="3"/>
  <c r="L7126" i="3"/>
  <c r="M7125" i="3"/>
  <c r="L7125" i="3"/>
  <c r="M7124" i="3"/>
  <c r="L7124" i="3"/>
  <c r="M7123" i="3"/>
  <c r="L7123" i="3"/>
  <c r="M7122" i="3"/>
  <c r="L7122" i="3"/>
  <c r="M7121" i="3"/>
  <c r="L7121" i="3"/>
  <c r="M7120" i="3"/>
  <c r="L7120" i="3"/>
  <c r="M7119" i="3"/>
  <c r="L7119" i="3"/>
  <c r="M7118" i="3"/>
  <c r="L7118" i="3"/>
  <c r="M7117" i="3"/>
  <c r="L7117" i="3"/>
  <c r="M7116" i="3"/>
  <c r="L7116" i="3"/>
  <c r="M7115" i="3"/>
  <c r="L7115" i="3"/>
  <c r="M7114" i="3"/>
  <c r="L7114" i="3"/>
  <c r="M7113" i="3"/>
  <c r="L7113" i="3"/>
  <c r="M7112" i="3"/>
  <c r="L7112" i="3"/>
  <c r="M7111" i="3"/>
  <c r="L7111" i="3"/>
  <c r="M7110" i="3"/>
  <c r="L7110" i="3"/>
  <c r="M7109" i="3"/>
  <c r="L7109" i="3"/>
  <c r="M7108" i="3"/>
  <c r="L7108" i="3"/>
  <c r="M7107" i="3"/>
  <c r="L7107" i="3"/>
  <c r="M7106" i="3"/>
  <c r="L7106" i="3"/>
  <c r="M7105" i="3"/>
  <c r="L7105" i="3"/>
  <c r="M7104" i="3"/>
  <c r="L7104" i="3"/>
  <c r="M7103" i="3"/>
  <c r="L7103" i="3"/>
  <c r="M7102" i="3"/>
  <c r="L7102" i="3"/>
  <c r="M7101" i="3"/>
  <c r="L7101" i="3"/>
  <c r="M7100" i="3"/>
  <c r="L7100" i="3"/>
  <c r="M7099" i="3"/>
  <c r="L7099" i="3"/>
  <c r="M7098" i="3"/>
  <c r="L7098" i="3"/>
  <c r="M7097" i="3"/>
  <c r="L7097" i="3"/>
  <c r="M7096" i="3"/>
  <c r="L7096" i="3"/>
  <c r="M7095" i="3"/>
  <c r="L7095" i="3"/>
  <c r="M7094" i="3"/>
  <c r="L7094" i="3"/>
  <c r="M7093" i="3"/>
  <c r="L7093" i="3"/>
  <c r="M7092" i="3"/>
  <c r="L7092" i="3"/>
  <c r="M7091" i="3"/>
  <c r="L7091" i="3"/>
  <c r="M7090" i="3"/>
  <c r="L7090" i="3"/>
  <c r="M7089" i="3"/>
  <c r="L7089" i="3"/>
  <c r="M7088" i="3"/>
  <c r="L7088" i="3"/>
  <c r="M7087" i="3"/>
  <c r="L7087" i="3"/>
  <c r="M7086" i="3"/>
  <c r="L7086" i="3"/>
  <c r="M7085" i="3"/>
  <c r="L7085" i="3"/>
  <c r="M7084" i="3"/>
  <c r="L7084" i="3"/>
  <c r="M7083" i="3"/>
  <c r="L7083" i="3"/>
  <c r="M7082" i="3"/>
  <c r="L7082" i="3"/>
  <c r="M7081" i="3"/>
  <c r="L7081" i="3"/>
  <c r="M7080" i="3"/>
  <c r="L7080" i="3"/>
  <c r="M7079" i="3"/>
  <c r="L7079" i="3"/>
  <c r="M7078" i="3"/>
  <c r="L7078" i="3"/>
  <c r="M7077" i="3"/>
  <c r="L7077" i="3"/>
  <c r="M7076" i="3"/>
  <c r="L7076" i="3"/>
  <c r="M7075" i="3"/>
  <c r="L7075" i="3"/>
  <c r="M7074" i="3"/>
  <c r="L7074" i="3"/>
  <c r="M7073" i="3"/>
  <c r="L7073" i="3"/>
  <c r="M7072" i="3"/>
  <c r="L7072" i="3"/>
  <c r="M7071" i="3"/>
  <c r="L7071" i="3"/>
  <c r="M7070" i="3"/>
  <c r="L7070" i="3"/>
  <c r="M7069" i="3"/>
  <c r="L7069" i="3"/>
  <c r="M7068" i="3"/>
  <c r="L7068" i="3"/>
  <c r="M7067" i="3"/>
  <c r="L7067" i="3"/>
  <c r="M7066" i="3"/>
  <c r="L7066" i="3"/>
  <c r="M7065" i="3"/>
  <c r="L7065" i="3"/>
  <c r="M7064" i="3"/>
  <c r="L7064" i="3"/>
  <c r="M7063" i="3"/>
  <c r="L7063" i="3"/>
  <c r="M7062" i="3"/>
  <c r="L7062" i="3"/>
  <c r="M7061" i="3"/>
  <c r="L7061" i="3"/>
  <c r="M7060" i="3"/>
  <c r="L7060" i="3"/>
  <c r="M7059" i="3"/>
  <c r="L7059" i="3"/>
  <c r="M7058" i="3"/>
  <c r="L7058" i="3"/>
  <c r="M7057" i="3"/>
  <c r="L7057" i="3"/>
  <c r="M7056" i="3"/>
  <c r="L7056" i="3"/>
  <c r="M7055" i="3"/>
  <c r="L7055" i="3"/>
  <c r="M7054" i="3"/>
  <c r="L7054" i="3"/>
  <c r="M7053" i="3"/>
  <c r="L7053" i="3"/>
  <c r="M7052" i="3"/>
  <c r="L7052" i="3"/>
  <c r="M7051" i="3"/>
  <c r="L7051" i="3"/>
  <c r="M7050" i="3"/>
  <c r="L7050" i="3"/>
  <c r="M7049" i="3"/>
  <c r="L7049" i="3"/>
  <c r="M7048" i="3"/>
  <c r="L7048" i="3"/>
  <c r="M7047" i="3"/>
  <c r="L7047" i="3"/>
  <c r="M7046" i="3"/>
  <c r="L7046" i="3"/>
  <c r="M7045" i="3"/>
  <c r="L7045" i="3"/>
  <c r="M7044" i="3"/>
  <c r="L7044" i="3"/>
  <c r="M7043" i="3"/>
  <c r="L7043" i="3"/>
  <c r="M7042" i="3"/>
  <c r="L7042" i="3"/>
  <c r="M7041" i="3"/>
  <c r="L7041" i="3"/>
  <c r="M7040" i="3"/>
  <c r="L7040" i="3"/>
  <c r="M7039" i="3"/>
  <c r="L7039" i="3"/>
  <c r="M7038" i="3"/>
  <c r="L7038" i="3"/>
  <c r="M7037" i="3"/>
  <c r="L7037" i="3"/>
  <c r="M7036" i="3"/>
  <c r="L7036" i="3"/>
  <c r="M7035" i="3"/>
  <c r="L7035" i="3"/>
  <c r="M7034" i="3"/>
  <c r="L7034" i="3"/>
  <c r="M7033" i="3"/>
  <c r="L7033" i="3"/>
  <c r="M7032" i="3"/>
  <c r="L7032" i="3"/>
  <c r="M7031" i="3"/>
  <c r="L7031" i="3"/>
  <c r="M7030" i="3"/>
  <c r="L7030" i="3"/>
  <c r="M7029" i="3"/>
  <c r="L7029" i="3"/>
  <c r="M7028" i="3"/>
  <c r="L7028" i="3"/>
  <c r="M7027" i="3"/>
  <c r="L7027" i="3"/>
  <c r="M7026" i="3"/>
  <c r="L7026" i="3"/>
  <c r="M7025" i="3"/>
  <c r="L7025" i="3"/>
  <c r="M7024" i="3"/>
  <c r="L7024" i="3"/>
  <c r="M7023" i="3"/>
  <c r="L7023" i="3"/>
  <c r="M7022" i="3"/>
  <c r="L7022" i="3"/>
  <c r="M7021" i="3"/>
  <c r="L7021" i="3"/>
  <c r="M7020" i="3"/>
  <c r="L7020" i="3"/>
  <c r="M7019" i="3"/>
  <c r="L7019" i="3"/>
  <c r="M7018" i="3"/>
  <c r="L7018" i="3"/>
  <c r="M7017" i="3"/>
  <c r="L7017" i="3"/>
  <c r="M7016" i="3"/>
  <c r="L7016" i="3"/>
  <c r="M7015" i="3"/>
  <c r="L7015" i="3"/>
  <c r="M7014" i="3"/>
  <c r="L7014" i="3"/>
  <c r="M7013" i="3"/>
  <c r="L7013" i="3"/>
  <c r="M7012" i="3"/>
  <c r="L7012" i="3"/>
  <c r="M7011" i="3"/>
  <c r="L7011" i="3"/>
  <c r="M7010" i="3"/>
  <c r="L7010" i="3"/>
  <c r="M7009" i="3"/>
  <c r="L7009" i="3"/>
  <c r="M7008" i="3"/>
  <c r="L7008" i="3"/>
  <c r="M7007" i="3"/>
  <c r="L7007" i="3"/>
  <c r="M7006" i="3"/>
  <c r="L7006" i="3"/>
  <c r="M7005" i="3"/>
  <c r="L7005" i="3"/>
  <c r="M7004" i="3"/>
  <c r="L7004" i="3"/>
  <c r="M7003" i="3"/>
  <c r="L7003" i="3"/>
  <c r="M7002" i="3"/>
  <c r="L7002" i="3"/>
  <c r="M7001" i="3"/>
  <c r="L7001" i="3"/>
  <c r="M7000" i="3"/>
  <c r="L7000" i="3"/>
  <c r="M6999" i="3"/>
  <c r="L6999" i="3"/>
  <c r="M6998" i="3"/>
  <c r="L6998" i="3"/>
  <c r="M6997" i="3"/>
  <c r="L6997" i="3"/>
  <c r="M6996" i="3"/>
  <c r="L6996" i="3"/>
  <c r="M6995" i="3"/>
  <c r="L6995" i="3"/>
  <c r="M6994" i="3"/>
  <c r="L6994" i="3"/>
  <c r="M6993" i="3"/>
  <c r="L6993" i="3"/>
  <c r="M6992" i="3"/>
  <c r="L6992" i="3"/>
  <c r="M6991" i="3"/>
  <c r="L6991" i="3"/>
  <c r="M6990" i="3"/>
  <c r="L6990" i="3"/>
  <c r="M6989" i="3"/>
  <c r="L6989" i="3"/>
  <c r="M6988" i="3"/>
  <c r="L6988" i="3"/>
  <c r="M6987" i="3"/>
  <c r="L6987" i="3"/>
  <c r="M6986" i="3"/>
  <c r="L6986" i="3"/>
  <c r="M6985" i="3"/>
  <c r="L6985" i="3"/>
  <c r="M6984" i="3"/>
  <c r="L6984" i="3"/>
  <c r="M6983" i="3"/>
  <c r="L6983" i="3"/>
  <c r="M6982" i="3"/>
  <c r="L6982" i="3"/>
  <c r="M6981" i="3"/>
  <c r="L6981" i="3"/>
  <c r="M6980" i="3"/>
  <c r="L6980" i="3"/>
  <c r="M6979" i="3"/>
  <c r="L6979" i="3"/>
  <c r="M6978" i="3"/>
  <c r="L6978" i="3"/>
  <c r="M6977" i="3"/>
  <c r="L6977" i="3"/>
  <c r="M6976" i="3"/>
  <c r="L6976" i="3"/>
  <c r="M6975" i="3"/>
  <c r="L6975" i="3"/>
  <c r="M6974" i="3"/>
  <c r="L6974" i="3"/>
  <c r="M6973" i="3"/>
  <c r="L6973" i="3"/>
  <c r="M6972" i="3"/>
  <c r="L6972" i="3"/>
  <c r="M6971" i="3"/>
  <c r="L6971" i="3"/>
  <c r="M6970" i="3"/>
  <c r="L6970" i="3"/>
  <c r="M6969" i="3"/>
  <c r="L6969" i="3"/>
  <c r="M6968" i="3"/>
  <c r="L6968" i="3"/>
  <c r="M6967" i="3"/>
  <c r="L6967" i="3"/>
  <c r="M6966" i="3"/>
  <c r="L6966" i="3"/>
  <c r="M6965" i="3"/>
  <c r="L6965" i="3"/>
  <c r="M6964" i="3"/>
  <c r="L6964" i="3"/>
  <c r="M6963" i="3"/>
  <c r="L6963" i="3"/>
  <c r="M6962" i="3"/>
  <c r="L6962" i="3"/>
  <c r="M6961" i="3"/>
  <c r="L6961" i="3"/>
  <c r="M6960" i="3"/>
  <c r="L6960" i="3"/>
  <c r="M6959" i="3"/>
  <c r="L6959" i="3"/>
  <c r="M6958" i="3"/>
  <c r="L6958" i="3"/>
  <c r="M6957" i="3"/>
  <c r="L6957" i="3"/>
  <c r="M6956" i="3"/>
  <c r="L6956" i="3"/>
  <c r="M6955" i="3"/>
  <c r="L6955" i="3"/>
  <c r="M6954" i="3"/>
  <c r="L6954" i="3"/>
  <c r="M6953" i="3"/>
  <c r="L6953" i="3"/>
  <c r="M6952" i="3"/>
  <c r="L6952" i="3"/>
  <c r="M6951" i="3"/>
  <c r="L6951" i="3"/>
  <c r="M6950" i="3"/>
  <c r="L6950" i="3"/>
  <c r="M6949" i="3"/>
  <c r="L6949" i="3"/>
  <c r="M6948" i="3"/>
  <c r="L6948" i="3"/>
  <c r="M6947" i="3"/>
  <c r="L6947" i="3"/>
  <c r="M6946" i="3"/>
  <c r="L6946" i="3"/>
  <c r="M6945" i="3"/>
  <c r="L6945" i="3"/>
  <c r="M6944" i="3"/>
  <c r="L6944" i="3"/>
  <c r="M6943" i="3"/>
  <c r="L6943" i="3"/>
  <c r="M6942" i="3"/>
  <c r="L6942" i="3"/>
  <c r="M6941" i="3"/>
  <c r="L6941" i="3"/>
  <c r="M6940" i="3"/>
  <c r="L6940" i="3"/>
  <c r="M6939" i="3"/>
  <c r="L6939" i="3"/>
  <c r="M6938" i="3"/>
  <c r="L6938" i="3"/>
  <c r="M6937" i="3"/>
  <c r="L6937" i="3"/>
  <c r="M6936" i="3"/>
  <c r="L6936" i="3"/>
  <c r="M6935" i="3"/>
  <c r="L6935" i="3"/>
  <c r="M6934" i="3"/>
  <c r="L6934" i="3"/>
  <c r="M6933" i="3"/>
  <c r="L6933" i="3"/>
  <c r="M6932" i="3"/>
  <c r="L6932" i="3"/>
  <c r="M6931" i="3"/>
  <c r="L6931" i="3"/>
  <c r="M6930" i="3"/>
  <c r="L6930" i="3"/>
  <c r="M6929" i="3"/>
  <c r="L6929" i="3"/>
  <c r="M6928" i="3"/>
  <c r="L6928" i="3"/>
  <c r="M6927" i="3"/>
  <c r="L6927" i="3"/>
  <c r="M6926" i="3"/>
  <c r="L6926" i="3"/>
  <c r="M6925" i="3"/>
  <c r="L6925" i="3"/>
  <c r="M6924" i="3"/>
  <c r="L6924" i="3"/>
  <c r="M6923" i="3"/>
  <c r="L6923" i="3"/>
  <c r="M6922" i="3"/>
  <c r="L6922" i="3"/>
  <c r="M6921" i="3"/>
  <c r="L6921" i="3"/>
  <c r="M6920" i="3"/>
  <c r="L6920" i="3"/>
  <c r="M6919" i="3"/>
  <c r="L6919" i="3"/>
  <c r="M6918" i="3"/>
  <c r="L6918" i="3"/>
  <c r="M6917" i="3"/>
  <c r="L6917" i="3"/>
  <c r="M6916" i="3"/>
  <c r="L6916" i="3"/>
  <c r="M6915" i="3"/>
  <c r="L6915" i="3"/>
  <c r="M6914" i="3"/>
  <c r="L6914" i="3"/>
  <c r="M6913" i="3"/>
  <c r="L6913" i="3"/>
  <c r="M6912" i="3"/>
  <c r="L6912" i="3"/>
  <c r="M6911" i="3"/>
  <c r="L6911" i="3"/>
  <c r="M6910" i="3"/>
  <c r="L6910" i="3"/>
  <c r="M6909" i="3"/>
  <c r="L6909" i="3"/>
  <c r="M6908" i="3"/>
  <c r="L6908" i="3"/>
  <c r="M6907" i="3"/>
  <c r="L6907" i="3"/>
  <c r="M6906" i="3"/>
  <c r="L6906" i="3"/>
  <c r="M6905" i="3"/>
  <c r="L6905" i="3"/>
  <c r="M6904" i="3"/>
  <c r="L6904" i="3"/>
  <c r="M6903" i="3"/>
  <c r="L6903" i="3"/>
  <c r="M6902" i="3"/>
  <c r="L6902" i="3"/>
  <c r="M6901" i="3"/>
  <c r="L6901" i="3"/>
  <c r="M6900" i="3"/>
  <c r="L6900" i="3"/>
  <c r="M6899" i="3"/>
  <c r="L6899" i="3"/>
  <c r="M6898" i="3"/>
  <c r="L6898" i="3"/>
  <c r="M6897" i="3"/>
  <c r="L6897" i="3"/>
  <c r="M6896" i="3"/>
  <c r="L6896" i="3"/>
  <c r="M6895" i="3"/>
  <c r="L6895" i="3"/>
  <c r="M6894" i="3"/>
  <c r="L6894" i="3"/>
  <c r="M6893" i="3"/>
  <c r="L6893" i="3"/>
  <c r="M6892" i="3"/>
  <c r="L6892" i="3"/>
  <c r="M6891" i="3"/>
  <c r="L6891" i="3"/>
  <c r="M6890" i="3"/>
  <c r="L6890" i="3"/>
  <c r="M6889" i="3"/>
  <c r="L6889" i="3"/>
  <c r="M6888" i="3"/>
  <c r="L6888" i="3"/>
  <c r="M6887" i="3"/>
  <c r="L6887" i="3"/>
  <c r="M6886" i="3"/>
  <c r="L6886" i="3"/>
  <c r="M6885" i="3"/>
  <c r="L6885" i="3"/>
  <c r="M6884" i="3"/>
  <c r="L6884" i="3"/>
  <c r="M6883" i="3"/>
  <c r="L6883" i="3"/>
  <c r="M6882" i="3"/>
  <c r="L6882" i="3"/>
  <c r="M6881" i="3"/>
  <c r="L6881" i="3"/>
  <c r="M6880" i="3"/>
  <c r="L6880" i="3"/>
  <c r="M6879" i="3"/>
  <c r="L6879" i="3"/>
  <c r="M6878" i="3"/>
  <c r="L6878" i="3"/>
  <c r="M6877" i="3"/>
  <c r="L6877" i="3"/>
  <c r="M6876" i="3"/>
  <c r="L6876" i="3"/>
  <c r="M6875" i="3"/>
  <c r="L6875" i="3"/>
  <c r="M6874" i="3"/>
  <c r="L6874" i="3"/>
  <c r="M6873" i="3"/>
  <c r="L6873" i="3"/>
  <c r="M6872" i="3"/>
  <c r="L6872" i="3"/>
  <c r="M6871" i="3"/>
  <c r="L6871" i="3"/>
  <c r="M6870" i="3"/>
  <c r="L6870" i="3"/>
  <c r="M6869" i="3"/>
  <c r="L6869" i="3"/>
  <c r="M6868" i="3"/>
  <c r="L6868" i="3"/>
  <c r="M6867" i="3"/>
  <c r="L6867" i="3"/>
  <c r="M6866" i="3"/>
  <c r="L6866" i="3"/>
  <c r="M6865" i="3"/>
  <c r="L6865" i="3"/>
  <c r="M6864" i="3"/>
  <c r="L6864" i="3"/>
  <c r="M6863" i="3"/>
  <c r="L6863" i="3"/>
  <c r="M6862" i="3"/>
  <c r="L6862" i="3"/>
  <c r="M6861" i="3"/>
  <c r="L6861" i="3"/>
  <c r="M6860" i="3"/>
  <c r="L6860" i="3"/>
  <c r="M6859" i="3"/>
  <c r="L6859" i="3"/>
  <c r="M6858" i="3"/>
  <c r="L6858" i="3"/>
  <c r="M6857" i="3"/>
  <c r="L6857" i="3"/>
  <c r="M6856" i="3"/>
  <c r="L6856" i="3"/>
  <c r="M6855" i="3"/>
  <c r="L6855" i="3"/>
  <c r="M6854" i="3"/>
  <c r="L6854" i="3"/>
  <c r="M6853" i="3"/>
  <c r="L6853" i="3"/>
  <c r="M6852" i="3"/>
  <c r="L6852" i="3"/>
  <c r="M6851" i="3"/>
  <c r="L6851" i="3"/>
  <c r="M6850" i="3"/>
  <c r="L6850" i="3"/>
  <c r="M6849" i="3"/>
  <c r="L6849" i="3"/>
  <c r="M6848" i="3"/>
  <c r="L6848" i="3"/>
  <c r="M6847" i="3"/>
  <c r="L6847" i="3"/>
  <c r="M6846" i="3"/>
  <c r="L6846" i="3"/>
  <c r="M6845" i="3"/>
  <c r="L6845" i="3"/>
  <c r="M6844" i="3"/>
  <c r="L6844" i="3"/>
  <c r="M6843" i="3"/>
  <c r="L6843" i="3"/>
  <c r="M6842" i="3"/>
  <c r="L6842" i="3"/>
  <c r="M6841" i="3"/>
  <c r="L6841" i="3"/>
  <c r="M6840" i="3"/>
  <c r="L6840" i="3"/>
  <c r="M6839" i="3"/>
  <c r="L6839" i="3"/>
  <c r="M6838" i="3"/>
  <c r="L6838" i="3"/>
  <c r="M6837" i="3"/>
  <c r="L6837" i="3"/>
  <c r="M6836" i="3"/>
  <c r="L6836" i="3"/>
  <c r="M6835" i="3"/>
  <c r="L6835" i="3"/>
  <c r="M6834" i="3"/>
  <c r="L6834" i="3"/>
  <c r="M6833" i="3"/>
  <c r="L6833" i="3"/>
  <c r="M6832" i="3"/>
  <c r="L6832" i="3"/>
  <c r="M6831" i="3"/>
  <c r="L6831" i="3"/>
  <c r="M6830" i="3"/>
  <c r="L6830" i="3"/>
  <c r="M6829" i="3"/>
  <c r="L6829" i="3"/>
  <c r="M6828" i="3"/>
  <c r="L6828" i="3"/>
  <c r="M6827" i="3"/>
  <c r="L6827" i="3"/>
  <c r="M6826" i="3"/>
  <c r="L6826" i="3"/>
  <c r="M6825" i="3"/>
  <c r="L6825" i="3"/>
  <c r="M6824" i="3"/>
  <c r="L6824" i="3"/>
  <c r="M6823" i="3"/>
  <c r="L6823" i="3"/>
  <c r="M6822" i="3"/>
  <c r="L6822" i="3"/>
  <c r="M6821" i="3"/>
  <c r="L6821" i="3"/>
  <c r="M6820" i="3"/>
  <c r="L6820" i="3"/>
  <c r="M6819" i="3"/>
  <c r="L6819" i="3"/>
  <c r="M6818" i="3"/>
  <c r="L6818" i="3"/>
  <c r="M6817" i="3"/>
  <c r="L6817" i="3"/>
  <c r="M6816" i="3"/>
  <c r="L6816" i="3"/>
  <c r="M6815" i="3"/>
  <c r="L6815" i="3"/>
  <c r="M6814" i="3"/>
  <c r="L6814" i="3"/>
  <c r="M6813" i="3"/>
  <c r="L6813" i="3"/>
  <c r="M6812" i="3"/>
  <c r="L6812" i="3"/>
  <c r="M6811" i="3"/>
  <c r="L6811" i="3"/>
  <c r="M6810" i="3"/>
  <c r="L6810" i="3"/>
  <c r="M6809" i="3"/>
  <c r="L6809" i="3"/>
  <c r="M6808" i="3"/>
  <c r="L6808" i="3"/>
  <c r="M6807" i="3"/>
  <c r="L6807" i="3"/>
  <c r="M6806" i="3"/>
  <c r="L6806" i="3"/>
  <c r="M6805" i="3"/>
  <c r="L6805" i="3"/>
  <c r="M6804" i="3"/>
  <c r="L6804" i="3"/>
  <c r="M6803" i="3"/>
  <c r="L6803" i="3"/>
  <c r="M6802" i="3"/>
  <c r="L6802" i="3"/>
  <c r="M6801" i="3"/>
  <c r="L6801" i="3"/>
  <c r="M6800" i="3"/>
  <c r="L6800" i="3"/>
  <c r="M6799" i="3"/>
  <c r="L6799" i="3"/>
  <c r="M6798" i="3"/>
  <c r="L6798" i="3"/>
  <c r="M6797" i="3"/>
  <c r="L6797" i="3"/>
  <c r="M6796" i="3"/>
  <c r="L6796" i="3"/>
  <c r="M6795" i="3"/>
  <c r="L6795" i="3"/>
  <c r="M6794" i="3"/>
  <c r="L6794" i="3"/>
  <c r="M6793" i="3"/>
  <c r="L6793" i="3"/>
  <c r="M6792" i="3"/>
  <c r="L6792" i="3"/>
  <c r="M6791" i="3"/>
  <c r="L6791" i="3"/>
  <c r="M6790" i="3"/>
  <c r="L6790" i="3"/>
  <c r="M6789" i="3"/>
  <c r="L6789" i="3"/>
  <c r="M6788" i="3"/>
  <c r="L6788" i="3"/>
  <c r="M6787" i="3"/>
  <c r="L6787" i="3"/>
  <c r="M6786" i="3"/>
  <c r="L6786" i="3"/>
  <c r="M6785" i="3"/>
  <c r="L6785" i="3"/>
  <c r="M6784" i="3"/>
  <c r="L6784" i="3"/>
  <c r="M6783" i="3"/>
  <c r="L6783" i="3"/>
  <c r="M6782" i="3"/>
  <c r="L6782" i="3"/>
  <c r="M6781" i="3"/>
  <c r="L6781" i="3"/>
  <c r="M6780" i="3"/>
  <c r="L6780" i="3"/>
  <c r="M6779" i="3"/>
  <c r="L6779" i="3"/>
  <c r="M6778" i="3"/>
  <c r="L6778" i="3"/>
  <c r="M6777" i="3"/>
  <c r="L6777" i="3"/>
  <c r="M6776" i="3"/>
  <c r="L6776" i="3"/>
  <c r="M6775" i="3"/>
  <c r="L6775" i="3"/>
  <c r="M6774" i="3"/>
  <c r="L6774" i="3"/>
  <c r="M6773" i="3"/>
  <c r="L6773" i="3"/>
  <c r="M6772" i="3"/>
  <c r="L6772" i="3"/>
  <c r="M6771" i="3"/>
  <c r="L6771" i="3"/>
  <c r="M6770" i="3"/>
  <c r="L6770" i="3"/>
  <c r="M6769" i="3"/>
  <c r="L6769" i="3"/>
  <c r="M6768" i="3"/>
  <c r="L6768" i="3"/>
  <c r="M6767" i="3"/>
  <c r="L6767" i="3"/>
  <c r="M6766" i="3"/>
  <c r="L6766" i="3"/>
  <c r="M6765" i="3"/>
  <c r="L6765" i="3"/>
  <c r="M6764" i="3"/>
  <c r="L6764" i="3"/>
  <c r="M6763" i="3"/>
  <c r="L6763" i="3"/>
  <c r="M6762" i="3"/>
  <c r="L6762" i="3"/>
  <c r="M6761" i="3"/>
  <c r="L6761" i="3"/>
  <c r="M6760" i="3"/>
  <c r="L6760" i="3"/>
  <c r="M6759" i="3"/>
  <c r="L6759" i="3"/>
  <c r="M6758" i="3"/>
  <c r="L6758" i="3"/>
  <c r="M6757" i="3"/>
  <c r="L6757" i="3"/>
  <c r="M6756" i="3"/>
  <c r="L6756" i="3"/>
  <c r="M6755" i="3"/>
  <c r="L6755" i="3"/>
  <c r="M6754" i="3"/>
  <c r="L6754" i="3"/>
  <c r="M6753" i="3"/>
  <c r="L6753" i="3"/>
  <c r="M6752" i="3"/>
  <c r="L6752" i="3"/>
  <c r="M6751" i="3"/>
  <c r="L6751" i="3"/>
  <c r="M6750" i="3"/>
  <c r="L6750" i="3"/>
  <c r="M6749" i="3"/>
  <c r="L6749" i="3"/>
  <c r="M6748" i="3"/>
  <c r="L6748" i="3"/>
  <c r="M6747" i="3"/>
  <c r="L6747" i="3"/>
  <c r="M6746" i="3"/>
  <c r="L6746" i="3"/>
  <c r="M6745" i="3"/>
  <c r="L6745" i="3"/>
  <c r="M6744" i="3"/>
  <c r="L6744" i="3"/>
  <c r="M6743" i="3"/>
  <c r="L6743" i="3"/>
  <c r="M6742" i="3"/>
  <c r="L6742" i="3"/>
  <c r="M6741" i="3"/>
  <c r="L6741" i="3"/>
  <c r="M6740" i="3"/>
  <c r="L6740" i="3"/>
  <c r="M6739" i="3"/>
  <c r="L6739" i="3"/>
  <c r="M6738" i="3"/>
  <c r="L6738" i="3"/>
  <c r="M6737" i="3"/>
  <c r="L6737" i="3"/>
  <c r="M6736" i="3"/>
  <c r="L6736" i="3"/>
  <c r="M6735" i="3"/>
  <c r="L6735" i="3"/>
  <c r="M6734" i="3"/>
  <c r="L6734" i="3"/>
  <c r="M6733" i="3"/>
  <c r="L6733" i="3"/>
  <c r="M6732" i="3"/>
  <c r="L6732" i="3"/>
  <c r="M6731" i="3"/>
  <c r="L6731" i="3"/>
  <c r="M6730" i="3"/>
  <c r="L6730" i="3"/>
  <c r="M6729" i="3"/>
  <c r="L6729" i="3"/>
  <c r="M6728" i="3"/>
  <c r="L6728" i="3"/>
  <c r="M6727" i="3"/>
  <c r="L6727" i="3"/>
  <c r="M6726" i="3"/>
  <c r="L6726" i="3"/>
  <c r="M6725" i="3"/>
  <c r="L6725" i="3"/>
  <c r="M6724" i="3"/>
  <c r="L6724" i="3"/>
  <c r="M6723" i="3"/>
  <c r="L6723" i="3"/>
  <c r="M6722" i="3"/>
  <c r="L6722" i="3"/>
  <c r="M6721" i="3"/>
  <c r="L6721" i="3"/>
  <c r="M6720" i="3"/>
  <c r="L6720" i="3"/>
  <c r="M6719" i="3"/>
  <c r="L6719" i="3"/>
  <c r="M6718" i="3"/>
  <c r="L6718" i="3"/>
  <c r="M6717" i="3"/>
  <c r="L6717" i="3"/>
  <c r="M6716" i="3"/>
  <c r="L6716" i="3"/>
  <c r="M6715" i="3"/>
  <c r="L6715" i="3"/>
  <c r="M6714" i="3"/>
  <c r="L6714" i="3"/>
  <c r="M6713" i="3"/>
  <c r="L6713" i="3"/>
  <c r="M6712" i="3"/>
  <c r="L6712" i="3"/>
  <c r="M6711" i="3"/>
  <c r="L6711" i="3"/>
  <c r="M6710" i="3"/>
  <c r="L6710" i="3"/>
  <c r="M6709" i="3"/>
  <c r="L6709" i="3"/>
  <c r="M6708" i="3"/>
  <c r="L6708" i="3"/>
  <c r="M6707" i="3"/>
  <c r="L6707" i="3"/>
  <c r="M6706" i="3"/>
  <c r="L6706" i="3"/>
  <c r="M6705" i="3"/>
  <c r="L6705" i="3"/>
  <c r="M6704" i="3"/>
  <c r="L6704" i="3"/>
  <c r="M6703" i="3"/>
  <c r="L6703" i="3"/>
  <c r="M6702" i="3"/>
  <c r="L6702" i="3"/>
  <c r="M6701" i="3"/>
  <c r="L6701" i="3"/>
  <c r="M6700" i="3"/>
  <c r="L6700" i="3"/>
  <c r="M6699" i="3"/>
  <c r="L6699" i="3"/>
  <c r="M6698" i="3"/>
  <c r="L6698" i="3"/>
  <c r="M6697" i="3"/>
  <c r="L6697" i="3"/>
  <c r="M6696" i="3"/>
  <c r="L6696" i="3"/>
  <c r="M6695" i="3"/>
  <c r="L6695" i="3"/>
  <c r="M6694" i="3"/>
  <c r="L6694" i="3"/>
  <c r="M6693" i="3"/>
  <c r="L6693" i="3"/>
  <c r="M6692" i="3"/>
  <c r="L6692" i="3"/>
  <c r="M6691" i="3"/>
  <c r="L6691" i="3"/>
  <c r="M6690" i="3"/>
  <c r="L6690" i="3"/>
  <c r="M6689" i="3"/>
  <c r="L6689" i="3"/>
  <c r="M6688" i="3"/>
  <c r="L6688" i="3"/>
  <c r="M6687" i="3"/>
  <c r="L6687" i="3"/>
  <c r="M6686" i="3"/>
  <c r="L6686" i="3"/>
  <c r="M6685" i="3"/>
  <c r="L6685" i="3"/>
  <c r="M6684" i="3"/>
  <c r="L6684" i="3"/>
  <c r="M6683" i="3"/>
  <c r="L6683" i="3"/>
  <c r="M6682" i="3"/>
  <c r="L6682" i="3"/>
  <c r="M6681" i="3"/>
  <c r="L6681" i="3"/>
  <c r="M6680" i="3"/>
  <c r="L6680" i="3"/>
  <c r="M6679" i="3"/>
  <c r="L6679" i="3"/>
  <c r="M6678" i="3"/>
  <c r="L6678" i="3"/>
  <c r="M6677" i="3"/>
  <c r="L6677" i="3"/>
  <c r="M6676" i="3"/>
  <c r="L6676" i="3"/>
  <c r="M6675" i="3"/>
  <c r="L6675" i="3"/>
  <c r="M6674" i="3"/>
  <c r="L6674" i="3"/>
  <c r="M6673" i="3"/>
  <c r="L6673" i="3"/>
  <c r="M6672" i="3"/>
  <c r="L6672" i="3"/>
  <c r="M6671" i="3"/>
  <c r="L6671" i="3"/>
  <c r="M6670" i="3"/>
  <c r="L6670" i="3"/>
  <c r="M6669" i="3"/>
  <c r="L6669" i="3"/>
  <c r="M6668" i="3"/>
  <c r="L6668" i="3"/>
  <c r="M6667" i="3"/>
  <c r="L6667" i="3"/>
  <c r="M6666" i="3"/>
  <c r="L6666" i="3"/>
  <c r="M6665" i="3"/>
  <c r="L6665" i="3"/>
  <c r="M6664" i="3"/>
  <c r="L6664" i="3"/>
  <c r="M6663" i="3"/>
  <c r="L6663" i="3"/>
  <c r="M6662" i="3"/>
  <c r="L6662" i="3"/>
  <c r="M6661" i="3"/>
  <c r="L6661" i="3"/>
  <c r="M6660" i="3"/>
  <c r="L6660" i="3"/>
  <c r="M6659" i="3"/>
  <c r="L6659" i="3"/>
  <c r="M6658" i="3"/>
  <c r="L6658" i="3"/>
  <c r="M6657" i="3"/>
  <c r="L6657" i="3"/>
  <c r="M6656" i="3"/>
  <c r="L6656" i="3"/>
  <c r="M6655" i="3"/>
  <c r="L6655" i="3"/>
  <c r="M6654" i="3"/>
  <c r="L6654" i="3"/>
  <c r="M6653" i="3"/>
  <c r="L6653" i="3"/>
  <c r="M6652" i="3"/>
  <c r="L6652" i="3"/>
  <c r="M6651" i="3"/>
  <c r="L6651" i="3"/>
  <c r="M6650" i="3"/>
  <c r="L6650" i="3"/>
  <c r="M6649" i="3"/>
  <c r="L6649" i="3"/>
  <c r="M6648" i="3"/>
  <c r="L6648" i="3"/>
  <c r="M6647" i="3"/>
  <c r="L6647" i="3"/>
  <c r="M6646" i="3"/>
  <c r="L6646" i="3"/>
  <c r="M6645" i="3"/>
  <c r="L6645" i="3"/>
  <c r="M6644" i="3"/>
  <c r="L6644" i="3"/>
  <c r="M6643" i="3"/>
  <c r="L6643" i="3"/>
  <c r="M6642" i="3"/>
  <c r="L6642" i="3"/>
  <c r="M6641" i="3"/>
  <c r="L6641" i="3"/>
  <c r="M6640" i="3"/>
  <c r="L6640" i="3"/>
  <c r="M6639" i="3"/>
  <c r="L6639" i="3"/>
  <c r="M6638" i="3"/>
  <c r="L6638" i="3"/>
  <c r="M6637" i="3"/>
  <c r="L6637" i="3"/>
  <c r="M6636" i="3"/>
  <c r="L6636" i="3"/>
  <c r="M6635" i="3"/>
  <c r="L6635" i="3"/>
  <c r="M6634" i="3"/>
  <c r="L6634" i="3"/>
  <c r="M6633" i="3"/>
  <c r="L6633" i="3"/>
  <c r="M6632" i="3"/>
  <c r="L6632" i="3"/>
  <c r="M6631" i="3"/>
  <c r="L6631" i="3"/>
  <c r="M6630" i="3"/>
  <c r="L6630" i="3"/>
  <c r="M6629" i="3"/>
  <c r="L6629" i="3"/>
  <c r="M6628" i="3"/>
  <c r="L6628" i="3"/>
  <c r="M6627" i="3"/>
  <c r="L6627" i="3"/>
  <c r="M6626" i="3"/>
  <c r="L6626" i="3"/>
  <c r="M6625" i="3"/>
  <c r="L6625" i="3"/>
  <c r="M6624" i="3"/>
  <c r="L6624" i="3"/>
  <c r="M6623" i="3"/>
  <c r="L6623" i="3"/>
  <c r="M6622" i="3"/>
  <c r="L6622" i="3"/>
  <c r="M6621" i="3"/>
  <c r="L6621" i="3"/>
  <c r="M6620" i="3"/>
  <c r="L6620" i="3"/>
  <c r="M6619" i="3"/>
  <c r="L6619" i="3"/>
  <c r="M6618" i="3"/>
  <c r="L6618" i="3"/>
  <c r="M6617" i="3"/>
  <c r="L6617" i="3"/>
  <c r="M6616" i="3"/>
  <c r="L6616" i="3"/>
  <c r="M6615" i="3"/>
  <c r="L6615" i="3"/>
  <c r="M6614" i="3"/>
  <c r="L6614" i="3"/>
  <c r="M6613" i="3"/>
  <c r="L6613" i="3"/>
  <c r="M6612" i="3"/>
  <c r="L6612" i="3"/>
  <c r="M6611" i="3"/>
  <c r="L6611" i="3"/>
  <c r="M6610" i="3"/>
  <c r="L6610" i="3"/>
  <c r="M6609" i="3"/>
  <c r="L6609" i="3"/>
  <c r="M6608" i="3"/>
  <c r="L6608" i="3"/>
  <c r="M6607" i="3"/>
  <c r="L6607" i="3"/>
  <c r="M6606" i="3"/>
  <c r="L6606" i="3"/>
  <c r="M6605" i="3"/>
  <c r="L6605" i="3"/>
  <c r="M6604" i="3"/>
  <c r="L6604" i="3"/>
  <c r="M6603" i="3"/>
  <c r="L6603" i="3"/>
  <c r="M6602" i="3"/>
  <c r="L6602" i="3"/>
  <c r="M6601" i="3"/>
  <c r="L6601" i="3"/>
  <c r="M6600" i="3"/>
  <c r="L6600" i="3"/>
  <c r="M6599" i="3"/>
  <c r="L6599" i="3"/>
  <c r="M6598" i="3"/>
  <c r="L6598" i="3"/>
  <c r="M6597" i="3"/>
  <c r="L6597" i="3"/>
  <c r="M6596" i="3"/>
  <c r="L6596" i="3"/>
  <c r="M6595" i="3"/>
  <c r="L6595" i="3"/>
  <c r="M6594" i="3"/>
  <c r="L6594" i="3"/>
  <c r="M6593" i="3"/>
  <c r="L6593" i="3"/>
  <c r="M6592" i="3"/>
  <c r="L6592" i="3"/>
  <c r="M6591" i="3"/>
  <c r="L6591" i="3"/>
  <c r="M6590" i="3"/>
  <c r="L6590" i="3"/>
  <c r="M6589" i="3"/>
  <c r="L6589" i="3"/>
  <c r="M6588" i="3"/>
  <c r="L6588" i="3"/>
  <c r="M6587" i="3"/>
  <c r="L6587" i="3"/>
  <c r="M6586" i="3"/>
  <c r="L6586" i="3"/>
  <c r="M6585" i="3"/>
  <c r="L6585" i="3"/>
  <c r="M6584" i="3"/>
  <c r="L6584" i="3"/>
  <c r="M6583" i="3"/>
  <c r="L6583" i="3"/>
  <c r="M6582" i="3"/>
  <c r="L6582" i="3"/>
  <c r="M6581" i="3"/>
  <c r="L6581" i="3"/>
  <c r="M6580" i="3"/>
  <c r="L6580" i="3"/>
  <c r="M6579" i="3"/>
  <c r="L6579" i="3"/>
  <c r="M6578" i="3"/>
  <c r="L6578" i="3"/>
  <c r="M6577" i="3"/>
  <c r="L6577" i="3"/>
  <c r="M6576" i="3"/>
  <c r="L6576" i="3"/>
  <c r="M6575" i="3"/>
  <c r="L6575" i="3"/>
  <c r="M6574" i="3"/>
  <c r="L6574" i="3"/>
  <c r="M6573" i="3"/>
  <c r="L6573" i="3"/>
  <c r="M6572" i="3"/>
  <c r="L6572" i="3"/>
  <c r="M6571" i="3"/>
  <c r="L6571" i="3"/>
  <c r="M6570" i="3"/>
  <c r="L6570" i="3"/>
  <c r="M6569" i="3"/>
  <c r="L6569" i="3"/>
  <c r="M6568" i="3"/>
  <c r="L6568" i="3"/>
  <c r="M6567" i="3"/>
  <c r="L6567" i="3"/>
  <c r="M6566" i="3"/>
  <c r="L6566" i="3"/>
  <c r="M6565" i="3"/>
  <c r="L6565" i="3"/>
  <c r="M6564" i="3"/>
  <c r="L6564" i="3"/>
  <c r="M6563" i="3"/>
  <c r="L6563" i="3"/>
  <c r="M6562" i="3"/>
  <c r="L6562" i="3"/>
  <c r="M6561" i="3"/>
  <c r="L6561" i="3"/>
  <c r="M6560" i="3"/>
  <c r="L6560" i="3"/>
  <c r="M6559" i="3"/>
  <c r="L6559" i="3"/>
  <c r="M6558" i="3"/>
  <c r="L6558" i="3"/>
  <c r="M6557" i="3"/>
  <c r="L6557" i="3"/>
  <c r="M6556" i="3"/>
  <c r="L6556" i="3"/>
  <c r="M6555" i="3"/>
  <c r="L6555" i="3"/>
  <c r="M6554" i="3"/>
  <c r="L6554" i="3"/>
  <c r="M6553" i="3"/>
  <c r="L6553" i="3"/>
  <c r="M6552" i="3"/>
  <c r="L6552" i="3"/>
  <c r="M6551" i="3"/>
  <c r="L6551" i="3"/>
  <c r="M6550" i="3"/>
  <c r="L6550" i="3"/>
  <c r="M6549" i="3"/>
  <c r="L6549" i="3"/>
  <c r="M6548" i="3"/>
  <c r="L6548" i="3"/>
  <c r="M6547" i="3"/>
  <c r="L6547" i="3"/>
  <c r="M6546" i="3"/>
  <c r="L6546" i="3"/>
  <c r="M6545" i="3"/>
  <c r="L6545" i="3"/>
  <c r="M6544" i="3"/>
  <c r="L6544" i="3"/>
  <c r="M6543" i="3"/>
  <c r="L6543" i="3"/>
  <c r="M6542" i="3"/>
  <c r="L6542" i="3"/>
  <c r="M6541" i="3"/>
  <c r="L6541" i="3"/>
  <c r="M6540" i="3"/>
  <c r="L6540" i="3"/>
  <c r="M6539" i="3"/>
  <c r="L6539" i="3"/>
  <c r="M6538" i="3"/>
  <c r="L6538" i="3"/>
  <c r="M6537" i="3"/>
  <c r="L6537" i="3"/>
  <c r="M6536" i="3"/>
  <c r="L6536" i="3"/>
  <c r="M6535" i="3"/>
  <c r="L6535" i="3"/>
  <c r="M6534" i="3"/>
  <c r="L6534" i="3"/>
  <c r="M6533" i="3"/>
  <c r="L6533" i="3"/>
  <c r="M6532" i="3"/>
  <c r="L6532" i="3"/>
  <c r="M6531" i="3"/>
  <c r="L6531" i="3"/>
  <c r="M6530" i="3"/>
  <c r="L6530" i="3"/>
  <c r="M6529" i="3"/>
  <c r="L6529" i="3"/>
  <c r="M6528" i="3"/>
  <c r="L6528" i="3"/>
  <c r="M6527" i="3"/>
  <c r="L6527" i="3"/>
  <c r="M6526" i="3"/>
  <c r="L6526" i="3"/>
  <c r="M6525" i="3"/>
  <c r="L6525" i="3"/>
  <c r="M6524" i="3"/>
  <c r="L6524" i="3"/>
  <c r="M6523" i="3"/>
  <c r="L6523" i="3"/>
  <c r="M6522" i="3"/>
  <c r="L6522" i="3"/>
  <c r="M6521" i="3"/>
  <c r="L6521" i="3"/>
  <c r="M6520" i="3"/>
  <c r="L6520" i="3"/>
  <c r="M6519" i="3"/>
  <c r="L6519" i="3"/>
  <c r="M6518" i="3"/>
  <c r="L6518" i="3"/>
  <c r="M6517" i="3"/>
  <c r="L6517" i="3"/>
  <c r="M6516" i="3"/>
  <c r="L6516" i="3"/>
  <c r="M6515" i="3"/>
  <c r="L6515" i="3"/>
  <c r="M6514" i="3"/>
  <c r="L6514" i="3"/>
  <c r="M6513" i="3"/>
  <c r="L6513" i="3"/>
  <c r="M6512" i="3"/>
  <c r="L6512" i="3"/>
  <c r="M6511" i="3"/>
  <c r="L6511" i="3"/>
  <c r="M6510" i="3"/>
  <c r="L6510" i="3"/>
  <c r="M6509" i="3"/>
  <c r="L6509" i="3"/>
  <c r="M6508" i="3"/>
  <c r="L6508" i="3"/>
  <c r="M6507" i="3"/>
  <c r="L6507" i="3"/>
  <c r="M6506" i="3"/>
  <c r="L6506" i="3"/>
  <c r="M6505" i="3"/>
  <c r="L6505" i="3"/>
  <c r="M6504" i="3"/>
  <c r="L6504" i="3"/>
  <c r="M6503" i="3"/>
  <c r="L6503" i="3"/>
  <c r="M6502" i="3"/>
  <c r="L6502" i="3"/>
  <c r="M6501" i="3"/>
  <c r="L6501" i="3"/>
  <c r="M6500" i="3"/>
  <c r="L6500" i="3"/>
  <c r="M6499" i="3"/>
  <c r="L6499" i="3"/>
  <c r="M6498" i="3"/>
  <c r="L6498" i="3"/>
  <c r="M6497" i="3"/>
  <c r="L6497" i="3"/>
  <c r="M6496" i="3"/>
  <c r="L6496" i="3"/>
  <c r="M6495" i="3"/>
  <c r="L6495" i="3"/>
  <c r="M6494" i="3"/>
  <c r="L6494" i="3"/>
  <c r="M6493" i="3"/>
  <c r="L6493" i="3"/>
  <c r="M6492" i="3"/>
  <c r="L6492" i="3"/>
  <c r="M6491" i="3"/>
  <c r="L6491" i="3"/>
  <c r="M6490" i="3"/>
  <c r="L6490" i="3"/>
  <c r="M6489" i="3"/>
  <c r="L6489" i="3"/>
  <c r="M6488" i="3"/>
  <c r="L6488" i="3"/>
  <c r="M6487" i="3"/>
  <c r="L6487" i="3"/>
  <c r="M6486" i="3"/>
  <c r="L6486" i="3"/>
  <c r="M6485" i="3"/>
  <c r="L6485" i="3"/>
  <c r="M6484" i="3"/>
  <c r="L6484" i="3"/>
  <c r="M6483" i="3"/>
  <c r="L6483" i="3"/>
  <c r="M6482" i="3"/>
  <c r="L6482" i="3"/>
  <c r="M6481" i="3"/>
  <c r="L6481" i="3"/>
  <c r="M6480" i="3"/>
  <c r="L6480" i="3"/>
  <c r="M6479" i="3"/>
  <c r="L6479" i="3"/>
  <c r="M6478" i="3"/>
  <c r="L6478" i="3"/>
  <c r="M6477" i="3"/>
  <c r="L6477" i="3"/>
  <c r="M6476" i="3"/>
  <c r="L6476" i="3"/>
  <c r="M6475" i="3"/>
  <c r="L6475" i="3"/>
  <c r="M6474" i="3"/>
  <c r="L6474" i="3"/>
  <c r="M6473" i="3"/>
  <c r="L6473" i="3"/>
  <c r="M6472" i="3"/>
  <c r="L6472" i="3"/>
  <c r="M6471" i="3"/>
  <c r="L6471" i="3"/>
  <c r="M6470" i="3"/>
  <c r="L6470" i="3"/>
  <c r="M6469" i="3"/>
  <c r="L6469" i="3"/>
  <c r="M6468" i="3"/>
  <c r="L6468" i="3"/>
  <c r="M6467" i="3"/>
  <c r="L6467" i="3"/>
  <c r="M6466" i="3"/>
  <c r="L6466" i="3"/>
  <c r="M6465" i="3"/>
  <c r="L6465" i="3"/>
  <c r="M6464" i="3"/>
  <c r="L6464" i="3"/>
  <c r="M6463" i="3"/>
  <c r="L6463" i="3"/>
  <c r="M6462" i="3"/>
  <c r="L6462" i="3"/>
  <c r="M6461" i="3"/>
  <c r="L6461" i="3"/>
  <c r="M6460" i="3"/>
  <c r="L6460" i="3"/>
  <c r="M6459" i="3"/>
  <c r="L6459" i="3"/>
  <c r="M6458" i="3"/>
  <c r="L6458" i="3"/>
  <c r="M6457" i="3"/>
  <c r="L6457" i="3"/>
  <c r="M6456" i="3"/>
  <c r="L6456" i="3"/>
  <c r="M6455" i="3"/>
  <c r="L6455" i="3"/>
  <c r="M6454" i="3"/>
  <c r="L6454" i="3"/>
  <c r="M6453" i="3"/>
  <c r="L6453" i="3"/>
  <c r="M6452" i="3"/>
  <c r="L6452" i="3"/>
  <c r="M6451" i="3"/>
  <c r="L6451" i="3"/>
  <c r="M6450" i="3"/>
  <c r="L6450" i="3"/>
  <c r="M6449" i="3"/>
  <c r="L6449" i="3"/>
  <c r="M6448" i="3"/>
  <c r="L6448" i="3"/>
  <c r="M6447" i="3"/>
  <c r="L6447" i="3"/>
  <c r="M6446" i="3"/>
  <c r="L6446" i="3"/>
  <c r="M6445" i="3"/>
  <c r="L6445" i="3"/>
  <c r="M6444" i="3"/>
  <c r="L6444" i="3"/>
  <c r="M6443" i="3"/>
  <c r="L6443" i="3"/>
  <c r="M6442" i="3"/>
  <c r="L6442" i="3"/>
  <c r="M6441" i="3"/>
  <c r="L6441" i="3"/>
  <c r="M6440" i="3"/>
  <c r="L6440" i="3"/>
  <c r="M6439" i="3"/>
  <c r="L6439" i="3"/>
  <c r="M6438" i="3"/>
  <c r="L6438" i="3"/>
  <c r="M6437" i="3"/>
  <c r="L6437" i="3"/>
  <c r="M6436" i="3"/>
  <c r="L6436" i="3"/>
  <c r="M6435" i="3"/>
  <c r="L6435" i="3"/>
  <c r="M6434" i="3"/>
  <c r="L6434" i="3"/>
  <c r="M6433" i="3"/>
  <c r="L6433" i="3"/>
  <c r="M6432" i="3"/>
  <c r="L6432" i="3"/>
  <c r="M6431" i="3"/>
  <c r="L6431" i="3"/>
  <c r="M6430" i="3"/>
  <c r="L6430" i="3"/>
  <c r="M6429" i="3"/>
  <c r="L6429" i="3"/>
  <c r="M6428" i="3"/>
  <c r="L6428" i="3"/>
  <c r="M6427" i="3"/>
  <c r="L6427" i="3"/>
  <c r="M6426" i="3"/>
  <c r="L6426" i="3"/>
  <c r="M6425" i="3"/>
  <c r="L6425" i="3"/>
  <c r="M6424" i="3"/>
  <c r="L6424" i="3"/>
  <c r="M6423" i="3"/>
  <c r="L6423" i="3"/>
  <c r="M6422" i="3"/>
  <c r="L6422" i="3"/>
  <c r="M6421" i="3"/>
  <c r="L6421" i="3"/>
  <c r="M6420" i="3"/>
  <c r="L6420" i="3"/>
  <c r="M6419" i="3"/>
  <c r="L6419" i="3"/>
  <c r="M6418" i="3"/>
  <c r="L6418" i="3"/>
  <c r="M6417" i="3"/>
  <c r="L6417" i="3"/>
  <c r="M6416" i="3"/>
  <c r="L6416" i="3"/>
  <c r="M6415" i="3"/>
  <c r="L6415" i="3"/>
  <c r="M6414" i="3"/>
  <c r="L6414" i="3"/>
  <c r="M6413" i="3"/>
  <c r="L6413" i="3"/>
  <c r="M6412" i="3"/>
  <c r="L6412" i="3"/>
  <c r="M6411" i="3"/>
  <c r="L6411" i="3"/>
  <c r="M6410" i="3"/>
  <c r="L6410" i="3"/>
  <c r="M6409" i="3"/>
  <c r="L6409" i="3"/>
  <c r="M6408" i="3"/>
  <c r="L6408" i="3"/>
  <c r="M6407" i="3"/>
  <c r="L6407" i="3"/>
  <c r="M6406" i="3"/>
  <c r="L6406" i="3"/>
  <c r="M6405" i="3"/>
  <c r="L6405" i="3"/>
  <c r="M6404" i="3"/>
  <c r="L6404" i="3"/>
  <c r="M6403" i="3"/>
  <c r="L6403" i="3"/>
  <c r="M6402" i="3"/>
  <c r="L6402" i="3"/>
  <c r="M6401" i="3"/>
  <c r="L6401" i="3"/>
  <c r="M6400" i="3"/>
  <c r="L6400" i="3"/>
  <c r="M6399" i="3"/>
  <c r="L6399" i="3"/>
  <c r="M6398" i="3"/>
  <c r="L6398" i="3"/>
  <c r="M6397" i="3"/>
  <c r="L6397" i="3"/>
  <c r="M6396" i="3"/>
  <c r="L6396" i="3"/>
  <c r="M6395" i="3"/>
  <c r="L6395" i="3"/>
  <c r="M6394" i="3"/>
  <c r="L6394" i="3"/>
  <c r="M6393" i="3"/>
  <c r="L6393" i="3"/>
  <c r="M6392" i="3"/>
  <c r="L6392" i="3"/>
  <c r="M6391" i="3"/>
  <c r="L6391" i="3"/>
  <c r="M6390" i="3"/>
  <c r="L6390" i="3"/>
  <c r="M6389" i="3"/>
  <c r="L6389" i="3"/>
  <c r="M6388" i="3"/>
  <c r="L6388" i="3"/>
  <c r="M6387" i="3"/>
  <c r="L6387" i="3"/>
  <c r="M6386" i="3"/>
  <c r="L6386" i="3"/>
  <c r="M6385" i="3"/>
  <c r="L6385" i="3"/>
  <c r="M6384" i="3"/>
  <c r="L6384" i="3"/>
  <c r="M6383" i="3"/>
  <c r="L6383" i="3"/>
  <c r="M6382" i="3"/>
  <c r="L6382" i="3"/>
  <c r="M6381" i="3"/>
  <c r="L6381" i="3"/>
  <c r="M6380" i="3"/>
  <c r="L6380" i="3"/>
  <c r="M6379" i="3"/>
  <c r="L6379" i="3"/>
  <c r="M6378" i="3"/>
  <c r="L6378" i="3"/>
  <c r="M6377" i="3"/>
  <c r="L6377" i="3"/>
  <c r="M6376" i="3"/>
  <c r="L6376" i="3"/>
  <c r="M6375" i="3"/>
  <c r="L6375" i="3"/>
  <c r="M6374" i="3"/>
  <c r="L6374" i="3"/>
  <c r="M6373" i="3"/>
  <c r="L6373" i="3"/>
  <c r="M6372" i="3"/>
  <c r="L6372" i="3"/>
  <c r="M6371" i="3"/>
  <c r="L6371" i="3"/>
  <c r="M6370" i="3"/>
  <c r="L6370" i="3"/>
  <c r="M6369" i="3"/>
  <c r="L6369" i="3"/>
  <c r="M6368" i="3"/>
  <c r="L6368" i="3"/>
  <c r="M6367" i="3"/>
  <c r="L6367" i="3"/>
  <c r="M6366" i="3"/>
  <c r="L6366" i="3"/>
  <c r="M6365" i="3"/>
  <c r="L6365" i="3"/>
  <c r="M6364" i="3"/>
  <c r="L6364" i="3"/>
  <c r="M6363" i="3"/>
  <c r="L6363" i="3"/>
  <c r="M6362" i="3"/>
  <c r="L6362" i="3"/>
  <c r="M6361" i="3"/>
  <c r="L6361" i="3"/>
  <c r="M6360" i="3"/>
  <c r="L6360" i="3"/>
  <c r="M6359" i="3"/>
  <c r="L6359" i="3"/>
  <c r="M6358" i="3"/>
  <c r="L6358" i="3"/>
  <c r="M6357" i="3"/>
  <c r="L6357" i="3"/>
  <c r="M6356" i="3"/>
  <c r="L6356" i="3"/>
  <c r="M6355" i="3"/>
  <c r="L6355" i="3"/>
  <c r="M6354" i="3"/>
  <c r="L6354" i="3"/>
  <c r="M6353" i="3"/>
  <c r="L6353" i="3"/>
  <c r="M6352" i="3"/>
  <c r="L6352" i="3"/>
  <c r="M6351" i="3"/>
  <c r="L6351" i="3"/>
  <c r="M6350" i="3"/>
  <c r="L6350" i="3"/>
  <c r="M6349" i="3"/>
  <c r="L6349" i="3"/>
  <c r="M6348" i="3"/>
  <c r="L6348" i="3"/>
  <c r="M6347" i="3"/>
  <c r="L6347" i="3"/>
  <c r="M6346" i="3"/>
  <c r="L6346" i="3"/>
  <c r="M6345" i="3"/>
  <c r="L6345" i="3"/>
  <c r="M6344" i="3"/>
  <c r="L6344" i="3"/>
  <c r="M6343" i="3"/>
  <c r="L6343" i="3"/>
  <c r="M6342" i="3"/>
  <c r="L6342" i="3"/>
  <c r="M6341" i="3"/>
  <c r="L6341" i="3"/>
  <c r="M6340" i="3"/>
  <c r="L6340" i="3"/>
  <c r="M6339" i="3"/>
  <c r="L6339" i="3"/>
  <c r="M6338" i="3"/>
  <c r="L6338" i="3"/>
  <c r="M6337" i="3"/>
  <c r="L6337" i="3"/>
  <c r="M6336" i="3"/>
  <c r="L6336" i="3"/>
  <c r="M6335" i="3"/>
  <c r="L6335" i="3"/>
  <c r="M6334" i="3"/>
  <c r="L6334" i="3"/>
  <c r="M6333" i="3"/>
  <c r="L6333" i="3"/>
  <c r="M6332" i="3"/>
  <c r="L6332" i="3"/>
  <c r="M6331" i="3"/>
  <c r="L6331" i="3"/>
  <c r="M6330" i="3"/>
  <c r="L6330" i="3"/>
  <c r="M6329" i="3"/>
  <c r="L6329" i="3"/>
  <c r="M6328" i="3"/>
  <c r="L6328" i="3"/>
  <c r="M6327" i="3"/>
  <c r="L6327" i="3"/>
  <c r="M6326" i="3"/>
  <c r="L6326" i="3"/>
  <c r="M6325" i="3"/>
  <c r="L6325" i="3"/>
  <c r="M6324" i="3"/>
  <c r="L6324" i="3"/>
  <c r="M6323" i="3"/>
  <c r="L6323" i="3"/>
  <c r="M6322" i="3"/>
  <c r="L6322" i="3"/>
  <c r="M6321" i="3"/>
  <c r="L6321" i="3"/>
  <c r="M6320" i="3"/>
  <c r="L6320" i="3"/>
  <c r="M6319" i="3"/>
  <c r="L6319" i="3"/>
  <c r="M6318" i="3"/>
  <c r="L6318" i="3"/>
  <c r="M6317" i="3"/>
  <c r="L6317" i="3"/>
  <c r="M6316" i="3"/>
  <c r="L6316" i="3"/>
  <c r="M6315" i="3"/>
  <c r="L6315" i="3"/>
  <c r="M6314" i="3"/>
  <c r="L6314" i="3"/>
  <c r="M6313" i="3"/>
  <c r="L6313" i="3"/>
  <c r="M6312" i="3"/>
  <c r="L6312" i="3"/>
  <c r="M6311" i="3"/>
  <c r="L6311" i="3"/>
  <c r="M6310" i="3"/>
  <c r="L6310" i="3"/>
  <c r="M6309" i="3"/>
  <c r="L6309" i="3"/>
  <c r="M6308" i="3"/>
  <c r="L6308" i="3"/>
  <c r="M6307" i="3"/>
  <c r="L6307" i="3"/>
  <c r="M6306" i="3"/>
  <c r="L6306" i="3"/>
  <c r="M6305" i="3"/>
  <c r="L6305" i="3"/>
  <c r="M6304" i="3"/>
  <c r="L6304" i="3"/>
  <c r="M6303" i="3"/>
  <c r="L6303" i="3"/>
  <c r="M6302" i="3"/>
  <c r="L6302" i="3"/>
  <c r="M6301" i="3"/>
  <c r="L6301" i="3"/>
  <c r="M6300" i="3"/>
  <c r="L6300" i="3"/>
  <c r="M6299" i="3"/>
  <c r="L6299" i="3"/>
  <c r="M6298" i="3"/>
  <c r="L6298" i="3"/>
  <c r="M6297" i="3"/>
  <c r="L6297" i="3"/>
  <c r="M6296" i="3"/>
  <c r="L6296" i="3"/>
  <c r="M6295" i="3"/>
  <c r="L6295" i="3"/>
  <c r="M6294" i="3"/>
  <c r="L6294" i="3"/>
  <c r="M6293" i="3"/>
  <c r="L6293" i="3"/>
  <c r="M6292" i="3"/>
  <c r="L6292" i="3"/>
  <c r="M6291" i="3"/>
  <c r="L6291" i="3"/>
  <c r="M6290" i="3"/>
  <c r="L6290" i="3"/>
  <c r="M6289" i="3"/>
  <c r="L6289" i="3"/>
  <c r="M6288" i="3"/>
  <c r="L6288" i="3"/>
  <c r="M6287" i="3"/>
  <c r="L6287" i="3"/>
  <c r="M6286" i="3"/>
  <c r="L6286" i="3"/>
  <c r="M6285" i="3"/>
  <c r="L6285" i="3"/>
  <c r="M6284" i="3"/>
  <c r="L6284" i="3"/>
  <c r="M6283" i="3"/>
  <c r="L6283" i="3"/>
  <c r="M6282" i="3"/>
  <c r="L6282" i="3"/>
  <c r="M6281" i="3"/>
  <c r="L6281" i="3"/>
  <c r="M6280" i="3"/>
  <c r="L6280" i="3"/>
  <c r="M6279" i="3"/>
  <c r="L6279" i="3"/>
  <c r="M6278" i="3"/>
  <c r="L6278" i="3"/>
  <c r="M6277" i="3"/>
  <c r="L6277" i="3"/>
  <c r="M6276" i="3"/>
  <c r="L6276" i="3"/>
  <c r="M6275" i="3"/>
  <c r="L6275" i="3"/>
  <c r="M6274" i="3"/>
  <c r="L6274" i="3"/>
  <c r="M6273" i="3"/>
  <c r="L6273" i="3"/>
  <c r="M6272" i="3"/>
  <c r="L6272" i="3"/>
  <c r="M6271" i="3"/>
  <c r="L6271" i="3"/>
  <c r="M6270" i="3"/>
  <c r="L6270" i="3"/>
  <c r="M6269" i="3"/>
  <c r="L6269" i="3"/>
  <c r="M6268" i="3"/>
  <c r="L6268" i="3"/>
  <c r="M6267" i="3"/>
  <c r="L6267" i="3"/>
  <c r="M6266" i="3"/>
  <c r="L6266" i="3"/>
  <c r="M6265" i="3"/>
  <c r="L6265" i="3"/>
  <c r="M6264" i="3"/>
  <c r="L6264" i="3"/>
  <c r="M6263" i="3"/>
  <c r="L6263" i="3"/>
  <c r="M6262" i="3"/>
  <c r="L6262" i="3"/>
  <c r="M6261" i="3"/>
  <c r="L6261" i="3"/>
  <c r="M6260" i="3"/>
  <c r="L6260" i="3"/>
  <c r="M6259" i="3"/>
  <c r="L6259" i="3"/>
  <c r="M6258" i="3"/>
  <c r="L6258" i="3"/>
  <c r="M6257" i="3"/>
  <c r="L6257" i="3"/>
  <c r="M6256" i="3"/>
  <c r="L6256" i="3"/>
  <c r="M6255" i="3"/>
  <c r="L6255" i="3"/>
  <c r="M6254" i="3"/>
  <c r="L6254" i="3"/>
  <c r="M6253" i="3"/>
  <c r="L6253" i="3"/>
  <c r="M6252" i="3"/>
  <c r="L6252" i="3"/>
  <c r="M6251" i="3"/>
  <c r="L6251" i="3"/>
  <c r="M6250" i="3"/>
  <c r="L6250" i="3"/>
  <c r="M6249" i="3"/>
  <c r="L6249" i="3"/>
  <c r="M6248" i="3"/>
  <c r="L6248" i="3"/>
  <c r="M6247" i="3"/>
  <c r="L6247" i="3"/>
  <c r="M6246" i="3"/>
  <c r="L6246" i="3"/>
  <c r="M6245" i="3"/>
  <c r="L6245" i="3"/>
  <c r="M6244" i="3"/>
  <c r="L6244" i="3"/>
  <c r="M6243" i="3"/>
  <c r="L6243" i="3"/>
  <c r="M6242" i="3"/>
  <c r="L6242" i="3"/>
  <c r="M6241" i="3"/>
  <c r="L6241" i="3"/>
  <c r="M6240" i="3"/>
  <c r="L6240" i="3"/>
  <c r="M6239" i="3"/>
  <c r="L6239" i="3"/>
  <c r="M6238" i="3"/>
  <c r="L6238" i="3"/>
  <c r="M6237" i="3"/>
  <c r="L6237" i="3"/>
  <c r="M6236" i="3"/>
  <c r="L6236" i="3"/>
  <c r="M6235" i="3"/>
  <c r="L6235" i="3"/>
  <c r="M6234" i="3"/>
  <c r="L6234" i="3"/>
  <c r="M6233" i="3"/>
  <c r="L6233" i="3"/>
  <c r="M6232" i="3"/>
  <c r="L6232" i="3"/>
  <c r="M6231" i="3"/>
  <c r="L6231" i="3"/>
  <c r="M6230" i="3"/>
  <c r="L6230" i="3"/>
  <c r="M6229" i="3"/>
  <c r="L6229" i="3"/>
  <c r="M6228" i="3"/>
  <c r="L6228" i="3"/>
  <c r="M6227" i="3"/>
  <c r="L6227" i="3"/>
  <c r="M6226" i="3"/>
  <c r="L6226" i="3"/>
  <c r="M6225" i="3"/>
  <c r="L6225" i="3"/>
  <c r="M6224" i="3"/>
  <c r="L6224" i="3"/>
  <c r="M6223" i="3"/>
  <c r="L6223" i="3"/>
  <c r="M6222" i="3"/>
  <c r="L6222" i="3"/>
  <c r="M6221" i="3"/>
  <c r="L6221" i="3"/>
  <c r="M6220" i="3"/>
  <c r="L6220" i="3"/>
  <c r="M6219" i="3"/>
  <c r="L6219" i="3"/>
  <c r="M6218" i="3"/>
  <c r="L6218" i="3"/>
  <c r="M6217" i="3"/>
  <c r="L6217" i="3"/>
  <c r="M6216" i="3"/>
  <c r="L6216" i="3"/>
  <c r="M6215" i="3"/>
  <c r="L6215" i="3"/>
  <c r="M6214" i="3"/>
  <c r="L6214" i="3"/>
  <c r="M6213" i="3"/>
  <c r="L6213" i="3"/>
  <c r="M6212" i="3"/>
  <c r="L6212" i="3"/>
  <c r="M6211" i="3"/>
  <c r="L6211" i="3"/>
  <c r="M6210" i="3"/>
  <c r="L6210" i="3"/>
  <c r="M6209" i="3"/>
  <c r="L6209" i="3"/>
  <c r="M6208" i="3"/>
  <c r="L6208" i="3"/>
  <c r="M6207" i="3"/>
  <c r="L6207" i="3"/>
  <c r="M6206" i="3"/>
  <c r="L6206" i="3"/>
  <c r="M6205" i="3"/>
  <c r="L6205" i="3"/>
  <c r="M6204" i="3"/>
  <c r="L6204" i="3"/>
  <c r="M6203" i="3"/>
  <c r="L6203" i="3"/>
  <c r="M6202" i="3"/>
  <c r="L6202" i="3"/>
  <c r="M6201" i="3"/>
  <c r="L6201" i="3"/>
  <c r="M6200" i="3"/>
  <c r="L6200" i="3"/>
  <c r="M6199" i="3"/>
  <c r="L6199" i="3"/>
  <c r="M6198" i="3"/>
  <c r="L6198" i="3"/>
  <c r="M6197" i="3"/>
  <c r="L6197" i="3"/>
  <c r="M6196" i="3"/>
  <c r="L6196" i="3"/>
  <c r="M6195" i="3"/>
  <c r="L6195" i="3"/>
  <c r="M6194" i="3"/>
  <c r="L6194" i="3"/>
  <c r="M6193" i="3"/>
  <c r="L6193" i="3"/>
  <c r="M6192" i="3"/>
  <c r="L6192" i="3"/>
  <c r="M6191" i="3"/>
  <c r="L6191" i="3"/>
  <c r="M6190" i="3"/>
  <c r="L6190" i="3"/>
  <c r="M6189" i="3"/>
  <c r="L6189" i="3"/>
  <c r="M6188" i="3"/>
  <c r="L6188" i="3"/>
  <c r="M6187" i="3"/>
  <c r="L6187" i="3"/>
  <c r="M6186" i="3"/>
  <c r="L6186" i="3"/>
  <c r="M6185" i="3"/>
  <c r="L6185" i="3"/>
  <c r="M6184" i="3"/>
  <c r="L6184" i="3"/>
  <c r="M6183" i="3"/>
  <c r="L6183" i="3"/>
  <c r="M6182" i="3"/>
  <c r="L6182" i="3"/>
  <c r="M6181" i="3"/>
  <c r="L6181" i="3"/>
  <c r="M6180" i="3"/>
  <c r="L6180" i="3"/>
  <c r="M6179" i="3"/>
  <c r="L6179" i="3"/>
  <c r="M6178" i="3"/>
  <c r="L6178" i="3"/>
  <c r="M6177" i="3"/>
  <c r="L6177" i="3"/>
  <c r="M6176" i="3"/>
  <c r="L6176" i="3"/>
  <c r="M6175" i="3"/>
  <c r="L6175" i="3"/>
  <c r="M6174" i="3"/>
  <c r="L6174" i="3"/>
  <c r="M6173" i="3"/>
  <c r="L6173" i="3"/>
  <c r="M6172" i="3"/>
  <c r="L6172" i="3"/>
  <c r="M6171" i="3"/>
  <c r="L6171" i="3"/>
  <c r="M6170" i="3"/>
  <c r="L6170" i="3"/>
  <c r="M6169" i="3"/>
  <c r="L6169" i="3"/>
  <c r="M6168" i="3"/>
  <c r="L6168" i="3"/>
  <c r="M6167" i="3"/>
  <c r="L6167" i="3"/>
  <c r="M6166" i="3"/>
  <c r="L6166" i="3"/>
  <c r="M6165" i="3"/>
  <c r="L6165" i="3"/>
  <c r="M6164" i="3"/>
  <c r="L6164" i="3"/>
  <c r="M6163" i="3"/>
  <c r="L6163" i="3"/>
  <c r="M6162" i="3"/>
  <c r="L6162" i="3"/>
  <c r="M6161" i="3"/>
  <c r="L6161" i="3"/>
  <c r="M6160" i="3"/>
  <c r="L6160" i="3"/>
  <c r="M6159" i="3"/>
  <c r="L6159" i="3"/>
  <c r="M6158" i="3"/>
  <c r="L6158" i="3"/>
  <c r="M6157" i="3"/>
  <c r="L6157" i="3"/>
  <c r="M6156" i="3"/>
  <c r="L6156" i="3"/>
  <c r="M6155" i="3"/>
  <c r="L6155" i="3"/>
  <c r="M6154" i="3"/>
  <c r="L6154" i="3"/>
  <c r="M6153" i="3"/>
  <c r="L6153" i="3"/>
  <c r="M6152" i="3"/>
  <c r="L6152" i="3"/>
  <c r="M6151" i="3"/>
  <c r="L6151" i="3"/>
  <c r="M6150" i="3"/>
  <c r="L6150" i="3"/>
  <c r="M6149" i="3"/>
  <c r="L6149" i="3"/>
  <c r="M6148" i="3"/>
  <c r="L6148" i="3"/>
  <c r="M6147" i="3"/>
  <c r="L6147" i="3"/>
  <c r="M6146" i="3"/>
  <c r="L6146" i="3"/>
  <c r="M6145" i="3"/>
  <c r="L6145" i="3"/>
  <c r="M6144" i="3"/>
  <c r="L6144" i="3"/>
  <c r="M6143" i="3"/>
  <c r="L6143" i="3"/>
  <c r="M6142" i="3"/>
  <c r="L6142" i="3"/>
  <c r="M6141" i="3"/>
  <c r="L6141" i="3"/>
  <c r="M6140" i="3"/>
  <c r="L6140" i="3"/>
  <c r="M6139" i="3"/>
  <c r="L6139" i="3"/>
  <c r="M6138" i="3"/>
  <c r="L6138" i="3"/>
  <c r="M6137" i="3"/>
  <c r="L6137" i="3"/>
  <c r="M6136" i="3"/>
  <c r="L6136" i="3"/>
  <c r="M6135" i="3"/>
  <c r="L6135" i="3"/>
  <c r="M6134" i="3"/>
  <c r="L6134" i="3"/>
  <c r="M6133" i="3"/>
  <c r="L6133" i="3"/>
  <c r="M6132" i="3"/>
  <c r="L6132" i="3"/>
  <c r="M6131" i="3"/>
  <c r="L6131" i="3"/>
  <c r="M6130" i="3"/>
  <c r="L6130" i="3"/>
  <c r="M6129" i="3"/>
  <c r="L6129" i="3"/>
  <c r="M6128" i="3"/>
  <c r="L6128" i="3"/>
  <c r="M6127" i="3"/>
  <c r="L6127" i="3"/>
  <c r="M6126" i="3"/>
  <c r="L6126" i="3"/>
  <c r="M6125" i="3"/>
  <c r="L6125" i="3"/>
  <c r="M6124" i="3"/>
  <c r="L6124" i="3"/>
  <c r="M6123" i="3"/>
  <c r="L6123" i="3"/>
  <c r="M6122" i="3"/>
  <c r="L6122" i="3"/>
  <c r="M6121" i="3"/>
  <c r="L6121" i="3"/>
  <c r="M6120" i="3"/>
  <c r="L6120" i="3"/>
  <c r="M6119" i="3"/>
  <c r="L6119" i="3"/>
  <c r="M6118" i="3"/>
  <c r="L6118" i="3"/>
  <c r="M6117" i="3"/>
  <c r="L6117" i="3"/>
  <c r="M6116" i="3"/>
  <c r="L6116" i="3"/>
  <c r="M6115" i="3"/>
  <c r="L6115" i="3"/>
  <c r="M6114" i="3"/>
  <c r="L6114" i="3"/>
  <c r="M6113" i="3"/>
  <c r="L6113" i="3"/>
  <c r="M6112" i="3"/>
  <c r="L6112" i="3"/>
  <c r="M6111" i="3"/>
  <c r="L6111" i="3"/>
  <c r="M6110" i="3"/>
  <c r="L6110" i="3"/>
  <c r="M6109" i="3"/>
  <c r="L6109" i="3"/>
  <c r="M6108" i="3"/>
  <c r="L6108" i="3"/>
  <c r="M6107" i="3"/>
  <c r="L6107" i="3"/>
  <c r="M6106" i="3"/>
  <c r="L6106" i="3"/>
  <c r="M6105" i="3"/>
  <c r="L6105" i="3"/>
  <c r="M6104" i="3"/>
  <c r="L6104" i="3"/>
  <c r="M6103" i="3"/>
  <c r="L6103" i="3"/>
  <c r="M6102" i="3"/>
  <c r="L6102" i="3"/>
  <c r="M6101" i="3"/>
  <c r="L6101" i="3"/>
  <c r="M6100" i="3"/>
  <c r="L6100" i="3"/>
  <c r="M6099" i="3"/>
  <c r="L6099" i="3"/>
  <c r="M6098" i="3"/>
  <c r="L6098" i="3"/>
  <c r="M6097" i="3"/>
  <c r="L6097" i="3"/>
  <c r="M6096" i="3"/>
  <c r="L6096" i="3"/>
  <c r="M6095" i="3"/>
  <c r="L6095" i="3"/>
  <c r="M6094" i="3"/>
  <c r="L6094" i="3"/>
  <c r="M6093" i="3"/>
  <c r="L6093" i="3"/>
  <c r="M6092" i="3"/>
  <c r="L6092" i="3"/>
  <c r="M6091" i="3"/>
  <c r="L6091" i="3"/>
  <c r="M6090" i="3"/>
  <c r="L6090" i="3"/>
  <c r="M6089" i="3"/>
  <c r="L6089" i="3"/>
  <c r="M6088" i="3"/>
  <c r="L6088" i="3"/>
  <c r="M6087" i="3"/>
  <c r="L6087" i="3"/>
  <c r="M6086" i="3"/>
  <c r="L6086" i="3"/>
  <c r="M6085" i="3"/>
  <c r="L6085" i="3"/>
  <c r="M6084" i="3"/>
  <c r="L6084" i="3"/>
  <c r="M6083" i="3"/>
  <c r="L6083" i="3"/>
  <c r="M6082" i="3"/>
  <c r="L6082" i="3"/>
  <c r="M6081" i="3"/>
  <c r="L6081" i="3"/>
  <c r="M6080" i="3"/>
  <c r="L6080" i="3"/>
  <c r="M6079" i="3"/>
  <c r="L6079" i="3"/>
  <c r="M6078" i="3"/>
  <c r="L6078" i="3"/>
  <c r="M6077" i="3"/>
  <c r="L6077" i="3"/>
  <c r="M6076" i="3"/>
  <c r="L6076" i="3"/>
  <c r="M6075" i="3"/>
  <c r="L6075" i="3"/>
  <c r="M6074" i="3"/>
  <c r="L6074" i="3"/>
  <c r="M6073" i="3"/>
  <c r="L6073" i="3"/>
  <c r="M6072" i="3"/>
  <c r="L6072" i="3"/>
  <c r="M6071" i="3"/>
  <c r="L6071" i="3"/>
  <c r="M6070" i="3"/>
  <c r="L6070" i="3"/>
  <c r="M6069" i="3"/>
  <c r="L6069" i="3"/>
  <c r="M6068" i="3"/>
  <c r="L6068" i="3"/>
  <c r="M6067" i="3"/>
  <c r="L6067" i="3"/>
  <c r="M6066" i="3"/>
  <c r="L6066" i="3"/>
  <c r="M6065" i="3"/>
  <c r="L6065" i="3"/>
  <c r="M6064" i="3"/>
  <c r="L6064" i="3"/>
  <c r="M6063" i="3"/>
  <c r="L6063" i="3"/>
  <c r="M6062" i="3"/>
  <c r="L6062" i="3"/>
  <c r="M6061" i="3"/>
  <c r="L6061" i="3"/>
  <c r="M6060" i="3"/>
  <c r="L6060" i="3"/>
  <c r="M6059" i="3"/>
  <c r="L6059" i="3"/>
  <c r="M6058" i="3"/>
  <c r="L6058" i="3"/>
  <c r="M6057" i="3"/>
  <c r="L6057" i="3"/>
  <c r="M6056" i="3"/>
  <c r="L6056" i="3"/>
  <c r="M6055" i="3"/>
  <c r="L6055" i="3"/>
  <c r="M6054" i="3"/>
  <c r="L6054" i="3"/>
  <c r="M6053" i="3"/>
  <c r="L6053" i="3"/>
  <c r="M6052" i="3"/>
  <c r="L6052" i="3"/>
  <c r="M6051" i="3"/>
  <c r="L6051" i="3"/>
  <c r="M6050" i="3"/>
  <c r="L6050" i="3"/>
  <c r="M6049" i="3"/>
  <c r="L6049" i="3"/>
  <c r="M6048" i="3"/>
  <c r="L6048" i="3"/>
  <c r="M6047" i="3"/>
  <c r="L6047" i="3"/>
  <c r="M6046" i="3"/>
  <c r="L6046" i="3"/>
  <c r="M6045" i="3"/>
  <c r="L6045" i="3"/>
  <c r="M6044" i="3"/>
  <c r="L6044" i="3"/>
  <c r="M6043" i="3"/>
  <c r="L6043" i="3"/>
  <c r="M6042" i="3"/>
  <c r="L6042" i="3"/>
  <c r="M6041" i="3"/>
  <c r="L6041" i="3"/>
  <c r="M6040" i="3"/>
  <c r="L6040" i="3"/>
  <c r="M6039" i="3"/>
  <c r="L6039" i="3"/>
  <c r="M6038" i="3"/>
  <c r="L6038" i="3"/>
  <c r="M6037" i="3"/>
  <c r="L6037" i="3"/>
  <c r="M6036" i="3"/>
  <c r="L6036" i="3"/>
  <c r="M6035" i="3"/>
  <c r="L6035" i="3"/>
  <c r="M6034" i="3"/>
  <c r="L6034" i="3"/>
  <c r="M6033" i="3"/>
  <c r="L6033" i="3"/>
  <c r="M6032" i="3"/>
  <c r="L6032" i="3"/>
  <c r="M6031" i="3"/>
  <c r="L6031" i="3"/>
  <c r="M6030" i="3"/>
  <c r="L6030" i="3"/>
  <c r="M6029" i="3"/>
  <c r="L6029" i="3"/>
  <c r="M6028" i="3"/>
  <c r="L6028" i="3"/>
  <c r="M6027" i="3"/>
  <c r="L6027" i="3"/>
  <c r="M6026" i="3"/>
  <c r="L6026" i="3"/>
  <c r="M6025" i="3"/>
  <c r="L6025" i="3"/>
  <c r="M6024" i="3"/>
  <c r="L6024" i="3"/>
  <c r="M6023" i="3"/>
  <c r="L6023" i="3"/>
  <c r="M6022" i="3"/>
  <c r="L6022" i="3"/>
  <c r="M6021" i="3"/>
  <c r="L6021" i="3"/>
  <c r="M6020" i="3"/>
  <c r="L6020" i="3"/>
  <c r="M6019" i="3"/>
  <c r="L6019" i="3"/>
  <c r="M6018" i="3"/>
  <c r="L6018" i="3"/>
  <c r="M6017" i="3"/>
  <c r="L6017" i="3"/>
  <c r="M6016" i="3"/>
  <c r="L6016" i="3"/>
  <c r="M6015" i="3"/>
  <c r="L6015" i="3"/>
  <c r="M6014" i="3"/>
  <c r="L6014" i="3"/>
  <c r="M6013" i="3"/>
  <c r="L6013" i="3"/>
  <c r="M6012" i="3"/>
  <c r="L6012" i="3"/>
  <c r="M6011" i="3"/>
  <c r="L6011" i="3"/>
  <c r="M6010" i="3"/>
  <c r="L6010" i="3"/>
  <c r="M6009" i="3"/>
  <c r="L6009" i="3"/>
  <c r="M6008" i="3"/>
  <c r="L6008" i="3"/>
  <c r="M6007" i="3"/>
  <c r="L6007" i="3"/>
  <c r="M6006" i="3"/>
  <c r="L6006" i="3"/>
  <c r="M6005" i="3"/>
  <c r="L6005" i="3"/>
  <c r="M6004" i="3"/>
  <c r="L6004" i="3"/>
  <c r="M6003" i="3"/>
  <c r="L6003" i="3"/>
  <c r="M6002" i="3"/>
  <c r="L6002" i="3"/>
  <c r="M6001" i="3"/>
  <c r="L6001" i="3"/>
  <c r="M6000" i="3"/>
  <c r="L6000" i="3"/>
  <c r="M5999" i="3"/>
  <c r="L5999" i="3"/>
  <c r="M5998" i="3"/>
  <c r="L5998" i="3"/>
  <c r="M5997" i="3"/>
  <c r="L5997" i="3"/>
  <c r="M5996" i="3"/>
  <c r="L5996" i="3"/>
  <c r="M5995" i="3"/>
  <c r="L5995" i="3"/>
  <c r="M5994" i="3"/>
  <c r="L5994" i="3"/>
  <c r="M5993" i="3"/>
  <c r="L5993" i="3"/>
  <c r="M5992" i="3"/>
  <c r="L5992" i="3"/>
  <c r="M5991" i="3"/>
  <c r="L5991" i="3"/>
  <c r="M5990" i="3"/>
  <c r="L5990" i="3"/>
  <c r="M5989" i="3"/>
  <c r="L5989" i="3"/>
  <c r="M5988" i="3"/>
  <c r="L5988" i="3"/>
  <c r="M5987" i="3"/>
  <c r="L5987" i="3"/>
  <c r="M5986" i="3"/>
  <c r="L5986" i="3"/>
  <c r="M5985" i="3"/>
  <c r="L5985" i="3"/>
  <c r="M5984" i="3"/>
  <c r="L5984" i="3"/>
  <c r="M5983" i="3"/>
  <c r="L5983" i="3"/>
  <c r="M5982" i="3"/>
  <c r="L5982" i="3"/>
  <c r="M5981" i="3"/>
  <c r="L5981" i="3"/>
  <c r="M5980" i="3"/>
  <c r="L5980" i="3"/>
  <c r="M5979" i="3"/>
  <c r="L5979" i="3"/>
  <c r="M5978" i="3"/>
  <c r="L5978" i="3"/>
  <c r="M5977" i="3"/>
  <c r="L5977" i="3"/>
  <c r="M5976" i="3"/>
  <c r="L5976" i="3"/>
  <c r="M5975" i="3"/>
  <c r="L5975" i="3"/>
  <c r="M5974" i="3"/>
  <c r="L5974" i="3"/>
  <c r="M5973" i="3"/>
  <c r="L5973" i="3"/>
  <c r="M5972" i="3"/>
  <c r="L5972" i="3"/>
  <c r="M5971" i="3"/>
  <c r="L5971" i="3"/>
  <c r="M5970" i="3"/>
  <c r="L5970" i="3"/>
  <c r="M5969" i="3"/>
  <c r="L5969" i="3"/>
  <c r="M5968" i="3"/>
  <c r="L5968" i="3"/>
  <c r="M5967" i="3"/>
  <c r="L5967" i="3"/>
  <c r="M5966" i="3"/>
  <c r="L5966" i="3"/>
  <c r="M5965" i="3"/>
  <c r="L5965" i="3"/>
  <c r="M5964" i="3"/>
  <c r="L5964" i="3"/>
  <c r="M5963" i="3"/>
  <c r="L5963" i="3"/>
  <c r="M5962" i="3"/>
  <c r="L5962" i="3"/>
  <c r="M5961" i="3"/>
  <c r="L5961" i="3"/>
  <c r="M5960" i="3"/>
  <c r="L5960" i="3"/>
  <c r="M5959" i="3"/>
  <c r="L5959" i="3"/>
  <c r="M5958" i="3"/>
  <c r="L5958" i="3"/>
  <c r="M5957" i="3"/>
  <c r="L5957" i="3"/>
  <c r="M5956" i="3"/>
  <c r="L5956" i="3"/>
  <c r="M5955" i="3"/>
  <c r="L5955" i="3"/>
  <c r="M5954" i="3"/>
  <c r="L5954" i="3"/>
  <c r="M5953" i="3"/>
  <c r="L5953" i="3"/>
  <c r="M5952" i="3"/>
  <c r="L5952" i="3"/>
  <c r="M5951" i="3"/>
  <c r="L5951" i="3"/>
  <c r="M5950" i="3"/>
  <c r="L5950" i="3"/>
  <c r="M5949" i="3"/>
  <c r="L5949" i="3"/>
  <c r="M5948" i="3"/>
  <c r="L5948" i="3"/>
  <c r="M5947" i="3"/>
  <c r="L5947" i="3"/>
  <c r="M5946" i="3"/>
  <c r="L5946" i="3"/>
  <c r="M5945" i="3"/>
  <c r="L5945" i="3"/>
  <c r="M5944" i="3"/>
  <c r="L5944" i="3"/>
  <c r="M5943" i="3"/>
  <c r="L5943" i="3"/>
  <c r="M5942" i="3"/>
  <c r="L5942" i="3"/>
  <c r="M5941" i="3"/>
  <c r="L5941" i="3"/>
  <c r="M5940" i="3"/>
  <c r="L5940" i="3"/>
  <c r="M5939" i="3"/>
  <c r="L5939" i="3"/>
  <c r="M5938" i="3"/>
  <c r="L5938" i="3"/>
  <c r="M5937" i="3"/>
  <c r="L5937" i="3"/>
  <c r="M5936" i="3"/>
  <c r="L5936" i="3"/>
  <c r="M5935" i="3"/>
  <c r="L5935" i="3"/>
  <c r="M5934" i="3"/>
  <c r="L5934" i="3"/>
  <c r="M5933" i="3"/>
  <c r="L5933" i="3"/>
  <c r="M5932" i="3"/>
  <c r="L5932" i="3"/>
  <c r="M5931" i="3"/>
  <c r="L5931" i="3"/>
  <c r="M5930" i="3"/>
  <c r="L5930" i="3"/>
  <c r="M5929" i="3"/>
  <c r="L5929" i="3"/>
  <c r="M5928" i="3"/>
  <c r="L5928" i="3"/>
  <c r="M5927" i="3"/>
  <c r="L5927" i="3"/>
  <c r="M5926" i="3"/>
  <c r="L5926" i="3"/>
  <c r="M5925" i="3"/>
  <c r="L5925" i="3"/>
  <c r="M5924" i="3"/>
  <c r="L5924" i="3"/>
  <c r="M5923" i="3"/>
  <c r="L5923" i="3"/>
  <c r="M5922" i="3"/>
  <c r="L5922" i="3"/>
  <c r="M5921" i="3"/>
  <c r="L5921" i="3"/>
  <c r="M5920" i="3"/>
  <c r="L5920" i="3"/>
  <c r="M5919" i="3"/>
  <c r="L5919" i="3"/>
  <c r="M5918" i="3"/>
  <c r="L5918" i="3"/>
  <c r="M5917" i="3"/>
  <c r="L5917" i="3"/>
  <c r="M5916" i="3"/>
  <c r="L5916" i="3"/>
  <c r="M5915" i="3"/>
  <c r="L5915" i="3"/>
  <c r="M5914" i="3"/>
  <c r="L5914" i="3"/>
  <c r="M5913" i="3"/>
  <c r="L5913" i="3"/>
  <c r="M5912" i="3"/>
  <c r="L5912" i="3"/>
  <c r="M5911" i="3"/>
  <c r="L5911" i="3"/>
  <c r="M5910" i="3"/>
  <c r="L5910" i="3"/>
  <c r="M5909" i="3"/>
  <c r="L5909" i="3"/>
  <c r="M5908" i="3"/>
  <c r="L5908" i="3"/>
  <c r="M5907" i="3"/>
  <c r="L5907" i="3"/>
  <c r="M5906" i="3"/>
  <c r="L5906" i="3"/>
  <c r="M5905" i="3"/>
  <c r="L5905" i="3"/>
  <c r="M5904" i="3"/>
  <c r="L5904" i="3"/>
  <c r="M5903" i="3"/>
  <c r="L5903" i="3"/>
  <c r="M5902" i="3"/>
  <c r="L5902" i="3"/>
  <c r="M5901" i="3"/>
  <c r="L5901" i="3"/>
  <c r="M5900" i="3"/>
  <c r="L5900" i="3"/>
  <c r="M5899" i="3"/>
  <c r="L5899" i="3"/>
  <c r="M5898" i="3"/>
  <c r="L5898" i="3"/>
  <c r="M5897" i="3"/>
  <c r="L5897" i="3"/>
  <c r="M5896" i="3"/>
  <c r="L5896" i="3"/>
  <c r="M5895" i="3"/>
  <c r="L5895" i="3"/>
  <c r="M5894" i="3"/>
  <c r="L5894" i="3"/>
  <c r="M5893" i="3"/>
  <c r="L5893" i="3"/>
  <c r="M5892" i="3"/>
  <c r="L5892" i="3"/>
  <c r="M5891" i="3"/>
  <c r="L5891" i="3"/>
  <c r="M5890" i="3"/>
  <c r="L5890" i="3"/>
  <c r="M5889" i="3"/>
  <c r="L5889" i="3"/>
  <c r="M5888" i="3"/>
  <c r="L5888" i="3"/>
  <c r="M5887" i="3"/>
  <c r="L5887" i="3"/>
  <c r="M5886" i="3"/>
  <c r="L5886" i="3"/>
  <c r="M5885" i="3"/>
  <c r="L5885" i="3"/>
  <c r="M5884" i="3"/>
  <c r="L5884" i="3"/>
  <c r="M5883" i="3"/>
  <c r="L5883" i="3"/>
  <c r="M5882" i="3"/>
  <c r="L5882" i="3"/>
  <c r="M5881" i="3"/>
  <c r="L5881" i="3"/>
  <c r="M5880" i="3"/>
  <c r="L5880" i="3"/>
  <c r="M5879" i="3"/>
  <c r="L5879" i="3"/>
  <c r="M5878" i="3"/>
  <c r="L5878" i="3"/>
  <c r="M5877" i="3"/>
  <c r="L5877" i="3"/>
  <c r="M5876" i="3"/>
  <c r="L5876" i="3"/>
  <c r="M5875" i="3"/>
  <c r="L5875" i="3"/>
  <c r="M5874" i="3"/>
  <c r="L5874" i="3"/>
  <c r="M5873" i="3"/>
  <c r="L5873" i="3"/>
  <c r="M5872" i="3"/>
  <c r="L5872" i="3"/>
  <c r="M5871" i="3"/>
  <c r="L5871" i="3"/>
  <c r="M5870" i="3"/>
  <c r="L5870" i="3"/>
  <c r="M5869" i="3"/>
  <c r="L5869" i="3"/>
  <c r="M5868" i="3"/>
  <c r="L5868" i="3"/>
  <c r="M5867" i="3"/>
  <c r="L5867" i="3"/>
  <c r="M5866" i="3"/>
  <c r="L5866" i="3"/>
  <c r="M5865" i="3"/>
  <c r="L5865" i="3"/>
  <c r="M5864" i="3"/>
  <c r="L5864" i="3"/>
  <c r="M5863" i="3"/>
  <c r="L5863" i="3"/>
  <c r="M5862" i="3"/>
  <c r="L5862" i="3"/>
  <c r="M5861" i="3"/>
  <c r="L5861" i="3"/>
  <c r="M5860" i="3"/>
  <c r="L5860" i="3"/>
  <c r="M5859" i="3"/>
  <c r="L5859" i="3"/>
  <c r="M5858" i="3"/>
  <c r="L5858" i="3"/>
  <c r="M5857" i="3"/>
  <c r="L5857" i="3"/>
  <c r="M5856" i="3"/>
  <c r="L5856" i="3"/>
  <c r="M5855" i="3"/>
  <c r="L5855" i="3"/>
  <c r="M5854" i="3"/>
  <c r="L5854" i="3"/>
  <c r="M5853" i="3"/>
  <c r="L5853" i="3"/>
  <c r="M5852" i="3"/>
  <c r="L5852" i="3"/>
  <c r="M5851" i="3"/>
  <c r="L5851" i="3"/>
  <c r="M5850" i="3"/>
  <c r="L5850" i="3"/>
  <c r="M5849" i="3"/>
  <c r="L5849" i="3"/>
  <c r="M5848" i="3"/>
  <c r="L5848" i="3"/>
  <c r="M5847" i="3"/>
  <c r="L5847" i="3"/>
  <c r="M5846" i="3"/>
  <c r="L5846" i="3"/>
  <c r="M5845" i="3"/>
  <c r="L5845" i="3"/>
  <c r="M5844" i="3"/>
  <c r="L5844" i="3"/>
  <c r="M5843" i="3"/>
  <c r="L5843" i="3"/>
  <c r="M5842" i="3"/>
  <c r="L5842" i="3"/>
  <c r="M5841" i="3"/>
  <c r="L5841" i="3"/>
  <c r="M5840" i="3"/>
  <c r="L5840" i="3"/>
  <c r="M5839" i="3"/>
  <c r="L5839" i="3"/>
  <c r="M5838" i="3"/>
  <c r="L5838" i="3"/>
  <c r="M5837" i="3"/>
  <c r="L5837" i="3"/>
  <c r="M5836" i="3"/>
  <c r="L5836" i="3"/>
  <c r="M5835" i="3"/>
  <c r="L5835" i="3"/>
  <c r="M5834" i="3"/>
  <c r="L5834" i="3"/>
  <c r="M5833" i="3"/>
  <c r="L5833" i="3"/>
  <c r="M5832" i="3"/>
  <c r="L5832" i="3"/>
  <c r="M5831" i="3"/>
  <c r="L5831" i="3"/>
  <c r="M5830" i="3"/>
  <c r="L5830" i="3"/>
  <c r="M5829" i="3"/>
  <c r="L5829" i="3"/>
  <c r="M5828" i="3"/>
  <c r="L5828" i="3"/>
  <c r="M5827" i="3"/>
  <c r="L5827" i="3"/>
  <c r="M5826" i="3"/>
  <c r="L5826" i="3"/>
  <c r="M5825" i="3"/>
  <c r="L5825" i="3"/>
  <c r="M5824" i="3"/>
  <c r="L5824" i="3"/>
  <c r="M5823" i="3"/>
  <c r="L5823" i="3"/>
  <c r="M5822" i="3"/>
  <c r="L5822" i="3"/>
  <c r="M5821" i="3"/>
  <c r="L5821" i="3"/>
  <c r="M5820" i="3"/>
  <c r="L5820" i="3"/>
  <c r="M5819" i="3"/>
  <c r="L5819" i="3"/>
  <c r="M5818" i="3"/>
  <c r="L5818" i="3"/>
  <c r="M5817" i="3"/>
  <c r="L5817" i="3"/>
  <c r="M5816" i="3"/>
  <c r="L5816" i="3"/>
  <c r="M5815" i="3"/>
  <c r="L5815" i="3"/>
  <c r="M5814" i="3"/>
  <c r="L5814" i="3"/>
  <c r="M5813" i="3"/>
  <c r="L5813" i="3"/>
  <c r="M5812" i="3"/>
  <c r="L5812" i="3"/>
  <c r="M5811" i="3"/>
  <c r="L5811" i="3"/>
  <c r="M5810" i="3"/>
  <c r="L5810" i="3"/>
  <c r="M5809" i="3"/>
  <c r="L5809" i="3"/>
  <c r="M5808" i="3"/>
  <c r="L5808" i="3"/>
  <c r="M5807" i="3"/>
  <c r="L5807" i="3"/>
  <c r="M5806" i="3"/>
  <c r="L5806" i="3"/>
  <c r="M5805" i="3"/>
  <c r="L5805" i="3"/>
  <c r="M5804" i="3"/>
  <c r="L5804" i="3"/>
  <c r="M5803" i="3"/>
  <c r="L5803" i="3"/>
  <c r="M5802" i="3"/>
  <c r="L5802" i="3"/>
  <c r="M5801" i="3"/>
  <c r="L5801" i="3"/>
  <c r="M5800" i="3"/>
  <c r="L5800" i="3"/>
  <c r="M5799" i="3"/>
  <c r="L5799" i="3"/>
  <c r="M5798" i="3"/>
  <c r="L5798" i="3"/>
  <c r="M5797" i="3"/>
  <c r="L5797" i="3"/>
  <c r="M5796" i="3"/>
  <c r="L5796" i="3"/>
  <c r="M5795" i="3"/>
  <c r="L5795" i="3"/>
  <c r="M5794" i="3"/>
  <c r="L5794" i="3"/>
  <c r="M5793" i="3"/>
  <c r="L5793" i="3"/>
  <c r="M5792" i="3"/>
  <c r="L5792" i="3"/>
  <c r="M5791" i="3"/>
  <c r="L5791" i="3"/>
  <c r="M5790" i="3"/>
  <c r="L5790" i="3"/>
  <c r="M5789" i="3"/>
  <c r="L5789" i="3"/>
  <c r="M5788" i="3"/>
  <c r="L5788" i="3"/>
  <c r="M5787" i="3"/>
  <c r="L5787" i="3"/>
  <c r="M5786" i="3"/>
  <c r="L5786" i="3"/>
  <c r="M5785" i="3"/>
  <c r="L5785" i="3"/>
  <c r="M5784" i="3"/>
  <c r="L5784" i="3"/>
  <c r="M5783" i="3"/>
  <c r="L5783" i="3"/>
  <c r="M5782" i="3"/>
  <c r="L5782" i="3"/>
  <c r="M5781" i="3"/>
  <c r="L5781" i="3"/>
  <c r="M5780" i="3"/>
  <c r="L5780" i="3"/>
  <c r="M5779" i="3"/>
  <c r="L5779" i="3"/>
  <c r="M5778" i="3"/>
  <c r="L5778" i="3"/>
  <c r="M5777" i="3"/>
  <c r="L5777" i="3"/>
  <c r="M5776" i="3"/>
  <c r="L5776" i="3"/>
  <c r="M5775" i="3"/>
  <c r="L5775" i="3"/>
  <c r="M5774" i="3"/>
  <c r="L5774" i="3"/>
  <c r="M5773" i="3"/>
  <c r="L5773" i="3"/>
  <c r="M5772" i="3"/>
  <c r="L5772" i="3"/>
  <c r="M5771" i="3"/>
  <c r="L5771" i="3"/>
  <c r="M5770" i="3"/>
  <c r="L5770" i="3"/>
  <c r="M5769" i="3"/>
  <c r="L5769" i="3"/>
  <c r="M5768" i="3"/>
  <c r="L5768" i="3"/>
  <c r="M5767" i="3"/>
  <c r="L5767" i="3"/>
  <c r="M5766" i="3"/>
  <c r="L5766" i="3"/>
  <c r="M5765" i="3"/>
  <c r="L5765" i="3"/>
  <c r="M5764" i="3"/>
  <c r="L5764" i="3"/>
  <c r="M5763" i="3"/>
  <c r="L5763" i="3"/>
  <c r="M5762" i="3"/>
  <c r="L5762" i="3"/>
  <c r="M5761" i="3"/>
  <c r="L5761" i="3"/>
  <c r="M5760" i="3"/>
  <c r="L5760" i="3"/>
  <c r="M5759" i="3"/>
  <c r="L5759" i="3"/>
  <c r="M5758" i="3"/>
  <c r="L5758" i="3"/>
  <c r="M5757" i="3"/>
  <c r="L5757" i="3"/>
  <c r="M5756" i="3"/>
  <c r="L5756" i="3"/>
  <c r="M5755" i="3"/>
  <c r="L5755" i="3"/>
  <c r="M5754" i="3"/>
  <c r="L5754" i="3"/>
  <c r="M5753" i="3"/>
  <c r="L5753" i="3"/>
  <c r="M5752" i="3"/>
  <c r="L5752" i="3"/>
  <c r="M5751" i="3"/>
  <c r="L5751" i="3"/>
  <c r="M5750" i="3"/>
  <c r="L5750" i="3"/>
  <c r="M5749" i="3"/>
  <c r="L5749" i="3"/>
  <c r="M5748" i="3"/>
  <c r="L5748" i="3"/>
  <c r="M5747" i="3"/>
  <c r="L5747" i="3"/>
  <c r="M5746" i="3"/>
  <c r="L5746" i="3"/>
  <c r="M5745" i="3"/>
  <c r="L5745" i="3"/>
  <c r="M5744" i="3"/>
  <c r="L5744" i="3"/>
  <c r="M5743" i="3"/>
  <c r="L5743" i="3"/>
  <c r="M5742" i="3"/>
  <c r="L5742" i="3"/>
  <c r="M5741" i="3"/>
  <c r="L5741" i="3"/>
  <c r="M5740" i="3"/>
  <c r="L5740" i="3"/>
  <c r="M5739" i="3"/>
  <c r="L5739" i="3"/>
  <c r="M5738" i="3"/>
  <c r="L5738" i="3"/>
  <c r="M5737" i="3"/>
  <c r="L5737" i="3"/>
  <c r="M5736" i="3"/>
  <c r="L5736" i="3"/>
  <c r="M5735" i="3"/>
  <c r="L5735" i="3"/>
  <c r="M5734" i="3"/>
  <c r="L5734" i="3"/>
  <c r="M5733" i="3"/>
  <c r="L5733" i="3"/>
  <c r="M5732" i="3"/>
  <c r="L5732" i="3"/>
  <c r="M5731" i="3"/>
  <c r="L5731" i="3"/>
  <c r="M5730" i="3"/>
  <c r="L5730" i="3"/>
  <c r="M5729" i="3"/>
  <c r="L5729" i="3"/>
  <c r="M5728" i="3"/>
  <c r="L5728" i="3"/>
  <c r="M5727" i="3"/>
  <c r="L5727" i="3"/>
  <c r="M5726" i="3"/>
  <c r="L5726" i="3"/>
  <c r="M5725" i="3"/>
  <c r="L5725" i="3"/>
  <c r="M5724" i="3"/>
  <c r="L5724" i="3"/>
  <c r="M5723" i="3"/>
  <c r="L5723" i="3"/>
  <c r="M5722" i="3"/>
  <c r="L5722" i="3"/>
  <c r="M5721" i="3"/>
  <c r="L5721" i="3"/>
  <c r="M5720" i="3"/>
  <c r="L5720" i="3"/>
  <c r="M5719" i="3"/>
  <c r="L5719" i="3"/>
  <c r="M5718" i="3"/>
  <c r="L5718" i="3"/>
  <c r="M5717" i="3"/>
  <c r="L5717" i="3"/>
  <c r="M5716" i="3"/>
  <c r="L5716" i="3"/>
  <c r="M5715" i="3"/>
  <c r="L5715" i="3"/>
  <c r="M5714" i="3"/>
  <c r="L5714" i="3"/>
  <c r="M5713" i="3"/>
  <c r="L5713" i="3"/>
  <c r="M5712" i="3"/>
  <c r="L5712" i="3"/>
  <c r="M5711" i="3"/>
  <c r="L5711" i="3"/>
  <c r="M5710" i="3"/>
  <c r="L5710" i="3"/>
  <c r="M5709" i="3"/>
  <c r="L5709" i="3"/>
  <c r="M5708" i="3"/>
  <c r="L5708" i="3"/>
  <c r="M5707" i="3"/>
  <c r="L5707" i="3"/>
  <c r="M5706" i="3"/>
  <c r="L5706" i="3"/>
  <c r="M5705" i="3"/>
  <c r="L5705" i="3"/>
  <c r="M5704" i="3"/>
  <c r="L5704" i="3"/>
  <c r="M5703" i="3"/>
  <c r="L5703" i="3"/>
  <c r="M5702" i="3"/>
  <c r="L5702" i="3"/>
  <c r="M5701" i="3"/>
  <c r="L5701" i="3"/>
  <c r="M5700" i="3"/>
  <c r="L5700" i="3"/>
  <c r="M5699" i="3"/>
  <c r="L5699" i="3"/>
  <c r="M5698" i="3"/>
  <c r="L5698" i="3"/>
  <c r="M5697" i="3"/>
  <c r="L5697" i="3"/>
  <c r="M5696" i="3"/>
  <c r="L5696" i="3"/>
  <c r="M5695" i="3"/>
  <c r="L5695" i="3"/>
  <c r="M5694" i="3"/>
  <c r="L5694" i="3"/>
  <c r="M5693" i="3"/>
  <c r="L5693" i="3"/>
  <c r="M5692" i="3"/>
  <c r="L5692" i="3"/>
  <c r="M5691" i="3"/>
  <c r="L5691" i="3"/>
  <c r="M5690" i="3"/>
  <c r="L5690" i="3"/>
  <c r="M5689" i="3"/>
  <c r="L5689" i="3"/>
  <c r="M5688" i="3"/>
  <c r="L5688" i="3"/>
  <c r="M5687" i="3"/>
  <c r="L5687" i="3"/>
  <c r="M5686" i="3"/>
  <c r="L5686" i="3"/>
  <c r="M5685" i="3"/>
  <c r="L5685" i="3"/>
  <c r="M5684" i="3"/>
  <c r="L5684" i="3"/>
  <c r="M5683" i="3"/>
  <c r="L5683" i="3"/>
  <c r="M5682" i="3"/>
  <c r="L5682" i="3"/>
  <c r="M5681" i="3"/>
  <c r="L5681" i="3"/>
  <c r="M5680" i="3"/>
  <c r="L5680" i="3"/>
  <c r="M5679" i="3"/>
  <c r="L5679" i="3"/>
  <c r="M5678" i="3"/>
  <c r="L5678" i="3"/>
  <c r="M5677" i="3"/>
  <c r="L5677" i="3"/>
  <c r="M5676" i="3"/>
  <c r="L5676" i="3"/>
  <c r="M5675" i="3"/>
  <c r="L5675" i="3"/>
  <c r="M5674" i="3"/>
  <c r="L5674" i="3"/>
  <c r="M5673" i="3"/>
  <c r="L5673" i="3"/>
  <c r="M5672" i="3"/>
  <c r="L5672" i="3"/>
  <c r="M5671" i="3"/>
  <c r="L5671" i="3"/>
  <c r="M5670" i="3"/>
  <c r="L5670" i="3"/>
  <c r="M5669" i="3"/>
  <c r="L5669" i="3"/>
  <c r="M5668" i="3"/>
  <c r="L5668" i="3"/>
  <c r="M5667" i="3"/>
  <c r="L5667" i="3"/>
  <c r="M5666" i="3"/>
  <c r="L5666" i="3"/>
  <c r="M5665" i="3"/>
  <c r="L5665" i="3"/>
  <c r="M5664" i="3"/>
  <c r="L5664" i="3"/>
  <c r="M5663" i="3"/>
  <c r="L5663" i="3"/>
  <c r="M5662" i="3"/>
  <c r="L5662" i="3"/>
  <c r="M5661" i="3"/>
  <c r="L5661" i="3"/>
  <c r="M5660" i="3"/>
  <c r="L5660" i="3"/>
  <c r="M5659" i="3"/>
  <c r="L5659" i="3"/>
  <c r="M5658" i="3"/>
  <c r="L5658" i="3"/>
  <c r="M5657" i="3"/>
  <c r="L5657" i="3"/>
  <c r="M5656" i="3"/>
  <c r="L5656" i="3"/>
  <c r="M5655" i="3"/>
  <c r="L5655" i="3"/>
  <c r="M5654" i="3"/>
  <c r="L5654" i="3"/>
  <c r="M5653" i="3"/>
  <c r="L5653" i="3"/>
  <c r="M5652" i="3"/>
  <c r="L5652" i="3"/>
  <c r="M5651" i="3"/>
  <c r="L5651" i="3"/>
  <c r="M5650" i="3"/>
  <c r="L5650" i="3"/>
  <c r="M5649" i="3"/>
  <c r="L5649" i="3"/>
  <c r="M5648" i="3"/>
  <c r="L5648" i="3"/>
  <c r="M5647" i="3"/>
  <c r="L5647" i="3"/>
  <c r="M5646" i="3"/>
  <c r="L5646" i="3"/>
  <c r="M5645" i="3"/>
  <c r="L5645" i="3"/>
  <c r="M5644" i="3"/>
  <c r="L5644" i="3"/>
  <c r="M5643" i="3"/>
  <c r="L5643" i="3"/>
  <c r="M5642" i="3"/>
  <c r="L5642" i="3"/>
  <c r="M5641" i="3"/>
  <c r="L5641" i="3"/>
  <c r="M5640" i="3"/>
  <c r="L5640" i="3"/>
  <c r="M5639" i="3"/>
  <c r="L5639" i="3"/>
  <c r="M5638" i="3"/>
  <c r="L5638" i="3"/>
  <c r="M5637" i="3"/>
  <c r="L5637" i="3"/>
  <c r="M5636" i="3"/>
  <c r="L5636" i="3"/>
  <c r="M5635" i="3"/>
  <c r="L5635" i="3"/>
  <c r="M5634" i="3"/>
  <c r="L5634" i="3"/>
  <c r="M5633" i="3"/>
  <c r="L5633" i="3"/>
  <c r="M5632" i="3"/>
  <c r="L5632" i="3"/>
  <c r="M5631" i="3"/>
  <c r="L5631" i="3"/>
  <c r="M5630" i="3"/>
  <c r="L5630" i="3"/>
  <c r="M5629" i="3"/>
  <c r="L5629" i="3"/>
  <c r="M5628" i="3"/>
  <c r="L5628" i="3"/>
  <c r="M5627" i="3"/>
  <c r="L5627" i="3"/>
  <c r="M5626" i="3"/>
  <c r="L5626" i="3"/>
  <c r="M5625" i="3"/>
  <c r="L5625" i="3"/>
  <c r="M5624" i="3"/>
  <c r="L5624" i="3"/>
  <c r="M5623" i="3"/>
  <c r="L5623" i="3"/>
  <c r="M5622" i="3"/>
  <c r="L5622" i="3"/>
  <c r="M5621" i="3"/>
  <c r="L5621" i="3"/>
  <c r="M5620" i="3"/>
  <c r="L5620" i="3"/>
  <c r="M5619" i="3"/>
  <c r="L5619" i="3"/>
  <c r="M5618" i="3"/>
  <c r="L5618" i="3"/>
  <c r="M5617" i="3"/>
  <c r="L5617" i="3"/>
  <c r="M5616" i="3"/>
  <c r="L5616" i="3"/>
  <c r="M5615" i="3"/>
  <c r="L5615" i="3"/>
  <c r="M5614" i="3"/>
  <c r="L5614" i="3"/>
  <c r="M5613" i="3"/>
  <c r="L5613" i="3"/>
  <c r="M5612" i="3"/>
  <c r="L5612" i="3"/>
  <c r="M5611" i="3"/>
  <c r="L5611" i="3"/>
  <c r="M5610" i="3"/>
  <c r="L5610" i="3"/>
  <c r="M5609" i="3"/>
  <c r="L5609" i="3"/>
  <c r="M5608" i="3"/>
  <c r="L5608" i="3"/>
  <c r="M5607" i="3"/>
  <c r="L5607" i="3"/>
  <c r="M5606" i="3"/>
  <c r="L5606" i="3"/>
  <c r="M5605" i="3"/>
  <c r="L5605" i="3"/>
  <c r="M5604" i="3"/>
  <c r="L5604" i="3"/>
  <c r="M5603" i="3"/>
  <c r="L5603" i="3"/>
  <c r="M5602" i="3"/>
  <c r="L5602" i="3"/>
  <c r="M5601" i="3"/>
  <c r="L5601" i="3"/>
  <c r="M5600" i="3"/>
  <c r="L5600" i="3"/>
  <c r="M5599" i="3"/>
  <c r="L5599" i="3"/>
  <c r="M5598" i="3"/>
  <c r="L5598" i="3"/>
  <c r="M5597" i="3"/>
  <c r="L5597" i="3"/>
  <c r="M5596" i="3"/>
  <c r="L5596" i="3"/>
  <c r="M5595" i="3"/>
  <c r="L5595" i="3"/>
  <c r="M5594" i="3"/>
  <c r="L5594" i="3"/>
  <c r="M5593" i="3"/>
  <c r="L5593" i="3"/>
  <c r="M5592" i="3"/>
  <c r="L5592" i="3"/>
  <c r="M5591" i="3"/>
  <c r="L5591" i="3"/>
  <c r="M5590" i="3"/>
  <c r="L5590" i="3"/>
  <c r="M5589" i="3"/>
  <c r="L5589" i="3"/>
  <c r="M5588" i="3"/>
  <c r="L5588" i="3"/>
  <c r="M5587" i="3"/>
  <c r="L5587" i="3"/>
  <c r="M5586" i="3"/>
  <c r="L5586" i="3"/>
  <c r="M5585" i="3"/>
  <c r="L5585" i="3"/>
  <c r="M5584" i="3"/>
  <c r="L5584" i="3"/>
  <c r="M5583" i="3"/>
  <c r="L5583" i="3"/>
  <c r="M5582" i="3"/>
  <c r="L5582" i="3"/>
  <c r="M5581" i="3"/>
  <c r="L5581" i="3"/>
  <c r="M5580" i="3"/>
  <c r="L5580" i="3"/>
  <c r="M5579" i="3"/>
  <c r="L5579" i="3"/>
  <c r="M5578" i="3"/>
  <c r="L5578" i="3"/>
  <c r="M5577" i="3"/>
  <c r="L5577" i="3"/>
  <c r="M5576" i="3"/>
  <c r="L5576" i="3"/>
  <c r="M5575" i="3"/>
  <c r="L5575" i="3"/>
  <c r="M5574" i="3"/>
  <c r="L5574" i="3"/>
  <c r="M5573" i="3"/>
  <c r="L5573" i="3"/>
  <c r="M5572" i="3"/>
  <c r="L5572" i="3"/>
  <c r="M5571" i="3"/>
  <c r="L5571" i="3"/>
  <c r="M5570" i="3"/>
  <c r="L5570" i="3"/>
  <c r="M5569" i="3"/>
  <c r="L5569" i="3"/>
  <c r="M5568" i="3"/>
  <c r="L5568" i="3"/>
  <c r="M5567" i="3"/>
  <c r="L5567" i="3"/>
  <c r="M5566" i="3"/>
  <c r="L5566" i="3"/>
  <c r="M5565" i="3"/>
  <c r="L5565" i="3"/>
  <c r="M5564" i="3"/>
  <c r="L5564" i="3"/>
  <c r="M5563" i="3"/>
  <c r="L5563" i="3"/>
  <c r="M5562" i="3"/>
  <c r="L5562" i="3"/>
  <c r="M5561" i="3"/>
  <c r="L5561" i="3"/>
  <c r="M5560" i="3"/>
  <c r="L5560" i="3"/>
  <c r="M5559" i="3"/>
  <c r="L5559" i="3"/>
  <c r="M5558" i="3"/>
  <c r="L5558" i="3"/>
  <c r="M5557" i="3"/>
  <c r="L5557" i="3"/>
  <c r="M5556" i="3"/>
  <c r="L5556" i="3"/>
  <c r="M5555" i="3"/>
  <c r="L5555" i="3"/>
  <c r="M5554" i="3"/>
  <c r="L5554" i="3"/>
  <c r="M5553" i="3"/>
  <c r="L5553" i="3"/>
  <c r="M5552" i="3"/>
  <c r="L5552" i="3"/>
  <c r="M5551" i="3"/>
  <c r="L5551" i="3"/>
  <c r="M5550" i="3"/>
  <c r="L5550" i="3"/>
  <c r="M5549" i="3"/>
  <c r="L5549" i="3"/>
  <c r="M5548" i="3"/>
  <c r="L5548" i="3"/>
  <c r="M5547" i="3"/>
  <c r="L5547" i="3"/>
  <c r="M5546" i="3"/>
  <c r="L5546" i="3"/>
  <c r="M5545" i="3"/>
  <c r="L5545" i="3"/>
  <c r="M5544" i="3"/>
  <c r="L5544" i="3"/>
  <c r="M5543" i="3"/>
  <c r="L5543" i="3"/>
  <c r="M5542" i="3"/>
  <c r="L5542" i="3"/>
  <c r="M5541" i="3"/>
  <c r="L5541" i="3"/>
  <c r="M5540" i="3"/>
  <c r="L5540" i="3"/>
  <c r="M5539" i="3"/>
  <c r="L5539" i="3"/>
  <c r="M5538" i="3"/>
  <c r="L5538" i="3"/>
  <c r="M5537" i="3"/>
  <c r="L5537" i="3"/>
  <c r="M5536" i="3"/>
  <c r="L5536" i="3"/>
  <c r="M5535" i="3"/>
  <c r="L5535" i="3"/>
  <c r="M5534" i="3"/>
  <c r="L5534" i="3"/>
  <c r="M5533" i="3"/>
  <c r="L5533" i="3"/>
  <c r="M5532" i="3"/>
  <c r="L5532" i="3"/>
  <c r="M5531" i="3"/>
  <c r="L5531" i="3"/>
  <c r="M5530" i="3"/>
  <c r="L5530" i="3"/>
  <c r="M5529" i="3"/>
  <c r="L5529" i="3"/>
  <c r="M5528" i="3"/>
  <c r="L5528" i="3"/>
  <c r="M5527" i="3"/>
  <c r="L5527" i="3"/>
  <c r="M5526" i="3"/>
  <c r="L5526" i="3"/>
  <c r="M5525" i="3"/>
  <c r="L5525" i="3"/>
  <c r="M5524" i="3"/>
  <c r="L5524" i="3"/>
  <c r="M5523" i="3"/>
  <c r="L5523" i="3"/>
  <c r="M5522" i="3"/>
  <c r="L5522" i="3"/>
  <c r="M5521" i="3"/>
  <c r="L5521" i="3"/>
  <c r="M5520" i="3"/>
  <c r="L5520" i="3"/>
  <c r="M5519" i="3"/>
  <c r="L5519" i="3"/>
  <c r="M5518" i="3"/>
  <c r="L5518" i="3"/>
  <c r="M5517" i="3"/>
  <c r="L5517" i="3"/>
  <c r="M5516" i="3"/>
  <c r="L5516" i="3"/>
  <c r="M5515" i="3"/>
  <c r="L5515" i="3"/>
  <c r="M5514" i="3"/>
  <c r="L5514" i="3"/>
  <c r="M5513" i="3"/>
  <c r="L5513" i="3"/>
  <c r="M5512" i="3"/>
  <c r="L5512" i="3"/>
  <c r="M5511" i="3"/>
  <c r="L5511" i="3"/>
  <c r="M5510" i="3"/>
  <c r="L5510" i="3"/>
  <c r="M5509" i="3"/>
  <c r="L5509" i="3"/>
  <c r="M5508" i="3"/>
  <c r="L5508" i="3"/>
  <c r="M5507" i="3"/>
  <c r="L5507" i="3"/>
  <c r="M5506" i="3"/>
  <c r="L5506" i="3"/>
  <c r="M5505" i="3"/>
  <c r="L5505" i="3"/>
  <c r="M5504" i="3"/>
  <c r="L5504" i="3"/>
  <c r="M5503" i="3"/>
  <c r="L5503" i="3"/>
  <c r="M5502" i="3"/>
  <c r="L5502" i="3"/>
  <c r="M5501" i="3"/>
  <c r="L5501" i="3"/>
  <c r="M5500" i="3"/>
  <c r="L5500" i="3"/>
  <c r="M5499" i="3"/>
  <c r="L5499" i="3"/>
  <c r="M5498" i="3"/>
  <c r="L5498" i="3"/>
  <c r="M5497" i="3"/>
  <c r="L5497" i="3"/>
  <c r="M5496" i="3"/>
  <c r="L5496" i="3"/>
  <c r="M5495" i="3"/>
  <c r="L5495" i="3"/>
  <c r="M5494" i="3"/>
  <c r="L5494" i="3"/>
  <c r="M5493" i="3"/>
  <c r="L5493" i="3"/>
  <c r="M5492" i="3"/>
  <c r="L5492" i="3"/>
  <c r="M5491" i="3"/>
  <c r="L5491" i="3"/>
  <c r="M5490" i="3"/>
  <c r="L5490" i="3"/>
  <c r="M5489" i="3"/>
  <c r="L5489" i="3"/>
  <c r="M5488" i="3"/>
  <c r="L5488" i="3"/>
  <c r="M5487" i="3"/>
  <c r="L5487" i="3"/>
  <c r="M5486" i="3"/>
  <c r="L5486" i="3"/>
  <c r="M5485" i="3"/>
  <c r="L5485" i="3"/>
  <c r="M5484" i="3"/>
  <c r="L5484" i="3"/>
  <c r="M5483" i="3"/>
  <c r="L5483" i="3"/>
  <c r="M5482" i="3"/>
  <c r="L5482" i="3"/>
  <c r="M5481" i="3"/>
  <c r="L5481" i="3"/>
  <c r="M5480" i="3"/>
  <c r="L5480" i="3"/>
  <c r="M5479" i="3"/>
  <c r="L5479" i="3"/>
  <c r="M5478" i="3"/>
  <c r="L5478" i="3"/>
  <c r="M5477" i="3"/>
  <c r="L5477" i="3"/>
  <c r="M5476" i="3"/>
  <c r="L5476" i="3"/>
  <c r="M5475" i="3"/>
  <c r="L5475" i="3"/>
  <c r="M5474" i="3"/>
  <c r="L5474" i="3"/>
  <c r="M5473" i="3"/>
  <c r="L5473" i="3"/>
  <c r="M5472" i="3"/>
  <c r="L5472" i="3"/>
  <c r="M5471" i="3"/>
  <c r="L5471" i="3"/>
  <c r="M5470" i="3"/>
  <c r="L5470" i="3"/>
  <c r="M5469" i="3"/>
  <c r="L5469" i="3"/>
  <c r="M5468" i="3"/>
  <c r="L5468" i="3"/>
  <c r="M5467" i="3"/>
  <c r="L5467" i="3"/>
  <c r="M5466" i="3"/>
  <c r="L5466" i="3"/>
  <c r="M5465" i="3"/>
  <c r="L5465" i="3"/>
  <c r="M5464" i="3"/>
  <c r="L5464" i="3"/>
  <c r="M5463" i="3"/>
  <c r="L5463" i="3"/>
  <c r="M5462" i="3"/>
  <c r="L5462" i="3"/>
  <c r="M5461" i="3"/>
  <c r="L5461" i="3"/>
  <c r="M5460" i="3"/>
  <c r="L5460" i="3"/>
  <c r="M5459" i="3"/>
  <c r="L5459" i="3"/>
  <c r="M5458" i="3"/>
  <c r="L5458" i="3"/>
  <c r="M5457" i="3"/>
  <c r="L5457" i="3"/>
  <c r="M5456" i="3"/>
  <c r="L5456" i="3"/>
  <c r="M5455" i="3"/>
  <c r="L5455" i="3"/>
  <c r="M5454" i="3"/>
  <c r="L5454" i="3"/>
  <c r="M5453" i="3"/>
  <c r="L5453" i="3"/>
  <c r="M5452" i="3"/>
  <c r="L5452" i="3"/>
  <c r="M5451" i="3"/>
  <c r="L5451" i="3"/>
  <c r="M5450" i="3"/>
  <c r="L5450" i="3"/>
  <c r="M5449" i="3"/>
  <c r="L5449" i="3"/>
  <c r="M5448" i="3"/>
  <c r="L5448" i="3"/>
  <c r="M5447" i="3"/>
  <c r="L5447" i="3"/>
  <c r="M5446" i="3"/>
  <c r="L5446" i="3"/>
  <c r="M5445" i="3"/>
  <c r="L5445" i="3"/>
  <c r="M5444" i="3"/>
  <c r="L5444" i="3"/>
  <c r="M5443" i="3"/>
  <c r="L5443" i="3"/>
  <c r="M5442" i="3"/>
  <c r="L5442" i="3"/>
  <c r="M5441" i="3"/>
  <c r="L5441" i="3"/>
  <c r="M5440" i="3"/>
  <c r="L5440" i="3"/>
  <c r="M5439" i="3"/>
  <c r="L5439" i="3"/>
  <c r="M5438" i="3"/>
  <c r="L5438" i="3"/>
  <c r="M5437" i="3"/>
  <c r="L5437" i="3"/>
  <c r="M5436" i="3"/>
  <c r="L5436" i="3"/>
  <c r="M5435" i="3"/>
  <c r="L5435" i="3"/>
  <c r="M5434" i="3"/>
  <c r="L5434" i="3"/>
  <c r="M5433" i="3"/>
  <c r="L5433" i="3"/>
  <c r="M5432" i="3"/>
  <c r="L5432" i="3"/>
  <c r="M5431" i="3"/>
  <c r="L5431" i="3"/>
  <c r="M5430" i="3"/>
  <c r="L5430" i="3"/>
  <c r="M5429" i="3"/>
  <c r="L5429" i="3"/>
  <c r="M5428" i="3"/>
  <c r="L5428" i="3"/>
  <c r="M5427" i="3"/>
  <c r="L5427" i="3"/>
  <c r="M5426" i="3"/>
  <c r="L5426" i="3"/>
  <c r="M5425" i="3"/>
  <c r="L5425" i="3"/>
  <c r="M5424" i="3"/>
  <c r="L5424" i="3"/>
  <c r="M5423" i="3"/>
  <c r="L5423" i="3"/>
  <c r="M5422" i="3"/>
  <c r="L5422" i="3"/>
  <c r="M5421" i="3"/>
  <c r="L5421" i="3"/>
  <c r="M5420" i="3"/>
  <c r="L5420" i="3"/>
  <c r="M5419" i="3"/>
  <c r="L5419" i="3"/>
  <c r="M5418" i="3"/>
  <c r="L5418" i="3"/>
  <c r="M5417" i="3"/>
  <c r="L5417" i="3"/>
  <c r="M5416" i="3"/>
  <c r="L5416" i="3"/>
  <c r="M5415" i="3"/>
  <c r="L5415" i="3"/>
  <c r="M5414" i="3"/>
  <c r="L5414" i="3"/>
  <c r="M5413" i="3"/>
  <c r="L5413" i="3"/>
  <c r="M5412" i="3"/>
  <c r="L5412" i="3"/>
  <c r="M5411" i="3"/>
  <c r="L5411" i="3"/>
  <c r="M5410" i="3"/>
  <c r="L5410" i="3"/>
  <c r="M5409" i="3"/>
  <c r="L5409" i="3"/>
  <c r="M5408" i="3"/>
  <c r="L5408" i="3"/>
  <c r="M5407" i="3"/>
  <c r="L5407" i="3"/>
  <c r="M5406" i="3"/>
  <c r="L5406" i="3"/>
  <c r="M5405" i="3"/>
  <c r="L5405" i="3"/>
  <c r="M5404" i="3"/>
  <c r="L5404" i="3"/>
  <c r="M5403" i="3"/>
  <c r="L5403" i="3"/>
  <c r="M5402" i="3"/>
  <c r="L5402" i="3"/>
  <c r="M5401" i="3"/>
  <c r="L5401" i="3"/>
  <c r="M5400" i="3"/>
  <c r="L5400" i="3"/>
  <c r="M5399" i="3"/>
  <c r="L5399" i="3"/>
  <c r="M5398" i="3"/>
  <c r="L5398" i="3"/>
  <c r="M5397" i="3"/>
  <c r="L5397" i="3"/>
  <c r="M5396" i="3"/>
  <c r="L5396" i="3"/>
  <c r="M5395" i="3"/>
  <c r="L5395" i="3"/>
  <c r="M5394" i="3"/>
  <c r="L5394" i="3"/>
  <c r="M5393" i="3"/>
  <c r="L5393" i="3"/>
  <c r="M5392" i="3"/>
  <c r="L5392" i="3"/>
  <c r="M5391" i="3"/>
  <c r="L5391" i="3"/>
  <c r="M5390" i="3"/>
  <c r="L5390" i="3"/>
  <c r="M5389" i="3"/>
  <c r="L5389" i="3"/>
  <c r="M5388" i="3"/>
  <c r="L5388" i="3"/>
  <c r="M5387" i="3"/>
  <c r="L5387" i="3"/>
  <c r="M5386" i="3"/>
  <c r="L5386" i="3"/>
  <c r="M5385" i="3"/>
  <c r="L5385" i="3"/>
  <c r="M5384" i="3"/>
  <c r="L5384" i="3"/>
  <c r="M5383" i="3"/>
  <c r="L5383" i="3"/>
  <c r="M5382" i="3"/>
  <c r="L5382" i="3"/>
  <c r="M5381" i="3"/>
  <c r="L5381" i="3"/>
  <c r="M5380" i="3"/>
  <c r="L5380" i="3"/>
  <c r="M5379" i="3"/>
  <c r="L5379" i="3"/>
  <c r="M5378" i="3"/>
  <c r="L5378" i="3"/>
  <c r="M5377" i="3"/>
  <c r="L5377" i="3"/>
  <c r="M5376" i="3"/>
  <c r="L5376" i="3"/>
  <c r="M5375" i="3"/>
  <c r="L5375" i="3"/>
  <c r="M5374" i="3"/>
  <c r="L5374" i="3"/>
  <c r="M5373" i="3"/>
  <c r="L5373" i="3"/>
  <c r="M5372" i="3"/>
  <c r="L5372" i="3"/>
  <c r="M5371" i="3"/>
  <c r="L5371" i="3"/>
  <c r="M5370" i="3"/>
  <c r="L5370" i="3"/>
  <c r="M5369" i="3"/>
  <c r="L5369" i="3"/>
  <c r="M5368" i="3"/>
  <c r="L5368" i="3"/>
  <c r="M5367" i="3"/>
  <c r="L5367" i="3"/>
  <c r="M5366" i="3"/>
  <c r="L5366" i="3"/>
  <c r="M5365" i="3"/>
  <c r="L5365" i="3"/>
  <c r="M5364" i="3"/>
  <c r="L5364" i="3"/>
  <c r="M5363" i="3"/>
  <c r="L5363" i="3"/>
  <c r="M5362" i="3"/>
  <c r="L5362" i="3"/>
  <c r="M5361" i="3"/>
  <c r="L5361" i="3"/>
  <c r="M5360" i="3"/>
  <c r="L5360" i="3"/>
  <c r="M5359" i="3"/>
  <c r="L5359" i="3"/>
  <c r="M5358" i="3"/>
  <c r="L5358" i="3"/>
  <c r="M5357" i="3"/>
  <c r="L5357" i="3"/>
  <c r="M5356" i="3"/>
  <c r="L5356" i="3"/>
  <c r="M5355" i="3"/>
  <c r="L5355" i="3"/>
  <c r="M5354" i="3"/>
  <c r="L5354" i="3"/>
  <c r="M5353" i="3"/>
  <c r="L5353" i="3"/>
  <c r="M5352" i="3"/>
  <c r="L5352" i="3"/>
  <c r="M5351" i="3"/>
  <c r="L5351" i="3"/>
  <c r="M5350" i="3"/>
  <c r="L5350" i="3"/>
  <c r="M5349" i="3"/>
  <c r="L5349" i="3"/>
  <c r="M5348" i="3"/>
  <c r="L5348" i="3"/>
  <c r="M5347" i="3"/>
  <c r="L5347" i="3"/>
  <c r="M5346" i="3"/>
  <c r="L5346" i="3"/>
  <c r="M5345" i="3"/>
  <c r="L5345" i="3"/>
  <c r="M5344" i="3"/>
  <c r="L5344" i="3"/>
  <c r="M5343" i="3"/>
  <c r="L5343" i="3"/>
  <c r="M5342" i="3"/>
  <c r="L5342" i="3"/>
  <c r="M5341" i="3"/>
  <c r="L5341" i="3"/>
  <c r="M5340" i="3"/>
  <c r="L5340" i="3"/>
  <c r="M5339" i="3"/>
  <c r="L5339" i="3"/>
  <c r="M5338" i="3"/>
  <c r="L5338" i="3"/>
  <c r="M5337" i="3"/>
  <c r="L5337" i="3"/>
  <c r="M5336" i="3"/>
  <c r="L5336" i="3"/>
  <c r="M5335" i="3"/>
  <c r="L5335" i="3"/>
  <c r="M5334" i="3"/>
  <c r="L5334" i="3"/>
  <c r="M5333" i="3"/>
  <c r="L5333" i="3"/>
  <c r="M5332" i="3"/>
  <c r="L5332" i="3"/>
  <c r="M5331" i="3"/>
  <c r="L5331" i="3"/>
  <c r="M5330" i="3"/>
  <c r="L5330" i="3"/>
  <c r="M5329" i="3"/>
  <c r="L5329" i="3"/>
  <c r="M5328" i="3"/>
  <c r="L5328" i="3"/>
  <c r="M5327" i="3"/>
  <c r="L5327" i="3"/>
  <c r="M5326" i="3"/>
  <c r="L5326" i="3"/>
  <c r="M5325" i="3"/>
  <c r="L5325" i="3"/>
  <c r="M5324" i="3"/>
  <c r="L5324" i="3"/>
  <c r="M5323" i="3"/>
  <c r="L5323" i="3"/>
  <c r="M5322" i="3"/>
  <c r="L5322" i="3"/>
  <c r="M5321" i="3"/>
  <c r="L5321" i="3"/>
  <c r="M5320" i="3"/>
  <c r="L5320" i="3"/>
  <c r="M5319" i="3"/>
  <c r="L5319" i="3"/>
  <c r="M5318" i="3"/>
  <c r="L5318" i="3"/>
  <c r="M5317" i="3"/>
  <c r="L5317" i="3"/>
  <c r="M5316" i="3"/>
  <c r="L5316" i="3"/>
  <c r="M5315" i="3"/>
  <c r="L5315" i="3"/>
  <c r="M5314" i="3"/>
  <c r="L5314" i="3"/>
  <c r="M5313" i="3"/>
  <c r="L5313" i="3"/>
  <c r="M5312" i="3"/>
  <c r="L5312" i="3"/>
  <c r="M5311" i="3"/>
  <c r="L5311" i="3"/>
  <c r="M5310" i="3"/>
  <c r="L5310" i="3"/>
  <c r="M5309" i="3"/>
  <c r="L5309" i="3"/>
  <c r="M5308" i="3"/>
  <c r="L5308" i="3"/>
  <c r="M5307" i="3"/>
  <c r="L5307" i="3"/>
  <c r="M5306" i="3"/>
  <c r="L5306" i="3"/>
  <c r="M5305" i="3"/>
  <c r="L5305" i="3"/>
  <c r="M5304" i="3"/>
  <c r="L5304" i="3"/>
  <c r="M5303" i="3"/>
  <c r="L5303" i="3"/>
  <c r="M5302" i="3"/>
  <c r="L5302" i="3"/>
  <c r="M5301" i="3"/>
  <c r="L5301" i="3"/>
  <c r="M5300" i="3"/>
  <c r="L5300" i="3"/>
  <c r="M5299" i="3"/>
  <c r="L5299" i="3"/>
  <c r="M5298" i="3"/>
  <c r="L5298" i="3"/>
  <c r="M5297" i="3"/>
  <c r="L5297" i="3"/>
  <c r="M5296" i="3"/>
  <c r="L5296" i="3"/>
  <c r="M5295" i="3"/>
  <c r="L5295" i="3"/>
  <c r="M5294" i="3"/>
  <c r="L5294" i="3"/>
  <c r="M5293" i="3"/>
  <c r="L5293" i="3"/>
  <c r="M5292" i="3"/>
  <c r="L5292" i="3"/>
  <c r="M5291" i="3"/>
  <c r="L5291" i="3"/>
  <c r="M5290" i="3"/>
  <c r="L5290" i="3"/>
  <c r="M5289" i="3"/>
  <c r="L5289" i="3"/>
  <c r="M5288" i="3"/>
  <c r="L5288" i="3"/>
  <c r="M5287" i="3"/>
  <c r="L5287" i="3"/>
  <c r="M5286" i="3"/>
  <c r="L5286" i="3"/>
  <c r="M5285" i="3"/>
  <c r="L5285" i="3"/>
  <c r="M5284" i="3"/>
  <c r="L5284" i="3"/>
  <c r="M5283" i="3"/>
  <c r="L5283" i="3"/>
  <c r="M5282" i="3"/>
  <c r="L5282" i="3"/>
  <c r="M5281" i="3"/>
  <c r="L5281" i="3"/>
  <c r="M5280" i="3"/>
  <c r="L5280" i="3"/>
  <c r="M5279" i="3"/>
  <c r="L5279" i="3"/>
  <c r="M5278" i="3"/>
  <c r="L5278" i="3"/>
  <c r="M5277" i="3"/>
  <c r="L5277" i="3"/>
  <c r="M5276" i="3"/>
  <c r="L5276" i="3"/>
  <c r="M5275" i="3"/>
  <c r="L5275" i="3"/>
  <c r="M5274" i="3"/>
  <c r="L5274" i="3"/>
  <c r="M5273" i="3"/>
  <c r="L5273" i="3"/>
  <c r="M5272" i="3"/>
  <c r="L5272" i="3"/>
  <c r="M5271" i="3"/>
  <c r="L5271" i="3"/>
  <c r="M5270" i="3"/>
  <c r="L5270" i="3"/>
  <c r="M5269" i="3"/>
  <c r="L5269" i="3"/>
  <c r="M5268" i="3"/>
  <c r="L5268" i="3"/>
  <c r="M5267" i="3"/>
  <c r="L5267" i="3"/>
  <c r="M5266" i="3"/>
  <c r="L5266" i="3"/>
  <c r="M5265" i="3"/>
  <c r="L5265" i="3"/>
  <c r="M5264" i="3"/>
  <c r="L5264" i="3"/>
  <c r="M5263" i="3"/>
  <c r="L5263" i="3"/>
  <c r="M5262" i="3"/>
  <c r="L5262" i="3"/>
  <c r="M5261" i="3"/>
  <c r="L5261" i="3"/>
  <c r="M5260" i="3"/>
  <c r="L5260" i="3"/>
  <c r="M5259" i="3"/>
  <c r="L5259" i="3"/>
  <c r="M5258" i="3"/>
  <c r="L5258" i="3"/>
  <c r="M5257" i="3"/>
  <c r="L5257" i="3"/>
  <c r="M5256" i="3"/>
  <c r="L5256" i="3"/>
  <c r="M5255" i="3"/>
  <c r="L5255" i="3"/>
  <c r="M5254" i="3"/>
  <c r="L5254" i="3"/>
  <c r="M5253" i="3"/>
  <c r="L5253" i="3"/>
  <c r="M5252" i="3"/>
  <c r="L5252" i="3"/>
  <c r="M5251" i="3"/>
  <c r="L5251" i="3"/>
  <c r="M5250" i="3"/>
  <c r="L5250" i="3"/>
  <c r="M5249" i="3"/>
  <c r="L5249" i="3"/>
  <c r="M5248" i="3"/>
  <c r="L5248" i="3"/>
  <c r="M5247" i="3"/>
  <c r="L5247" i="3"/>
  <c r="M5246" i="3"/>
  <c r="L5246" i="3"/>
  <c r="M5245" i="3"/>
  <c r="L5245" i="3"/>
  <c r="M5244" i="3"/>
  <c r="L5244" i="3"/>
  <c r="M5243" i="3"/>
  <c r="L5243" i="3"/>
  <c r="M5242" i="3"/>
  <c r="L5242" i="3"/>
  <c r="M5241" i="3"/>
  <c r="L5241" i="3"/>
  <c r="M5240" i="3"/>
  <c r="L5240" i="3"/>
  <c r="M5239" i="3"/>
  <c r="L5239" i="3"/>
  <c r="M5238" i="3"/>
  <c r="L5238" i="3"/>
  <c r="M5237" i="3"/>
  <c r="L5237" i="3"/>
  <c r="M5236" i="3"/>
  <c r="L5236" i="3"/>
  <c r="M5235" i="3"/>
  <c r="L5235" i="3"/>
  <c r="M5234" i="3"/>
  <c r="L5234" i="3"/>
  <c r="M5233" i="3"/>
  <c r="L5233" i="3"/>
  <c r="M5232" i="3"/>
  <c r="L5232" i="3"/>
  <c r="M5231" i="3"/>
  <c r="L5231" i="3"/>
  <c r="M5230" i="3"/>
  <c r="L5230" i="3"/>
  <c r="M5229" i="3"/>
  <c r="L5229" i="3"/>
  <c r="M5228" i="3"/>
  <c r="L5228" i="3"/>
  <c r="M5227" i="3"/>
  <c r="L5227" i="3"/>
  <c r="M5226" i="3"/>
  <c r="L5226" i="3"/>
  <c r="M5225" i="3"/>
  <c r="L5225" i="3"/>
  <c r="M5224" i="3"/>
  <c r="L5224" i="3"/>
  <c r="M5223" i="3"/>
  <c r="L5223" i="3"/>
  <c r="M5222" i="3"/>
  <c r="L5222" i="3"/>
  <c r="M5221" i="3"/>
  <c r="L5221" i="3"/>
  <c r="M5220" i="3"/>
  <c r="L5220" i="3"/>
  <c r="M5219" i="3"/>
  <c r="L5219" i="3"/>
  <c r="M5218" i="3"/>
  <c r="L5218" i="3"/>
  <c r="M5217" i="3"/>
  <c r="L5217" i="3"/>
  <c r="M5216" i="3"/>
  <c r="L5216" i="3"/>
  <c r="M5215" i="3"/>
  <c r="L5215" i="3"/>
  <c r="M5214" i="3"/>
  <c r="L5214" i="3"/>
  <c r="M5213" i="3"/>
  <c r="L5213" i="3"/>
  <c r="M5212" i="3"/>
  <c r="L5212" i="3"/>
  <c r="M5211" i="3"/>
  <c r="L5211" i="3"/>
  <c r="M5210" i="3"/>
  <c r="L5210" i="3"/>
  <c r="M5209" i="3"/>
  <c r="L5209" i="3"/>
  <c r="M5208" i="3"/>
  <c r="L5208" i="3"/>
  <c r="M5207" i="3"/>
  <c r="L5207" i="3"/>
  <c r="M5206" i="3"/>
  <c r="L5206" i="3"/>
  <c r="M5205" i="3"/>
  <c r="L5205" i="3"/>
  <c r="M5204" i="3"/>
  <c r="L5204" i="3"/>
  <c r="M5203" i="3"/>
  <c r="L5203" i="3"/>
  <c r="M5202" i="3"/>
  <c r="L5202" i="3"/>
  <c r="M5201" i="3"/>
  <c r="L5201" i="3"/>
  <c r="M5200" i="3"/>
  <c r="L5200" i="3"/>
  <c r="M5199" i="3"/>
  <c r="L5199" i="3"/>
  <c r="M5198" i="3"/>
  <c r="L5198" i="3"/>
  <c r="M5197" i="3"/>
  <c r="L5197" i="3"/>
  <c r="M5196" i="3"/>
  <c r="L5196" i="3"/>
  <c r="M5195" i="3"/>
  <c r="L5195" i="3"/>
  <c r="M5194" i="3"/>
  <c r="L5194" i="3"/>
  <c r="M5193" i="3"/>
  <c r="L5193" i="3"/>
  <c r="M5192" i="3"/>
  <c r="L5192" i="3"/>
  <c r="M5191" i="3"/>
  <c r="L5191" i="3"/>
  <c r="M5190" i="3"/>
  <c r="L5190" i="3"/>
  <c r="M5189" i="3"/>
  <c r="L5189" i="3"/>
  <c r="M5188" i="3"/>
  <c r="L5188" i="3"/>
  <c r="M5187" i="3"/>
  <c r="L5187" i="3"/>
  <c r="M5186" i="3"/>
  <c r="L5186" i="3"/>
  <c r="M5185" i="3"/>
  <c r="L5185" i="3"/>
  <c r="M5184" i="3"/>
  <c r="L5184" i="3"/>
  <c r="M5183" i="3"/>
  <c r="L5183" i="3"/>
  <c r="M5182" i="3"/>
  <c r="L5182" i="3"/>
  <c r="M5181" i="3"/>
  <c r="L5181" i="3"/>
  <c r="M5180" i="3"/>
  <c r="L5180" i="3"/>
  <c r="M5179" i="3"/>
  <c r="L5179" i="3"/>
  <c r="M5178" i="3"/>
  <c r="L5178" i="3"/>
  <c r="M5177" i="3"/>
  <c r="L5177" i="3"/>
  <c r="M5176" i="3"/>
  <c r="L5176" i="3"/>
  <c r="M5175" i="3"/>
  <c r="L5175" i="3"/>
  <c r="M5174" i="3"/>
  <c r="L5174" i="3"/>
  <c r="M5173" i="3"/>
  <c r="L5173" i="3"/>
  <c r="M5172" i="3"/>
  <c r="L5172" i="3"/>
  <c r="M5171" i="3"/>
  <c r="L5171" i="3"/>
  <c r="M5170" i="3"/>
  <c r="L5170" i="3"/>
  <c r="M5169" i="3"/>
  <c r="L5169" i="3"/>
  <c r="M5168" i="3"/>
  <c r="L5168" i="3"/>
  <c r="M5167" i="3"/>
  <c r="L5167" i="3"/>
  <c r="M5166" i="3"/>
  <c r="L5166" i="3"/>
  <c r="M5165" i="3"/>
  <c r="L5165" i="3"/>
  <c r="M5164" i="3"/>
  <c r="L5164" i="3"/>
  <c r="M5163" i="3"/>
  <c r="L5163" i="3"/>
  <c r="M5162" i="3"/>
  <c r="L5162" i="3"/>
  <c r="M5161" i="3"/>
  <c r="L5161" i="3"/>
  <c r="M5160" i="3"/>
  <c r="L5160" i="3"/>
  <c r="M5159" i="3"/>
  <c r="L5159" i="3"/>
  <c r="M5158" i="3"/>
  <c r="L5158" i="3"/>
  <c r="M5157" i="3"/>
  <c r="L5157" i="3"/>
  <c r="M5156" i="3"/>
  <c r="L5156" i="3"/>
  <c r="M5155" i="3"/>
  <c r="L5155" i="3"/>
  <c r="M5154" i="3"/>
  <c r="L5154" i="3"/>
  <c r="M5153" i="3"/>
  <c r="L5153" i="3"/>
  <c r="M5152" i="3"/>
  <c r="L5152" i="3"/>
  <c r="M5151" i="3"/>
  <c r="L5151" i="3"/>
  <c r="M5150" i="3"/>
  <c r="L5150" i="3"/>
  <c r="M5149" i="3"/>
  <c r="L5149" i="3"/>
  <c r="M5148" i="3"/>
  <c r="L5148" i="3"/>
  <c r="M5147" i="3"/>
  <c r="L5147" i="3"/>
  <c r="M5146" i="3"/>
  <c r="L5146" i="3"/>
  <c r="M5145" i="3"/>
  <c r="L5145" i="3"/>
  <c r="M5144" i="3"/>
  <c r="L5144" i="3"/>
  <c r="M5143" i="3"/>
  <c r="L5143" i="3"/>
  <c r="M5142" i="3"/>
  <c r="L5142" i="3"/>
  <c r="M5141" i="3"/>
  <c r="L5141" i="3"/>
  <c r="M5140" i="3"/>
  <c r="L5140" i="3"/>
  <c r="M5139" i="3"/>
  <c r="L5139" i="3"/>
  <c r="M5138" i="3"/>
  <c r="L5138" i="3"/>
  <c r="M5137" i="3"/>
  <c r="L5137" i="3"/>
  <c r="M5136" i="3"/>
  <c r="L5136" i="3"/>
  <c r="M5135" i="3"/>
  <c r="L5135" i="3"/>
  <c r="M5134" i="3"/>
  <c r="L5134" i="3"/>
  <c r="M5133" i="3"/>
  <c r="L5133" i="3"/>
  <c r="M5132" i="3"/>
  <c r="L5132" i="3"/>
  <c r="M5131" i="3"/>
  <c r="L5131" i="3"/>
  <c r="M5130" i="3"/>
  <c r="L5130" i="3"/>
  <c r="M5129" i="3"/>
  <c r="L5129" i="3"/>
  <c r="M5128" i="3"/>
  <c r="L5128" i="3"/>
  <c r="M5127" i="3"/>
  <c r="L5127" i="3"/>
  <c r="M5126" i="3"/>
  <c r="L5126" i="3"/>
  <c r="M5125" i="3"/>
  <c r="L5125" i="3"/>
  <c r="M5124" i="3"/>
  <c r="L5124" i="3"/>
  <c r="M5123" i="3"/>
  <c r="L5123" i="3"/>
  <c r="M5122" i="3"/>
  <c r="L5122" i="3"/>
  <c r="M5121" i="3"/>
  <c r="L5121" i="3"/>
  <c r="M5120" i="3"/>
  <c r="L5120" i="3"/>
  <c r="M5119" i="3"/>
  <c r="L5119" i="3"/>
  <c r="M5118" i="3"/>
  <c r="L5118" i="3"/>
  <c r="M5117" i="3"/>
  <c r="L5117" i="3"/>
  <c r="M5116" i="3"/>
  <c r="L5116" i="3"/>
  <c r="M5115" i="3"/>
  <c r="L5115" i="3"/>
  <c r="M5114" i="3"/>
  <c r="L5114" i="3"/>
  <c r="M5113" i="3"/>
  <c r="L5113" i="3"/>
  <c r="M5112" i="3"/>
  <c r="L5112" i="3"/>
  <c r="M5111" i="3"/>
  <c r="L5111" i="3"/>
  <c r="M5110" i="3"/>
  <c r="L5110" i="3"/>
  <c r="M5109" i="3"/>
  <c r="L5109" i="3"/>
  <c r="M5108" i="3"/>
  <c r="L5108" i="3"/>
  <c r="M5107" i="3"/>
  <c r="L5107" i="3"/>
  <c r="M5106" i="3"/>
  <c r="L5106" i="3"/>
  <c r="M5105" i="3"/>
  <c r="L5105" i="3"/>
  <c r="M5104" i="3"/>
  <c r="L5104" i="3"/>
  <c r="M5103" i="3"/>
  <c r="L5103" i="3"/>
  <c r="M5102" i="3"/>
  <c r="L5102" i="3"/>
  <c r="M5101" i="3"/>
  <c r="L5101" i="3"/>
  <c r="M5100" i="3"/>
  <c r="L5100" i="3"/>
  <c r="M5099" i="3"/>
  <c r="L5099" i="3"/>
  <c r="M5098" i="3"/>
  <c r="L5098" i="3"/>
  <c r="M5097" i="3"/>
  <c r="L5097" i="3"/>
  <c r="M5096" i="3"/>
  <c r="L5096" i="3"/>
  <c r="M5095" i="3"/>
  <c r="L5095" i="3"/>
  <c r="M5094" i="3"/>
  <c r="L5094" i="3"/>
  <c r="M5093" i="3"/>
  <c r="L5093" i="3"/>
  <c r="M5092" i="3"/>
  <c r="L5092" i="3"/>
  <c r="M5091" i="3"/>
  <c r="L5091" i="3"/>
  <c r="M5090" i="3"/>
  <c r="L5090" i="3"/>
  <c r="M5089" i="3"/>
  <c r="L5089" i="3"/>
  <c r="M5088" i="3"/>
  <c r="L5088" i="3"/>
  <c r="M5087" i="3"/>
  <c r="L5087" i="3"/>
  <c r="M5086" i="3"/>
  <c r="L5086" i="3"/>
  <c r="M5085" i="3"/>
  <c r="L5085" i="3"/>
  <c r="M5084" i="3"/>
  <c r="L5084" i="3"/>
  <c r="M5083" i="3"/>
  <c r="L5083" i="3"/>
  <c r="M5082" i="3"/>
  <c r="L5082" i="3"/>
  <c r="M5081" i="3"/>
  <c r="L5081" i="3"/>
  <c r="M5080" i="3"/>
  <c r="L5080" i="3"/>
  <c r="M5079" i="3"/>
  <c r="L5079" i="3"/>
  <c r="M5078" i="3"/>
  <c r="L5078" i="3"/>
  <c r="M5077" i="3"/>
  <c r="L5077" i="3"/>
  <c r="M5076" i="3"/>
  <c r="L5076" i="3"/>
  <c r="M5075" i="3"/>
  <c r="L5075" i="3"/>
  <c r="M5074" i="3"/>
  <c r="L5074" i="3"/>
  <c r="M5073" i="3"/>
  <c r="L5073" i="3"/>
  <c r="M5072" i="3"/>
  <c r="L5072" i="3"/>
  <c r="M5071" i="3"/>
  <c r="L5071" i="3"/>
  <c r="M5070" i="3"/>
  <c r="L5070" i="3"/>
  <c r="M5069" i="3"/>
  <c r="L5069" i="3"/>
  <c r="M5068" i="3"/>
  <c r="L5068" i="3"/>
  <c r="M5067" i="3"/>
  <c r="L5067" i="3"/>
  <c r="M5066" i="3"/>
  <c r="L5066" i="3"/>
  <c r="M5065" i="3"/>
  <c r="L5065" i="3"/>
  <c r="M5064" i="3"/>
  <c r="L5064" i="3"/>
  <c r="M5063" i="3"/>
  <c r="L5063" i="3"/>
  <c r="M5062" i="3"/>
  <c r="L5062" i="3"/>
  <c r="M5061" i="3"/>
  <c r="L5061" i="3"/>
  <c r="M5060" i="3"/>
  <c r="L5060" i="3"/>
  <c r="M5059" i="3"/>
  <c r="L5059" i="3"/>
  <c r="M5058" i="3"/>
  <c r="L5058" i="3"/>
  <c r="M5057" i="3"/>
  <c r="L5057" i="3"/>
  <c r="M5056" i="3"/>
  <c r="L5056" i="3"/>
  <c r="M5055" i="3"/>
  <c r="L5055" i="3"/>
  <c r="M5054" i="3"/>
  <c r="L5054" i="3"/>
  <c r="M5053" i="3"/>
  <c r="L5053" i="3"/>
  <c r="M5052" i="3"/>
  <c r="L5052" i="3"/>
  <c r="M5051" i="3"/>
  <c r="L5051" i="3"/>
  <c r="M5050" i="3"/>
  <c r="L5050" i="3"/>
  <c r="M5049" i="3"/>
  <c r="L5049" i="3"/>
  <c r="M5048" i="3"/>
  <c r="L5048" i="3"/>
  <c r="M5047" i="3"/>
  <c r="L5047" i="3"/>
  <c r="M5046" i="3"/>
  <c r="L5046" i="3"/>
  <c r="M5045" i="3"/>
  <c r="L5045" i="3"/>
  <c r="M5044" i="3"/>
  <c r="L5044" i="3"/>
  <c r="M5043" i="3"/>
  <c r="L5043" i="3"/>
  <c r="M5042" i="3"/>
  <c r="L5042" i="3"/>
  <c r="M5041" i="3"/>
  <c r="L5041" i="3"/>
  <c r="M5040" i="3"/>
  <c r="L5040" i="3"/>
  <c r="M5039" i="3"/>
  <c r="L5039" i="3"/>
  <c r="M5038" i="3"/>
  <c r="L5038" i="3"/>
  <c r="M5037" i="3"/>
  <c r="L5037" i="3"/>
  <c r="M5036" i="3"/>
  <c r="L5036" i="3"/>
  <c r="M5035" i="3"/>
  <c r="L5035" i="3"/>
  <c r="M5034" i="3"/>
  <c r="L5034" i="3"/>
  <c r="M5033" i="3"/>
  <c r="L5033" i="3"/>
  <c r="M5032" i="3"/>
  <c r="L5032" i="3"/>
  <c r="M5031" i="3"/>
  <c r="L5031" i="3"/>
  <c r="M5030" i="3"/>
  <c r="L5030" i="3"/>
  <c r="M5029" i="3"/>
  <c r="L5029" i="3"/>
  <c r="M5028" i="3"/>
  <c r="L5028" i="3"/>
  <c r="M5027" i="3"/>
  <c r="L5027" i="3"/>
  <c r="M5026" i="3"/>
  <c r="L5026" i="3"/>
  <c r="M5025" i="3"/>
  <c r="L5025" i="3"/>
  <c r="M5024" i="3"/>
  <c r="L5024" i="3"/>
  <c r="M5023" i="3"/>
  <c r="L5023" i="3"/>
  <c r="M5022" i="3"/>
  <c r="L5022" i="3"/>
  <c r="M5021" i="3"/>
  <c r="L5021" i="3"/>
  <c r="M5020" i="3"/>
  <c r="L5020" i="3"/>
  <c r="M5019" i="3"/>
  <c r="L5019" i="3"/>
  <c r="M5018" i="3"/>
  <c r="L5018" i="3"/>
  <c r="M5017" i="3"/>
  <c r="L5017" i="3"/>
  <c r="M5016" i="3"/>
  <c r="L5016" i="3"/>
  <c r="M5015" i="3"/>
  <c r="L5015" i="3"/>
  <c r="M5014" i="3"/>
  <c r="L5014" i="3"/>
  <c r="M5013" i="3"/>
  <c r="L5013" i="3"/>
  <c r="M5012" i="3"/>
  <c r="L5012" i="3"/>
  <c r="M5011" i="3"/>
  <c r="L5011" i="3"/>
  <c r="M5010" i="3"/>
  <c r="L5010" i="3"/>
  <c r="M5009" i="3"/>
  <c r="L5009" i="3"/>
  <c r="M5008" i="3"/>
  <c r="L5008" i="3"/>
  <c r="M5007" i="3"/>
  <c r="L5007" i="3"/>
  <c r="M5006" i="3"/>
  <c r="L5006" i="3"/>
  <c r="M5005" i="3"/>
  <c r="L5005" i="3"/>
  <c r="M5004" i="3"/>
  <c r="L5004" i="3"/>
  <c r="M5003" i="3"/>
  <c r="L5003" i="3"/>
  <c r="M5002" i="3"/>
  <c r="L5002" i="3"/>
  <c r="M5001" i="3"/>
  <c r="L5001" i="3"/>
  <c r="M5000" i="3"/>
  <c r="L5000" i="3"/>
  <c r="M4999" i="3"/>
  <c r="L4999" i="3"/>
  <c r="M4998" i="3"/>
  <c r="L4998" i="3"/>
  <c r="M4997" i="3"/>
  <c r="L4997" i="3"/>
  <c r="M4996" i="3"/>
  <c r="L4996" i="3"/>
  <c r="M4995" i="3"/>
  <c r="L4995" i="3"/>
  <c r="M4994" i="3"/>
  <c r="L4994" i="3"/>
  <c r="M4993" i="3"/>
  <c r="L4993" i="3"/>
  <c r="M4992" i="3"/>
  <c r="L4992" i="3"/>
  <c r="M4991" i="3"/>
  <c r="L4991" i="3"/>
  <c r="M4990" i="3"/>
  <c r="L4990" i="3"/>
  <c r="M4989" i="3"/>
  <c r="L4989" i="3"/>
  <c r="M4988" i="3"/>
  <c r="L4988" i="3"/>
  <c r="M4987" i="3"/>
  <c r="L4987" i="3"/>
  <c r="M4986" i="3"/>
  <c r="L4986" i="3"/>
  <c r="M4985" i="3"/>
  <c r="L4985" i="3"/>
  <c r="M4984" i="3"/>
  <c r="L4984" i="3"/>
  <c r="M4983" i="3"/>
  <c r="L4983" i="3"/>
  <c r="M4982" i="3"/>
  <c r="L4982" i="3"/>
  <c r="M4981" i="3"/>
  <c r="L4981" i="3"/>
  <c r="M4980" i="3"/>
  <c r="L4980" i="3"/>
  <c r="M4979" i="3"/>
  <c r="L4979" i="3"/>
  <c r="M4978" i="3"/>
  <c r="L4978" i="3"/>
  <c r="M4977" i="3"/>
  <c r="L4977" i="3"/>
  <c r="M4976" i="3"/>
  <c r="L4976" i="3"/>
  <c r="M4975" i="3"/>
  <c r="L4975" i="3"/>
  <c r="M4974" i="3"/>
  <c r="L4974" i="3"/>
  <c r="M4973" i="3"/>
  <c r="L4973" i="3"/>
  <c r="M4972" i="3"/>
  <c r="L4972" i="3"/>
  <c r="M4971" i="3"/>
  <c r="L4971" i="3"/>
  <c r="M4970" i="3"/>
  <c r="L4970" i="3"/>
  <c r="M4969" i="3"/>
  <c r="L4969" i="3"/>
  <c r="M4968" i="3"/>
  <c r="L4968" i="3"/>
  <c r="M4967" i="3"/>
  <c r="L4967" i="3"/>
  <c r="M4966" i="3"/>
  <c r="L4966" i="3"/>
  <c r="M4965" i="3"/>
  <c r="L4965" i="3"/>
  <c r="M4964" i="3"/>
  <c r="L4964" i="3"/>
  <c r="M4963" i="3"/>
  <c r="L4963" i="3"/>
  <c r="M4962" i="3"/>
  <c r="L4962" i="3"/>
  <c r="M4961" i="3"/>
  <c r="L4961" i="3"/>
  <c r="M4960" i="3"/>
  <c r="L4960" i="3"/>
  <c r="M4959" i="3"/>
  <c r="L4959" i="3"/>
  <c r="M4958" i="3"/>
  <c r="L4958" i="3"/>
  <c r="M4957" i="3"/>
  <c r="L4957" i="3"/>
  <c r="M4956" i="3"/>
  <c r="L4956" i="3"/>
  <c r="M4955" i="3"/>
  <c r="L4955" i="3"/>
  <c r="M4954" i="3"/>
  <c r="L4954" i="3"/>
  <c r="M4953" i="3"/>
  <c r="L4953" i="3"/>
  <c r="M4952" i="3"/>
  <c r="L4952" i="3"/>
  <c r="M4951" i="3"/>
  <c r="L4951" i="3"/>
  <c r="M4950" i="3"/>
  <c r="L4950" i="3"/>
  <c r="M4949" i="3"/>
  <c r="L4949" i="3"/>
  <c r="M4948" i="3"/>
  <c r="L4948" i="3"/>
  <c r="M4947" i="3"/>
  <c r="L4947" i="3"/>
  <c r="M4946" i="3"/>
  <c r="L4946" i="3"/>
  <c r="M4945" i="3"/>
  <c r="L4945" i="3"/>
  <c r="M4944" i="3"/>
  <c r="L4944" i="3"/>
  <c r="M4943" i="3"/>
  <c r="L4943" i="3"/>
  <c r="M4942" i="3"/>
  <c r="L4942" i="3"/>
  <c r="M4941" i="3"/>
  <c r="L4941" i="3"/>
  <c r="M4940" i="3"/>
  <c r="L4940" i="3"/>
  <c r="M4939" i="3"/>
  <c r="L4939" i="3"/>
  <c r="M4938" i="3"/>
  <c r="L4938" i="3"/>
  <c r="M4937" i="3"/>
  <c r="L4937" i="3"/>
  <c r="M4936" i="3"/>
  <c r="L4936" i="3"/>
  <c r="M4935" i="3"/>
  <c r="L4935" i="3"/>
  <c r="M4934" i="3"/>
  <c r="L4934" i="3"/>
  <c r="M4933" i="3"/>
  <c r="L4933" i="3"/>
  <c r="M4932" i="3"/>
  <c r="L4932" i="3"/>
  <c r="M4931" i="3"/>
  <c r="L4931" i="3"/>
  <c r="M4930" i="3"/>
  <c r="L4930" i="3"/>
  <c r="M4929" i="3"/>
  <c r="L4929" i="3"/>
  <c r="M4928" i="3"/>
  <c r="L4928" i="3"/>
  <c r="M4927" i="3"/>
  <c r="L4927" i="3"/>
  <c r="M4926" i="3"/>
  <c r="L4926" i="3"/>
  <c r="M4925" i="3"/>
  <c r="L4925" i="3"/>
  <c r="M4924" i="3"/>
  <c r="L4924" i="3"/>
  <c r="M4923" i="3"/>
  <c r="L4923" i="3"/>
  <c r="M4922" i="3"/>
  <c r="L4922" i="3"/>
  <c r="M4921" i="3"/>
  <c r="L4921" i="3"/>
  <c r="M4920" i="3"/>
  <c r="L4920" i="3"/>
  <c r="M4919" i="3"/>
  <c r="L4919" i="3"/>
  <c r="M4918" i="3"/>
  <c r="L4918" i="3"/>
  <c r="M4917" i="3"/>
  <c r="L4917" i="3"/>
  <c r="M4916" i="3"/>
  <c r="L4916" i="3"/>
  <c r="M4915" i="3"/>
  <c r="L4915" i="3"/>
  <c r="M4914" i="3"/>
  <c r="L4914" i="3"/>
  <c r="M4913" i="3"/>
  <c r="L4913" i="3"/>
  <c r="M4912" i="3"/>
  <c r="L4912" i="3"/>
  <c r="M4911" i="3"/>
  <c r="L4911" i="3"/>
  <c r="M4910" i="3"/>
  <c r="L4910" i="3"/>
  <c r="M4909" i="3"/>
  <c r="L4909" i="3"/>
  <c r="M4908" i="3"/>
  <c r="L4908" i="3"/>
  <c r="M4907" i="3"/>
  <c r="L4907" i="3"/>
  <c r="M4906" i="3"/>
  <c r="L4906" i="3"/>
  <c r="M4905" i="3"/>
  <c r="L4905" i="3"/>
  <c r="M4904" i="3"/>
  <c r="L4904" i="3"/>
  <c r="M4903" i="3"/>
  <c r="L4903" i="3"/>
  <c r="M4902" i="3"/>
  <c r="L4902" i="3"/>
  <c r="M4901" i="3"/>
  <c r="L4901" i="3"/>
  <c r="M4900" i="3"/>
  <c r="L4900" i="3"/>
  <c r="M4899" i="3"/>
  <c r="L4899" i="3"/>
  <c r="M4898" i="3"/>
  <c r="L4898" i="3"/>
  <c r="M4897" i="3"/>
  <c r="L4897" i="3"/>
  <c r="M4896" i="3"/>
  <c r="L4896" i="3"/>
  <c r="M4895" i="3"/>
  <c r="L4895" i="3"/>
  <c r="M4894" i="3"/>
  <c r="L4894" i="3"/>
  <c r="M4893" i="3"/>
  <c r="L4893" i="3"/>
  <c r="M4892" i="3"/>
  <c r="L4892" i="3"/>
  <c r="M4891" i="3"/>
  <c r="L4891" i="3"/>
  <c r="M4890" i="3"/>
  <c r="L4890" i="3"/>
  <c r="M4889" i="3"/>
  <c r="L4889" i="3"/>
  <c r="M4888" i="3"/>
  <c r="L4888" i="3"/>
  <c r="M4887" i="3"/>
  <c r="L4887" i="3"/>
  <c r="M4886" i="3"/>
  <c r="L4886" i="3"/>
  <c r="M4885" i="3"/>
  <c r="L4885" i="3"/>
  <c r="M4884" i="3"/>
  <c r="L4884" i="3"/>
  <c r="M4883" i="3"/>
  <c r="L4883" i="3"/>
  <c r="M4882" i="3"/>
  <c r="L4882" i="3"/>
  <c r="M4881" i="3"/>
  <c r="L4881" i="3"/>
  <c r="M4880" i="3"/>
  <c r="L4880" i="3"/>
  <c r="M4879" i="3"/>
  <c r="L4879" i="3"/>
  <c r="M4878" i="3"/>
  <c r="L4878" i="3"/>
  <c r="M4877" i="3"/>
  <c r="L4877" i="3"/>
  <c r="M4876" i="3"/>
  <c r="L4876" i="3"/>
  <c r="M4875" i="3"/>
  <c r="L4875" i="3"/>
  <c r="M4874" i="3"/>
  <c r="L4874" i="3"/>
  <c r="M4873" i="3"/>
  <c r="L4873" i="3"/>
  <c r="M4872" i="3"/>
  <c r="L4872" i="3"/>
  <c r="M4871" i="3"/>
  <c r="L4871" i="3"/>
  <c r="M4870" i="3"/>
  <c r="L4870" i="3"/>
  <c r="M4869" i="3"/>
  <c r="L4869" i="3"/>
  <c r="M4868" i="3"/>
  <c r="L4868" i="3"/>
  <c r="M4867" i="3"/>
  <c r="L4867" i="3"/>
  <c r="M4866" i="3"/>
  <c r="L4866" i="3"/>
  <c r="M4865" i="3"/>
  <c r="L4865" i="3"/>
  <c r="M4864" i="3"/>
  <c r="L4864" i="3"/>
  <c r="M4863" i="3"/>
  <c r="L4863" i="3"/>
  <c r="M4862" i="3"/>
  <c r="L4862" i="3"/>
  <c r="M4861" i="3"/>
  <c r="L4861" i="3"/>
  <c r="M4860" i="3"/>
  <c r="L4860" i="3"/>
  <c r="M4859" i="3"/>
  <c r="L4859" i="3"/>
  <c r="M4858" i="3"/>
  <c r="L4858" i="3"/>
  <c r="M4857" i="3"/>
  <c r="L4857" i="3"/>
  <c r="M4856" i="3"/>
  <c r="L4856" i="3"/>
  <c r="M4855" i="3"/>
  <c r="L4855" i="3"/>
  <c r="M4854" i="3"/>
  <c r="L4854" i="3"/>
  <c r="M4853" i="3"/>
  <c r="L4853" i="3"/>
  <c r="M4852" i="3"/>
  <c r="L4852" i="3"/>
  <c r="M4851" i="3"/>
  <c r="L4851" i="3"/>
  <c r="M4850" i="3"/>
  <c r="L4850" i="3"/>
  <c r="M4849" i="3"/>
  <c r="L4849" i="3"/>
  <c r="M4848" i="3"/>
  <c r="L4848" i="3"/>
  <c r="M4847" i="3"/>
  <c r="L4847" i="3"/>
  <c r="M4846" i="3"/>
  <c r="L4846" i="3"/>
  <c r="M4845" i="3"/>
  <c r="L4845" i="3"/>
  <c r="M4844" i="3"/>
  <c r="L4844" i="3"/>
  <c r="M4843" i="3"/>
  <c r="L4843" i="3"/>
  <c r="M4842" i="3"/>
  <c r="L4842" i="3"/>
  <c r="M4841" i="3"/>
  <c r="L4841" i="3"/>
  <c r="M4840" i="3"/>
  <c r="L4840" i="3"/>
  <c r="M4839" i="3"/>
  <c r="L4839" i="3"/>
  <c r="M4838" i="3"/>
  <c r="L4838" i="3"/>
  <c r="M4837" i="3"/>
  <c r="L4837" i="3"/>
  <c r="M4836" i="3"/>
  <c r="L4836" i="3"/>
  <c r="M4835" i="3"/>
  <c r="L4835" i="3"/>
  <c r="M4834" i="3"/>
  <c r="L4834" i="3"/>
  <c r="M4833" i="3"/>
  <c r="L4833" i="3"/>
  <c r="M4832" i="3"/>
  <c r="L4832" i="3"/>
  <c r="M4831" i="3"/>
  <c r="L4831" i="3"/>
  <c r="M4830" i="3"/>
  <c r="L4830" i="3"/>
  <c r="M4829" i="3"/>
  <c r="L4829" i="3"/>
  <c r="M4828" i="3"/>
  <c r="L4828" i="3"/>
  <c r="M4827" i="3"/>
  <c r="L4827" i="3"/>
  <c r="M4826" i="3"/>
  <c r="L4826" i="3"/>
  <c r="M4825" i="3"/>
  <c r="L4825" i="3"/>
  <c r="M4824" i="3"/>
  <c r="L4824" i="3"/>
  <c r="M4823" i="3"/>
  <c r="L4823" i="3"/>
  <c r="M4822" i="3"/>
  <c r="L4822" i="3"/>
  <c r="M4821" i="3"/>
  <c r="L4821" i="3"/>
  <c r="M4820" i="3"/>
  <c r="L4820" i="3"/>
  <c r="M4819" i="3"/>
  <c r="L4819" i="3"/>
  <c r="M4818" i="3"/>
  <c r="L4818" i="3"/>
  <c r="M4817" i="3"/>
  <c r="L4817" i="3"/>
  <c r="M4816" i="3"/>
  <c r="L4816" i="3"/>
  <c r="M4815" i="3"/>
  <c r="L4815" i="3"/>
  <c r="M4814" i="3"/>
  <c r="L4814" i="3"/>
  <c r="M4813" i="3"/>
  <c r="L4813" i="3"/>
  <c r="M4812" i="3"/>
  <c r="L4812" i="3"/>
  <c r="M4811" i="3"/>
  <c r="L4811" i="3"/>
  <c r="M4810" i="3"/>
  <c r="L4810" i="3"/>
  <c r="M4809" i="3"/>
  <c r="L4809" i="3"/>
  <c r="M4808" i="3"/>
  <c r="L4808" i="3"/>
  <c r="M4807" i="3"/>
  <c r="L4807" i="3"/>
  <c r="M4806" i="3"/>
  <c r="L4806" i="3"/>
  <c r="M4805" i="3"/>
  <c r="L4805" i="3"/>
  <c r="M4804" i="3"/>
  <c r="L4804" i="3"/>
  <c r="M4803" i="3"/>
  <c r="L4803" i="3"/>
  <c r="M4802" i="3"/>
  <c r="L4802" i="3"/>
  <c r="M4801" i="3"/>
  <c r="L4801" i="3"/>
  <c r="M4800" i="3"/>
  <c r="L4800" i="3"/>
  <c r="M4799" i="3"/>
  <c r="L4799" i="3"/>
  <c r="M4798" i="3"/>
  <c r="L4798" i="3"/>
  <c r="M4797" i="3"/>
  <c r="L4797" i="3"/>
  <c r="M4796" i="3"/>
  <c r="L4796" i="3"/>
  <c r="M4795" i="3"/>
  <c r="L4795" i="3"/>
  <c r="M4794" i="3"/>
  <c r="L4794" i="3"/>
  <c r="M4793" i="3"/>
  <c r="L4793" i="3"/>
  <c r="M4792" i="3"/>
  <c r="L4792" i="3"/>
  <c r="M4791" i="3"/>
  <c r="L4791" i="3"/>
  <c r="M4790" i="3"/>
  <c r="L4790" i="3"/>
  <c r="M4789" i="3"/>
  <c r="L4789" i="3"/>
  <c r="M4788" i="3"/>
  <c r="L4788" i="3"/>
  <c r="M4787" i="3"/>
  <c r="L4787" i="3"/>
  <c r="M4786" i="3"/>
  <c r="L4786" i="3"/>
  <c r="M4785" i="3"/>
  <c r="L4785" i="3"/>
  <c r="M4784" i="3"/>
  <c r="L4784" i="3"/>
  <c r="M4783" i="3"/>
  <c r="L4783" i="3"/>
  <c r="M4782" i="3"/>
  <c r="L4782" i="3"/>
  <c r="M4781" i="3"/>
  <c r="L4781" i="3"/>
  <c r="M4780" i="3"/>
  <c r="L4780" i="3"/>
  <c r="M4779" i="3"/>
  <c r="L4779" i="3"/>
  <c r="M4778" i="3"/>
  <c r="L4778" i="3"/>
  <c r="M4777" i="3"/>
  <c r="L4777" i="3"/>
  <c r="M4776" i="3"/>
  <c r="L4776" i="3"/>
  <c r="M4775" i="3"/>
  <c r="L4775" i="3"/>
  <c r="M4774" i="3"/>
  <c r="L4774" i="3"/>
  <c r="M4773" i="3"/>
  <c r="L4773" i="3"/>
  <c r="M4772" i="3"/>
  <c r="L4772" i="3"/>
  <c r="M4771" i="3"/>
  <c r="L4771" i="3"/>
  <c r="M4770" i="3"/>
  <c r="L4770" i="3"/>
  <c r="M4769" i="3"/>
  <c r="L4769" i="3"/>
  <c r="M4768" i="3"/>
  <c r="L4768" i="3"/>
  <c r="M4767" i="3"/>
  <c r="L4767" i="3"/>
  <c r="M4766" i="3"/>
  <c r="L4766" i="3"/>
  <c r="M4765" i="3"/>
  <c r="L4765" i="3"/>
  <c r="M4764" i="3"/>
  <c r="L4764" i="3"/>
  <c r="M4763" i="3"/>
  <c r="L4763" i="3"/>
  <c r="M4762" i="3"/>
  <c r="L4762" i="3"/>
  <c r="M4761" i="3"/>
  <c r="L4761" i="3"/>
  <c r="M4760" i="3"/>
  <c r="L4760" i="3"/>
  <c r="M4759" i="3"/>
  <c r="L4759" i="3"/>
  <c r="M4758" i="3"/>
  <c r="L4758" i="3"/>
  <c r="M4757" i="3"/>
  <c r="L4757" i="3"/>
  <c r="M4756" i="3"/>
  <c r="L4756" i="3"/>
  <c r="M4755" i="3"/>
  <c r="L4755" i="3"/>
  <c r="M4754" i="3"/>
  <c r="L4754" i="3"/>
  <c r="M4753" i="3"/>
  <c r="L4753" i="3"/>
  <c r="M4752" i="3"/>
  <c r="L4752" i="3"/>
  <c r="M4751" i="3"/>
  <c r="L4751" i="3"/>
  <c r="M4750" i="3"/>
  <c r="L4750" i="3"/>
  <c r="M4749" i="3"/>
  <c r="L4749" i="3"/>
  <c r="M4748" i="3"/>
  <c r="L4748" i="3"/>
  <c r="M4747" i="3"/>
  <c r="L4747" i="3"/>
  <c r="M4746" i="3"/>
  <c r="L4746" i="3"/>
  <c r="M4745" i="3"/>
  <c r="L4745" i="3"/>
  <c r="M4744" i="3"/>
  <c r="L4744" i="3"/>
  <c r="M4743" i="3"/>
  <c r="L4743" i="3"/>
  <c r="M4742" i="3"/>
  <c r="L4742" i="3"/>
  <c r="M4741" i="3"/>
  <c r="L4741" i="3"/>
  <c r="M4740" i="3"/>
  <c r="L4740" i="3"/>
  <c r="M4739" i="3"/>
  <c r="L4739" i="3"/>
  <c r="M4738" i="3"/>
  <c r="L4738" i="3"/>
  <c r="M4737" i="3"/>
  <c r="L4737" i="3"/>
  <c r="M4736" i="3"/>
  <c r="L4736" i="3"/>
  <c r="M4735" i="3"/>
  <c r="L4735" i="3"/>
  <c r="M4734" i="3"/>
  <c r="L4734" i="3"/>
  <c r="M4733" i="3"/>
  <c r="L4733" i="3"/>
  <c r="M4732" i="3"/>
  <c r="L4732" i="3"/>
  <c r="M4731" i="3"/>
  <c r="L4731" i="3"/>
  <c r="M4730" i="3"/>
  <c r="L4730" i="3"/>
  <c r="M4729" i="3"/>
  <c r="L4729" i="3"/>
  <c r="M4728" i="3"/>
  <c r="L4728" i="3"/>
  <c r="M4727" i="3"/>
  <c r="L4727" i="3"/>
  <c r="M4726" i="3"/>
  <c r="L4726" i="3"/>
  <c r="M4725" i="3"/>
  <c r="L4725" i="3"/>
  <c r="M4724" i="3"/>
  <c r="L4724" i="3"/>
  <c r="M4723" i="3"/>
  <c r="L4723" i="3"/>
  <c r="M4722" i="3"/>
  <c r="L4722" i="3"/>
  <c r="M4721" i="3"/>
  <c r="L4721" i="3"/>
  <c r="M4720" i="3"/>
  <c r="L4720" i="3"/>
  <c r="M4719" i="3"/>
  <c r="L4719" i="3"/>
  <c r="M4718" i="3"/>
  <c r="L4718" i="3"/>
  <c r="M4717" i="3"/>
  <c r="L4717" i="3"/>
  <c r="M4716" i="3"/>
  <c r="L4716" i="3"/>
  <c r="M4715" i="3"/>
  <c r="L4715" i="3"/>
  <c r="M4714" i="3"/>
  <c r="L4714" i="3"/>
  <c r="M4713" i="3"/>
  <c r="L4713" i="3"/>
  <c r="M4712" i="3"/>
  <c r="L4712" i="3"/>
  <c r="M4711" i="3"/>
  <c r="L4711" i="3"/>
  <c r="M4710" i="3"/>
  <c r="L4710" i="3"/>
  <c r="M4709" i="3"/>
  <c r="L4709" i="3"/>
  <c r="M4708" i="3"/>
  <c r="L4708" i="3"/>
  <c r="M4707" i="3"/>
  <c r="L4707" i="3"/>
  <c r="M4706" i="3"/>
  <c r="L4706" i="3"/>
  <c r="M4705" i="3"/>
  <c r="L4705" i="3"/>
  <c r="M4704" i="3"/>
  <c r="L4704" i="3"/>
  <c r="M4703" i="3"/>
  <c r="L4703" i="3"/>
  <c r="M4702" i="3"/>
  <c r="L4702" i="3"/>
  <c r="M4701" i="3"/>
  <c r="L4701" i="3"/>
  <c r="M4700" i="3"/>
  <c r="L4700" i="3"/>
  <c r="M4699" i="3"/>
  <c r="L4699" i="3"/>
  <c r="M4698" i="3"/>
  <c r="L4698" i="3"/>
  <c r="M4697" i="3"/>
  <c r="L4697" i="3"/>
  <c r="M4696" i="3"/>
  <c r="L4696" i="3"/>
  <c r="M4695" i="3"/>
  <c r="L4695" i="3"/>
  <c r="M4694" i="3"/>
  <c r="L4694" i="3"/>
  <c r="M4693" i="3"/>
  <c r="L4693" i="3"/>
  <c r="M4692" i="3"/>
  <c r="L4692" i="3"/>
  <c r="M4691" i="3"/>
  <c r="L4691" i="3"/>
  <c r="M4690" i="3"/>
  <c r="L4690" i="3"/>
  <c r="M4689" i="3"/>
  <c r="L4689" i="3"/>
  <c r="M4688" i="3"/>
  <c r="L4688" i="3"/>
  <c r="M4687" i="3"/>
  <c r="L4687" i="3"/>
  <c r="M4686" i="3"/>
  <c r="L4686" i="3"/>
  <c r="M4685" i="3"/>
  <c r="L4685" i="3"/>
  <c r="M4684" i="3"/>
  <c r="L4684" i="3"/>
  <c r="M4683" i="3"/>
  <c r="L4683" i="3"/>
  <c r="M4682" i="3"/>
  <c r="L4682" i="3"/>
  <c r="M4681" i="3"/>
  <c r="L4681" i="3"/>
  <c r="M4680" i="3"/>
  <c r="L4680" i="3"/>
  <c r="M4679" i="3"/>
  <c r="L4679" i="3"/>
  <c r="M4678" i="3"/>
  <c r="L4678" i="3"/>
  <c r="M4677" i="3"/>
  <c r="L4677" i="3"/>
  <c r="M4676" i="3"/>
  <c r="L4676" i="3"/>
  <c r="M4675" i="3"/>
  <c r="L4675" i="3"/>
  <c r="M4674" i="3"/>
  <c r="L4674" i="3"/>
  <c r="M4673" i="3"/>
  <c r="L4673" i="3"/>
  <c r="M4672" i="3"/>
  <c r="L4672" i="3"/>
  <c r="M4671" i="3"/>
  <c r="L4671" i="3"/>
  <c r="M4670" i="3"/>
  <c r="L4670" i="3"/>
  <c r="M4669" i="3"/>
  <c r="L4669" i="3"/>
  <c r="M4668" i="3"/>
  <c r="L4668" i="3"/>
  <c r="M4667" i="3"/>
  <c r="L4667" i="3"/>
  <c r="M4666" i="3"/>
  <c r="L4666" i="3"/>
  <c r="M4665" i="3"/>
  <c r="L4665" i="3"/>
  <c r="M4664" i="3"/>
  <c r="L4664" i="3"/>
  <c r="M4663" i="3"/>
  <c r="L4663" i="3"/>
  <c r="M4662" i="3"/>
  <c r="L4662" i="3"/>
  <c r="M4661" i="3"/>
  <c r="L4661" i="3"/>
  <c r="M4660" i="3"/>
  <c r="L4660" i="3"/>
  <c r="M4659" i="3"/>
  <c r="L4659" i="3"/>
  <c r="M4658" i="3"/>
  <c r="L4658" i="3"/>
  <c r="M4657" i="3"/>
  <c r="L4657" i="3"/>
  <c r="M4656" i="3"/>
  <c r="L4656" i="3"/>
  <c r="M4655" i="3"/>
  <c r="L4655" i="3"/>
  <c r="M4654" i="3"/>
  <c r="L4654" i="3"/>
  <c r="M4653" i="3"/>
  <c r="L4653" i="3"/>
  <c r="M4652" i="3"/>
  <c r="L4652" i="3"/>
  <c r="M4651" i="3"/>
  <c r="L4651" i="3"/>
  <c r="M4650" i="3"/>
  <c r="L4650" i="3"/>
  <c r="M4649" i="3"/>
  <c r="L4649" i="3"/>
  <c r="M4648" i="3"/>
  <c r="L4648" i="3"/>
  <c r="M4647" i="3"/>
  <c r="L4647" i="3"/>
  <c r="M4646" i="3"/>
  <c r="L4646" i="3"/>
  <c r="M4645" i="3"/>
  <c r="L4645" i="3"/>
  <c r="M4644" i="3"/>
  <c r="L4644" i="3"/>
  <c r="M4643" i="3"/>
  <c r="L4643" i="3"/>
  <c r="M4642" i="3"/>
  <c r="L4642" i="3"/>
  <c r="M4641" i="3"/>
  <c r="L4641" i="3"/>
  <c r="M4640" i="3"/>
  <c r="L4640" i="3"/>
  <c r="M4639" i="3"/>
  <c r="L4639" i="3"/>
  <c r="M4638" i="3"/>
  <c r="L4638" i="3"/>
  <c r="M4637" i="3"/>
  <c r="L4637" i="3"/>
  <c r="M4636" i="3"/>
  <c r="L4636" i="3"/>
  <c r="M4635" i="3"/>
  <c r="L4635" i="3"/>
  <c r="M4634" i="3"/>
  <c r="L4634" i="3"/>
  <c r="M4633" i="3"/>
  <c r="L4633" i="3"/>
  <c r="M4632" i="3"/>
  <c r="L4632" i="3"/>
  <c r="M4631" i="3"/>
  <c r="L4631" i="3"/>
  <c r="M4630" i="3"/>
  <c r="L4630" i="3"/>
  <c r="M4629" i="3"/>
  <c r="L4629" i="3"/>
  <c r="M4628" i="3"/>
  <c r="L4628" i="3"/>
  <c r="M4627" i="3"/>
  <c r="L4627" i="3"/>
  <c r="M4626" i="3"/>
  <c r="L4626" i="3"/>
  <c r="M4625" i="3"/>
  <c r="L4625" i="3"/>
  <c r="M4624" i="3"/>
  <c r="L4624" i="3"/>
  <c r="M4623" i="3"/>
  <c r="L4623" i="3"/>
  <c r="M4622" i="3"/>
  <c r="L4622" i="3"/>
  <c r="M4621" i="3"/>
  <c r="L4621" i="3"/>
  <c r="M4620" i="3"/>
  <c r="L4620" i="3"/>
  <c r="M4619" i="3"/>
  <c r="L4619" i="3"/>
  <c r="M4618" i="3"/>
  <c r="L4618" i="3"/>
  <c r="M4617" i="3"/>
  <c r="L4617" i="3"/>
  <c r="M4616" i="3"/>
  <c r="L4616" i="3"/>
  <c r="M4615" i="3"/>
  <c r="L4615" i="3"/>
  <c r="M4614" i="3"/>
  <c r="L4614" i="3"/>
  <c r="M4613" i="3"/>
  <c r="L4613" i="3"/>
  <c r="M4612" i="3"/>
  <c r="L4612" i="3"/>
  <c r="M4611" i="3"/>
  <c r="L4611" i="3"/>
  <c r="M4610" i="3"/>
  <c r="L4610" i="3"/>
  <c r="M4609" i="3"/>
  <c r="L4609" i="3"/>
  <c r="M4608" i="3"/>
  <c r="L4608" i="3"/>
  <c r="M4607" i="3"/>
  <c r="L4607" i="3"/>
  <c r="M4606" i="3"/>
  <c r="L4606" i="3"/>
  <c r="M4605" i="3"/>
  <c r="L4605" i="3"/>
  <c r="M4604" i="3"/>
  <c r="L4604" i="3"/>
  <c r="M4603" i="3"/>
  <c r="L4603" i="3"/>
  <c r="M4602" i="3"/>
  <c r="L4602" i="3"/>
  <c r="M4601" i="3"/>
  <c r="L4601" i="3"/>
  <c r="M4600" i="3"/>
  <c r="L4600" i="3"/>
  <c r="M4599" i="3"/>
  <c r="L4599" i="3"/>
  <c r="M4598" i="3"/>
  <c r="L4598" i="3"/>
  <c r="M4597" i="3"/>
  <c r="L4597" i="3"/>
  <c r="M4596" i="3"/>
  <c r="L4596" i="3"/>
  <c r="M4595" i="3"/>
  <c r="L4595" i="3"/>
  <c r="M4594" i="3"/>
  <c r="L4594" i="3"/>
  <c r="M4593" i="3"/>
  <c r="L4593" i="3"/>
  <c r="M4592" i="3"/>
  <c r="L4592" i="3"/>
  <c r="M4591" i="3"/>
  <c r="L4591" i="3"/>
  <c r="M4590" i="3"/>
  <c r="L4590" i="3"/>
  <c r="M4589" i="3"/>
  <c r="L4589" i="3"/>
  <c r="M4588" i="3"/>
  <c r="L4588" i="3"/>
  <c r="M4587" i="3"/>
  <c r="L4587" i="3"/>
  <c r="M4586" i="3"/>
  <c r="L4586" i="3"/>
  <c r="M4585" i="3"/>
  <c r="L4585" i="3"/>
  <c r="M4584" i="3"/>
  <c r="L4584" i="3"/>
  <c r="M4583" i="3"/>
  <c r="L4583" i="3"/>
  <c r="M4582" i="3"/>
  <c r="L4582" i="3"/>
  <c r="M4581" i="3"/>
  <c r="L4581" i="3"/>
  <c r="M4580" i="3"/>
  <c r="L4580" i="3"/>
  <c r="M4579" i="3"/>
  <c r="L4579" i="3"/>
  <c r="M4578" i="3"/>
  <c r="L4578" i="3"/>
  <c r="M4577" i="3"/>
  <c r="L4577" i="3"/>
  <c r="M4576" i="3"/>
  <c r="L4576" i="3"/>
  <c r="M4575" i="3"/>
  <c r="L4575" i="3"/>
  <c r="M4574" i="3"/>
  <c r="L4574" i="3"/>
  <c r="M4573" i="3"/>
  <c r="L4573" i="3"/>
  <c r="M4572" i="3"/>
  <c r="L4572" i="3"/>
  <c r="M4571" i="3"/>
  <c r="L4571" i="3"/>
  <c r="M4570" i="3"/>
  <c r="L4570" i="3"/>
  <c r="M4569" i="3"/>
  <c r="L4569" i="3"/>
  <c r="M4568" i="3"/>
  <c r="L4568" i="3"/>
  <c r="M4567" i="3"/>
  <c r="L4567" i="3"/>
  <c r="M4566" i="3"/>
  <c r="L4566" i="3"/>
  <c r="M4565" i="3"/>
  <c r="L4565" i="3"/>
  <c r="M4564" i="3"/>
  <c r="L4564" i="3"/>
  <c r="M4563" i="3"/>
  <c r="L4563" i="3"/>
  <c r="M4562" i="3"/>
  <c r="L4562" i="3"/>
  <c r="M4561" i="3"/>
  <c r="L4561" i="3"/>
  <c r="M4560" i="3"/>
  <c r="L4560" i="3"/>
  <c r="M4559" i="3"/>
  <c r="L4559" i="3"/>
  <c r="M4558" i="3"/>
  <c r="L4558" i="3"/>
  <c r="M4557" i="3"/>
  <c r="L4557" i="3"/>
  <c r="M4556" i="3"/>
  <c r="L4556" i="3"/>
  <c r="M4555" i="3"/>
  <c r="L4555" i="3"/>
  <c r="M4554" i="3"/>
  <c r="L4554" i="3"/>
  <c r="M4553" i="3"/>
  <c r="L4553" i="3"/>
  <c r="M4552" i="3"/>
  <c r="L4552" i="3"/>
  <c r="M4551" i="3"/>
  <c r="L4551" i="3"/>
  <c r="M4550" i="3"/>
  <c r="L4550" i="3"/>
  <c r="M4549" i="3"/>
  <c r="L4549" i="3"/>
  <c r="M4548" i="3"/>
  <c r="L4548" i="3"/>
  <c r="M4547" i="3"/>
  <c r="L4547" i="3"/>
  <c r="M4546" i="3"/>
  <c r="L4546" i="3"/>
  <c r="M4545" i="3"/>
  <c r="L4545" i="3"/>
  <c r="M4544" i="3"/>
  <c r="L4544" i="3"/>
  <c r="M4543" i="3"/>
  <c r="L4543" i="3"/>
  <c r="M4542" i="3"/>
  <c r="L4542" i="3"/>
  <c r="M4541" i="3"/>
  <c r="L4541" i="3"/>
  <c r="M4540" i="3"/>
  <c r="L4540" i="3"/>
  <c r="M4539" i="3"/>
  <c r="L4539" i="3"/>
  <c r="M4538" i="3"/>
  <c r="L4538" i="3"/>
  <c r="M4537" i="3"/>
  <c r="L4537" i="3"/>
  <c r="M4536" i="3"/>
  <c r="L4536" i="3"/>
  <c r="M4535" i="3"/>
  <c r="L4535" i="3"/>
  <c r="M4534" i="3"/>
  <c r="L4534" i="3"/>
  <c r="M4533" i="3"/>
  <c r="L4533" i="3"/>
  <c r="M4532" i="3"/>
  <c r="L4532" i="3"/>
  <c r="M4531" i="3"/>
  <c r="L4531" i="3"/>
  <c r="M4530" i="3"/>
  <c r="L4530" i="3"/>
  <c r="M4529" i="3"/>
  <c r="L4529" i="3"/>
  <c r="M4528" i="3"/>
  <c r="L4528" i="3"/>
  <c r="M4527" i="3"/>
  <c r="L4527" i="3"/>
  <c r="M4526" i="3"/>
  <c r="L4526" i="3"/>
  <c r="M4525" i="3"/>
  <c r="L4525" i="3"/>
  <c r="M4524" i="3"/>
  <c r="L4524" i="3"/>
  <c r="M4523" i="3"/>
  <c r="L4523" i="3"/>
  <c r="M4522" i="3"/>
  <c r="L4522" i="3"/>
  <c r="M4521" i="3"/>
  <c r="L4521" i="3"/>
  <c r="M4520" i="3"/>
  <c r="L4520" i="3"/>
  <c r="M4519" i="3"/>
  <c r="L4519" i="3"/>
  <c r="M4518" i="3"/>
  <c r="L4518" i="3"/>
  <c r="M4517" i="3"/>
  <c r="L4517" i="3"/>
  <c r="M4516" i="3"/>
  <c r="L4516" i="3"/>
  <c r="M4515" i="3"/>
  <c r="L4515" i="3"/>
  <c r="M4514" i="3"/>
  <c r="L4514" i="3"/>
  <c r="M4513" i="3"/>
  <c r="L4513" i="3"/>
  <c r="M4512" i="3"/>
  <c r="L4512" i="3"/>
  <c r="M4511" i="3"/>
  <c r="L4511" i="3"/>
  <c r="M4510" i="3"/>
  <c r="L4510" i="3"/>
  <c r="M4509" i="3"/>
  <c r="L4509" i="3"/>
  <c r="M4508" i="3"/>
  <c r="L4508" i="3"/>
  <c r="M4507" i="3"/>
  <c r="L4507" i="3"/>
  <c r="M4506" i="3"/>
  <c r="L4506" i="3"/>
  <c r="M4505" i="3"/>
  <c r="L4505" i="3"/>
  <c r="M4504" i="3"/>
  <c r="L4504" i="3"/>
  <c r="M4503" i="3"/>
  <c r="L4503" i="3"/>
  <c r="M4502" i="3"/>
  <c r="L4502" i="3"/>
  <c r="M4501" i="3"/>
  <c r="L4501" i="3"/>
  <c r="M4500" i="3"/>
  <c r="L4500" i="3"/>
  <c r="M4499" i="3"/>
  <c r="L4499" i="3"/>
  <c r="M4498" i="3"/>
  <c r="L4498" i="3"/>
  <c r="M4497" i="3"/>
  <c r="L4497" i="3"/>
  <c r="M4496" i="3"/>
  <c r="L4496" i="3"/>
  <c r="M4495" i="3"/>
  <c r="L4495" i="3"/>
  <c r="M4494" i="3"/>
  <c r="L4494" i="3"/>
  <c r="M4493" i="3"/>
  <c r="L4493" i="3"/>
  <c r="M4492" i="3"/>
  <c r="L4492" i="3"/>
  <c r="M4491" i="3"/>
  <c r="L4491" i="3"/>
  <c r="M4490" i="3"/>
  <c r="L4490" i="3"/>
  <c r="M4489" i="3"/>
  <c r="L4489" i="3"/>
  <c r="M4488" i="3"/>
  <c r="L4488" i="3"/>
  <c r="M4487" i="3"/>
  <c r="L4487" i="3"/>
  <c r="M4486" i="3"/>
  <c r="L4486" i="3"/>
  <c r="M4485" i="3"/>
  <c r="L4485" i="3"/>
  <c r="M4484" i="3"/>
  <c r="L4484" i="3"/>
  <c r="M4483" i="3"/>
  <c r="L4483" i="3"/>
  <c r="M4482" i="3"/>
  <c r="L4482" i="3"/>
  <c r="M4481" i="3"/>
  <c r="L4481" i="3"/>
  <c r="M4480" i="3"/>
  <c r="L4480" i="3"/>
  <c r="M4479" i="3"/>
  <c r="L4479" i="3"/>
  <c r="M4478" i="3"/>
  <c r="L4478" i="3"/>
  <c r="M4477" i="3"/>
  <c r="L4477" i="3"/>
  <c r="M4476" i="3"/>
  <c r="L4476" i="3"/>
  <c r="M4475" i="3"/>
  <c r="L4475" i="3"/>
  <c r="M4474" i="3"/>
  <c r="L4474" i="3"/>
  <c r="M4473" i="3"/>
  <c r="L4473" i="3"/>
  <c r="M4472" i="3"/>
  <c r="L4472" i="3"/>
  <c r="M4471" i="3"/>
  <c r="L4471" i="3"/>
  <c r="M4470" i="3"/>
  <c r="L4470" i="3"/>
  <c r="M4469" i="3"/>
  <c r="L4469" i="3"/>
  <c r="M4468" i="3"/>
  <c r="L4468" i="3"/>
  <c r="M4467" i="3"/>
  <c r="L4467" i="3"/>
  <c r="M4466" i="3"/>
  <c r="L4466" i="3"/>
  <c r="M4465" i="3"/>
  <c r="L4465" i="3"/>
  <c r="M4464" i="3"/>
  <c r="L4464" i="3"/>
  <c r="M4463" i="3"/>
  <c r="L4463" i="3"/>
  <c r="M4462" i="3"/>
  <c r="L4462" i="3"/>
  <c r="M4461" i="3"/>
  <c r="L4461" i="3"/>
  <c r="M4460" i="3"/>
  <c r="L4460" i="3"/>
  <c r="M4459" i="3"/>
  <c r="L4459" i="3"/>
  <c r="M4458" i="3"/>
  <c r="L4458" i="3"/>
  <c r="M4457" i="3"/>
  <c r="L4457" i="3"/>
  <c r="M4456" i="3"/>
  <c r="L4456" i="3"/>
  <c r="M4455" i="3"/>
  <c r="L4455" i="3"/>
  <c r="M4454" i="3"/>
  <c r="L4454" i="3"/>
  <c r="M4453" i="3"/>
  <c r="L4453" i="3"/>
  <c r="M4452" i="3"/>
  <c r="L4452" i="3"/>
  <c r="M4451" i="3"/>
  <c r="L4451" i="3"/>
  <c r="M4450" i="3"/>
  <c r="L4450" i="3"/>
  <c r="M4449" i="3"/>
  <c r="L4449" i="3"/>
  <c r="M4448" i="3"/>
  <c r="L4448" i="3"/>
  <c r="M4447" i="3"/>
  <c r="L4447" i="3"/>
  <c r="M4446" i="3"/>
  <c r="L4446" i="3"/>
  <c r="M4445" i="3"/>
  <c r="L4445" i="3"/>
  <c r="M4444" i="3"/>
  <c r="L4444" i="3"/>
  <c r="M4443" i="3"/>
  <c r="L4443" i="3"/>
  <c r="M4442" i="3"/>
  <c r="L4442" i="3"/>
  <c r="M4441" i="3"/>
  <c r="L4441" i="3"/>
  <c r="M4440" i="3"/>
  <c r="L4440" i="3"/>
  <c r="M4439" i="3"/>
  <c r="L4439" i="3"/>
  <c r="M4438" i="3"/>
  <c r="L4438" i="3"/>
  <c r="M4437" i="3"/>
  <c r="L4437" i="3"/>
  <c r="M4436" i="3"/>
  <c r="L4436" i="3"/>
  <c r="M4435" i="3"/>
  <c r="L4435" i="3"/>
  <c r="M4434" i="3"/>
  <c r="L4434" i="3"/>
  <c r="M4433" i="3"/>
  <c r="L4433" i="3"/>
  <c r="M4432" i="3"/>
  <c r="L4432" i="3"/>
  <c r="M4431" i="3"/>
  <c r="L4431" i="3"/>
  <c r="M4430" i="3"/>
  <c r="L4430" i="3"/>
  <c r="M4429" i="3"/>
  <c r="L4429" i="3"/>
  <c r="M4428" i="3"/>
  <c r="L4428" i="3"/>
  <c r="M4427" i="3"/>
  <c r="L4427" i="3"/>
  <c r="M4426" i="3"/>
  <c r="L4426" i="3"/>
  <c r="M4425" i="3"/>
  <c r="L4425" i="3"/>
  <c r="M4424" i="3"/>
  <c r="L4424" i="3"/>
  <c r="M4423" i="3"/>
  <c r="L4423" i="3"/>
  <c r="M4422" i="3"/>
  <c r="L4422" i="3"/>
  <c r="M4421" i="3"/>
  <c r="L4421" i="3"/>
  <c r="M4420" i="3"/>
  <c r="L4420" i="3"/>
  <c r="M4419" i="3"/>
  <c r="L4419" i="3"/>
  <c r="M4418" i="3"/>
  <c r="L4418" i="3"/>
  <c r="M4417" i="3"/>
  <c r="L4417" i="3"/>
  <c r="M4416" i="3"/>
  <c r="L4416" i="3"/>
  <c r="M4415" i="3"/>
  <c r="L4415" i="3"/>
  <c r="M4414" i="3"/>
  <c r="L4414" i="3"/>
  <c r="M4413" i="3"/>
  <c r="L4413" i="3"/>
  <c r="M4412" i="3"/>
  <c r="L4412" i="3"/>
  <c r="M4411" i="3"/>
  <c r="L4411" i="3"/>
  <c r="M4410" i="3"/>
  <c r="L4410" i="3"/>
  <c r="M4409" i="3"/>
  <c r="L4409" i="3"/>
  <c r="M4408" i="3"/>
  <c r="L4408" i="3"/>
  <c r="M4407" i="3"/>
  <c r="L4407" i="3"/>
  <c r="M4406" i="3"/>
  <c r="L4406" i="3"/>
  <c r="M4405" i="3"/>
  <c r="L4405" i="3"/>
  <c r="M4404" i="3"/>
  <c r="L4404" i="3"/>
  <c r="M4403" i="3"/>
  <c r="L4403" i="3"/>
  <c r="M4402" i="3"/>
  <c r="L4402" i="3"/>
  <c r="M4401" i="3"/>
  <c r="L4401" i="3"/>
  <c r="M4400" i="3"/>
  <c r="L4400" i="3"/>
  <c r="M4399" i="3"/>
  <c r="L4399" i="3"/>
  <c r="M4398" i="3"/>
  <c r="L4398" i="3"/>
  <c r="M4397" i="3"/>
  <c r="L4397" i="3"/>
  <c r="M4396" i="3"/>
  <c r="L4396" i="3"/>
  <c r="M4395" i="3"/>
  <c r="L4395" i="3"/>
  <c r="M4394" i="3"/>
  <c r="L4394" i="3"/>
  <c r="M4393" i="3"/>
  <c r="L4393" i="3"/>
  <c r="M4392" i="3"/>
  <c r="L4392" i="3"/>
  <c r="M4391" i="3"/>
  <c r="L4391" i="3"/>
  <c r="M4390" i="3"/>
  <c r="L4390" i="3"/>
  <c r="M4389" i="3"/>
  <c r="L4389" i="3"/>
  <c r="M4388" i="3"/>
  <c r="L4388" i="3"/>
  <c r="M4387" i="3"/>
  <c r="L4387" i="3"/>
  <c r="M4386" i="3"/>
  <c r="L4386" i="3"/>
  <c r="M4385" i="3"/>
  <c r="L4385" i="3"/>
  <c r="M4384" i="3"/>
  <c r="L4384" i="3"/>
  <c r="M4383" i="3"/>
  <c r="L4383" i="3"/>
  <c r="M4382" i="3"/>
  <c r="L4382" i="3"/>
  <c r="M4381" i="3"/>
  <c r="L4381" i="3"/>
  <c r="M4380" i="3"/>
  <c r="L4380" i="3"/>
  <c r="M4379" i="3"/>
  <c r="L4379" i="3"/>
  <c r="M4378" i="3"/>
  <c r="L4378" i="3"/>
  <c r="M4377" i="3"/>
  <c r="L4377" i="3"/>
  <c r="M4376" i="3"/>
  <c r="L4376" i="3"/>
  <c r="M4375" i="3"/>
  <c r="L4375" i="3"/>
  <c r="M4374" i="3"/>
  <c r="L4374" i="3"/>
  <c r="M4373" i="3"/>
  <c r="L4373" i="3"/>
  <c r="M4372" i="3"/>
  <c r="L4372" i="3"/>
  <c r="M4371" i="3"/>
  <c r="L4371" i="3"/>
  <c r="M4370" i="3"/>
  <c r="L4370" i="3"/>
  <c r="M4369" i="3"/>
  <c r="L4369" i="3"/>
  <c r="M4368" i="3"/>
  <c r="L4368" i="3"/>
  <c r="M4367" i="3"/>
  <c r="L4367" i="3"/>
  <c r="M4366" i="3"/>
  <c r="L4366" i="3"/>
  <c r="M4365" i="3"/>
  <c r="L4365" i="3"/>
  <c r="M4364" i="3"/>
  <c r="L4364" i="3"/>
  <c r="M4363" i="3"/>
  <c r="L4363" i="3"/>
  <c r="M4362" i="3"/>
  <c r="L4362" i="3"/>
  <c r="M4361" i="3"/>
  <c r="L4361" i="3"/>
  <c r="M4360" i="3"/>
  <c r="L4360" i="3"/>
  <c r="M4359" i="3"/>
  <c r="L4359" i="3"/>
  <c r="M4358" i="3"/>
  <c r="L4358" i="3"/>
  <c r="M4357" i="3"/>
  <c r="L4357" i="3"/>
  <c r="M4356" i="3"/>
  <c r="L4356" i="3"/>
  <c r="M4355" i="3"/>
  <c r="L4355" i="3"/>
  <c r="M4354" i="3"/>
  <c r="L4354" i="3"/>
  <c r="M4353" i="3"/>
  <c r="L4353" i="3"/>
  <c r="M4352" i="3"/>
  <c r="L4352" i="3"/>
  <c r="M4351" i="3"/>
  <c r="L4351" i="3"/>
  <c r="M4350" i="3"/>
  <c r="L4350" i="3"/>
  <c r="M4349" i="3"/>
  <c r="L4349" i="3"/>
  <c r="M4348" i="3"/>
  <c r="L4348" i="3"/>
  <c r="M4347" i="3"/>
  <c r="L4347" i="3"/>
  <c r="M4346" i="3"/>
  <c r="L4346" i="3"/>
  <c r="M4345" i="3"/>
  <c r="L4345" i="3"/>
  <c r="M4344" i="3"/>
  <c r="L4344" i="3"/>
  <c r="M4343" i="3"/>
  <c r="L4343" i="3"/>
  <c r="M4342" i="3"/>
  <c r="L4342" i="3"/>
  <c r="M4341" i="3"/>
  <c r="L4341" i="3"/>
  <c r="M4340" i="3"/>
  <c r="L4340" i="3"/>
  <c r="M4339" i="3"/>
  <c r="L4339" i="3"/>
  <c r="M4338" i="3"/>
  <c r="L4338" i="3"/>
  <c r="M4337" i="3"/>
  <c r="L4337" i="3"/>
  <c r="M4336" i="3"/>
  <c r="L4336" i="3"/>
  <c r="M4335" i="3"/>
  <c r="L4335" i="3"/>
  <c r="M4334" i="3"/>
  <c r="L4334" i="3"/>
  <c r="M4333" i="3"/>
  <c r="L4333" i="3"/>
  <c r="M4332" i="3"/>
  <c r="L4332" i="3"/>
  <c r="M4331" i="3"/>
  <c r="L4331" i="3"/>
  <c r="M4330" i="3"/>
  <c r="L4330" i="3"/>
  <c r="M4329" i="3"/>
  <c r="L4329" i="3"/>
  <c r="M4328" i="3"/>
  <c r="L4328" i="3"/>
  <c r="M4327" i="3"/>
  <c r="L4327" i="3"/>
  <c r="M4326" i="3"/>
  <c r="L4326" i="3"/>
  <c r="M4325" i="3"/>
  <c r="L4325" i="3"/>
  <c r="M4324" i="3"/>
  <c r="L4324" i="3"/>
  <c r="M4323" i="3"/>
  <c r="L4323" i="3"/>
  <c r="M4322" i="3"/>
  <c r="L4322" i="3"/>
  <c r="M4321" i="3"/>
  <c r="L4321" i="3"/>
  <c r="M4320" i="3"/>
  <c r="L4320" i="3"/>
  <c r="M4319" i="3"/>
  <c r="L4319" i="3"/>
  <c r="M4318" i="3"/>
  <c r="L4318" i="3"/>
  <c r="M4317" i="3"/>
  <c r="L4317" i="3"/>
  <c r="M4316" i="3"/>
  <c r="L4316" i="3"/>
  <c r="M4315" i="3"/>
  <c r="L4315" i="3"/>
  <c r="M4314" i="3"/>
  <c r="L4314" i="3"/>
  <c r="M4313" i="3"/>
  <c r="L4313" i="3"/>
  <c r="M4312" i="3"/>
  <c r="L4312" i="3"/>
  <c r="M4311" i="3"/>
  <c r="L4311" i="3"/>
  <c r="M4310" i="3"/>
  <c r="L4310" i="3"/>
  <c r="M4309" i="3"/>
  <c r="L4309" i="3"/>
  <c r="M4308" i="3"/>
  <c r="L4308" i="3"/>
  <c r="M4307" i="3"/>
  <c r="L4307" i="3"/>
  <c r="M4306" i="3"/>
  <c r="L4306" i="3"/>
  <c r="M4305" i="3"/>
  <c r="L4305" i="3"/>
  <c r="M4304" i="3"/>
  <c r="L4304" i="3"/>
  <c r="M4303" i="3"/>
  <c r="L4303" i="3"/>
  <c r="M4302" i="3"/>
  <c r="L4302" i="3"/>
  <c r="M4301" i="3"/>
  <c r="L4301" i="3"/>
  <c r="M4300" i="3"/>
  <c r="L4300" i="3"/>
  <c r="M4299" i="3"/>
  <c r="L4299" i="3"/>
  <c r="M4298" i="3"/>
  <c r="L4298" i="3"/>
  <c r="M4297" i="3"/>
  <c r="L4297" i="3"/>
  <c r="M4296" i="3"/>
  <c r="L4296" i="3"/>
  <c r="M4295" i="3"/>
  <c r="L4295" i="3"/>
  <c r="M4294" i="3"/>
  <c r="L4294" i="3"/>
  <c r="M4293" i="3"/>
  <c r="L4293" i="3"/>
  <c r="M4292" i="3"/>
  <c r="L4292" i="3"/>
  <c r="M4291" i="3"/>
  <c r="L4291" i="3"/>
  <c r="M4290" i="3"/>
  <c r="L4290" i="3"/>
  <c r="M4289" i="3"/>
  <c r="L4289" i="3"/>
  <c r="M4288" i="3"/>
  <c r="L4288" i="3"/>
  <c r="M4287" i="3"/>
  <c r="L4287" i="3"/>
  <c r="M4286" i="3"/>
  <c r="L4286" i="3"/>
  <c r="M4285" i="3"/>
  <c r="L4285" i="3"/>
  <c r="M4284" i="3"/>
  <c r="L4284" i="3"/>
  <c r="M4283" i="3"/>
  <c r="L4283" i="3"/>
  <c r="M4282" i="3"/>
  <c r="L4282" i="3"/>
  <c r="M4281" i="3"/>
  <c r="L4281" i="3"/>
  <c r="M4280" i="3"/>
  <c r="L4280" i="3"/>
  <c r="M4279" i="3"/>
  <c r="L4279" i="3"/>
  <c r="M4278" i="3"/>
  <c r="L4278" i="3"/>
  <c r="M4277" i="3"/>
  <c r="L4277" i="3"/>
  <c r="M4276" i="3"/>
  <c r="L4276" i="3"/>
  <c r="M4275" i="3"/>
  <c r="L4275" i="3"/>
  <c r="M4274" i="3"/>
  <c r="L4274" i="3"/>
  <c r="M4273" i="3"/>
  <c r="L4273" i="3"/>
  <c r="M4272" i="3"/>
  <c r="L4272" i="3"/>
  <c r="M4271" i="3"/>
  <c r="L4271" i="3"/>
  <c r="M4270" i="3"/>
  <c r="L4270" i="3"/>
  <c r="M4269" i="3"/>
  <c r="L4269" i="3"/>
  <c r="M4268" i="3"/>
  <c r="L4268" i="3"/>
  <c r="M4267" i="3"/>
  <c r="L4267" i="3"/>
  <c r="M4266" i="3"/>
  <c r="L4266" i="3"/>
  <c r="M4265" i="3"/>
  <c r="L4265" i="3"/>
  <c r="M4264" i="3"/>
  <c r="L4264" i="3"/>
  <c r="M4263" i="3"/>
  <c r="L4263" i="3"/>
  <c r="M4262" i="3"/>
  <c r="L4262" i="3"/>
  <c r="M4261" i="3"/>
  <c r="L4261" i="3"/>
  <c r="M4260" i="3"/>
  <c r="L4260" i="3"/>
  <c r="M4259" i="3"/>
  <c r="L4259" i="3"/>
  <c r="M4258" i="3"/>
  <c r="L4258" i="3"/>
  <c r="M4257" i="3"/>
  <c r="L4257" i="3"/>
  <c r="M4256" i="3"/>
  <c r="L4256" i="3"/>
  <c r="M4255" i="3"/>
  <c r="L4255" i="3"/>
  <c r="M4254" i="3"/>
  <c r="L4254" i="3"/>
  <c r="M4253" i="3"/>
  <c r="L4253" i="3"/>
  <c r="M4252" i="3"/>
  <c r="L4252" i="3"/>
  <c r="M4251" i="3"/>
  <c r="L4251" i="3"/>
  <c r="M4250" i="3"/>
  <c r="L4250" i="3"/>
  <c r="M4249" i="3"/>
  <c r="L4249" i="3"/>
  <c r="M4248" i="3"/>
  <c r="L4248" i="3"/>
  <c r="M4247" i="3"/>
  <c r="L4247" i="3"/>
  <c r="M4246" i="3"/>
  <c r="L4246" i="3"/>
  <c r="M4245" i="3"/>
  <c r="L4245" i="3"/>
  <c r="M4244" i="3"/>
  <c r="L4244" i="3"/>
  <c r="M4243" i="3"/>
  <c r="L4243" i="3"/>
  <c r="M4242" i="3"/>
  <c r="L4242" i="3"/>
  <c r="M4241" i="3"/>
  <c r="L4241" i="3"/>
  <c r="M4240" i="3"/>
  <c r="L4240" i="3"/>
  <c r="M4239" i="3"/>
  <c r="L4239" i="3"/>
  <c r="M4238" i="3"/>
  <c r="L4238" i="3"/>
  <c r="M4237" i="3"/>
  <c r="L4237" i="3"/>
  <c r="M4236" i="3"/>
  <c r="L4236" i="3"/>
  <c r="M4235" i="3"/>
  <c r="L4235" i="3"/>
  <c r="M4234" i="3"/>
  <c r="L4234" i="3"/>
  <c r="M4233" i="3"/>
  <c r="L4233" i="3"/>
  <c r="M4232" i="3"/>
  <c r="L4232" i="3"/>
  <c r="M4231" i="3"/>
  <c r="L4231" i="3"/>
  <c r="M4230" i="3"/>
  <c r="L4230" i="3"/>
  <c r="M4229" i="3"/>
  <c r="L4229" i="3"/>
  <c r="M4228" i="3"/>
  <c r="L4228" i="3"/>
  <c r="M4227" i="3"/>
  <c r="L4227" i="3"/>
  <c r="M4226" i="3"/>
  <c r="L4226" i="3"/>
  <c r="M4225" i="3"/>
  <c r="L4225" i="3"/>
  <c r="M4224" i="3"/>
  <c r="L4224" i="3"/>
  <c r="M4223" i="3"/>
  <c r="L4223" i="3"/>
  <c r="M4222" i="3"/>
  <c r="L4222" i="3"/>
  <c r="M4221" i="3"/>
  <c r="L4221" i="3"/>
  <c r="M4220" i="3"/>
  <c r="L4220" i="3"/>
  <c r="M4219" i="3"/>
  <c r="L4219" i="3"/>
  <c r="M4218" i="3"/>
  <c r="L4218" i="3"/>
  <c r="M4217" i="3"/>
  <c r="L4217" i="3"/>
  <c r="M4216" i="3"/>
  <c r="L4216" i="3"/>
  <c r="M4215" i="3"/>
  <c r="L4215" i="3"/>
  <c r="M4214" i="3"/>
  <c r="L4214" i="3"/>
  <c r="M4213" i="3"/>
  <c r="L4213" i="3"/>
  <c r="M4212" i="3"/>
  <c r="L4212" i="3"/>
  <c r="M4211" i="3"/>
  <c r="L4211" i="3"/>
  <c r="M4210" i="3"/>
  <c r="L4210" i="3"/>
  <c r="M4209" i="3"/>
  <c r="L4209" i="3"/>
  <c r="M4208" i="3"/>
  <c r="L4208" i="3"/>
  <c r="M4207" i="3"/>
  <c r="L4207" i="3"/>
  <c r="M4206" i="3"/>
  <c r="L4206" i="3"/>
  <c r="M4205" i="3"/>
  <c r="L4205" i="3"/>
  <c r="M4204" i="3"/>
  <c r="L4204" i="3"/>
  <c r="M4203" i="3"/>
  <c r="L4203" i="3"/>
  <c r="M4202" i="3"/>
  <c r="L4202" i="3"/>
  <c r="M4201" i="3"/>
  <c r="L4201" i="3"/>
  <c r="M4200" i="3"/>
  <c r="L4200" i="3"/>
  <c r="M4199" i="3"/>
  <c r="L4199" i="3"/>
  <c r="M4198" i="3"/>
  <c r="L4198" i="3"/>
  <c r="M4197" i="3"/>
  <c r="L4197" i="3"/>
  <c r="M4196" i="3"/>
  <c r="L4196" i="3"/>
  <c r="M4195" i="3"/>
  <c r="L4195" i="3"/>
  <c r="M4194" i="3"/>
  <c r="L4194" i="3"/>
  <c r="M4193" i="3"/>
  <c r="L4193" i="3"/>
  <c r="M4192" i="3"/>
  <c r="L4192" i="3"/>
  <c r="M4191" i="3"/>
  <c r="L4191" i="3"/>
  <c r="M4190" i="3"/>
  <c r="L4190" i="3"/>
  <c r="M4189" i="3"/>
  <c r="L4189" i="3"/>
  <c r="M4188" i="3"/>
  <c r="L4188" i="3"/>
  <c r="M4187" i="3"/>
  <c r="L4187" i="3"/>
  <c r="M4186" i="3"/>
  <c r="L4186" i="3"/>
  <c r="M4185" i="3"/>
  <c r="L4185" i="3"/>
  <c r="M4184" i="3"/>
  <c r="L4184" i="3"/>
  <c r="M4183" i="3"/>
  <c r="L4183" i="3"/>
  <c r="M4182" i="3"/>
  <c r="L4182" i="3"/>
  <c r="M4181" i="3"/>
  <c r="L4181" i="3"/>
  <c r="M4180" i="3"/>
  <c r="L4180" i="3"/>
  <c r="M4179" i="3"/>
  <c r="L4179" i="3"/>
  <c r="M4178" i="3"/>
  <c r="L4178" i="3"/>
  <c r="M4177" i="3"/>
  <c r="L4177" i="3"/>
  <c r="M4176" i="3"/>
  <c r="L4176" i="3"/>
  <c r="M4175" i="3"/>
  <c r="L4175" i="3"/>
  <c r="M4174" i="3"/>
  <c r="L4174" i="3"/>
  <c r="M4173" i="3"/>
  <c r="L4173" i="3"/>
  <c r="M4172" i="3"/>
  <c r="L4172" i="3"/>
  <c r="M4171" i="3"/>
  <c r="L4171" i="3"/>
  <c r="M4170" i="3"/>
  <c r="L4170" i="3"/>
  <c r="M4169" i="3"/>
  <c r="L4169" i="3"/>
  <c r="M4168" i="3"/>
  <c r="L4168" i="3"/>
  <c r="M4167" i="3"/>
  <c r="L4167" i="3"/>
  <c r="M4166" i="3"/>
  <c r="L4166" i="3"/>
  <c r="M4165" i="3"/>
  <c r="L4165" i="3"/>
  <c r="M4164" i="3"/>
  <c r="L4164" i="3"/>
  <c r="M4163" i="3"/>
  <c r="L4163" i="3"/>
  <c r="M4162" i="3"/>
  <c r="L4162" i="3"/>
  <c r="M4161" i="3"/>
  <c r="L4161" i="3"/>
  <c r="M4160" i="3"/>
  <c r="L4160" i="3"/>
  <c r="M4159" i="3"/>
  <c r="L4159" i="3"/>
  <c r="M4158" i="3"/>
  <c r="L4158" i="3"/>
  <c r="M4157" i="3"/>
  <c r="L4157" i="3"/>
  <c r="M4156" i="3"/>
  <c r="L4156" i="3"/>
  <c r="M4155" i="3"/>
  <c r="L4155" i="3"/>
  <c r="M4154" i="3"/>
  <c r="L4154" i="3"/>
  <c r="M4153" i="3"/>
  <c r="L4153" i="3"/>
  <c r="M4152" i="3"/>
  <c r="L4152" i="3"/>
  <c r="M4151" i="3"/>
  <c r="L4151" i="3"/>
  <c r="M4150" i="3"/>
  <c r="L4150" i="3"/>
  <c r="M4149" i="3"/>
  <c r="L4149" i="3"/>
  <c r="M4148" i="3"/>
  <c r="L4148" i="3"/>
  <c r="M4147" i="3"/>
  <c r="L4147" i="3"/>
  <c r="M4146" i="3"/>
  <c r="L4146" i="3"/>
  <c r="M4145" i="3"/>
  <c r="L4145" i="3"/>
  <c r="M4144" i="3"/>
  <c r="L4144" i="3"/>
  <c r="M4143" i="3"/>
  <c r="L4143" i="3"/>
  <c r="M4142" i="3"/>
  <c r="L4142" i="3"/>
  <c r="M4141" i="3"/>
  <c r="L4141" i="3"/>
  <c r="M4140" i="3"/>
  <c r="L4140" i="3"/>
  <c r="M4139" i="3"/>
  <c r="L4139" i="3"/>
  <c r="M4138" i="3"/>
  <c r="L4138" i="3"/>
  <c r="M4137" i="3"/>
  <c r="L4137" i="3"/>
  <c r="M4136" i="3"/>
  <c r="L4136" i="3"/>
  <c r="M4135" i="3"/>
  <c r="L4135" i="3"/>
  <c r="M4134" i="3"/>
  <c r="L4134" i="3"/>
  <c r="M4133" i="3"/>
  <c r="L4133" i="3"/>
  <c r="M4132" i="3"/>
  <c r="L4132" i="3"/>
  <c r="M4131" i="3"/>
  <c r="L4131" i="3"/>
  <c r="M4130" i="3"/>
  <c r="L4130" i="3"/>
  <c r="M4129" i="3"/>
  <c r="L4129" i="3"/>
  <c r="M4128" i="3"/>
  <c r="L4128" i="3"/>
  <c r="M4127" i="3"/>
  <c r="L4127" i="3"/>
  <c r="M4126" i="3"/>
  <c r="L4126" i="3"/>
  <c r="M4125" i="3"/>
  <c r="L4125" i="3"/>
  <c r="M4124" i="3"/>
  <c r="L4124" i="3"/>
  <c r="M4123" i="3"/>
  <c r="L4123" i="3"/>
  <c r="M4122" i="3"/>
  <c r="L4122" i="3"/>
  <c r="M4121" i="3"/>
  <c r="L4121" i="3"/>
  <c r="M4120" i="3"/>
  <c r="L4120" i="3"/>
  <c r="M4119" i="3"/>
  <c r="L4119" i="3"/>
  <c r="M4118" i="3"/>
  <c r="L4118" i="3"/>
  <c r="M4117" i="3"/>
  <c r="L4117" i="3"/>
  <c r="M4116" i="3"/>
  <c r="L4116" i="3"/>
  <c r="M4115" i="3"/>
  <c r="L4115" i="3"/>
  <c r="M4114" i="3"/>
  <c r="L4114" i="3"/>
  <c r="M4113" i="3"/>
  <c r="L4113" i="3"/>
  <c r="M4112" i="3"/>
  <c r="L4112" i="3"/>
  <c r="M4111" i="3"/>
  <c r="L4111" i="3"/>
  <c r="M4110" i="3"/>
  <c r="L4110" i="3"/>
  <c r="M4109" i="3"/>
  <c r="L4109" i="3"/>
  <c r="M4108" i="3"/>
  <c r="L4108" i="3"/>
  <c r="M4107" i="3"/>
  <c r="L4107" i="3"/>
  <c r="M4106" i="3"/>
  <c r="L4106" i="3"/>
  <c r="M4105" i="3"/>
  <c r="L4105" i="3"/>
  <c r="M4104" i="3"/>
  <c r="L4104" i="3"/>
  <c r="M4103" i="3"/>
  <c r="L4103" i="3"/>
  <c r="M4102" i="3"/>
  <c r="L4102" i="3"/>
  <c r="M4101" i="3"/>
  <c r="L4101" i="3"/>
  <c r="M4100" i="3"/>
  <c r="L4100" i="3"/>
  <c r="M4099" i="3"/>
  <c r="L4099" i="3"/>
  <c r="M4098" i="3"/>
  <c r="L4098" i="3"/>
  <c r="M4097" i="3"/>
  <c r="L4097" i="3"/>
  <c r="M4096" i="3"/>
  <c r="L4096" i="3"/>
  <c r="M4095" i="3"/>
  <c r="L4095" i="3"/>
  <c r="M4094" i="3"/>
  <c r="L4094" i="3"/>
  <c r="M4093" i="3"/>
  <c r="L4093" i="3"/>
  <c r="M4092" i="3"/>
  <c r="L4092" i="3"/>
  <c r="M4091" i="3"/>
  <c r="L4091" i="3"/>
  <c r="M4090" i="3"/>
  <c r="L4090" i="3"/>
  <c r="M4089" i="3"/>
  <c r="L4089" i="3"/>
  <c r="M4088" i="3"/>
  <c r="L4088" i="3"/>
  <c r="M4087" i="3"/>
  <c r="L4087" i="3"/>
  <c r="M4086" i="3"/>
  <c r="L4086" i="3"/>
  <c r="M4085" i="3"/>
  <c r="L4085" i="3"/>
  <c r="M4084" i="3"/>
  <c r="L4084" i="3"/>
  <c r="M4083" i="3"/>
  <c r="L4083" i="3"/>
  <c r="M4082" i="3"/>
  <c r="L4082" i="3"/>
  <c r="M4081" i="3"/>
  <c r="L4081" i="3"/>
  <c r="M4080" i="3"/>
  <c r="L4080" i="3"/>
  <c r="M4079" i="3"/>
  <c r="L4079" i="3"/>
  <c r="M4078" i="3"/>
  <c r="L4078" i="3"/>
  <c r="M4077" i="3"/>
  <c r="L4077" i="3"/>
  <c r="M4076" i="3"/>
  <c r="L4076" i="3"/>
  <c r="M4075" i="3"/>
  <c r="L4075" i="3"/>
  <c r="M4074" i="3"/>
  <c r="L4074" i="3"/>
  <c r="M4073" i="3"/>
  <c r="L4073" i="3"/>
  <c r="M4072" i="3"/>
  <c r="L4072" i="3"/>
  <c r="M4071" i="3"/>
  <c r="L4071" i="3"/>
  <c r="M4070" i="3"/>
  <c r="L4070" i="3"/>
  <c r="M4069" i="3"/>
  <c r="L4069" i="3"/>
  <c r="M4068" i="3"/>
  <c r="L4068" i="3"/>
  <c r="M4067" i="3"/>
  <c r="L4067" i="3"/>
  <c r="M4066" i="3"/>
  <c r="L4066" i="3"/>
  <c r="M4065" i="3"/>
  <c r="L4065" i="3"/>
  <c r="M4064" i="3"/>
  <c r="L4064" i="3"/>
  <c r="M4063" i="3"/>
  <c r="L4063" i="3"/>
  <c r="M4062" i="3"/>
  <c r="L4062" i="3"/>
  <c r="M4061" i="3"/>
  <c r="L4061" i="3"/>
  <c r="M4060" i="3"/>
  <c r="L4060" i="3"/>
  <c r="M4059" i="3"/>
  <c r="L4059" i="3"/>
  <c r="M4058" i="3"/>
  <c r="L4058" i="3"/>
  <c r="M4057" i="3"/>
  <c r="L4057" i="3"/>
  <c r="M4056" i="3"/>
  <c r="L4056" i="3"/>
  <c r="M4055" i="3"/>
  <c r="L4055" i="3"/>
  <c r="M4054" i="3"/>
  <c r="L4054" i="3"/>
  <c r="M4053" i="3"/>
  <c r="L4053" i="3"/>
  <c r="M4052" i="3"/>
  <c r="L4052" i="3"/>
  <c r="M4051" i="3"/>
  <c r="L4051" i="3"/>
  <c r="M4050" i="3"/>
  <c r="L4050" i="3"/>
  <c r="M4049" i="3"/>
  <c r="L4049" i="3"/>
  <c r="M4048" i="3"/>
  <c r="L4048" i="3"/>
  <c r="M4047" i="3"/>
  <c r="L4047" i="3"/>
  <c r="M4046" i="3"/>
  <c r="L4046" i="3"/>
  <c r="M4045" i="3"/>
  <c r="L4045" i="3"/>
  <c r="M4044" i="3"/>
  <c r="L4044" i="3"/>
  <c r="M4043" i="3"/>
  <c r="L4043" i="3"/>
  <c r="M4042" i="3"/>
  <c r="L4042" i="3"/>
  <c r="M4041" i="3"/>
  <c r="L4041" i="3"/>
  <c r="M4040" i="3"/>
  <c r="L4040" i="3"/>
  <c r="M4039" i="3"/>
  <c r="L4039" i="3"/>
  <c r="M4038" i="3"/>
  <c r="L4038" i="3"/>
  <c r="M4037" i="3"/>
  <c r="L4037" i="3"/>
  <c r="M4036" i="3"/>
  <c r="L4036" i="3"/>
  <c r="M4035" i="3"/>
  <c r="L4035" i="3"/>
  <c r="M4034" i="3"/>
  <c r="L4034" i="3"/>
  <c r="M4033" i="3"/>
  <c r="L4033" i="3"/>
  <c r="M4032" i="3"/>
  <c r="L4032" i="3"/>
  <c r="M4031" i="3"/>
  <c r="L4031" i="3"/>
  <c r="M4030" i="3"/>
  <c r="L4030" i="3"/>
  <c r="M4029" i="3"/>
  <c r="L4029" i="3"/>
  <c r="M4028" i="3"/>
  <c r="L4028" i="3"/>
  <c r="M4027" i="3"/>
  <c r="L4027" i="3"/>
  <c r="M4026" i="3"/>
  <c r="L4026" i="3"/>
  <c r="M4025" i="3"/>
  <c r="L4025" i="3"/>
  <c r="M4024" i="3"/>
  <c r="L4024" i="3"/>
  <c r="M4023" i="3"/>
  <c r="L4023" i="3"/>
  <c r="M4022" i="3"/>
  <c r="L4022" i="3"/>
  <c r="M4021" i="3"/>
  <c r="L4021" i="3"/>
  <c r="M4020" i="3"/>
  <c r="L4020" i="3"/>
  <c r="M4019" i="3"/>
  <c r="L4019" i="3"/>
  <c r="M4018" i="3"/>
  <c r="L4018" i="3"/>
  <c r="M4017" i="3"/>
  <c r="L4017" i="3"/>
  <c r="M4016" i="3"/>
  <c r="L4016" i="3"/>
  <c r="M4015" i="3"/>
  <c r="L4015" i="3"/>
  <c r="M4014" i="3"/>
  <c r="L4014" i="3"/>
  <c r="M4013" i="3"/>
  <c r="L4013" i="3"/>
  <c r="M4012" i="3"/>
  <c r="L4012" i="3"/>
  <c r="M4011" i="3"/>
  <c r="L4011" i="3"/>
  <c r="M4010" i="3"/>
  <c r="L4010" i="3"/>
  <c r="M4009" i="3"/>
  <c r="L4009" i="3"/>
  <c r="M4008" i="3"/>
  <c r="L4008" i="3"/>
  <c r="M4007" i="3"/>
  <c r="L4007" i="3"/>
  <c r="M4006" i="3"/>
  <c r="L4006" i="3"/>
  <c r="M4005" i="3"/>
  <c r="L4005" i="3"/>
  <c r="M4004" i="3"/>
  <c r="L4004" i="3"/>
  <c r="M4003" i="3"/>
  <c r="L4003" i="3"/>
  <c r="M4002" i="3"/>
  <c r="L4002" i="3"/>
  <c r="M4001" i="3"/>
  <c r="L4001" i="3"/>
  <c r="M4000" i="3"/>
  <c r="L4000" i="3"/>
  <c r="M3999" i="3"/>
  <c r="L3999" i="3"/>
  <c r="M3998" i="3"/>
  <c r="L3998" i="3"/>
  <c r="M3997" i="3"/>
  <c r="L3997" i="3"/>
  <c r="M3996" i="3"/>
  <c r="L3996" i="3"/>
  <c r="M3995" i="3"/>
  <c r="L3995" i="3"/>
  <c r="M3994" i="3"/>
  <c r="L3994" i="3"/>
  <c r="M3993" i="3"/>
  <c r="L3993" i="3"/>
  <c r="M3992" i="3"/>
  <c r="L3992" i="3"/>
  <c r="M3991" i="3"/>
  <c r="L3991" i="3"/>
  <c r="M3990" i="3"/>
  <c r="L3990" i="3"/>
  <c r="M3989" i="3"/>
  <c r="L3989" i="3"/>
  <c r="M3988" i="3"/>
  <c r="L3988" i="3"/>
  <c r="M3987" i="3"/>
  <c r="L3987" i="3"/>
  <c r="M3986" i="3"/>
  <c r="L3986" i="3"/>
  <c r="M3985" i="3"/>
  <c r="L3985" i="3"/>
  <c r="M3984" i="3"/>
  <c r="L3984" i="3"/>
  <c r="M3983" i="3"/>
  <c r="L3983" i="3"/>
  <c r="M3982" i="3"/>
  <c r="L3982" i="3"/>
  <c r="M3981" i="3"/>
  <c r="L3981" i="3"/>
  <c r="M3980" i="3"/>
  <c r="L3980" i="3"/>
  <c r="M3979" i="3"/>
  <c r="L3979" i="3"/>
  <c r="M3978" i="3"/>
  <c r="L3978" i="3"/>
  <c r="M3977" i="3"/>
  <c r="L3977" i="3"/>
  <c r="M3976" i="3"/>
  <c r="L3976" i="3"/>
  <c r="M3975" i="3"/>
  <c r="L3975" i="3"/>
  <c r="M3974" i="3"/>
  <c r="L3974" i="3"/>
  <c r="M3973" i="3"/>
  <c r="L3973" i="3"/>
  <c r="M3972" i="3"/>
  <c r="L3972" i="3"/>
  <c r="M3971" i="3"/>
  <c r="L3971" i="3"/>
  <c r="M3970" i="3"/>
  <c r="L3970" i="3"/>
  <c r="M3969" i="3"/>
  <c r="L3969" i="3"/>
  <c r="M3968" i="3"/>
  <c r="L3968" i="3"/>
  <c r="M3967" i="3"/>
  <c r="L3967" i="3"/>
  <c r="M3966" i="3"/>
  <c r="L3966" i="3"/>
  <c r="M3965" i="3"/>
  <c r="L3965" i="3"/>
  <c r="M3964" i="3"/>
  <c r="L3964" i="3"/>
  <c r="M3963" i="3"/>
  <c r="L3963" i="3"/>
  <c r="M3962" i="3"/>
  <c r="L3962" i="3"/>
  <c r="M3961" i="3"/>
  <c r="L3961" i="3"/>
  <c r="M3960" i="3"/>
  <c r="L3960" i="3"/>
  <c r="M3959" i="3"/>
  <c r="L3959" i="3"/>
  <c r="M3958" i="3"/>
  <c r="L3958" i="3"/>
  <c r="M3957" i="3"/>
  <c r="L3957" i="3"/>
  <c r="M3956" i="3"/>
  <c r="L3956" i="3"/>
  <c r="M3955" i="3"/>
  <c r="L3955" i="3"/>
  <c r="M3954" i="3"/>
  <c r="L3954" i="3"/>
  <c r="M3953" i="3"/>
  <c r="L3953" i="3"/>
  <c r="M3952" i="3"/>
  <c r="L3952" i="3"/>
  <c r="M3951" i="3"/>
  <c r="L3951" i="3"/>
  <c r="M3950" i="3"/>
  <c r="L3950" i="3"/>
  <c r="M3949" i="3"/>
  <c r="L3949" i="3"/>
  <c r="M3948" i="3"/>
  <c r="L3948" i="3"/>
  <c r="M3947" i="3"/>
  <c r="L3947" i="3"/>
  <c r="M3946" i="3"/>
  <c r="L3946" i="3"/>
  <c r="M3945" i="3"/>
  <c r="L3945" i="3"/>
  <c r="M3944" i="3"/>
  <c r="L3944" i="3"/>
  <c r="M3943" i="3"/>
  <c r="L3943" i="3"/>
  <c r="M3942" i="3"/>
  <c r="L3942" i="3"/>
  <c r="M3941" i="3"/>
  <c r="L3941" i="3"/>
  <c r="M3940" i="3"/>
  <c r="L3940" i="3"/>
  <c r="M3939" i="3"/>
  <c r="L3939" i="3"/>
  <c r="M3938" i="3"/>
  <c r="L3938" i="3"/>
  <c r="M3937" i="3"/>
  <c r="L3937" i="3"/>
  <c r="M3936" i="3"/>
  <c r="L3936" i="3"/>
  <c r="M3935" i="3"/>
  <c r="L3935" i="3"/>
  <c r="M3934" i="3"/>
  <c r="L3934" i="3"/>
  <c r="M3933" i="3"/>
  <c r="L3933" i="3"/>
  <c r="M3932" i="3"/>
  <c r="L3932" i="3"/>
  <c r="M3931" i="3"/>
  <c r="L3931" i="3"/>
  <c r="M3930" i="3"/>
  <c r="L3930" i="3"/>
  <c r="M3929" i="3"/>
  <c r="L3929" i="3"/>
  <c r="M3928" i="3"/>
  <c r="L3928" i="3"/>
  <c r="M3927" i="3"/>
  <c r="L3927" i="3"/>
  <c r="M3926" i="3"/>
  <c r="L3926" i="3"/>
  <c r="M3925" i="3"/>
  <c r="L3925" i="3"/>
  <c r="M3924" i="3"/>
  <c r="L3924" i="3"/>
  <c r="M3923" i="3"/>
  <c r="L3923" i="3"/>
  <c r="M3922" i="3"/>
  <c r="L3922" i="3"/>
  <c r="M3921" i="3"/>
  <c r="L3921" i="3"/>
  <c r="M3920" i="3"/>
  <c r="L3920" i="3"/>
  <c r="M3919" i="3"/>
  <c r="L3919" i="3"/>
  <c r="M3918" i="3"/>
  <c r="L3918" i="3"/>
  <c r="M3917" i="3"/>
  <c r="L3917" i="3"/>
  <c r="M3916" i="3"/>
  <c r="L3916" i="3"/>
  <c r="M3915" i="3"/>
  <c r="L3915" i="3"/>
  <c r="M3914" i="3"/>
  <c r="L3914" i="3"/>
  <c r="M3913" i="3"/>
  <c r="L3913" i="3"/>
  <c r="M3912" i="3"/>
  <c r="L3912" i="3"/>
  <c r="M3911" i="3"/>
  <c r="L3911" i="3"/>
  <c r="M3910" i="3"/>
  <c r="L3910" i="3"/>
  <c r="M3909" i="3"/>
  <c r="L3909" i="3"/>
  <c r="M3908" i="3"/>
  <c r="L3908" i="3"/>
  <c r="M3907" i="3"/>
  <c r="L3907" i="3"/>
  <c r="M3906" i="3"/>
  <c r="L3906" i="3"/>
  <c r="M3905" i="3"/>
  <c r="L3905" i="3"/>
  <c r="M3904" i="3"/>
  <c r="L3904" i="3"/>
  <c r="M3903" i="3"/>
  <c r="L3903" i="3"/>
  <c r="M3902" i="3"/>
  <c r="L3902" i="3"/>
  <c r="M3901" i="3"/>
  <c r="L3901" i="3"/>
  <c r="M3900" i="3"/>
  <c r="L3900" i="3"/>
  <c r="M3899" i="3"/>
  <c r="L3899" i="3"/>
  <c r="M3898" i="3"/>
  <c r="L3898" i="3"/>
  <c r="M3897" i="3"/>
  <c r="L3897" i="3"/>
  <c r="M3896" i="3"/>
  <c r="L3896" i="3"/>
  <c r="M3895" i="3"/>
  <c r="L3895" i="3"/>
  <c r="M3894" i="3"/>
  <c r="L3894" i="3"/>
  <c r="M3893" i="3"/>
  <c r="L3893" i="3"/>
  <c r="M3892" i="3"/>
  <c r="L3892" i="3"/>
  <c r="M3891" i="3"/>
  <c r="L3891" i="3"/>
  <c r="M3890" i="3"/>
  <c r="L3890" i="3"/>
  <c r="M3889" i="3"/>
  <c r="L3889" i="3"/>
  <c r="M3888" i="3"/>
  <c r="L3888" i="3"/>
  <c r="M3887" i="3"/>
  <c r="L3887" i="3"/>
  <c r="M3886" i="3"/>
  <c r="L3886" i="3"/>
  <c r="M3885" i="3"/>
  <c r="L3885" i="3"/>
  <c r="M3884" i="3"/>
  <c r="L3884" i="3"/>
  <c r="M3883" i="3"/>
  <c r="L3883" i="3"/>
  <c r="M3882" i="3"/>
  <c r="L3882" i="3"/>
  <c r="M3881" i="3"/>
  <c r="L3881" i="3"/>
  <c r="M3880" i="3"/>
  <c r="L3880" i="3"/>
  <c r="M3879" i="3"/>
  <c r="L3879" i="3"/>
  <c r="M3878" i="3"/>
  <c r="L3878" i="3"/>
  <c r="M3877" i="3"/>
  <c r="L3877" i="3"/>
  <c r="M3876" i="3"/>
  <c r="L3876" i="3"/>
  <c r="M3875" i="3"/>
  <c r="L3875" i="3"/>
  <c r="M3874" i="3"/>
  <c r="L3874" i="3"/>
  <c r="M3873" i="3"/>
  <c r="L3873" i="3"/>
  <c r="M3872" i="3"/>
  <c r="L3872" i="3"/>
  <c r="M3871" i="3"/>
  <c r="L3871" i="3"/>
  <c r="M3870" i="3"/>
  <c r="L3870" i="3"/>
  <c r="M3869" i="3"/>
  <c r="L3869" i="3"/>
  <c r="M3868" i="3"/>
  <c r="L3868" i="3"/>
  <c r="M3867" i="3"/>
  <c r="L3867" i="3"/>
  <c r="M3866" i="3"/>
  <c r="L3866" i="3"/>
  <c r="M3865" i="3"/>
  <c r="L3865" i="3"/>
  <c r="M3864" i="3"/>
  <c r="L3864" i="3"/>
  <c r="M3863" i="3"/>
  <c r="L3863" i="3"/>
  <c r="M3862" i="3"/>
  <c r="L3862" i="3"/>
  <c r="M3861" i="3"/>
  <c r="L3861" i="3"/>
  <c r="M3860" i="3"/>
  <c r="L3860" i="3"/>
  <c r="M3859" i="3"/>
  <c r="L3859" i="3"/>
  <c r="M3858" i="3"/>
  <c r="L3858" i="3"/>
  <c r="M3857" i="3"/>
  <c r="L3857" i="3"/>
  <c r="M3856" i="3"/>
  <c r="L3856" i="3"/>
  <c r="M3855" i="3"/>
  <c r="L3855" i="3"/>
  <c r="M3854" i="3"/>
  <c r="L3854" i="3"/>
  <c r="M3853" i="3"/>
  <c r="L3853" i="3"/>
  <c r="M3852" i="3"/>
  <c r="L3852" i="3"/>
  <c r="M3851" i="3"/>
  <c r="L3851" i="3"/>
  <c r="M3850" i="3"/>
  <c r="L3850" i="3"/>
  <c r="M3849" i="3"/>
  <c r="L3849" i="3"/>
  <c r="M3848" i="3"/>
  <c r="L3848" i="3"/>
  <c r="M3847" i="3"/>
  <c r="L3847" i="3"/>
  <c r="M3846" i="3"/>
  <c r="L3846" i="3"/>
  <c r="M3845" i="3"/>
  <c r="L3845" i="3"/>
  <c r="M3844" i="3"/>
  <c r="L3844" i="3"/>
  <c r="M3843" i="3"/>
  <c r="L3843" i="3"/>
  <c r="M3842" i="3"/>
  <c r="L3842" i="3"/>
  <c r="M3841" i="3"/>
  <c r="L3841" i="3"/>
  <c r="M3840" i="3"/>
  <c r="L3840" i="3"/>
  <c r="M3839" i="3"/>
  <c r="L3839" i="3"/>
  <c r="M3838" i="3"/>
  <c r="L3838" i="3"/>
  <c r="M3837" i="3"/>
  <c r="L3837" i="3"/>
  <c r="M3836" i="3"/>
  <c r="L3836" i="3"/>
  <c r="M3835" i="3"/>
  <c r="L3835" i="3"/>
  <c r="M3834" i="3"/>
  <c r="L3834" i="3"/>
  <c r="M3833" i="3"/>
  <c r="L3833" i="3"/>
  <c r="M3832" i="3"/>
  <c r="L3832" i="3"/>
  <c r="M3831" i="3"/>
  <c r="L3831" i="3"/>
  <c r="M3830" i="3"/>
  <c r="L3830" i="3"/>
  <c r="M3829" i="3"/>
  <c r="L3829" i="3"/>
  <c r="M3828" i="3"/>
  <c r="L3828" i="3"/>
  <c r="M3827" i="3"/>
  <c r="L3827" i="3"/>
  <c r="M3826" i="3"/>
  <c r="L3826" i="3"/>
  <c r="M3825" i="3"/>
  <c r="L3825" i="3"/>
  <c r="M3824" i="3"/>
  <c r="L3824" i="3"/>
  <c r="M3823" i="3"/>
  <c r="L3823" i="3"/>
  <c r="M3822" i="3"/>
  <c r="L3822" i="3"/>
  <c r="M3821" i="3"/>
  <c r="L3821" i="3"/>
  <c r="M3820" i="3"/>
  <c r="L3820" i="3"/>
  <c r="M3819" i="3"/>
  <c r="L3819" i="3"/>
  <c r="M3818" i="3"/>
  <c r="L3818" i="3"/>
  <c r="M3817" i="3"/>
  <c r="L3817" i="3"/>
  <c r="M3816" i="3"/>
  <c r="L3816" i="3"/>
  <c r="M3815" i="3"/>
  <c r="L3815" i="3"/>
  <c r="M3814" i="3"/>
  <c r="L3814" i="3"/>
  <c r="M3813" i="3"/>
  <c r="L3813" i="3"/>
  <c r="M3812" i="3"/>
  <c r="L3812" i="3"/>
  <c r="M3811" i="3"/>
  <c r="L3811" i="3"/>
  <c r="M3810" i="3"/>
  <c r="L3810" i="3"/>
  <c r="M3809" i="3"/>
  <c r="L3809" i="3"/>
  <c r="M3808" i="3"/>
  <c r="L3808" i="3"/>
  <c r="M3807" i="3"/>
  <c r="L3807" i="3"/>
  <c r="M3806" i="3"/>
  <c r="L3806" i="3"/>
  <c r="M3805" i="3"/>
  <c r="L3805" i="3"/>
  <c r="M3804" i="3"/>
  <c r="L3804" i="3"/>
  <c r="M3803" i="3"/>
  <c r="L3803" i="3"/>
  <c r="M3802" i="3"/>
  <c r="L3802" i="3"/>
  <c r="M3801" i="3"/>
  <c r="L3801" i="3"/>
  <c r="M3800" i="3"/>
  <c r="L3800" i="3"/>
  <c r="M3799" i="3"/>
  <c r="L3799" i="3"/>
  <c r="M3798" i="3"/>
  <c r="L3798" i="3"/>
  <c r="M3797" i="3"/>
  <c r="L3797" i="3"/>
  <c r="M3796" i="3"/>
  <c r="L3796" i="3"/>
  <c r="M3795" i="3"/>
  <c r="L3795" i="3"/>
  <c r="M3794" i="3"/>
  <c r="L3794" i="3"/>
  <c r="M3793" i="3"/>
  <c r="L3793" i="3"/>
  <c r="M3792" i="3"/>
  <c r="L3792" i="3"/>
  <c r="M3791" i="3"/>
  <c r="L3791" i="3"/>
  <c r="M3790" i="3"/>
  <c r="L3790" i="3"/>
  <c r="M3789" i="3"/>
  <c r="L3789" i="3"/>
  <c r="M3788" i="3"/>
  <c r="L3788" i="3"/>
  <c r="M3787" i="3"/>
  <c r="L3787" i="3"/>
  <c r="M3786" i="3"/>
  <c r="L3786" i="3"/>
  <c r="M3785" i="3"/>
  <c r="L3785" i="3"/>
  <c r="M3784" i="3"/>
  <c r="L3784" i="3"/>
  <c r="M3783" i="3"/>
  <c r="L3783" i="3"/>
  <c r="M3782" i="3"/>
  <c r="L3782" i="3"/>
  <c r="M3781" i="3"/>
  <c r="L3781" i="3"/>
  <c r="M3780" i="3"/>
  <c r="L3780" i="3"/>
  <c r="M3779" i="3"/>
  <c r="L3779" i="3"/>
  <c r="M3778" i="3"/>
  <c r="L3778" i="3"/>
  <c r="M3777" i="3"/>
  <c r="L3777" i="3"/>
  <c r="M3776" i="3"/>
  <c r="L3776" i="3"/>
  <c r="M3775" i="3"/>
  <c r="L3775" i="3"/>
  <c r="M3774" i="3"/>
  <c r="L3774" i="3"/>
  <c r="M3773" i="3"/>
  <c r="L3773" i="3"/>
  <c r="M3772" i="3"/>
  <c r="L3772" i="3"/>
  <c r="M3771" i="3"/>
  <c r="L3771" i="3"/>
  <c r="M3770" i="3"/>
  <c r="L3770" i="3"/>
  <c r="M3769" i="3"/>
  <c r="L3769" i="3"/>
  <c r="M3768" i="3"/>
  <c r="L3768" i="3"/>
  <c r="M3767" i="3"/>
  <c r="L3767" i="3"/>
  <c r="M3766" i="3"/>
  <c r="L3766" i="3"/>
  <c r="M3765" i="3"/>
  <c r="L3765" i="3"/>
  <c r="M3764" i="3"/>
  <c r="L3764" i="3"/>
  <c r="M3763" i="3"/>
  <c r="L3763" i="3"/>
  <c r="M3762" i="3"/>
  <c r="L3762" i="3"/>
  <c r="M3761" i="3"/>
  <c r="L3761" i="3"/>
  <c r="M3760" i="3"/>
  <c r="L3760" i="3"/>
  <c r="M3759" i="3"/>
  <c r="L3759" i="3"/>
  <c r="M3758" i="3"/>
  <c r="L3758" i="3"/>
  <c r="M3757" i="3"/>
  <c r="L3757" i="3"/>
  <c r="M3756" i="3"/>
  <c r="L3756" i="3"/>
  <c r="M3755" i="3"/>
  <c r="L3755" i="3"/>
  <c r="M3754" i="3"/>
  <c r="L3754" i="3"/>
  <c r="M3753" i="3"/>
  <c r="L3753" i="3"/>
  <c r="M3752" i="3"/>
  <c r="L3752" i="3"/>
  <c r="M3751" i="3"/>
  <c r="L3751" i="3"/>
  <c r="M3750" i="3"/>
  <c r="L3750" i="3"/>
  <c r="M3749" i="3"/>
  <c r="L3749" i="3"/>
  <c r="M3748" i="3"/>
  <c r="L3748" i="3"/>
  <c r="M3747" i="3"/>
  <c r="L3747" i="3"/>
  <c r="M3746" i="3"/>
  <c r="L3746" i="3"/>
  <c r="M3745" i="3"/>
  <c r="L3745" i="3"/>
  <c r="M3744" i="3"/>
  <c r="L3744" i="3"/>
  <c r="M3743" i="3"/>
  <c r="L3743" i="3"/>
  <c r="M3742" i="3"/>
  <c r="L3742" i="3"/>
  <c r="M3741" i="3"/>
  <c r="L3741" i="3"/>
  <c r="M3740" i="3"/>
  <c r="L3740" i="3"/>
  <c r="M3739" i="3"/>
  <c r="L3739" i="3"/>
  <c r="M3738" i="3"/>
  <c r="L3738" i="3"/>
  <c r="M3737" i="3"/>
  <c r="L3737" i="3"/>
  <c r="M3736" i="3"/>
  <c r="L3736" i="3"/>
  <c r="M3735" i="3"/>
  <c r="L3735" i="3"/>
  <c r="M3734" i="3"/>
  <c r="L3734" i="3"/>
  <c r="M3733" i="3"/>
  <c r="L3733" i="3"/>
  <c r="M3732" i="3"/>
  <c r="L3732" i="3"/>
  <c r="M3731" i="3"/>
  <c r="L3731" i="3"/>
  <c r="M3730" i="3"/>
  <c r="L3730" i="3"/>
  <c r="M3729" i="3"/>
  <c r="L3729" i="3"/>
  <c r="M3728" i="3"/>
  <c r="L3728" i="3"/>
  <c r="M3727" i="3"/>
  <c r="L3727" i="3"/>
  <c r="M3726" i="3"/>
  <c r="L3726" i="3"/>
  <c r="M3725" i="3"/>
  <c r="L3725" i="3"/>
  <c r="M3724" i="3"/>
  <c r="L3724" i="3"/>
  <c r="M3723" i="3"/>
  <c r="L3723" i="3"/>
  <c r="M3722" i="3"/>
  <c r="L3722" i="3"/>
  <c r="M3721" i="3"/>
  <c r="L3721" i="3"/>
  <c r="M3720" i="3"/>
  <c r="L3720" i="3"/>
  <c r="M3719" i="3"/>
  <c r="L3719" i="3"/>
  <c r="M3718" i="3"/>
  <c r="L3718" i="3"/>
  <c r="M3717" i="3"/>
  <c r="L3717" i="3"/>
  <c r="M3716" i="3"/>
  <c r="L3716" i="3"/>
  <c r="M3715" i="3"/>
  <c r="L3715" i="3"/>
  <c r="M3714" i="3"/>
  <c r="L3714" i="3"/>
  <c r="M3713" i="3"/>
  <c r="L3713" i="3"/>
  <c r="M3712" i="3"/>
  <c r="L3712" i="3"/>
  <c r="M3711" i="3"/>
  <c r="L3711" i="3"/>
  <c r="M3710" i="3"/>
  <c r="L3710" i="3"/>
  <c r="M3709" i="3"/>
  <c r="L3709" i="3"/>
  <c r="M3708" i="3"/>
  <c r="L3708" i="3"/>
  <c r="M3707" i="3"/>
  <c r="L3707" i="3"/>
  <c r="M3706" i="3"/>
  <c r="L3706" i="3"/>
  <c r="M3705" i="3"/>
  <c r="L3705" i="3"/>
  <c r="M3704" i="3"/>
  <c r="L3704" i="3"/>
  <c r="M3703" i="3"/>
  <c r="L3703" i="3"/>
  <c r="M3702" i="3"/>
  <c r="L3702" i="3"/>
  <c r="M3701" i="3"/>
  <c r="L3701" i="3"/>
  <c r="M3700" i="3"/>
  <c r="L3700" i="3"/>
  <c r="M3699" i="3"/>
  <c r="L3699" i="3"/>
  <c r="M3698" i="3"/>
  <c r="L3698" i="3"/>
  <c r="M3697" i="3"/>
  <c r="L3697" i="3"/>
  <c r="M3696" i="3"/>
  <c r="L3696" i="3"/>
  <c r="M3695" i="3"/>
  <c r="L3695" i="3"/>
  <c r="M3694" i="3"/>
  <c r="L3694" i="3"/>
  <c r="M3693" i="3"/>
  <c r="L3693" i="3"/>
  <c r="M3692" i="3"/>
  <c r="L3692" i="3"/>
  <c r="M3691" i="3"/>
  <c r="L3691" i="3"/>
  <c r="M3690" i="3"/>
  <c r="L3690" i="3"/>
  <c r="M3689" i="3"/>
  <c r="L3689" i="3"/>
  <c r="M3688" i="3"/>
  <c r="L3688" i="3"/>
  <c r="M3687" i="3"/>
  <c r="L3687" i="3"/>
  <c r="M3686" i="3"/>
  <c r="L3686" i="3"/>
  <c r="M3685" i="3"/>
  <c r="L3685" i="3"/>
  <c r="M3684" i="3"/>
  <c r="L3684" i="3"/>
  <c r="M3683" i="3"/>
  <c r="L3683" i="3"/>
  <c r="M3682" i="3"/>
  <c r="L3682" i="3"/>
  <c r="M3681" i="3"/>
  <c r="L3681" i="3"/>
  <c r="M3680" i="3"/>
  <c r="L3680" i="3"/>
  <c r="M3679" i="3"/>
  <c r="L3679" i="3"/>
  <c r="M3678" i="3"/>
  <c r="L3678" i="3"/>
  <c r="M3677" i="3"/>
  <c r="L3677" i="3"/>
  <c r="M3676" i="3"/>
  <c r="L3676" i="3"/>
  <c r="M3675" i="3"/>
  <c r="L3675" i="3"/>
  <c r="M3674" i="3"/>
  <c r="L3674" i="3"/>
  <c r="M3673" i="3"/>
  <c r="L3673" i="3"/>
  <c r="M3672" i="3"/>
  <c r="L3672" i="3"/>
  <c r="M3671" i="3"/>
  <c r="L3671" i="3"/>
  <c r="M3670" i="3"/>
  <c r="L3670" i="3"/>
  <c r="M3669" i="3"/>
  <c r="L3669" i="3"/>
  <c r="M3668" i="3"/>
  <c r="L3668" i="3"/>
  <c r="M3667" i="3"/>
  <c r="L3667" i="3"/>
  <c r="M3666" i="3"/>
  <c r="L3666" i="3"/>
  <c r="M3665" i="3"/>
  <c r="L3665" i="3"/>
  <c r="M3664" i="3"/>
  <c r="L3664" i="3"/>
  <c r="M3663" i="3"/>
  <c r="L3663" i="3"/>
  <c r="M3662" i="3"/>
  <c r="L3662" i="3"/>
  <c r="M3661" i="3"/>
  <c r="L3661" i="3"/>
  <c r="M3660" i="3"/>
  <c r="L3660" i="3"/>
  <c r="M3659" i="3"/>
  <c r="L3659" i="3"/>
  <c r="M3658" i="3"/>
  <c r="L3658" i="3"/>
  <c r="M3657" i="3"/>
  <c r="L3657" i="3"/>
  <c r="M3656" i="3"/>
  <c r="L3656" i="3"/>
  <c r="M3655" i="3"/>
  <c r="L3655" i="3"/>
  <c r="M3654" i="3"/>
  <c r="L3654" i="3"/>
  <c r="M3653" i="3"/>
  <c r="L3653" i="3"/>
  <c r="M3652" i="3"/>
  <c r="L3652" i="3"/>
  <c r="M3651" i="3"/>
  <c r="L3651" i="3"/>
  <c r="M3650" i="3"/>
  <c r="L3650" i="3"/>
  <c r="M3649" i="3"/>
  <c r="L3649" i="3"/>
  <c r="M3648" i="3"/>
  <c r="L3648" i="3"/>
  <c r="M3647" i="3"/>
  <c r="L3647" i="3"/>
  <c r="M3646" i="3"/>
  <c r="L3646" i="3"/>
  <c r="M3645" i="3"/>
  <c r="L3645" i="3"/>
  <c r="M3644" i="3"/>
  <c r="L3644" i="3"/>
  <c r="M3643" i="3"/>
  <c r="L3643" i="3"/>
  <c r="M3642" i="3"/>
  <c r="L3642" i="3"/>
  <c r="M3641" i="3"/>
  <c r="L3641" i="3"/>
  <c r="M3640" i="3"/>
  <c r="L3640" i="3"/>
  <c r="M3639" i="3"/>
  <c r="L3639" i="3"/>
  <c r="M3638" i="3"/>
  <c r="L3638" i="3"/>
  <c r="M3637" i="3"/>
  <c r="L3637" i="3"/>
  <c r="M3636" i="3"/>
  <c r="L3636" i="3"/>
  <c r="M3635" i="3"/>
  <c r="L3635" i="3"/>
  <c r="M3634" i="3"/>
  <c r="L3634" i="3"/>
  <c r="M3633" i="3"/>
  <c r="L3633" i="3"/>
  <c r="M3632" i="3"/>
  <c r="L3632" i="3"/>
  <c r="M3631" i="3"/>
  <c r="L3631" i="3"/>
  <c r="M3630" i="3"/>
  <c r="L3630" i="3"/>
  <c r="M3629" i="3"/>
  <c r="L3629" i="3"/>
  <c r="M3628" i="3"/>
  <c r="L3628" i="3"/>
  <c r="M3627" i="3"/>
  <c r="L3627" i="3"/>
  <c r="M3626" i="3"/>
  <c r="L3626" i="3"/>
  <c r="M3625" i="3"/>
  <c r="L3625" i="3"/>
  <c r="M3624" i="3"/>
  <c r="L3624" i="3"/>
  <c r="M3623" i="3"/>
  <c r="L3623" i="3"/>
  <c r="M3622" i="3"/>
  <c r="L3622" i="3"/>
  <c r="M3621" i="3"/>
  <c r="L3621" i="3"/>
  <c r="M3620" i="3"/>
  <c r="L3620" i="3"/>
  <c r="M3619" i="3"/>
  <c r="L3619" i="3"/>
  <c r="M3618" i="3"/>
  <c r="L3618" i="3"/>
  <c r="M3617" i="3"/>
  <c r="L3617" i="3"/>
  <c r="M3616" i="3"/>
  <c r="L3616" i="3"/>
  <c r="M3615" i="3"/>
  <c r="L3615" i="3"/>
  <c r="M3614" i="3"/>
  <c r="L3614" i="3"/>
  <c r="M3613" i="3"/>
  <c r="L3613" i="3"/>
  <c r="M3612" i="3"/>
  <c r="L3612" i="3"/>
  <c r="M3611" i="3"/>
  <c r="L3611" i="3"/>
  <c r="M3610" i="3"/>
  <c r="L3610" i="3"/>
  <c r="M3609" i="3"/>
  <c r="L3609" i="3"/>
  <c r="M3608" i="3"/>
  <c r="L3608" i="3"/>
  <c r="M3607" i="3"/>
  <c r="L3607" i="3"/>
  <c r="M3606" i="3"/>
  <c r="L3606" i="3"/>
  <c r="M3605" i="3"/>
  <c r="L3605" i="3"/>
  <c r="M3604" i="3"/>
  <c r="L3604" i="3"/>
  <c r="M3603" i="3"/>
  <c r="L3603" i="3"/>
  <c r="M3602" i="3"/>
  <c r="L3602" i="3"/>
  <c r="M3601" i="3"/>
  <c r="L3601" i="3"/>
  <c r="M3600" i="3"/>
  <c r="L3600" i="3"/>
  <c r="M3599" i="3"/>
  <c r="L3599" i="3"/>
  <c r="M3598" i="3"/>
  <c r="L3598" i="3"/>
  <c r="M3597" i="3"/>
  <c r="L3597" i="3"/>
  <c r="M3596" i="3"/>
  <c r="L3596" i="3"/>
  <c r="M3595" i="3"/>
  <c r="L3595" i="3"/>
  <c r="M3594" i="3"/>
  <c r="L3594" i="3"/>
  <c r="M3593" i="3"/>
  <c r="L3593" i="3"/>
  <c r="M3592" i="3"/>
  <c r="L3592" i="3"/>
  <c r="M3591" i="3"/>
  <c r="L3591" i="3"/>
  <c r="M3590" i="3"/>
  <c r="L3590" i="3"/>
  <c r="M3589" i="3"/>
  <c r="L3589" i="3"/>
  <c r="M3588" i="3"/>
  <c r="L3588" i="3"/>
  <c r="M3587" i="3"/>
  <c r="L3587" i="3"/>
  <c r="M3586" i="3"/>
  <c r="L3586" i="3"/>
  <c r="M3585" i="3"/>
  <c r="L3585" i="3"/>
  <c r="M3584" i="3"/>
  <c r="L3584" i="3"/>
  <c r="M3583" i="3"/>
  <c r="L3583" i="3"/>
  <c r="M3582" i="3"/>
  <c r="L3582" i="3"/>
  <c r="M3581" i="3"/>
  <c r="L3581" i="3"/>
  <c r="M3580" i="3"/>
  <c r="L3580" i="3"/>
  <c r="M3579" i="3"/>
  <c r="L3579" i="3"/>
  <c r="M3578" i="3"/>
  <c r="L3578" i="3"/>
  <c r="M3577" i="3"/>
  <c r="L3577" i="3"/>
  <c r="M3576" i="3"/>
  <c r="L3576" i="3"/>
  <c r="M3575" i="3"/>
  <c r="L3575" i="3"/>
  <c r="M3574" i="3"/>
  <c r="L3574" i="3"/>
  <c r="M3573" i="3"/>
  <c r="L3573" i="3"/>
  <c r="M3572" i="3"/>
  <c r="L3572" i="3"/>
  <c r="M3571" i="3"/>
  <c r="L3571" i="3"/>
  <c r="M3570" i="3"/>
  <c r="L3570" i="3"/>
  <c r="M3569" i="3"/>
  <c r="L3569" i="3"/>
  <c r="M3568" i="3"/>
  <c r="L3568" i="3"/>
  <c r="M3567" i="3"/>
  <c r="L3567" i="3"/>
  <c r="M3566" i="3"/>
  <c r="L3566" i="3"/>
  <c r="M3565" i="3"/>
  <c r="L3565" i="3"/>
  <c r="M3564" i="3"/>
  <c r="L3564" i="3"/>
  <c r="M3563" i="3"/>
  <c r="L3563" i="3"/>
  <c r="M3562" i="3"/>
  <c r="L3562" i="3"/>
  <c r="M3561" i="3"/>
  <c r="L3561" i="3"/>
  <c r="M3560" i="3"/>
  <c r="L3560" i="3"/>
  <c r="M3559" i="3"/>
  <c r="L3559" i="3"/>
  <c r="M3558" i="3"/>
  <c r="L3558" i="3"/>
  <c r="M3557" i="3"/>
  <c r="L3557" i="3"/>
  <c r="M3556" i="3"/>
  <c r="L3556" i="3"/>
  <c r="M3555" i="3"/>
  <c r="L3555" i="3"/>
  <c r="M3554" i="3"/>
  <c r="L3554" i="3"/>
  <c r="M3553" i="3"/>
  <c r="L3553" i="3"/>
  <c r="M3552" i="3"/>
  <c r="L3552" i="3"/>
  <c r="M3551" i="3"/>
  <c r="L3551" i="3"/>
  <c r="M3550" i="3"/>
  <c r="L3550" i="3"/>
  <c r="M3549" i="3"/>
  <c r="L3549" i="3"/>
  <c r="M3548" i="3"/>
  <c r="L3548" i="3"/>
  <c r="M3547" i="3"/>
  <c r="L3547" i="3"/>
  <c r="M3546" i="3"/>
  <c r="L3546" i="3"/>
  <c r="M3545" i="3"/>
  <c r="L3545" i="3"/>
  <c r="M3544" i="3"/>
  <c r="L3544" i="3"/>
  <c r="M3543" i="3"/>
  <c r="L3543" i="3"/>
  <c r="M3542" i="3"/>
  <c r="L3542" i="3"/>
  <c r="M3541" i="3"/>
  <c r="L3541" i="3"/>
  <c r="M3540" i="3"/>
  <c r="L3540" i="3"/>
  <c r="M3539" i="3"/>
  <c r="L3539" i="3"/>
  <c r="M3538" i="3"/>
  <c r="L3538" i="3"/>
  <c r="M3537" i="3"/>
  <c r="L3537" i="3"/>
  <c r="M3536" i="3"/>
  <c r="L3536" i="3"/>
  <c r="M3535" i="3"/>
  <c r="L3535" i="3"/>
  <c r="M3534" i="3"/>
  <c r="L3534" i="3"/>
  <c r="M3533" i="3"/>
  <c r="L3533" i="3"/>
  <c r="M3532" i="3"/>
  <c r="L3532" i="3"/>
  <c r="M3531" i="3"/>
  <c r="L3531" i="3"/>
  <c r="M3530" i="3"/>
  <c r="L3530" i="3"/>
  <c r="M3529" i="3"/>
  <c r="L3529" i="3"/>
  <c r="M3528" i="3"/>
  <c r="L3528" i="3"/>
  <c r="M3527" i="3"/>
  <c r="L3527" i="3"/>
  <c r="M3526" i="3"/>
  <c r="L3526" i="3"/>
  <c r="M3525" i="3"/>
  <c r="L3525" i="3"/>
  <c r="M3524" i="3"/>
  <c r="L3524" i="3"/>
  <c r="M3523" i="3"/>
  <c r="L3523" i="3"/>
  <c r="M3522" i="3"/>
  <c r="L3522" i="3"/>
  <c r="M3521" i="3"/>
  <c r="L3521" i="3"/>
  <c r="M3520" i="3"/>
  <c r="L3520" i="3"/>
  <c r="M3519" i="3"/>
  <c r="L3519" i="3"/>
  <c r="M3518" i="3"/>
  <c r="L3518" i="3"/>
  <c r="M3517" i="3"/>
  <c r="L3517" i="3"/>
  <c r="M3516" i="3"/>
  <c r="L3516" i="3"/>
  <c r="M3515" i="3"/>
  <c r="L3515" i="3"/>
  <c r="M3514" i="3"/>
  <c r="L3514" i="3"/>
  <c r="M3513" i="3"/>
  <c r="L3513" i="3"/>
  <c r="M3512" i="3"/>
  <c r="L3512" i="3"/>
  <c r="M3511" i="3"/>
  <c r="L3511" i="3"/>
  <c r="M3510" i="3"/>
  <c r="L3510" i="3"/>
  <c r="M3509" i="3"/>
  <c r="L3509" i="3"/>
  <c r="M3508" i="3"/>
  <c r="L3508" i="3"/>
  <c r="M3507" i="3"/>
  <c r="L3507" i="3"/>
  <c r="M3506" i="3"/>
  <c r="L3506" i="3"/>
  <c r="M3505" i="3"/>
  <c r="L3505" i="3"/>
  <c r="M3504" i="3"/>
  <c r="L3504" i="3"/>
  <c r="M3503" i="3"/>
  <c r="L3503" i="3"/>
  <c r="M3502" i="3"/>
  <c r="L3502" i="3"/>
  <c r="M3501" i="3"/>
  <c r="L3501" i="3"/>
  <c r="M3500" i="3"/>
  <c r="L3500" i="3"/>
  <c r="M3499" i="3"/>
  <c r="L3499" i="3"/>
  <c r="M3498" i="3"/>
  <c r="L3498" i="3"/>
  <c r="M3497" i="3"/>
  <c r="L3497" i="3"/>
  <c r="M3496" i="3"/>
  <c r="L3496" i="3"/>
  <c r="M3495" i="3"/>
  <c r="L3495" i="3"/>
  <c r="M3494" i="3"/>
  <c r="L3494" i="3"/>
  <c r="M3493" i="3"/>
  <c r="L3493" i="3"/>
  <c r="M3492" i="3"/>
  <c r="L3492" i="3"/>
  <c r="M3491" i="3"/>
  <c r="L3491" i="3"/>
  <c r="M3490" i="3"/>
  <c r="L3490" i="3"/>
  <c r="M3489" i="3"/>
  <c r="L3489" i="3"/>
  <c r="M3488" i="3"/>
  <c r="L3488" i="3"/>
  <c r="M3487" i="3"/>
  <c r="L3487" i="3"/>
  <c r="M3486" i="3"/>
  <c r="L3486" i="3"/>
  <c r="M3485" i="3"/>
  <c r="L3485" i="3"/>
  <c r="M3484" i="3"/>
  <c r="L3484" i="3"/>
  <c r="M3483" i="3"/>
  <c r="L3483" i="3"/>
  <c r="M3482" i="3"/>
  <c r="L3482" i="3"/>
  <c r="M3481" i="3"/>
  <c r="L3481" i="3"/>
  <c r="M3480" i="3"/>
  <c r="L3480" i="3"/>
  <c r="M3479" i="3"/>
  <c r="L3479" i="3"/>
  <c r="M3478" i="3"/>
  <c r="L3478" i="3"/>
  <c r="M3477" i="3"/>
  <c r="L3477" i="3"/>
  <c r="M3476" i="3"/>
  <c r="L3476" i="3"/>
  <c r="M3475" i="3"/>
  <c r="L3475" i="3"/>
  <c r="M3474" i="3"/>
  <c r="L3474" i="3"/>
  <c r="M3473" i="3"/>
  <c r="L3473" i="3"/>
  <c r="M3472" i="3"/>
  <c r="L3472" i="3"/>
  <c r="M3471" i="3"/>
  <c r="L3471" i="3"/>
  <c r="M3470" i="3"/>
  <c r="L3470" i="3"/>
  <c r="M3469" i="3"/>
  <c r="L3469" i="3"/>
  <c r="M3468" i="3"/>
  <c r="L3468" i="3"/>
  <c r="M3467" i="3"/>
  <c r="L3467" i="3"/>
  <c r="M3466" i="3"/>
  <c r="L3466" i="3"/>
  <c r="M3465" i="3"/>
  <c r="L3465" i="3"/>
  <c r="M3464" i="3"/>
  <c r="L3464" i="3"/>
  <c r="M3463" i="3"/>
  <c r="L3463" i="3"/>
  <c r="M3462" i="3"/>
  <c r="L3462" i="3"/>
  <c r="M3461" i="3"/>
  <c r="L3461" i="3"/>
  <c r="M3460" i="3"/>
  <c r="L3460" i="3"/>
  <c r="M3459" i="3"/>
  <c r="L3459" i="3"/>
  <c r="M3458" i="3"/>
  <c r="L3458" i="3"/>
  <c r="M3457" i="3"/>
  <c r="L3457" i="3"/>
  <c r="M3456" i="3"/>
  <c r="L3456" i="3"/>
  <c r="M3455" i="3"/>
  <c r="L3455" i="3"/>
  <c r="M3454" i="3"/>
  <c r="L3454" i="3"/>
  <c r="M3453" i="3"/>
  <c r="L3453" i="3"/>
  <c r="M3452" i="3"/>
  <c r="L3452" i="3"/>
  <c r="M3451" i="3"/>
  <c r="L3451" i="3"/>
  <c r="M3450" i="3"/>
  <c r="L3450" i="3"/>
  <c r="M3449" i="3"/>
  <c r="L3449" i="3"/>
  <c r="M3448" i="3"/>
  <c r="L3448" i="3"/>
  <c r="M3447" i="3"/>
  <c r="L3447" i="3"/>
  <c r="M3446" i="3"/>
  <c r="L3446" i="3"/>
  <c r="M3445" i="3"/>
  <c r="L3445" i="3"/>
  <c r="M3444" i="3"/>
  <c r="L3444" i="3"/>
  <c r="M3443" i="3"/>
  <c r="L3443" i="3"/>
  <c r="M3442" i="3"/>
  <c r="L3442" i="3"/>
  <c r="M3441" i="3"/>
  <c r="L3441" i="3"/>
  <c r="M3440" i="3"/>
  <c r="L3440" i="3"/>
  <c r="M3439" i="3"/>
  <c r="L3439" i="3"/>
  <c r="M3438" i="3"/>
  <c r="L3438" i="3"/>
  <c r="M3437" i="3"/>
  <c r="L3437" i="3"/>
  <c r="M3436" i="3"/>
  <c r="L3436" i="3"/>
  <c r="M3435" i="3"/>
  <c r="L3435" i="3"/>
  <c r="M3434" i="3"/>
  <c r="L3434" i="3"/>
  <c r="M3433" i="3"/>
  <c r="L3433" i="3"/>
  <c r="M3432" i="3"/>
  <c r="L3432" i="3"/>
  <c r="M3431" i="3"/>
  <c r="L3431" i="3"/>
  <c r="M3430" i="3"/>
  <c r="L3430" i="3"/>
  <c r="M3429" i="3"/>
  <c r="L3429" i="3"/>
  <c r="M3428" i="3"/>
  <c r="L3428" i="3"/>
  <c r="M3427" i="3"/>
  <c r="L3427" i="3"/>
  <c r="M3426" i="3"/>
  <c r="L3426" i="3"/>
  <c r="M3425" i="3"/>
  <c r="L3425" i="3"/>
  <c r="M3424" i="3"/>
  <c r="L3424" i="3"/>
  <c r="M3423" i="3"/>
  <c r="L3423" i="3"/>
  <c r="M3422" i="3"/>
  <c r="L3422" i="3"/>
  <c r="M3421" i="3"/>
  <c r="L3421" i="3"/>
  <c r="M3420" i="3"/>
  <c r="L3420" i="3"/>
  <c r="M3419" i="3"/>
  <c r="L3419" i="3"/>
  <c r="M3418" i="3"/>
  <c r="L3418" i="3"/>
  <c r="M3417" i="3"/>
  <c r="L3417" i="3"/>
  <c r="M3416" i="3"/>
  <c r="L3416" i="3"/>
  <c r="M3415" i="3"/>
  <c r="L3415" i="3"/>
  <c r="M3414" i="3"/>
  <c r="L3414" i="3"/>
  <c r="M3413" i="3"/>
  <c r="L3413" i="3"/>
  <c r="M3412" i="3"/>
  <c r="L3412" i="3"/>
  <c r="M3411" i="3"/>
  <c r="L3411" i="3"/>
  <c r="M3410" i="3"/>
  <c r="L3410" i="3"/>
  <c r="M3409" i="3"/>
  <c r="L3409" i="3"/>
  <c r="M3408" i="3"/>
  <c r="L3408" i="3"/>
  <c r="M3407" i="3"/>
  <c r="L3407" i="3"/>
  <c r="M3406" i="3"/>
  <c r="L3406" i="3"/>
  <c r="M3405" i="3"/>
  <c r="L3405" i="3"/>
  <c r="M3404" i="3"/>
  <c r="L3404" i="3"/>
  <c r="M3403" i="3"/>
  <c r="L3403" i="3"/>
  <c r="M3402" i="3"/>
  <c r="L3402" i="3"/>
  <c r="M3401" i="3"/>
  <c r="L3401" i="3"/>
  <c r="M3400" i="3"/>
  <c r="L3400" i="3"/>
  <c r="M3399" i="3"/>
  <c r="L3399" i="3"/>
  <c r="M3398" i="3"/>
  <c r="L3398" i="3"/>
  <c r="M3397" i="3"/>
  <c r="L3397" i="3"/>
  <c r="M3396" i="3"/>
  <c r="L3396" i="3"/>
  <c r="M3395" i="3"/>
  <c r="L3395" i="3"/>
  <c r="M3394" i="3"/>
  <c r="L3394" i="3"/>
  <c r="M3393" i="3"/>
  <c r="L3393" i="3"/>
  <c r="M3392" i="3"/>
  <c r="L3392" i="3"/>
  <c r="M3391" i="3"/>
  <c r="L3391" i="3"/>
  <c r="M3390" i="3"/>
  <c r="L3390" i="3"/>
  <c r="M3389" i="3"/>
  <c r="L3389" i="3"/>
  <c r="M3388" i="3"/>
  <c r="L3388" i="3"/>
  <c r="M3387" i="3"/>
  <c r="L3387" i="3"/>
  <c r="M3386" i="3"/>
  <c r="L3386" i="3"/>
  <c r="M3385" i="3"/>
  <c r="L3385" i="3"/>
  <c r="M3384" i="3"/>
  <c r="L3384" i="3"/>
  <c r="M3383" i="3"/>
  <c r="L3383" i="3"/>
  <c r="M3382" i="3"/>
  <c r="L3382" i="3"/>
  <c r="M3381" i="3"/>
  <c r="L3381" i="3"/>
  <c r="M3380" i="3"/>
  <c r="L3380" i="3"/>
  <c r="M3379" i="3"/>
  <c r="L3379" i="3"/>
  <c r="M3378" i="3"/>
  <c r="L3378" i="3"/>
  <c r="M3377" i="3"/>
  <c r="L3377" i="3"/>
  <c r="M3376" i="3"/>
  <c r="L3376" i="3"/>
  <c r="M3375" i="3"/>
  <c r="L3375" i="3"/>
  <c r="M3374" i="3"/>
  <c r="L3374" i="3"/>
  <c r="M3373" i="3"/>
  <c r="L3373" i="3"/>
  <c r="M3372" i="3"/>
  <c r="L3372" i="3"/>
  <c r="M3371" i="3"/>
  <c r="L3371" i="3"/>
  <c r="M3370" i="3"/>
  <c r="L3370" i="3"/>
  <c r="M3369" i="3"/>
  <c r="L3369" i="3"/>
  <c r="M3368" i="3"/>
  <c r="L3368" i="3"/>
  <c r="M3367" i="3"/>
  <c r="L3367" i="3"/>
  <c r="M3366" i="3"/>
  <c r="L3366" i="3"/>
  <c r="M3365" i="3"/>
  <c r="L3365" i="3"/>
  <c r="M3364" i="3"/>
  <c r="L3364" i="3"/>
  <c r="M3363" i="3"/>
  <c r="L3363" i="3"/>
  <c r="M3362" i="3"/>
  <c r="L3362" i="3"/>
  <c r="M3361" i="3"/>
  <c r="L3361" i="3"/>
  <c r="M3360" i="3"/>
  <c r="L3360" i="3"/>
  <c r="M3359" i="3"/>
  <c r="L3359" i="3"/>
  <c r="M3358" i="3"/>
  <c r="L3358" i="3"/>
  <c r="M3357" i="3"/>
  <c r="L3357" i="3"/>
  <c r="M3356" i="3"/>
  <c r="L3356" i="3"/>
  <c r="M3355" i="3"/>
  <c r="L3355" i="3"/>
  <c r="M3354" i="3"/>
  <c r="L3354" i="3"/>
  <c r="M3353" i="3"/>
  <c r="L3353" i="3"/>
  <c r="M3352" i="3"/>
  <c r="L3352" i="3"/>
  <c r="M3351" i="3"/>
  <c r="L3351" i="3"/>
  <c r="M3350" i="3"/>
  <c r="L3350" i="3"/>
  <c r="M3349" i="3"/>
  <c r="L3349" i="3"/>
  <c r="M3348" i="3"/>
  <c r="L3348" i="3"/>
  <c r="M3347" i="3"/>
  <c r="L3347" i="3"/>
  <c r="M3346" i="3"/>
  <c r="L3346" i="3"/>
  <c r="M3345" i="3"/>
  <c r="L3345" i="3"/>
  <c r="M3344" i="3"/>
  <c r="L3344" i="3"/>
  <c r="M3343" i="3"/>
  <c r="L3343" i="3"/>
  <c r="M3342" i="3"/>
  <c r="L3342" i="3"/>
  <c r="M3341" i="3"/>
  <c r="L3341" i="3"/>
  <c r="M3340" i="3"/>
  <c r="L3340" i="3"/>
  <c r="M3339" i="3"/>
  <c r="L3339" i="3"/>
  <c r="M3338" i="3"/>
  <c r="L3338" i="3"/>
  <c r="M3337" i="3"/>
  <c r="L3337" i="3"/>
  <c r="M3336" i="3"/>
  <c r="L3336" i="3"/>
  <c r="M3335" i="3"/>
  <c r="L3335" i="3"/>
  <c r="M3334" i="3"/>
  <c r="L3334" i="3"/>
  <c r="M3333" i="3"/>
  <c r="L3333" i="3"/>
  <c r="M3332" i="3"/>
  <c r="L3332" i="3"/>
  <c r="M3331" i="3"/>
  <c r="L3331" i="3"/>
  <c r="M3330" i="3"/>
  <c r="L3330" i="3"/>
  <c r="M3329" i="3"/>
  <c r="L3329" i="3"/>
  <c r="M3328" i="3"/>
  <c r="L3328" i="3"/>
  <c r="M3327" i="3"/>
  <c r="L3327" i="3"/>
  <c r="M3326" i="3"/>
  <c r="L3326" i="3"/>
  <c r="M3325" i="3"/>
  <c r="L3325" i="3"/>
  <c r="M3324" i="3"/>
  <c r="L3324" i="3"/>
  <c r="M3323" i="3"/>
  <c r="L3323" i="3"/>
  <c r="M3322" i="3"/>
  <c r="L3322" i="3"/>
  <c r="M3321" i="3"/>
  <c r="L3321" i="3"/>
  <c r="M3320" i="3"/>
  <c r="L3320" i="3"/>
  <c r="M3319" i="3"/>
  <c r="L3319" i="3"/>
  <c r="M3318" i="3"/>
  <c r="L3318" i="3"/>
  <c r="M3317" i="3"/>
  <c r="L3317" i="3"/>
  <c r="M3316" i="3"/>
  <c r="L3316" i="3"/>
  <c r="M3315" i="3"/>
  <c r="L3315" i="3"/>
  <c r="M3314" i="3"/>
  <c r="L3314" i="3"/>
  <c r="M3313" i="3"/>
  <c r="L3313" i="3"/>
  <c r="M3312" i="3"/>
  <c r="L3312" i="3"/>
  <c r="M3311" i="3"/>
  <c r="L3311" i="3"/>
  <c r="M3310" i="3"/>
  <c r="L3310" i="3"/>
  <c r="M3309" i="3"/>
  <c r="L3309" i="3"/>
  <c r="M3308" i="3"/>
  <c r="L3308" i="3"/>
  <c r="M3307" i="3"/>
  <c r="L3307" i="3"/>
  <c r="M3306" i="3"/>
  <c r="L3306" i="3"/>
  <c r="M3305" i="3"/>
  <c r="L3305" i="3"/>
  <c r="M3304" i="3"/>
  <c r="L3304" i="3"/>
  <c r="M3303" i="3"/>
  <c r="L3303" i="3"/>
  <c r="M3302" i="3"/>
  <c r="L3302" i="3"/>
  <c r="M3301" i="3"/>
  <c r="L3301" i="3"/>
  <c r="M3300" i="3"/>
  <c r="L3300" i="3"/>
  <c r="M3299" i="3"/>
  <c r="L3299" i="3"/>
  <c r="M3298" i="3"/>
  <c r="L3298" i="3"/>
  <c r="M3297" i="3"/>
  <c r="L3297" i="3"/>
  <c r="M3296" i="3"/>
  <c r="L3296" i="3"/>
  <c r="M3295" i="3"/>
  <c r="L3295" i="3"/>
  <c r="M3294" i="3"/>
  <c r="L3294" i="3"/>
  <c r="M3293" i="3"/>
  <c r="L3293" i="3"/>
  <c r="M3292" i="3"/>
  <c r="L3292" i="3"/>
  <c r="M3291" i="3"/>
  <c r="L3291" i="3"/>
  <c r="M3290" i="3"/>
  <c r="L3290" i="3"/>
  <c r="M3289" i="3"/>
  <c r="L3289" i="3"/>
  <c r="M3288" i="3"/>
  <c r="L3288" i="3"/>
  <c r="M3287" i="3"/>
  <c r="L3287" i="3"/>
  <c r="M3286" i="3"/>
  <c r="L3286" i="3"/>
  <c r="M3285" i="3"/>
  <c r="L3285" i="3"/>
  <c r="M3284" i="3"/>
  <c r="L3284" i="3"/>
  <c r="M3283" i="3"/>
  <c r="L3283" i="3"/>
  <c r="M3282" i="3"/>
  <c r="L3282" i="3"/>
  <c r="M3281" i="3"/>
  <c r="L3281" i="3"/>
  <c r="M3280" i="3"/>
  <c r="L3280" i="3"/>
  <c r="M3279" i="3"/>
  <c r="L3279" i="3"/>
  <c r="M3278" i="3"/>
  <c r="L3278" i="3"/>
  <c r="M3277" i="3"/>
  <c r="L3277" i="3"/>
  <c r="M3276" i="3"/>
  <c r="L3276" i="3"/>
  <c r="M3275" i="3"/>
  <c r="L3275" i="3"/>
  <c r="M3274" i="3"/>
  <c r="L3274" i="3"/>
  <c r="M3273" i="3"/>
  <c r="L3273" i="3"/>
  <c r="M3272" i="3"/>
  <c r="L3272" i="3"/>
  <c r="M3271" i="3"/>
  <c r="L3271" i="3"/>
  <c r="M3270" i="3"/>
  <c r="L3270" i="3"/>
  <c r="M3269" i="3"/>
  <c r="L3269" i="3"/>
  <c r="M3268" i="3"/>
  <c r="L3268" i="3"/>
  <c r="M3267" i="3"/>
  <c r="L3267" i="3"/>
  <c r="M3266" i="3"/>
  <c r="L3266" i="3"/>
  <c r="M3265" i="3"/>
  <c r="L3265" i="3"/>
  <c r="M3264" i="3"/>
  <c r="L3264" i="3"/>
  <c r="M3263" i="3"/>
  <c r="L3263" i="3"/>
  <c r="M3262" i="3"/>
  <c r="L3262" i="3"/>
  <c r="M3261" i="3"/>
  <c r="L3261" i="3"/>
  <c r="M3260" i="3"/>
  <c r="L3260" i="3"/>
  <c r="M3259" i="3"/>
  <c r="L3259" i="3"/>
  <c r="M3258" i="3"/>
  <c r="L3258" i="3"/>
  <c r="M3257" i="3"/>
  <c r="L3257" i="3"/>
  <c r="M3256" i="3"/>
  <c r="L3256" i="3"/>
  <c r="M3255" i="3"/>
  <c r="L3255" i="3"/>
  <c r="M3254" i="3"/>
  <c r="L3254" i="3"/>
  <c r="M3253" i="3"/>
  <c r="L3253" i="3"/>
  <c r="M3252" i="3"/>
  <c r="L3252" i="3"/>
  <c r="M3251" i="3"/>
  <c r="L3251" i="3"/>
  <c r="M3250" i="3"/>
  <c r="L3250" i="3"/>
  <c r="M3249" i="3"/>
  <c r="L3249" i="3"/>
  <c r="M3248" i="3"/>
  <c r="L3248" i="3"/>
  <c r="M3247" i="3"/>
  <c r="L3247" i="3"/>
  <c r="M3246" i="3"/>
  <c r="L3246" i="3"/>
  <c r="M3245" i="3"/>
  <c r="L3245" i="3"/>
  <c r="M3244" i="3"/>
  <c r="L3244" i="3"/>
  <c r="M3243" i="3"/>
  <c r="L3243" i="3"/>
  <c r="M3242" i="3"/>
  <c r="L3242" i="3"/>
  <c r="M3241" i="3"/>
  <c r="L3241" i="3"/>
  <c r="M3240" i="3"/>
  <c r="L3240" i="3"/>
  <c r="M3239" i="3"/>
  <c r="L3239" i="3"/>
  <c r="M3238" i="3"/>
  <c r="L3238" i="3"/>
  <c r="M3237" i="3"/>
  <c r="L3237" i="3"/>
  <c r="M3236" i="3"/>
  <c r="L3236" i="3"/>
  <c r="M3235" i="3"/>
  <c r="L3235" i="3"/>
  <c r="M3234" i="3"/>
  <c r="L3234" i="3"/>
  <c r="M3233" i="3"/>
  <c r="L3233" i="3"/>
  <c r="M3232" i="3"/>
  <c r="L3232" i="3"/>
  <c r="M3231" i="3"/>
  <c r="L3231" i="3"/>
  <c r="M3230" i="3"/>
  <c r="L3230" i="3"/>
  <c r="M3229" i="3"/>
  <c r="L3229" i="3"/>
  <c r="M3228" i="3"/>
  <c r="L3228" i="3"/>
  <c r="M3227" i="3"/>
  <c r="L3227" i="3"/>
  <c r="M3226" i="3"/>
  <c r="L3226" i="3"/>
  <c r="M3225" i="3"/>
  <c r="L3225" i="3"/>
  <c r="M3224" i="3"/>
  <c r="L3224" i="3"/>
  <c r="M3223" i="3"/>
  <c r="L3223" i="3"/>
  <c r="M3222" i="3"/>
  <c r="L3222" i="3"/>
  <c r="M3221" i="3"/>
  <c r="L3221" i="3"/>
  <c r="M3220" i="3"/>
  <c r="L3220" i="3"/>
  <c r="M3219" i="3"/>
  <c r="L3219" i="3"/>
  <c r="M3218" i="3"/>
  <c r="L3218" i="3"/>
  <c r="M3217" i="3"/>
  <c r="L3217" i="3"/>
  <c r="M3216" i="3"/>
  <c r="L3216" i="3"/>
  <c r="M3215" i="3"/>
  <c r="L3215" i="3"/>
  <c r="M3214" i="3"/>
  <c r="L3214" i="3"/>
  <c r="M3213" i="3"/>
  <c r="L3213" i="3"/>
  <c r="M3212" i="3"/>
  <c r="L3212" i="3"/>
  <c r="M3211" i="3"/>
  <c r="L3211" i="3"/>
  <c r="M3210" i="3"/>
  <c r="L3210" i="3"/>
  <c r="M3209" i="3"/>
  <c r="L3209" i="3"/>
  <c r="M3208" i="3"/>
  <c r="L3208" i="3"/>
  <c r="M3207" i="3"/>
  <c r="L3207" i="3"/>
  <c r="M3206" i="3"/>
  <c r="L3206" i="3"/>
  <c r="M3205" i="3"/>
  <c r="L3205" i="3"/>
  <c r="M3204" i="3"/>
  <c r="L3204" i="3"/>
  <c r="M3203" i="3"/>
  <c r="L3203" i="3"/>
  <c r="M3202" i="3"/>
  <c r="L3202" i="3"/>
  <c r="M3201" i="3"/>
  <c r="L3201" i="3"/>
  <c r="M3200" i="3"/>
  <c r="L3200" i="3"/>
  <c r="M3199" i="3"/>
  <c r="L3199" i="3"/>
  <c r="M3198" i="3"/>
  <c r="L3198" i="3"/>
  <c r="M3197" i="3"/>
  <c r="L3197" i="3"/>
  <c r="M3196" i="3"/>
  <c r="L3196" i="3"/>
  <c r="M3195" i="3"/>
  <c r="L3195" i="3"/>
  <c r="M3194" i="3"/>
  <c r="L3194" i="3"/>
  <c r="M3193" i="3"/>
  <c r="L3193" i="3"/>
  <c r="M3192" i="3"/>
  <c r="L3192" i="3"/>
  <c r="M3191" i="3"/>
  <c r="L3191" i="3"/>
  <c r="M3190" i="3"/>
  <c r="L3190" i="3"/>
  <c r="M3189" i="3"/>
  <c r="L3189" i="3"/>
  <c r="M3188" i="3"/>
  <c r="L3188" i="3"/>
  <c r="M3187" i="3"/>
  <c r="L3187" i="3"/>
  <c r="M3186" i="3"/>
  <c r="L3186" i="3"/>
  <c r="M3185" i="3"/>
  <c r="L3185" i="3"/>
  <c r="M3184" i="3"/>
  <c r="L3184" i="3"/>
  <c r="M3183" i="3"/>
  <c r="L3183" i="3"/>
  <c r="M3182" i="3"/>
  <c r="L3182" i="3"/>
  <c r="M3181" i="3"/>
  <c r="L3181" i="3"/>
  <c r="M3180" i="3"/>
  <c r="L3180" i="3"/>
  <c r="M3179" i="3"/>
  <c r="L3179" i="3"/>
  <c r="M3178" i="3"/>
  <c r="L3178" i="3"/>
  <c r="M3177" i="3"/>
  <c r="L3177" i="3"/>
  <c r="M3176" i="3"/>
  <c r="L3176" i="3"/>
  <c r="M3175" i="3"/>
  <c r="L3175" i="3"/>
  <c r="M3174" i="3"/>
  <c r="L3174" i="3"/>
  <c r="M3173" i="3"/>
  <c r="L3173" i="3"/>
  <c r="M3172" i="3"/>
  <c r="L3172" i="3"/>
  <c r="M3171" i="3"/>
  <c r="L3171" i="3"/>
  <c r="M3170" i="3"/>
  <c r="L3170" i="3"/>
  <c r="M3169" i="3"/>
  <c r="L3169" i="3"/>
  <c r="M3168" i="3"/>
  <c r="L3168" i="3"/>
  <c r="M3167" i="3"/>
  <c r="L3167" i="3"/>
  <c r="M3166" i="3"/>
  <c r="L3166" i="3"/>
  <c r="M3165" i="3"/>
  <c r="L3165" i="3"/>
  <c r="M3164" i="3"/>
  <c r="L3164" i="3"/>
  <c r="M3163" i="3"/>
  <c r="L3163" i="3"/>
  <c r="M3162" i="3"/>
  <c r="L3162" i="3"/>
  <c r="M3161" i="3"/>
  <c r="L3161" i="3"/>
  <c r="M3160" i="3"/>
  <c r="L3160" i="3"/>
  <c r="M3159" i="3"/>
  <c r="L3159" i="3"/>
  <c r="M3158" i="3"/>
  <c r="L3158" i="3"/>
  <c r="M3157" i="3"/>
  <c r="L3157" i="3"/>
  <c r="M3156" i="3"/>
  <c r="L3156" i="3"/>
  <c r="M3155" i="3"/>
  <c r="L3155" i="3"/>
  <c r="M3154" i="3"/>
  <c r="L3154" i="3"/>
  <c r="M3153" i="3"/>
  <c r="L3153" i="3"/>
  <c r="M3152" i="3"/>
  <c r="L3152" i="3"/>
  <c r="M3151" i="3"/>
  <c r="L3151" i="3"/>
  <c r="M3150" i="3"/>
  <c r="L3150" i="3"/>
  <c r="M3149" i="3"/>
  <c r="L3149" i="3"/>
  <c r="M3148" i="3"/>
  <c r="L3148" i="3"/>
  <c r="M3147" i="3"/>
  <c r="L3147" i="3"/>
  <c r="M3146" i="3"/>
  <c r="L3146" i="3"/>
  <c r="M3145" i="3"/>
  <c r="L3145" i="3"/>
  <c r="M3144" i="3"/>
  <c r="L3144" i="3"/>
  <c r="M3143" i="3"/>
  <c r="L3143" i="3"/>
  <c r="M3142" i="3"/>
  <c r="L3142" i="3"/>
  <c r="M3141" i="3"/>
  <c r="L3141" i="3"/>
  <c r="M3140" i="3"/>
  <c r="L3140" i="3"/>
  <c r="M3139" i="3"/>
  <c r="L3139" i="3"/>
  <c r="M3138" i="3"/>
  <c r="L3138" i="3"/>
  <c r="M3137" i="3"/>
  <c r="L3137" i="3"/>
  <c r="M3136" i="3"/>
  <c r="L3136" i="3"/>
  <c r="M3135" i="3"/>
  <c r="L3135" i="3"/>
  <c r="M3134" i="3"/>
  <c r="L3134" i="3"/>
  <c r="M3133" i="3"/>
  <c r="L3133" i="3"/>
  <c r="M3132" i="3"/>
  <c r="L3132" i="3"/>
  <c r="M3131" i="3"/>
  <c r="L3131" i="3"/>
  <c r="M3130" i="3"/>
  <c r="L3130" i="3"/>
  <c r="M3129" i="3"/>
  <c r="L3129" i="3"/>
  <c r="M3128" i="3"/>
  <c r="L3128" i="3"/>
  <c r="M3127" i="3"/>
  <c r="L3127" i="3"/>
  <c r="M3126" i="3"/>
  <c r="L3126" i="3"/>
  <c r="M3125" i="3"/>
  <c r="L3125" i="3"/>
  <c r="M3124" i="3"/>
  <c r="L3124" i="3"/>
  <c r="M3123" i="3"/>
  <c r="L3123" i="3"/>
  <c r="M3122" i="3"/>
  <c r="L3122" i="3"/>
  <c r="M3121" i="3"/>
  <c r="L3121" i="3"/>
  <c r="M3120" i="3"/>
  <c r="L3120" i="3"/>
  <c r="M3119" i="3"/>
  <c r="L3119" i="3"/>
  <c r="M3118" i="3"/>
  <c r="L3118" i="3"/>
  <c r="M3117" i="3"/>
  <c r="L3117" i="3"/>
  <c r="M3116" i="3"/>
  <c r="L3116" i="3"/>
  <c r="M3115" i="3"/>
  <c r="L3115" i="3"/>
  <c r="M3114" i="3"/>
  <c r="L3114" i="3"/>
  <c r="M3113" i="3"/>
  <c r="L3113" i="3"/>
  <c r="M3112" i="3"/>
  <c r="L3112" i="3"/>
  <c r="M3111" i="3"/>
  <c r="L3111" i="3"/>
  <c r="M3110" i="3"/>
  <c r="L3110" i="3"/>
  <c r="M3109" i="3"/>
  <c r="L3109" i="3"/>
  <c r="M3108" i="3"/>
  <c r="L3108" i="3"/>
  <c r="M3107" i="3"/>
  <c r="L3107" i="3"/>
  <c r="M3106" i="3"/>
  <c r="L3106" i="3"/>
  <c r="M3105" i="3"/>
  <c r="L3105" i="3"/>
  <c r="M3104" i="3"/>
  <c r="L3104" i="3"/>
  <c r="M3103" i="3"/>
  <c r="L3103" i="3"/>
  <c r="M3102" i="3"/>
  <c r="L3102" i="3"/>
  <c r="M3101" i="3"/>
  <c r="L3101" i="3"/>
  <c r="M3100" i="3"/>
  <c r="L3100" i="3"/>
  <c r="M3099" i="3"/>
  <c r="L3099" i="3"/>
  <c r="M3098" i="3"/>
  <c r="L3098" i="3"/>
  <c r="M3097" i="3"/>
  <c r="L3097" i="3"/>
  <c r="M3096" i="3"/>
  <c r="L3096" i="3"/>
  <c r="M3095" i="3"/>
  <c r="L3095" i="3"/>
  <c r="M3094" i="3"/>
  <c r="L3094" i="3"/>
  <c r="M3093" i="3"/>
  <c r="L3093" i="3"/>
  <c r="M3092" i="3"/>
  <c r="L3092" i="3"/>
  <c r="M3091" i="3"/>
  <c r="L3091" i="3"/>
  <c r="M3090" i="3"/>
  <c r="L3090" i="3"/>
  <c r="M3089" i="3"/>
  <c r="L3089" i="3"/>
  <c r="M3088" i="3"/>
  <c r="L3088" i="3"/>
  <c r="M3087" i="3"/>
  <c r="L3087" i="3"/>
  <c r="M3086" i="3"/>
  <c r="L3086" i="3"/>
  <c r="M3085" i="3"/>
  <c r="L3085" i="3"/>
  <c r="M3084" i="3"/>
  <c r="L3084" i="3"/>
  <c r="M3083" i="3"/>
  <c r="L3083" i="3"/>
  <c r="M3082" i="3"/>
  <c r="L3082" i="3"/>
  <c r="M3081" i="3"/>
  <c r="L3081" i="3"/>
  <c r="M3080" i="3"/>
  <c r="L3080" i="3"/>
  <c r="M3079" i="3"/>
  <c r="L3079" i="3"/>
  <c r="M3078" i="3"/>
  <c r="L3078" i="3"/>
  <c r="M3077" i="3"/>
  <c r="L3077" i="3"/>
  <c r="M3076" i="3"/>
  <c r="L3076" i="3"/>
  <c r="M3075" i="3"/>
  <c r="L3075" i="3"/>
  <c r="M3074" i="3"/>
  <c r="L3074" i="3"/>
  <c r="M3073" i="3"/>
  <c r="L3073" i="3"/>
  <c r="M3072" i="3"/>
  <c r="L3072" i="3"/>
  <c r="M3071" i="3"/>
  <c r="L3071" i="3"/>
  <c r="M3070" i="3"/>
  <c r="L3070" i="3"/>
  <c r="M3069" i="3"/>
  <c r="L3069" i="3"/>
  <c r="M3068" i="3"/>
  <c r="L3068" i="3"/>
  <c r="M3067" i="3"/>
  <c r="L3067" i="3"/>
  <c r="M3066" i="3"/>
  <c r="L3066" i="3"/>
  <c r="M3065" i="3"/>
  <c r="L3065" i="3"/>
  <c r="M3064" i="3"/>
  <c r="L3064" i="3"/>
  <c r="M3063" i="3"/>
  <c r="L3063" i="3"/>
  <c r="M3062" i="3"/>
  <c r="L3062" i="3"/>
  <c r="M3061" i="3"/>
  <c r="L3061" i="3"/>
  <c r="M3060" i="3"/>
  <c r="L3060" i="3"/>
  <c r="M3059" i="3"/>
  <c r="L3059" i="3"/>
  <c r="M3058" i="3"/>
  <c r="L3058" i="3"/>
  <c r="M3057" i="3"/>
  <c r="L3057" i="3"/>
  <c r="M3056" i="3"/>
  <c r="L3056" i="3"/>
  <c r="M3055" i="3"/>
  <c r="L3055" i="3"/>
  <c r="M3054" i="3"/>
  <c r="L3054" i="3"/>
  <c r="M3053" i="3"/>
  <c r="L3053" i="3"/>
  <c r="M3052" i="3"/>
  <c r="L3052" i="3"/>
  <c r="M3051" i="3"/>
  <c r="L3051" i="3"/>
  <c r="M3050" i="3"/>
  <c r="L3050" i="3"/>
  <c r="M3049" i="3"/>
  <c r="L3049" i="3"/>
  <c r="M3048" i="3"/>
  <c r="L3048" i="3"/>
  <c r="M3047" i="3"/>
  <c r="L3047" i="3"/>
  <c r="M3046" i="3"/>
  <c r="L3046" i="3"/>
  <c r="M3045" i="3"/>
  <c r="L3045" i="3"/>
  <c r="M3044" i="3"/>
  <c r="L3044" i="3"/>
  <c r="M3043" i="3"/>
  <c r="L3043" i="3"/>
  <c r="M3042" i="3"/>
  <c r="L3042" i="3"/>
  <c r="M3041" i="3"/>
  <c r="L3041" i="3"/>
  <c r="M3040" i="3"/>
  <c r="L3040" i="3"/>
  <c r="M3039" i="3"/>
  <c r="L3039" i="3"/>
  <c r="M3038" i="3"/>
  <c r="L3038" i="3"/>
  <c r="M3037" i="3"/>
  <c r="L3037" i="3"/>
  <c r="M3036" i="3"/>
  <c r="L3036" i="3"/>
  <c r="M3035" i="3"/>
  <c r="L3035" i="3"/>
  <c r="M3034" i="3"/>
  <c r="L3034" i="3"/>
  <c r="M3033" i="3"/>
  <c r="L3033" i="3"/>
  <c r="M3032" i="3"/>
  <c r="L3032" i="3"/>
  <c r="M3031" i="3"/>
  <c r="L3031" i="3"/>
  <c r="M3030" i="3"/>
  <c r="L3030" i="3"/>
  <c r="M3029" i="3"/>
  <c r="L3029" i="3"/>
  <c r="M3028" i="3"/>
  <c r="L3028" i="3"/>
  <c r="M3027" i="3"/>
  <c r="L3027" i="3"/>
  <c r="M3026" i="3"/>
  <c r="L3026" i="3"/>
  <c r="M3025" i="3"/>
  <c r="L3025" i="3"/>
  <c r="M3024" i="3"/>
  <c r="L3024" i="3"/>
  <c r="M3023" i="3"/>
  <c r="L3023" i="3"/>
  <c r="M3022" i="3"/>
  <c r="L3022" i="3"/>
  <c r="M3021" i="3"/>
  <c r="L3021" i="3"/>
  <c r="M3020" i="3"/>
  <c r="L3020" i="3"/>
  <c r="M3019" i="3"/>
  <c r="L3019" i="3"/>
  <c r="M3018" i="3"/>
  <c r="L3018" i="3"/>
  <c r="M3017" i="3"/>
  <c r="L3017" i="3"/>
  <c r="M3016" i="3"/>
  <c r="L3016" i="3"/>
  <c r="M3015" i="3"/>
  <c r="L3015" i="3"/>
  <c r="M3014" i="3"/>
  <c r="L3014" i="3"/>
  <c r="M3013" i="3"/>
  <c r="L3013" i="3"/>
  <c r="M3012" i="3"/>
  <c r="L3012" i="3"/>
  <c r="M3011" i="3"/>
  <c r="L3011" i="3"/>
  <c r="M3010" i="3"/>
  <c r="L3010" i="3"/>
  <c r="M3009" i="3"/>
  <c r="L3009" i="3"/>
  <c r="M3008" i="3"/>
  <c r="L3008" i="3"/>
  <c r="M3007" i="3"/>
  <c r="L3007" i="3"/>
  <c r="M3006" i="3"/>
  <c r="L3006" i="3"/>
  <c r="M3005" i="3"/>
  <c r="L3005" i="3"/>
  <c r="M3004" i="3"/>
  <c r="L3004" i="3"/>
  <c r="M3003" i="3"/>
  <c r="L3003" i="3"/>
  <c r="M3002" i="3"/>
  <c r="L3002" i="3"/>
  <c r="M3001" i="3"/>
  <c r="L3001" i="3"/>
  <c r="M3000" i="3"/>
  <c r="L3000" i="3"/>
  <c r="M2999" i="3"/>
  <c r="L2999" i="3"/>
  <c r="M2998" i="3"/>
  <c r="L2998" i="3"/>
  <c r="M2997" i="3"/>
  <c r="L2997" i="3"/>
  <c r="M2996" i="3"/>
  <c r="L2996" i="3"/>
  <c r="M2995" i="3"/>
  <c r="L2995" i="3"/>
  <c r="M2994" i="3"/>
  <c r="L2994" i="3"/>
  <c r="M2993" i="3"/>
  <c r="L2993" i="3"/>
  <c r="M2992" i="3"/>
  <c r="L2992" i="3"/>
  <c r="M2991" i="3"/>
  <c r="L2991" i="3"/>
  <c r="M2990" i="3"/>
  <c r="L2990" i="3"/>
  <c r="M2989" i="3"/>
  <c r="L2989" i="3"/>
  <c r="M2988" i="3"/>
  <c r="L2988" i="3"/>
  <c r="M2987" i="3"/>
  <c r="L2987" i="3"/>
  <c r="M2986" i="3"/>
  <c r="L2986" i="3"/>
  <c r="M2985" i="3"/>
  <c r="L2985" i="3"/>
  <c r="M2984" i="3"/>
  <c r="L2984" i="3"/>
  <c r="M2983" i="3"/>
  <c r="L2983" i="3"/>
  <c r="M2982" i="3"/>
  <c r="L2982" i="3"/>
  <c r="M2981" i="3"/>
  <c r="L2981" i="3"/>
  <c r="M2980" i="3"/>
  <c r="L2980" i="3"/>
  <c r="M2979" i="3"/>
  <c r="L2979" i="3"/>
  <c r="M2978" i="3"/>
  <c r="L2978" i="3"/>
  <c r="M2977" i="3"/>
  <c r="L2977" i="3"/>
  <c r="M2976" i="3"/>
  <c r="L2976" i="3"/>
  <c r="M2975" i="3"/>
  <c r="L2975" i="3"/>
  <c r="M2974" i="3"/>
  <c r="L2974" i="3"/>
  <c r="M2973" i="3"/>
  <c r="L2973" i="3"/>
  <c r="M2972" i="3"/>
  <c r="L2972" i="3"/>
  <c r="M2971" i="3"/>
  <c r="L2971" i="3"/>
  <c r="M2970" i="3"/>
  <c r="L2970" i="3"/>
  <c r="M2969" i="3"/>
  <c r="L2969" i="3"/>
  <c r="M2968" i="3"/>
  <c r="L2968" i="3"/>
  <c r="M2967" i="3"/>
  <c r="L2967" i="3"/>
  <c r="M2966" i="3"/>
  <c r="L2966" i="3"/>
  <c r="M2965" i="3"/>
  <c r="L2965" i="3"/>
  <c r="M2964" i="3"/>
  <c r="L2964" i="3"/>
  <c r="M2963" i="3"/>
  <c r="L2963" i="3"/>
  <c r="M2962" i="3"/>
  <c r="L2962" i="3"/>
  <c r="M2961" i="3"/>
  <c r="L2961" i="3"/>
  <c r="M2960" i="3"/>
  <c r="L2960" i="3"/>
  <c r="M2959" i="3"/>
  <c r="L2959" i="3"/>
  <c r="M2958" i="3"/>
  <c r="L2958" i="3"/>
  <c r="M2957" i="3"/>
  <c r="L2957" i="3"/>
  <c r="M2956" i="3"/>
  <c r="L2956" i="3"/>
  <c r="M2955" i="3"/>
  <c r="L2955" i="3"/>
  <c r="M2954" i="3"/>
  <c r="L2954" i="3"/>
  <c r="M2953" i="3"/>
  <c r="L2953" i="3"/>
  <c r="M2952" i="3"/>
  <c r="L2952" i="3"/>
  <c r="M2951" i="3"/>
  <c r="L2951" i="3"/>
  <c r="M2950" i="3"/>
  <c r="L2950" i="3"/>
  <c r="M2949" i="3"/>
  <c r="L2949" i="3"/>
  <c r="M2948" i="3"/>
  <c r="L2948" i="3"/>
  <c r="M2947" i="3"/>
  <c r="L2947" i="3"/>
  <c r="M2946" i="3"/>
  <c r="L2946" i="3"/>
  <c r="M2945" i="3"/>
  <c r="L2945" i="3"/>
  <c r="M2944" i="3"/>
  <c r="L2944" i="3"/>
  <c r="M2943" i="3"/>
  <c r="L2943" i="3"/>
  <c r="M2942" i="3"/>
  <c r="L2942" i="3"/>
  <c r="M2941" i="3"/>
  <c r="L2941" i="3"/>
  <c r="M2940" i="3"/>
  <c r="L2940" i="3"/>
  <c r="M2939" i="3"/>
  <c r="L2939" i="3"/>
  <c r="M2938" i="3"/>
  <c r="L2938" i="3"/>
  <c r="M2937" i="3"/>
  <c r="L2937" i="3"/>
  <c r="M2936" i="3"/>
  <c r="L2936" i="3"/>
  <c r="M2935" i="3"/>
  <c r="L2935" i="3"/>
  <c r="M2934" i="3"/>
  <c r="L2934" i="3"/>
  <c r="M2933" i="3"/>
  <c r="L2933" i="3"/>
  <c r="M2932" i="3"/>
  <c r="L2932" i="3"/>
  <c r="M2931" i="3"/>
  <c r="L2931" i="3"/>
  <c r="M2930" i="3"/>
  <c r="L2930" i="3"/>
  <c r="M2929" i="3"/>
  <c r="L2929" i="3"/>
  <c r="M2928" i="3"/>
  <c r="L2928" i="3"/>
  <c r="M2927" i="3"/>
  <c r="L2927" i="3"/>
  <c r="M2926" i="3"/>
  <c r="L2926" i="3"/>
  <c r="M2925" i="3"/>
  <c r="L2925" i="3"/>
  <c r="M2924" i="3"/>
  <c r="L2924" i="3"/>
  <c r="M2923" i="3"/>
  <c r="L2923" i="3"/>
  <c r="M2922" i="3"/>
  <c r="L2922" i="3"/>
  <c r="M2921" i="3"/>
  <c r="L2921" i="3"/>
  <c r="M2920" i="3"/>
  <c r="L2920" i="3"/>
  <c r="M2919" i="3"/>
  <c r="L2919" i="3"/>
  <c r="M2918" i="3"/>
  <c r="L2918" i="3"/>
  <c r="M2917" i="3"/>
  <c r="L2917" i="3"/>
  <c r="M2916" i="3"/>
  <c r="L2916" i="3"/>
  <c r="M2915" i="3"/>
  <c r="L2915" i="3"/>
  <c r="M2914" i="3"/>
  <c r="L2914" i="3"/>
  <c r="M2913" i="3"/>
  <c r="L2913" i="3"/>
  <c r="M2912" i="3"/>
  <c r="L2912" i="3"/>
  <c r="M2911" i="3"/>
  <c r="L2911" i="3"/>
  <c r="M2910" i="3"/>
  <c r="L2910" i="3"/>
  <c r="M2909" i="3"/>
  <c r="L2909" i="3"/>
  <c r="M2908" i="3"/>
  <c r="L2908" i="3"/>
  <c r="M2907" i="3"/>
  <c r="L2907" i="3"/>
  <c r="M2906" i="3"/>
  <c r="L2906" i="3"/>
  <c r="M2905" i="3"/>
  <c r="L2905" i="3"/>
  <c r="M2904" i="3"/>
  <c r="L2904" i="3"/>
  <c r="M2903" i="3"/>
  <c r="L2903" i="3"/>
  <c r="M2902" i="3"/>
  <c r="L2902" i="3"/>
  <c r="M2901" i="3"/>
  <c r="L2901" i="3"/>
  <c r="M2900" i="3"/>
  <c r="L2900" i="3"/>
  <c r="M2899" i="3"/>
  <c r="L2899" i="3"/>
  <c r="M2898" i="3"/>
  <c r="L2898" i="3"/>
  <c r="M2897" i="3"/>
  <c r="L2897" i="3"/>
  <c r="M2896" i="3"/>
  <c r="L2896" i="3"/>
  <c r="M2895" i="3"/>
  <c r="L2895" i="3"/>
  <c r="M2894" i="3"/>
  <c r="L2894" i="3"/>
  <c r="M2893" i="3"/>
  <c r="L2893" i="3"/>
  <c r="M2892" i="3"/>
  <c r="L2892" i="3"/>
  <c r="M2891" i="3"/>
  <c r="L2891" i="3"/>
  <c r="M2890" i="3"/>
  <c r="L2890" i="3"/>
  <c r="M2889" i="3"/>
  <c r="L2889" i="3"/>
  <c r="M2888" i="3"/>
  <c r="L2888" i="3"/>
  <c r="M2887" i="3"/>
  <c r="L2887" i="3"/>
  <c r="M2886" i="3"/>
  <c r="L2886" i="3"/>
  <c r="M2885" i="3"/>
  <c r="L2885" i="3"/>
  <c r="M2884" i="3"/>
  <c r="L2884" i="3"/>
  <c r="M2883" i="3"/>
  <c r="L2883" i="3"/>
  <c r="M2882" i="3"/>
  <c r="L2882" i="3"/>
  <c r="M2881" i="3"/>
  <c r="L2881" i="3"/>
  <c r="M2880" i="3"/>
  <c r="L2880" i="3"/>
  <c r="M2879" i="3"/>
  <c r="L2879" i="3"/>
  <c r="M2878" i="3"/>
  <c r="L2878" i="3"/>
  <c r="M2877" i="3"/>
  <c r="L2877" i="3"/>
  <c r="M2876" i="3"/>
  <c r="L2876" i="3"/>
  <c r="M2875" i="3"/>
  <c r="L2875" i="3"/>
  <c r="M2874" i="3"/>
  <c r="L2874" i="3"/>
  <c r="M2873" i="3"/>
  <c r="L2873" i="3"/>
  <c r="M2872" i="3"/>
  <c r="L2872" i="3"/>
  <c r="M2871" i="3"/>
  <c r="L2871" i="3"/>
  <c r="M2870" i="3"/>
  <c r="L2870" i="3"/>
  <c r="M2869" i="3"/>
  <c r="L2869" i="3"/>
  <c r="M2868" i="3"/>
  <c r="L2868" i="3"/>
  <c r="M2867" i="3"/>
  <c r="L2867" i="3"/>
  <c r="M2866" i="3"/>
  <c r="L2866" i="3"/>
  <c r="M2865" i="3"/>
  <c r="L2865" i="3"/>
  <c r="M2864" i="3"/>
  <c r="L2864" i="3"/>
  <c r="M2863" i="3"/>
  <c r="L2863" i="3"/>
  <c r="M2862" i="3"/>
  <c r="L2862" i="3"/>
  <c r="M2861" i="3"/>
  <c r="L2861" i="3"/>
  <c r="M2860" i="3"/>
  <c r="L2860" i="3"/>
  <c r="M2859" i="3"/>
  <c r="L2859" i="3"/>
  <c r="M2858" i="3"/>
  <c r="L2858" i="3"/>
  <c r="M2857" i="3"/>
  <c r="L2857" i="3"/>
  <c r="M2856" i="3"/>
  <c r="L2856" i="3"/>
  <c r="M2855" i="3"/>
  <c r="L2855" i="3"/>
  <c r="M2854" i="3"/>
  <c r="L2854" i="3"/>
  <c r="M2853" i="3"/>
  <c r="L2853" i="3"/>
  <c r="M2852" i="3"/>
  <c r="L2852" i="3"/>
  <c r="M2851" i="3"/>
  <c r="L2851" i="3"/>
  <c r="M2850" i="3"/>
  <c r="L2850" i="3"/>
  <c r="M2849" i="3"/>
  <c r="L2849" i="3"/>
  <c r="M2848" i="3"/>
  <c r="L2848" i="3"/>
  <c r="M2847" i="3"/>
  <c r="L2847" i="3"/>
  <c r="M2846" i="3"/>
  <c r="L2846" i="3"/>
  <c r="M2845" i="3"/>
  <c r="L2845" i="3"/>
  <c r="M2844" i="3"/>
  <c r="L2844" i="3"/>
  <c r="M2843" i="3"/>
  <c r="L2843" i="3"/>
  <c r="M2842" i="3"/>
  <c r="L2842" i="3"/>
  <c r="M2841" i="3"/>
  <c r="L2841" i="3"/>
  <c r="M2840" i="3"/>
  <c r="L2840" i="3"/>
  <c r="M2839" i="3"/>
  <c r="L2839" i="3"/>
  <c r="M2838" i="3"/>
  <c r="L2838" i="3"/>
  <c r="M2837" i="3"/>
  <c r="L2837" i="3"/>
  <c r="M2836" i="3"/>
  <c r="L2836" i="3"/>
  <c r="M2835" i="3"/>
  <c r="L2835" i="3"/>
  <c r="M2834" i="3"/>
  <c r="L2834" i="3"/>
  <c r="M2833" i="3"/>
  <c r="L2833" i="3"/>
  <c r="M2832" i="3"/>
  <c r="L2832" i="3"/>
  <c r="M2831" i="3"/>
  <c r="L2831" i="3"/>
  <c r="M2830" i="3"/>
  <c r="L2830" i="3"/>
  <c r="M2829" i="3"/>
  <c r="L2829" i="3"/>
  <c r="M2828" i="3"/>
  <c r="L2828" i="3"/>
  <c r="M2827" i="3"/>
  <c r="L2827" i="3"/>
  <c r="M2826" i="3"/>
  <c r="L2826" i="3"/>
  <c r="M2825" i="3"/>
  <c r="L2825" i="3"/>
  <c r="M2824" i="3"/>
  <c r="L2824" i="3"/>
  <c r="M2823" i="3"/>
  <c r="L2823" i="3"/>
  <c r="M2822" i="3"/>
  <c r="L2822" i="3"/>
  <c r="M2821" i="3"/>
  <c r="L2821" i="3"/>
  <c r="M2820" i="3"/>
  <c r="L2820" i="3"/>
  <c r="M2819" i="3"/>
  <c r="L2819" i="3"/>
  <c r="M2818" i="3"/>
  <c r="L2818" i="3"/>
  <c r="M2817" i="3"/>
  <c r="L2817" i="3"/>
  <c r="M2816" i="3"/>
  <c r="L2816" i="3"/>
  <c r="M2815" i="3"/>
  <c r="L2815" i="3"/>
  <c r="M2814" i="3"/>
  <c r="L2814" i="3"/>
  <c r="M2813" i="3"/>
  <c r="L2813" i="3"/>
  <c r="M2812" i="3"/>
  <c r="L2812" i="3"/>
  <c r="M2811" i="3"/>
  <c r="L2811" i="3"/>
  <c r="M2810" i="3"/>
  <c r="L2810" i="3"/>
  <c r="M2809" i="3"/>
  <c r="L2809" i="3"/>
  <c r="M2808" i="3"/>
  <c r="L2808" i="3"/>
  <c r="M2807" i="3"/>
  <c r="L2807" i="3"/>
  <c r="M2806" i="3"/>
  <c r="L2806" i="3"/>
  <c r="M2805" i="3"/>
  <c r="L2805" i="3"/>
  <c r="M2804" i="3"/>
  <c r="L2804" i="3"/>
  <c r="M2803" i="3"/>
  <c r="L2803" i="3"/>
  <c r="M2802" i="3"/>
  <c r="L2802" i="3"/>
  <c r="M2801" i="3"/>
  <c r="L2801" i="3"/>
  <c r="M2800" i="3"/>
  <c r="L2800" i="3"/>
  <c r="M2799" i="3"/>
  <c r="L2799" i="3"/>
  <c r="M2798" i="3"/>
  <c r="L2798" i="3"/>
  <c r="M2797" i="3"/>
  <c r="L2797" i="3"/>
  <c r="M2796" i="3"/>
  <c r="L2796" i="3"/>
  <c r="M2795" i="3"/>
  <c r="L2795" i="3"/>
  <c r="M2794" i="3"/>
  <c r="L2794" i="3"/>
  <c r="M2793" i="3"/>
  <c r="L2793" i="3"/>
  <c r="M2792" i="3"/>
  <c r="L2792" i="3"/>
  <c r="M2791" i="3"/>
  <c r="L2791" i="3"/>
  <c r="M2790" i="3"/>
  <c r="L2790" i="3"/>
  <c r="M2789" i="3"/>
  <c r="L2789" i="3"/>
  <c r="M2788" i="3"/>
  <c r="L2788" i="3"/>
  <c r="M2787" i="3"/>
  <c r="L2787" i="3"/>
  <c r="M2786" i="3"/>
  <c r="L2786" i="3"/>
  <c r="M2785" i="3"/>
  <c r="L2785" i="3"/>
  <c r="M2784" i="3"/>
  <c r="L2784" i="3"/>
  <c r="M2783" i="3"/>
  <c r="L2783" i="3"/>
  <c r="M2782" i="3"/>
  <c r="L2782" i="3"/>
  <c r="M2781" i="3"/>
  <c r="L2781" i="3"/>
  <c r="M2780" i="3"/>
  <c r="L2780" i="3"/>
  <c r="M2779" i="3"/>
  <c r="L2779" i="3"/>
  <c r="M2778" i="3"/>
  <c r="L2778" i="3"/>
  <c r="M2777" i="3"/>
  <c r="L2777" i="3"/>
  <c r="M2776" i="3"/>
  <c r="L2776" i="3"/>
  <c r="M2775" i="3"/>
  <c r="L2775" i="3"/>
  <c r="M2774" i="3"/>
  <c r="L2774" i="3"/>
  <c r="M2773" i="3"/>
  <c r="L2773" i="3"/>
  <c r="M2772" i="3"/>
  <c r="L2772" i="3"/>
  <c r="M2771" i="3"/>
  <c r="L2771" i="3"/>
  <c r="M2770" i="3"/>
  <c r="L2770" i="3"/>
  <c r="M2769" i="3"/>
  <c r="L2769" i="3"/>
  <c r="M2768" i="3"/>
  <c r="L2768" i="3"/>
  <c r="M2767" i="3"/>
  <c r="L2767" i="3"/>
  <c r="M2766" i="3"/>
  <c r="L2766" i="3"/>
  <c r="M2765" i="3"/>
  <c r="L2765" i="3"/>
  <c r="M2764" i="3"/>
  <c r="L2764" i="3"/>
  <c r="M2763" i="3"/>
  <c r="L2763" i="3"/>
  <c r="M2762" i="3"/>
  <c r="L2762" i="3"/>
  <c r="M2761" i="3"/>
  <c r="L2761" i="3"/>
  <c r="M2760" i="3"/>
  <c r="L2760" i="3"/>
  <c r="M2759" i="3"/>
  <c r="L2759" i="3"/>
  <c r="M2758" i="3"/>
  <c r="L2758" i="3"/>
  <c r="M2757" i="3"/>
  <c r="L2757" i="3"/>
  <c r="M2756" i="3"/>
  <c r="L2756" i="3"/>
  <c r="M2755" i="3"/>
  <c r="L2755" i="3"/>
  <c r="M2754" i="3"/>
  <c r="L2754" i="3"/>
  <c r="M2753" i="3"/>
  <c r="L2753" i="3"/>
  <c r="M2752" i="3"/>
  <c r="L2752" i="3"/>
  <c r="M2751" i="3"/>
  <c r="L2751" i="3"/>
  <c r="M2750" i="3"/>
  <c r="L2750" i="3"/>
  <c r="M2749" i="3"/>
  <c r="L2749" i="3"/>
  <c r="M2748" i="3"/>
  <c r="L2748" i="3"/>
  <c r="M2747" i="3"/>
  <c r="L2747" i="3"/>
  <c r="M2746" i="3"/>
  <c r="L2746" i="3"/>
  <c r="M2745" i="3"/>
  <c r="L2745" i="3"/>
  <c r="M2744" i="3"/>
  <c r="L2744" i="3"/>
  <c r="M2743" i="3"/>
  <c r="L2743" i="3"/>
  <c r="M2742" i="3"/>
  <c r="L2742" i="3"/>
  <c r="M2741" i="3"/>
  <c r="L2741" i="3"/>
  <c r="M2740" i="3"/>
  <c r="L2740" i="3"/>
  <c r="M2739" i="3"/>
  <c r="L2739" i="3"/>
  <c r="M2738" i="3"/>
  <c r="L2738" i="3"/>
  <c r="M2737" i="3"/>
  <c r="L2737" i="3"/>
  <c r="M2736" i="3"/>
  <c r="L2736" i="3"/>
  <c r="M2735" i="3"/>
  <c r="L2735" i="3"/>
  <c r="M2734" i="3"/>
  <c r="L2734" i="3"/>
  <c r="M2733" i="3"/>
  <c r="L2733" i="3"/>
  <c r="M2732" i="3"/>
  <c r="L2732" i="3"/>
  <c r="M2731" i="3"/>
  <c r="L2731" i="3"/>
  <c r="M2730" i="3"/>
  <c r="L2730" i="3"/>
  <c r="M2729" i="3"/>
  <c r="L2729" i="3"/>
  <c r="M2728" i="3"/>
  <c r="L2728" i="3"/>
  <c r="M2727" i="3"/>
  <c r="L2727" i="3"/>
  <c r="M2726" i="3"/>
  <c r="L2726" i="3"/>
  <c r="M2725" i="3"/>
  <c r="L2725" i="3"/>
  <c r="M2724" i="3"/>
  <c r="L2724" i="3"/>
  <c r="M2723" i="3"/>
  <c r="L2723" i="3"/>
  <c r="M2722" i="3"/>
  <c r="L2722" i="3"/>
  <c r="M2721" i="3"/>
  <c r="L2721" i="3"/>
  <c r="M2720" i="3"/>
  <c r="L2720" i="3"/>
  <c r="M2719" i="3"/>
  <c r="L2719" i="3"/>
  <c r="M2718" i="3"/>
  <c r="L2718" i="3"/>
  <c r="M2717" i="3"/>
  <c r="L2717" i="3"/>
  <c r="M2716" i="3"/>
  <c r="L2716" i="3"/>
  <c r="M2715" i="3"/>
  <c r="L2715" i="3"/>
  <c r="M2714" i="3"/>
  <c r="L2714" i="3"/>
  <c r="M2713" i="3"/>
  <c r="L2713" i="3"/>
  <c r="M2712" i="3"/>
  <c r="L2712" i="3"/>
  <c r="M2711" i="3"/>
  <c r="L2711" i="3"/>
  <c r="M2710" i="3"/>
  <c r="L2710" i="3"/>
  <c r="M2709" i="3"/>
  <c r="L2709" i="3"/>
  <c r="M2708" i="3"/>
  <c r="L2708" i="3"/>
  <c r="M2707" i="3"/>
  <c r="L2707" i="3"/>
  <c r="M2706" i="3"/>
  <c r="L2706" i="3"/>
  <c r="M2705" i="3"/>
  <c r="L2705" i="3"/>
  <c r="M2704" i="3"/>
  <c r="L2704" i="3"/>
  <c r="M2703" i="3"/>
  <c r="L2703" i="3"/>
  <c r="M2702" i="3"/>
  <c r="L2702" i="3"/>
  <c r="M2701" i="3"/>
  <c r="L2701" i="3"/>
  <c r="M2700" i="3"/>
  <c r="L2700" i="3"/>
  <c r="M2699" i="3"/>
  <c r="L2699" i="3"/>
  <c r="M2698" i="3"/>
  <c r="L2698" i="3"/>
  <c r="M2697" i="3"/>
  <c r="L2697" i="3"/>
  <c r="M2696" i="3"/>
  <c r="L2696" i="3"/>
  <c r="M2695" i="3"/>
  <c r="L2695" i="3"/>
  <c r="M2694" i="3"/>
  <c r="L2694" i="3"/>
  <c r="M2693" i="3"/>
  <c r="L2693" i="3"/>
  <c r="M2692" i="3"/>
  <c r="L2692" i="3"/>
  <c r="M2691" i="3"/>
  <c r="L2691" i="3"/>
  <c r="M2690" i="3"/>
  <c r="L2690" i="3"/>
  <c r="M2689" i="3"/>
  <c r="L2689" i="3"/>
  <c r="M2688" i="3"/>
  <c r="L2688" i="3"/>
  <c r="M2687" i="3"/>
  <c r="L2687" i="3"/>
  <c r="M2686" i="3"/>
  <c r="L2686" i="3"/>
  <c r="M2685" i="3"/>
  <c r="L2685" i="3"/>
  <c r="M2684" i="3"/>
  <c r="L2684" i="3"/>
  <c r="M2683" i="3"/>
  <c r="L2683" i="3"/>
  <c r="M2682" i="3"/>
  <c r="L2682" i="3"/>
  <c r="M2681" i="3"/>
  <c r="L2681" i="3"/>
  <c r="M2680" i="3"/>
  <c r="L2680" i="3"/>
  <c r="M2679" i="3"/>
  <c r="L2679" i="3"/>
  <c r="M2678" i="3"/>
  <c r="L2678" i="3"/>
  <c r="M2677" i="3"/>
  <c r="L2677" i="3"/>
  <c r="M2676" i="3"/>
  <c r="L2676" i="3"/>
  <c r="M2675" i="3"/>
  <c r="L2675" i="3"/>
  <c r="M2674" i="3"/>
  <c r="L2674" i="3"/>
  <c r="M2673" i="3"/>
  <c r="L2673" i="3"/>
  <c r="M2672" i="3"/>
  <c r="L2672" i="3"/>
  <c r="M2671" i="3"/>
  <c r="L2671" i="3"/>
  <c r="M2670" i="3"/>
  <c r="L2670" i="3"/>
  <c r="M2669" i="3"/>
  <c r="L2669" i="3"/>
  <c r="M2668" i="3"/>
  <c r="L2668" i="3"/>
  <c r="M2667" i="3"/>
  <c r="L2667" i="3"/>
  <c r="M2666" i="3"/>
  <c r="L2666" i="3"/>
  <c r="M2665" i="3"/>
  <c r="L2665" i="3"/>
  <c r="M2664" i="3"/>
  <c r="L2664" i="3"/>
  <c r="M2663" i="3"/>
  <c r="L2663" i="3"/>
  <c r="M2662" i="3"/>
  <c r="L2662" i="3"/>
  <c r="M2661" i="3"/>
  <c r="L2661" i="3"/>
  <c r="M2660" i="3"/>
  <c r="L2660" i="3"/>
  <c r="M2659" i="3"/>
  <c r="L2659" i="3"/>
  <c r="M2658" i="3"/>
  <c r="L2658" i="3"/>
  <c r="M2657" i="3"/>
  <c r="L2657" i="3"/>
  <c r="M2656" i="3"/>
  <c r="L2656" i="3"/>
  <c r="M2655" i="3"/>
  <c r="L2655" i="3"/>
  <c r="M2654" i="3"/>
  <c r="L2654" i="3"/>
  <c r="M2653" i="3"/>
  <c r="L2653" i="3"/>
  <c r="M2652" i="3"/>
  <c r="L2652" i="3"/>
  <c r="M2651" i="3"/>
  <c r="L2651" i="3"/>
  <c r="M2650" i="3"/>
  <c r="L2650" i="3"/>
  <c r="M2649" i="3"/>
  <c r="L2649" i="3"/>
  <c r="M2648" i="3"/>
  <c r="L2648" i="3"/>
  <c r="M2647" i="3"/>
  <c r="L2647" i="3"/>
  <c r="M2646" i="3"/>
  <c r="L2646" i="3"/>
  <c r="M2645" i="3"/>
  <c r="L2645" i="3"/>
  <c r="M2644" i="3"/>
  <c r="L2644" i="3"/>
  <c r="M2643" i="3"/>
  <c r="L2643" i="3"/>
  <c r="M2642" i="3"/>
  <c r="L2642" i="3"/>
  <c r="M2641" i="3"/>
  <c r="L2641" i="3"/>
  <c r="M2640" i="3"/>
  <c r="L2640" i="3"/>
  <c r="M2639" i="3"/>
  <c r="L2639" i="3"/>
  <c r="M2638" i="3"/>
  <c r="L2638" i="3"/>
  <c r="M2637" i="3"/>
  <c r="L2637" i="3"/>
  <c r="M2636" i="3"/>
  <c r="L2636" i="3"/>
  <c r="M2635" i="3"/>
  <c r="L2635" i="3"/>
  <c r="M2634" i="3"/>
  <c r="L2634" i="3"/>
  <c r="M2633" i="3"/>
  <c r="L2633" i="3"/>
  <c r="M2632" i="3"/>
  <c r="L2632" i="3"/>
  <c r="M2631" i="3"/>
  <c r="L2631" i="3"/>
  <c r="M2630" i="3"/>
  <c r="L2630" i="3"/>
  <c r="M2629" i="3"/>
  <c r="L2629" i="3"/>
  <c r="M2628" i="3"/>
  <c r="L2628" i="3"/>
  <c r="M2627" i="3"/>
  <c r="L2627" i="3"/>
  <c r="M2626" i="3"/>
  <c r="L2626" i="3"/>
  <c r="M2625" i="3"/>
  <c r="L2625" i="3"/>
  <c r="M2624" i="3"/>
  <c r="L2624" i="3"/>
  <c r="M2623" i="3"/>
  <c r="L2623" i="3"/>
  <c r="M2622" i="3"/>
  <c r="L2622" i="3"/>
  <c r="M2621" i="3"/>
  <c r="L2621" i="3"/>
  <c r="M2620" i="3"/>
  <c r="L2620" i="3"/>
  <c r="M2619" i="3"/>
  <c r="L2619" i="3"/>
  <c r="M2618" i="3"/>
  <c r="L2618" i="3"/>
  <c r="M2617" i="3"/>
  <c r="L2617" i="3"/>
  <c r="M2616" i="3"/>
  <c r="L2616" i="3"/>
  <c r="M2615" i="3"/>
  <c r="L2615" i="3"/>
  <c r="M2614" i="3"/>
  <c r="L2614" i="3"/>
  <c r="M2613" i="3"/>
  <c r="L2613" i="3"/>
  <c r="M2612" i="3"/>
  <c r="L2612" i="3"/>
  <c r="M2611" i="3"/>
  <c r="L2611" i="3"/>
  <c r="M2610" i="3"/>
  <c r="L2610" i="3"/>
  <c r="M2609" i="3"/>
  <c r="L2609" i="3"/>
  <c r="M2608" i="3"/>
  <c r="L2608" i="3"/>
  <c r="M2607" i="3"/>
  <c r="L2607" i="3"/>
  <c r="M2606" i="3"/>
  <c r="L2606" i="3"/>
  <c r="M2605" i="3"/>
  <c r="L2605" i="3"/>
  <c r="M2604" i="3"/>
  <c r="L2604" i="3"/>
  <c r="M2603" i="3"/>
  <c r="L2603" i="3"/>
  <c r="M2602" i="3"/>
  <c r="L2602" i="3"/>
  <c r="M2601" i="3"/>
  <c r="L2601" i="3"/>
  <c r="M2600" i="3"/>
  <c r="L2600" i="3"/>
  <c r="M2599" i="3"/>
  <c r="L2599" i="3"/>
  <c r="M2598" i="3"/>
  <c r="L2598" i="3"/>
  <c r="M2597" i="3"/>
  <c r="L2597" i="3"/>
  <c r="M2596" i="3"/>
  <c r="L2596" i="3"/>
  <c r="M2595" i="3"/>
  <c r="L2595" i="3"/>
  <c r="M2594" i="3"/>
  <c r="L2594" i="3"/>
  <c r="M2593" i="3"/>
  <c r="L2593" i="3"/>
  <c r="M2592" i="3"/>
  <c r="L2592" i="3"/>
  <c r="M2591" i="3"/>
  <c r="L2591" i="3"/>
  <c r="M2590" i="3"/>
  <c r="L2590" i="3"/>
  <c r="M2589" i="3"/>
  <c r="L2589" i="3"/>
  <c r="M2588" i="3"/>
  <c r="L2588" i="3"/>
  <c r="M2587" i="3"/>
  <c r="L2587" i="3"/>
  <c r="M2586" i="3"/>
  <c r="L2586" i="3"/>
  <c r="M2585" i="3"/>
  <c r="L2585" i="3"/>
  <c r="M2584" i="3"/>
  <c r="L2584" i="3"/>
  <c r="M2583" i="3"/>
  <c r="L2583" i="3"/>
  <c r="M2582" i="3"/>
  <c r="L2582" i="3"/>
  <c r="M2581" i="3"/>
  <c r="L2581" i="3"/>
  <c r="M2580" i="3"/>
  <c r="L2580" i="3"/>
  <c r="M2579" i="3"/>
  <c r="L2579" i="3"/>
  <c r="M2578" i="3"/>
  <c r="L2578" i="3"/>
  <c r="M2577" i="3"/>
  <c r="L2577" i="3"/>
  <c r="M2576" i="3"/>
  <c r="L2576" i="3"/>
  <c r="M2575" i="3"/>
  <c r="L2575" i="3"/>
  <c r="M2574" i="3"/>
  <c r="L2574" i="3"/>
  <c r="M2573" i="3"/>
  <c r="L2573" i="3"/>
  <c r="M2572" i="3"/>
  <c r="L2572" i="3"/>
  <c r="M2571" i="3"/>
  <c r="L2571" i="3"/>
  <c r="M2570" i="3"/>
  <c r="L2570" i="3"/>
  <c r="M2569" i="3"/>
  <c r="L2569" i="3"/>
  <c r="M2568" i="3"/>
  <c r="L2568" i="3"/>
  <c r="M2567" i="3"/>
  <c r="L2567" i="3"/>
  <c r="M2566" i="3"/>
  <c r="L2566" i="3"/>
  <c r="M2565" i="3"/>
  <c r="L2565" i="3"/>
  <c r="M2564" i="3"/>
  <c r="L2564" i="3"/>
  <c r="M2563" i="3"/>
  <c r="L2563" i="3"/>
  <c r="M2562" i="3"/>
  <c r="L2562" i="3"/>
  <c r="M2561" i="3"/>
  <c r="L2561" i="3"/>
  <c r="M2560" i="3"/>
  <c r="L2560" i="3"/>
  <c r="M2559" i="3"/>
  <c r="L2559" i="3"/>
  <c r="M2558" i="3"/>
  <c r="L2558" i="3"/>
  <c r="M2557" i="3"/>
  <c r="L2557" i="3"/>
  <c r="M2556" i="3"/>
  <c r="L2556" i="3"/>
  <c r="M2555" i="3"/>
  <c r="L2555" i="3"/>
  <c r="M2554" i="3"/>
  <c r="L2554" i="3"/>
  <c r="M2553" i="3"/>
  <c r="L2553" i="3"/>
  <c r="M2552" i="3"/>
  <c r="L2552" i="3"/>
  <c r="M2551" i="3"/>
  <c r="L2551" i="3"/>
  <c r="M2550" i="3"/>
  <c r="L2550" i="3"/>
  <c r="M2549" i="3"/>
  <c r="L2549" i="3"/>
  <c r="M2548" i="3"/>
  <c r="L2548" i="3"/>
  <c r="M2547" i="3"/>
  <c r="L2547" i="3"/>
  <c r="M2546" i="3"/>
  <c r="L2546" i="3"/>
  <c r="M2545" i="3"/>
  <c r="L2545" i="3"/>
  <c r="M2544" i="3"/>
  <c r="L2544" i="3"/>
  <c r="M2543" i="3"/>
  <c r="L2543" i="3"/>
  <c r="M2542" i="3"/>
  <c r="L2542" i="3"/>
  <c r="M2541" i="3"/>
  <c r="L2541" i="3"/>
  <c r="M2540" i="3"/>
  <c r="L2540" i="3"/>
  <c r="M2539" i="3"/>
  <c r="L2539" i="3"/>
  <c r="M2538" i="3"/>
  <c r="L2538" i="3"/>
  <c r="M2537" i="3"/>
  <c r="L2537" i="3"/>
  <c r="M2536" i="3"/>
  <c r="L2536" i="3"/>
  <c r="M2535" i="3"/>
  <c r="L2535" i="3"/>
  <c r="M2534" i="3"/>
  <c r="L2534" i="3"/>
  <c r="M2533" i="3"/>
  <c r="L2533" i="3"/>
  <c r="M2532" i="3"/>
  <c r="L2532" i="3"/>
  <c r="M2531" i="3"/>
  <c r="L2531" i="3"/>
  <c r="M2530" i="3"/>
  <c r="L2530" i="3"/>
  <c r="M2529" i="3"/>
  <c r="L2529" i="3"/>
  <c r="M2528" i="3"/>
  <c r="L2528" i="3"/>
  <c r="M2527" i="3"/>
  <c r="L2527" i="3"/>
  <c r="M2526" i="3"/>
  <c r="L2526" i="3"/>
  <c r="M2525" i="3"/>
  <c r="L2525" i="3"/>
  <c r="M2524" i="3"/>
  <c r="L2524" i="3"/>
  <c r="M2523" i="3"/>
  <c r="L2523" i="3"/>
  <c r="M2522" i="3"/>
  <c r="L2522" i="3"/>
  <c r="M2521" i="3"/>
  <c r="L2521" i="3"/>
  <c r="M2520" i="3"/>
  <c r="L2520" i="3"/>
  <c r="M2519" i="3"/>
  <c r="L2519" i="3"/>
  <c r="M2518" i="3"/>
  <c r="L2518" i="3"/>
  <c r="M2517" i="3"/>
  <c r="L2517" i="3"/>
  <c r="M2516" i="3"/>
  <c r="L2516" i="3"/>
  <c r="M2515" i="3"/>
  <c r="L2515" i="3"/>
  <c r="M2514" i="3"/>
  <c r="L2514" i="3"/>
  <c r="M2513" i="3"/>
  <c r="L2513" i="3"/>
  <c r="M2512" i="3"/>
  <c r="L2512" i="3"/>
  <c r="M2511" i="3"/>
  <c r="L2511" i="3"/>
  <c r="M2510" i="3"/>
  <c r="L2510" i="3"/>
  <c r="M2509" i="3"/>
  <c r="L2509" i="3"/>
  <c r="M2508" i="3"/>
  <c r="L2508" i="3"/>
  <c r="M2507" i="3"/>
  <c r="L2507" i="3"/>
  <c r="M2506" i="3"/>
  <c r="L2506" i="3"/>
  <c r="M2505" i="3"/>
  <c r="L2505" i="3"/>
  <c r="M2504" i="3"/>
  <c r="L2504" i="3"/>
  <c r="M2503" i="3"/>
  <c r="L2503" i="3"/>
  <c r="M2502" i="3"/>
  <c r="L2502" i="3"/>
  <c r="M2501" i="3"/>
  <c r="L2501" i="3"/>
  <c r="M2500" i="3"/>
  <c r="L2500" i="3"/>
  <c r="M2499" i="3"/>
  <c r="L2499" i="3"/>
  <c r="M2498" i="3"/>
  <c r="L2498" i="3"/>
  <c r="M2497" i="3"/>
  <c r="L2497" i="3"/>
  <c r="M2496" i="3"/>
  <c r="L2496" i="3"/>
  <c r="M2495" i="3"/>
  <c r="L2495" i="3"/>
  <c r="M2494" i="3"/>
  <c r="L2494" i="3"/>
  <c r="M2493" i="3"/>
  <c r="L2493" i="3"/>
  <c r="M2492" i="3"/>
  <c r="L2492" i="3"/>
  <c r="M2491" i="3"/>
  <c r="L2491" i="3"/>
  <c r="M2490" i="3"/>
  <c r="L2490" i="3"/>
  <c r="M2489" i="3"/>
  <c r="L2489" i="3"/>
  <c r="M2488" i="3"/>
  <c r="L2488" i="3"/>
  <c r="M2487" i="3"/>
  <c r="L2487" i="3"/>
  <c r="M2486" i="3"/>
  <c r="L2486" i="3"/>
  <c r="M2485" i="3"/>
  <c r="L2485" i="3"/>
  <c r="M2484" i="3"/>
  <c r="L2484" i="3"/>
  <c r="M2483" i="3"/>
  <c r="L2483" i="3"/>
  <c r="M2482" i="3"/>
  <c r="L2482" i="3"/>
  <c r="M2481" i="3"/>
  <c r="L2481" i="3"/>
  <c r="M2480" i="3"/>
  <c r="L2480" i="3"/>
  <c r="M2479" i="3"/>
  <c r="L2479" i="3"/>
  <c r="M2478" i="3"/>
  <c r="L2478" i="3"/>
  <c r="M2477" i="3"/>
  <c r="L2477" i="3"/>
  <c r="M2476" i="3"/>
  <c r="L2476" i="3"/>
  <c r="M2475" i="3"/>
  <c r="L2475" i="3"/>
  <c r="M2474" i="3"/>
  <c r="L2474" i="3"/>
  <c r="M2473" i="3"/>
  <c r="L2473" i="3"/>
  <c r="M2472" i="3"/>
  <c r="L2472" i="3"/>
  <c r="M2471" i="3"/>
  <c r="L2471" i="3"/>
  <c r="M2470" i="3"/>
  <c r="L2470" i="3"/>
  <c r="M2469" i="3"/>
  <c r="L2469" i="3"/>
  <c r="M2468" i="3"/>
  <c r="L2468" i="3"/>
  <c r="M2467" i="3"/>
  <c r="L2467" i="3"/>
  <c r="M2466" i="3"/>
  <c r="L2466" i="3"/>
  <c r="M2465" i="3"/>
  <c r="L2465" i="3"/>
  <c r="M2464" i="3"/>
  <c r="L2464" i="3"/>
  <c r="M2463" i="3"/>
  <c r="L2463" i="3"/>
  <c r="M2462" i="3"/>
  <c r="L2462" i="3"/>
  <c r="M2461" i="3"/>
  <c r="L2461" i="3"/>
  <c r="M2460" i="3"/>
  <c r="L2460" i="3"/>
  <c r="M2459" i="3"/>
  <c r="L2459" i="3"/>
  <c r="M2458" i="3"/>
  <c r="L2458" i="3"/>
  <c r="M2457" i="3"/>
  <c r="L2457" i="3"/>
  <c r="M2456" i="3"/>
  <c r="L2456" i="3"/>
  <c r="M2455" i="3"/>
  <c r="L2455" i="3"/>
  <c r="M2454" i="3"/>
  <c r="L2454" i="3"/>
  <c r="M2453" i="3"/>
  <c r="L2453" i="3"/>
  <c r="M2452" i="3"/>
  <c r="L2452" i="3"/>
  <c r="M2451" i="3"/>
  <c r="L2451" i="3"/>
  <c r="M2450" i="3"/>
  <c r="L2450" i="3"/>
  <c r="M2449" i="3"/>
  <c r="L2449" i="3"/>
  <c r="M2448" i="3"/>
  <c r="L2448" i="3"/>
  <c r="M2447" i="3"/>
  <c r="L2447" i="3"/>
  <c r="M2446" i="3"/>
  <c r="L2446" i="3"/>
  <c r="M2445" i="3"/>
  <c r="L2445" i="3"/>
  <c r="M2444" i="3"/>
  <c r="L2444" i="3"/>
  <c r="M2443" i="3"/>
  <c r="L2443" i="3"/>
  <c r="M2442" i="3"/>
  <c r="L2442" i="3"/>
  <c r="M2441" i="3"/>
  <c r="L2441" i="3"/>
  <c r="M2440" i="3"/>
  <c r="L2440" i="3"/>
  <c r="M2439" i="3"/>
  <c r="L2439" i="3"/>
  <c r="M2438" i="3"/>
  <c r="L2438" i="3"/>
  <c r="M2437" i="3"/>
  <c r="L2437" i="3"/>
  <c r="M2436" i="3"/>
  <c r="L2436" i="3"/>
  <c r="M2435" i="3"/>
  <c r="L2435" i="3"/>
  <c r="M2434" i="3"/>
  <c r="L2434" i="3"/>
  <c r="M2433" i="3"/>
  <c r="L2433" i="3"/>
  <c r="M2432" i="3"/>
  <c r="L2432" i="3"/>
  <c r="M2431" i="3"/>
  <c r="L2431" i="3"/>
  <c r="M2430" i="3"/>
  <c r="L2430" i="3"/>
  <c r="M2429" i="3"/>
  <c r="L2429" i="3"/>
  <c r="M2428" i="3"/>
  <c r="L2428" i="3"/>
  <c r="M2427" i="3"/>
  <c r="L2427" i="3"/>
  <c r="M2426" i="3"/>
  <c r="L2426" i="3"/>
  <c r="M2425" i="3"/>
  <c r="L2425" i="3"/>
  <c r="M2424" i="3"/>
  <c r="L2424" i="3"/>
  <c r="M2423" i="3"/>
  <c r="L2423" i="3"/>
  <c r="M2422" i="3"/>
  <c r="L2422" i="3"/>
  <c r="M2421" i="3"/>
  <c r="L2421" i="3"/>
  <c r="M2420" i="3"/>
  <c r="L2420" i="3"/>
  <c r="M2419" i="3"/>
  <c r="L2419" i="3"/>
  <c r="M2418" i="3"/>
  <c r="L2418" i="3"/>
  <c r="M2417" i="3"/>
  <c r="L2417" i="3"/>
  <c r="M2416" i="3"/>
  <c r="L2416" i="3"/>
  <c r="M2415" i="3"/>
  <c r="L2415" i="3"/>
  <c r="M2414" i="3"/>
  <c r="L2414" i="3"/>
  <c r="M2413" i="3"/>
  <c r="L2413" i="3"/>
  <c r="M2412" i="3"/>
  <c r="L2412" i="3"/>
  <c r="M2411" i="3"/>
  <c r="L2411" i="3"/>
  <c r="M2410" i="3"/>
  <c r="L2410" i="3"/>
  <c r="M2409" i="3"/>
  <c r="L2409" i="3"/>
  <c r="M2408" i="3"/>
  <c r="L2408" i="3"/>
  <c r="M2407" i="3"/>
  <c r="L2407" i="3"/>
  <c r="M2406" i="3"/>
  <c r="L2406" i="3"/>
  <c r="M2405" i="3"/>
  <c r="L2405" i="3"/>
  <c r="M2404" i="3"/>
  <c r="L2404" i="3"/>
  <c r="M2403" i="3"/>
  <c r="L2403" i="3"/>
  <c r="M2402" i="3"/>
  <c r="L2402" i="3"/>
  <c r="M2401" i="3"/>
  <c r="L2401" i="3"/>
  <c r="M2400" i="3"/>
  <c r="L2400" i="3"/>
  <c r="M2399" i="3"/>
  <c r="L2399" i="3"/>
  <c r="M2398" i="3"/>
  <c r="L2398" i="3"/>
  <c r="M2397" i="3"/>
  <c r="L2397" i="3"/>
  <c r="M2396" i="3"/>
  <c r="L2396" i="3"/>
  <c r="M2395" i="3"/>
  <c r="L2395" i="3"/>
  <c r="M2394" i="3"/>
  <c r="L2394" i="3"/>
  <c r="M2393" i="3"/>
  <c r="L2393" i="3"/>
  <c r="M2392" i="3"/>
  <c r="L2392" i="3"/>
  <c r="M2391" i="3"/>
  <c r="L2391" i="3"/>
  <c r="M2390" i="3"/>
  <c r="L2390" i="3"/>
  <c r="M2389" i="3"/>
  <c r="L2389" i="3"/>
  <c r="M2388" i="3"/>
  <c r="L2388" i="3"/>
  <c r="M2387" i="3"/>
  <c r="L2387" i="3"/>
  <c r="M2386" i="3"/>
  <c r="L2386" i="3"/>
  <c r="M2385" i="3"/>
  <c r="L2385" i="3"/>
  <c r="M2384" i="3"/>
  <c r="L2384" i="3"/>
  <c r="M2383" i="3"/>
  <c r="L2383" i="3"/>
  <c r="M2382" i="3"/>
  <c r="L2382" i="3"/>
  <c r="M2381" i="3"/>
  <c r="L2381" i="3"/>
  <c r="M2380" i="3"/>
  <c r="L2380" i="3"/>
  <c r="M2379" i="3"/>
  <c r="L2379" i="3"/>
  <c r="M2378" i="3"/>
  <c r="L2378" i="3"/>
  <c r="M2377" i="3"/>
  <c r="L2377" i="3"/>
  <c r="M2376" i="3"/>
  <c r="L2376" i="3"/>
  <c r="M2375" i="3"/>
  <c r="L2375" i="3"/>
  <c r="M2374" i="3"/>
  <c r="L2374" i="3"/>
  <c r="M2373" i="3"/>
  <c r="L2373" i="3"/>
  <c r="M2372" i="3"/>
  <c r="L2372" i="3"/>
  <c r="M2371" i="3"/>
  <c r="L2371" i="3"/>
  <c r="M2370" i="3"/>
  <c r="L2370" i="3"/>
  <c r="M2369" i="3"/>
  <c r="L2369" i="3"/>
  <c r="M2368" i="3"/>
  <c r="L2368" i="3"/>
  <c r="M2367" i="3"/>
  <c r="L2367" i="3"/>
  <c r="M2366" i="3"/>
  <c r="L2366" i="3"/>
  <c r="M2365" i="3"/>
  <c r="L2365" i="3"/>
  <c r="M2364" i="3"/>
  <c r="L2364" i="3"/>
  <c r="M2363" i="3"/>
  <c r="L2363" i="3"/>
  <c r="M2362" i="3"/>
  <c r="L2362" i="3"/>
  <c r="M2361" i="3"/>
  <c r="L2361" i="3"/>
  <c r="M2360" i="3"/>
  <c r="L2360" i="3"/>
  <c r="M2359" i="3"/>
  <c r="L2359" i="3"/>
  <c r="M2358" i="3"/>
  <c r="L2358" i="3"/>
  <c r="M2357" i="3"/>
  <c r="L2357" i="3"/>
  <c r="M2356" i="3"/>
  <c r="L2356" i="3"/>
  <c r="M2355" i="3"/>
  <c r="L2355" i="3"/>
  <c r="M2354" i="3"/>
  <c r="L2354" i="3"/>
  <c r="M2353" i="3"/>
  <c r="L2353" i="3"/>
  <c r="M2352" i="3"/>
  <c r="L2352" i="3"/>
  <c r="M2351" i="3"/>
  <c r="L2351" i="3"/>
  <c r="M2350" i="3"/>
  <c r="L2350" i="3"/>
  <c r="M2349" i="3"/>
  <c r="L2349" i="3"/>
  <c r="M2348" i="3"/>
  <c r="L2348" i="3"/>
  <c r="M2347" i="3"/>
  <c r="L2347" i="3"/>
  <c r="M2346" i="3"/>
  <c r="L2346" i="3"/>
  <c r="M2345" i="3"/>
  <c r="L2345" i="3"/>
  <c r="M2344" i="3"/>
  <c r="L2344" i="3"/>
  <c r="M2343" i="3"/>
  <c r="L2343" i="3"/>
  <c r="M2342" i="3"/>
  <c r="L2342" i="3"/>
  <c r="M2341" i="3"/>
  <c r="L2341" i="3"/>
  <c r="M2340" i="3"/>
  <c r="L2340" i="3"/>
  <c r="M2339" i="3"/>
  <c r="L2339" i="3"/>
  <c r="M2338" i="3"/>
  <c r="L2338" i="3"/>
  <c r="M2337" i="3"/>
  <c r="L2337" i="3"/>
  <c r="M2336" i="3"/>
  <c r="L2336" i="3"/>
  <c r="M2335" i="3"/>
  <c r="L2335" i="3"/>
  <c r="M2334" i="3"/>
  <c r="L2334" i="3"/>
  <c r="M2333" i="3"/>
  <c r="L2333" i="3"/>
  <c r="M2332" i="3"/>
  <c r="L2332" i="3"/>
  <c r="M2331" i="3"/>
  <c r="L2331" i="3"/>
  <c r="M2330" i="3"/>
  <c r="L2330" i="3"/>
  <c r="M2329" i="3"/>
  <c r="L2329" i="3"/>
  <c r="M2328" i="3"/>
  <c r="L2328" i="3"/>
  <c r="M2327" i="3"/>
  <c r="L2327" i="3"/>
  <c r="M2326" i="3"/>
  <c r="L2326" i="3"/>
  <c r="M2325" i="3"/>
  <c r="L2325" i="3"/>
  <c r="M2324" i="3"/>
  <c r="L2324" i="3"/>
  <c r="M2323" i="3"/>
  <c r="L2323" i="3"/>
  <c r="M2322" i="3"/>
  <c r="L2322" i="3"/>
  <c r="M2321" i="3"/>
  <c r="L2321" i="3"/>
  <c r="M2320" i="3"/>
  <c r="L2320" i="3"/>
  <c r="M2319" i="3"/>
  <c r="L2319" i="3"/>
  <c r="M2318" i="3"/>
  <c r="L2318" i="3"/>
  <c r="M2317" i="3"/>
  <c r="L2317" i="3"/>
  <c r="M2316" i="3"/>
  <c r="L2316" i="3"/>
  <c r="M2315" i="3"/>
  <c r="L2315" i="3"/>
  <c r="M2314" i="3"/>
  <c r="L2314" i="3"/>
  <c r="M2313" i="3"/>
  <c r="L2313" i="3"/>
  <c r="M2312" i="3"/>
  <c r="L2312" i="3"/>
  <c r="M2311" i="3"/>
  <c r="L2311" i="3"/>
  <c r="M2310" i="3"/>
  <c r="L2310" i="3"/>
  <c r="M2309" i="3"/>
  <c r="L2309" i="3"/>
  <c r="M2308" i="3"/>
  <c r="L2308" i="3"/>
  <c r="M2307" i="3"/>
  <c r="L2307" i="3"/>
  <c r="M2306" i="3"/>
  <c r="L2306" i="3"/>
  <c r="M2305" i="3"/>
  <c r="L2305" i="3"/>
  <c r="M2304" i="3"/>
  <c r="L2304" i="3"/>
  <c r="M2303" i="3"/>
  <c r="L2303" i="3"/>
  <c r="M2302" i="3"/>
  <c r="L2302" i="3"/>
  <c r="M2301" i="3"/>
  <c r="L2301" i="3"/>
  <c r="M2300" i="3"/>
  <c r="L2300" i="3"/>
  <c r="M2299" i="3"/>
  <c r="L2299" i="3"/>
  <c r="M2298" i="3"/>
  <c r="L2298" i="3"/>
  <c r="M2297" i="3"/>
  <c r="L2297" i="3"/>
  <c r="M2296" i="3"/>
  <c r="L2296" i="3"/>
  <c r="M2295" i="3"/>
  <c r="L2295" i="3"/>
  <c r="M2294" i="3"/>
  <c r="L2294" i="3"/>
  <c r="M2293" i="3"/>
  <c r="L2293" i="3"/>
  <c r="M2292" i="3"/>
  <c r="L2292" i="3"/>
  <c r="M2291" i="3"/>
  <c r="L2291" i="3"/>
  <c r="M2290" i="3"/>
  <c r="L2290" i="3"/>
  <c r="M2289" i="3"/>
  <c r="L2289" i="3"/>
  <c r="M2288" i="3"/>
  <c r="L2288" i="3"/>
  <c r="M2287" i="3"/>
  <c r="L2287" i="3"/>
  <c r="M2286" i="3"/>
  <c r="L2286" i="3"/>
  <c r="M2285" i="3"/>
  <c r="L2285" i="3"/>
  <c r="M2284" i="3"/>
  <c r="L2284" i="3"/>
  <c r="M2283" i="3"/>
  <c r="L2283" i="3"/>
  <c r="M2282" i="3"/>
  <c r="L2282" i="3"/>
  <c r="M2281" i="3"/>
  <c r="L2281" i="3"/>
  <c r="M2280" i="3"/>
  <c r="L2280" i="3"/>
  <c r="M2279" i="3"/>
  <c r="L2279" i="3"/>
  <c r="M2278" i="3"/>
  <c r="L2278" i="3"/>
  <c r="M2277" i="3"/>
  <c r="L2277" i="3"/>
  <c r="M2276" i="3"/>
  <c r="L2276" i="3"/>
  <c r="M2275" i="3"/>
  <c r="L2275" i="3"/>
  <c r="M2274" i="3"/>
  <c r="L2274" i="3"/>
  <c r="M2273" i="3"/>
  <c r="L2273" i="3"/>
  <c r="M2272" i="3"/>
  <c r="L2272" i="3"/>
  <c r="M2271" i="3"/>
  <c r="L2271" i="3"/>
  <c r="M2270" i="3"/>
  <c r="L2270" i="3"/>
  <c r="M2269" i="3"/>
  <c r="L2269" i="3"/>
  <c r="M2268" i="3"/>
  <c r="L2268" i="3"/>
  <c r="M2267" i="3"/>
  <c r="L2267" i="3"/>
  <c r="M2266" i="3"/>
  <c r="L2266" i="3"/>
  <c r="M2265" i="3"/>
  <c r="L2265" i="3"/>
  <c r="M2264" i="3"/>
  <c r="L2264" i="3"/>
  <c r="M2263" i="3"/>
  <c r="L2263" i="3"/>
  <c r="M2262" i="3"/>
  <c r="L2262" i="3"/>
  <c r="M2261" i="3"/>
  <c r="L2261" i="3"/>
  <c r="M2260" i="3"/>
  <c r="L2260" i="3"/>
  <c r="M2259" i="3"/>
  <c r="L2259" i="3"/>
  <c r="M2258" i="3"/>
  <c r="L2258" i="3"/>
  <c r="M2257" i="3"/>
  <c r="L2257" i="3"/>
  <c r="M2256" i="3"/>
  <c r="L2256" i="3"/>
  <c r="M2255" i="3"/>
  <c r="L2255" i="3"/>
  <c r="M2254" i="3"/>
  <c r="L2254" i="3"/>
  <c r="M2253" i="3"/>
  <c r="L2253" i="3"/>
  <c r="M2252" i="3"/>
  <c r="L2252" i="3"/>
  <c r="M2251" i="3"/>
  <c r="L2251" i="3"/>
  <c r="M2250" i="3"/>
  <c r="L2250" i="3"/>
  <c r="M2249" i="3"/>
  <c r="L2249" i="3"/>
  <c r="M2248" i="3"/>
  <c r="L2248" i="3"/>
  <c r="M2247" i="3"/>
  <c r="L2247" i="3"/>
  <c r="M2246" i="3"/>
  <c r="L2246" i="3"/>
  <c r="M2245" i="3"/>
  <c r="L2245" i="3"/>
  <c r="M2244" i="3"/>
  <c r="L2244" i="3"/>
  <c r="M2243" i="3"/>
  <c r="L2243" i="3"/>
  <c r="M2242" i="3"/>
  <c r="L2242" i="3"/>
  <c r="M2241" i="3"/>
  <c r="L2241" i="3"/>
  <c r="M2240" i="3"/>
  <c r="L2240" i="3"/>
  <c r="M2239" i="3"/>
  <c r="L2239" i="3"/>
  <c r="M2238" i="3"/>
  <c r="L2238" i="3"/>
  <c r="M2237" i="3"/>
  <c r="L2237" i="3"/>
  <c r="M2236" i="3"/>
  <c r="L2236" i="3"/>
  <c r="M2235" i="3"/>
  <c r="L2235" i="3"/>
  <c r="M2234" i="3"/>
  <c r="L2234" i="3"/>
  <c r="M2233" i="3"/>
  <c r="L2233" i="3"/>
  <c r="M2232" i="3"/>
  <c r="L2232" i="3"/>
  <c r="M2231" i="3"/>
  <c r="L2231" i="3"/>
  <c r="M2230" i="3"/>
  <c r="L2230" i="3"/>
  <c r="M2229" i="3"/>
  <c r="L2229" i="3"/>
  <c r="M2228" i="3"/>
  <c r="L2228" i="3"/>
  <c r="M2227" i="3"/>
  <c r="L2227" i="3"/>
  <c r="M2226" i="3"/>
  <c r="L2226" i="3"/>
  <c r="M2225" i="3"/>
  <c r="L2225" i="3"/>
  <c r="M2224" i="3"/>
  <c r="L2224" i="3"/>
  <c r="M2223" i="3"/>
  <c r="L2223" i="3"/>
  <c r="M2222" i="3"/>
  <c r="L2222" i="3"/>
  <c r="M2221" i="3"/>
  <c r="L2221" i="3"/>
  <c r="M2220" i="3"/>
  <c r="L2220" i="3"/>
  <c r="M2219" i="3"/>
  <c r="L2219" i="3"/>
  <c r="M2218" i="3"/>
  <c r="L2218" i="3"/>
  <c r="M2217" i="3"/>
  <c r="L2217" i="3"/>
  <c r="M2216" i="3"/>
  <c r="L2216" i="3"/>
  <c r="M2215" i="3"/>
  <c r="L2215" i="3"/>
  <c r="M2214" i="3"/>
  <c r="L2214" i="3"/>
  <c r="M2213" i="3"/>
  <c r="L2213" i="3"/>
  <c r="M2212" i="3"/>
  <c r="L2212" i="3"/>
  <c r="M2211" i="3"/>
  <c r="L2211" i="3"/>
  <c r="M2210" i="3"/>
  <c r="L2210" i="3"/>
  <c r="M2209" i="3"/>
  <c r="L2209" i="3"/>
  <c r="M2208" i="3"/>
  <c r="L2208" i="3"/>
  <c r="M2207" i="3"/>
  <c r="L2207" i="3"/>
  <c r="M2206" i="3"/>
  <c r="L2206" i="3"/>
  <c r="M2205" i="3"/>
  <c r="L2205" i="3"/>
  <c r="M2204" i="3"/>
  <c r="L2204" i="3"/>
  <c r="M2203" i="3"/>
  <c r="L2203" i="3"/>
  <c r="M2202" i="3"/>
  <c r="L2202" i="3"/>
  <c r="M2201" i="3"/>
  <c r="L2201" i="3"/>
  <c r="M2200" i="3"/>
  <c r="L2200" i="3"/>
  <c r="M2199" i="3"/>
  <c r="L2199" i="3"/>
  <c r="M2198" i="3"/>
  <c r="L2198" i="3"/>
  <c r="M2197" i="3"/>
  <c r="L2197" i="3"/>
  <c r="M2196" i="3"/>
  <c r="L2196" i="3"/>
  <c r="M2195" i="3"/>
  <c r="L2195" i="3"/>
  <c r="M2194" i="3"/>
  <c r="L2194" i="3"/>
  <c r="M2193" i="3"/>
  <c r="L2193" i="3"/>
  <c r="M2192" i="3"/>
  <c r="L2192" i="3"/>
  <c r="M2191" i="3"/>
  <c r="L2191" i="3"/>
  <c r="M2190" i="3"/>
  <c r="L2190" i="3"/>
  <c r="M2189" i="3"/>
  <c r="L2189" i="3"/>
  <c r="M2188" i="3"/>
  <c r="L2188" i="3"/>
  <c r="M2187" i="3"/>
  <c r="L2187" i="3"/>
  <c r="M2186" i="3"/>
  <c r="L2186" i="3"/>
  <c r="M2185" i="3"/>
  <c r="L2185" i="3"/>
  <c r="M2184" i="3"/>
  <c r="L2184" i="3"/>
  <c r="M2183" i="3"/>
  <c r="L2183" i="3"/>
  <c r="M2182" i="3"/>
  <c r="L2182" i="3"/>
  <c r="M2181" i="3"/>
  <c r="L2181" i="3"/>
  <c r="M2180" i="3"/>
  <c r="L2180" i="3"/>
  <c r="M2179" i="3"/>
  <c r="L2179" i="3"/>
  <c r="M2178" i="3"/>
  <c r="L2178" i="3"/>
  <c r="M2177" i="3"/>
  <c r="L2177" i="3"/>
  <c r="M2176" i="3"/>
  <c r="L2176" i="3"/>
  <c r="M2175" i="3"/>
  <c r="L2175" i="3"/>
  <c r="M2174" i="3"/>
  <c r="L2174" i="3"/>
  <c r="M2173" i="3"/>
  <c r="L2173" i="3"/>
  <c r="M2172" i="3"/>
  <c r="L2172" i="3"/>
  <c r="M2171" i="3"/>
  <c r="L2171" i="3"/>
  <c r="M2170" i="3"/>
  <c r="L2170" i="3"/>
  <c r="M2169" i="3"/>
  <c r="L2169" i="3"/>
  <c r="M2168" i="3"/>
  <c r="L2168" i="3"/>
  <c r="M2167" i="3"/>
  <c r="L2167" i="3"/>
  <c r="M2166" i="3"/>
  <c r="L2166" i="3"/>
  <c r="M2165" i="3"/>
  <c r="L2165" i="3"/>
  <c r="M2164" i="3"/>
  <c r="L2164" i="3"/>
  <c r="M2163" i="3"/>
  <c r="L2163" i="3"/>
  <c r="M2162" i="3"/>
  <c r="L2162" i="3"/>
  <c r="M2161" i="3"/>
  <c r="L2161" i="3"/>
  <c r="M2160" i="3"/>
  <c r="L2160" i="3"/>
  <c r="M2159" i="3"/>
  <c r="L2159" i="3"/>
  <c r="M2158" i="3"/>
  <c r="L2158" i="3"/>
  <c r="M2157" i="3"/>
  <c r="L2157" i="3"/>
  <c r="M2156" i="3"/>
  <c r="L2156" i="3"/>
  <c r="M2155" i="3"/>
  <c r="L2155" i="3"/>
  <c r="M2154" i="3"/>
  <c r="L2154" i="3"/>
  <c r="M2153" i="3"/>
  <c r="L2153" i="3"/>
  <c r="M2152" i="3"/>
  <c r="L2152" i="3"/>
  <c r="M2151" i="3"/>
  <c r="L2151" i="3"/>
  <c r="M2150" i="3"/>
  <c r="L2150" i="3"/>
  <c r="M2149" i="3"/>
  <c r="L2149" i="3"/>
  <c r="M2148" i="3"/>
  <c r="L2148" i="3"/>
  <c r="M2147" i="3"/>
  <c r="L2147" i="3"/>
  <c r="M2146" i="3"/>
  <c r="L2146" i="3"/>
  <c r="M2145" i="3"/>
  <c r="L2145" i="3"/>
  <c r="M2144" i="3"/>
  <c r="L2144" i="3"/>
  <c r="M2143" i="3"/>
  <c r="L2143" i="3"/>
  <c r="M2142" i="3"/>
  <c r="L2142" i="3"/>
  <c r="M2141" i="3"/>
  <c r="L2141" i="3"/>
  <c r="M2140" i="3"/>
  <c r="L2140" i="3"/>
  <c r="M2139" i="3"/>
  <c r="L2139" i="3"/>
  <c r="M2138" i="3"/>
  <c r="L2138" i="3"/>
  <c r="M2137" i="3"/>
  <c r="L2137" i="3"/>
  <c r="M2136" i="3"/>
  <c r="L2136" i="3"/>
  <c r="M2135" i="3"/>
  <c r="L2135" i="3"/>
  <c r="M2134" i="3"/>
  <c r="L2134" i="3"/>
  <c r="M2133" i="3"/>
  <c r="L2133" i="3"/>
  <c r="M2132" i="3"/>
  <c r="L2132" i="3"/>
  <c r="M2131" i="3"/>
  <c r="L2131" i="3"/>
  <c r="M2130" i="3"/>
  <c r="L2130" i="3"/>
  <c r="M2129" i="3"/>
  <c r="L2129" i="3"/>
  <c r="M2128" i="3"/>
  <c r="L2128" i="3"/>
  <c r="M2127" i="3"/>
  <c r="L2127" i="3"/>
  <c r="M2126" i="3"/>
  <c r="L2126" i="3"/>
  <c r="M2125" i="3"/>
  <c r="L2125" i="3"/>
  <c r="M2124" i="3"/>
  <c r="L2124" i="3"/>
  <c r="M2123" i="3"/>
  <c r="L2123" i="3"/>
  <c r="M2122" i="3"/>
  <c r="L2122" i="3"/>
  <c r="M2121" i="3"/>
  <c r="L2121" i="3"/>
  <c r="M2120" i="3"/>
  <c r="L2120" i="3"/>
  <c r="M2119" i="3"/>
  <c r="L2119" i="3"/>
  <c r="M2118" i="3"/>
  <c r="L2118" i="3"/>
  <c r="M2117" i="3"/>
  <c r="L2117" i="3"/>
  <c r="M2116" i="3"/>
  <c r="L2116" i="3"/>
  <c r="M2115" i="3"/>
  <c r="L2115" i="3"/>
  <c r="M2114" i="3"/>
  <c r="L2114" i="3"/>
  <c r="M2113" i="3"/>
  <c r="L2113" i="3"/>
  <c r="M2112" i="3"/>
  <c r="L2112" i="3"/>
  <c r="M2111" i="3"/>
  <c r="L2111" i="3"/>
  <c r="M2110" i="3"/>
  <c r="L2110" i="3"/>
  <c r="M2109" i="3"/>
  <c r="L2109" i="3"/>
  <c r="M2108" i="3"/>
  <c r="L2108" i="3"/>
  <c r="M2107" i="3"/>
  <c r="L2107" i="3"/>
  <c r="M2106" i="3"/>
  <c r="L2106" i="3"/>
  <c r="M2105" i="3"/>
  <c r="L2105" i="3"/>
  <c r="M2104" i="3"/>
  <c r="L2104" i="3"/>
  <c r="M2103" i="3"/>
  <c r="L2103" i="3"/>
  <c r="M2102" i="3"/>
  <c r="L2102" i="3"/>
  <c r="M2101" i="3"/>
  <c r="L2101" i="3"/>
  <c r="M2100" i="3"/>
  <c r="L2100" i="3"/>
  <c r="M2099" i="3"/>
  <c r="L2099" i="3"/>
  <c r="M2098" i="3"/>
  <c r="L2098" i="3"/>
  <c r="M2097" i="3"/>
  <c r="L2097" i="3"/>
  <c r="M2096" i="3"/>
  <c r="L2096" i="3"/>
  <c r="M2095" i="3"/>
  <c r="L2095" i="3"/>
  <c r="M2094" i="3"/>
  <c r="L2094" i="3"/>
  <c r="M2093" i="3"/>
  <c r="L2093" i="3"/>
  <c r="M2092" i="3"/>
  <c r="L2092" i="3"/>
  <c r="M2091" i="3"/>
  <c r="L2091" i="3"/>
  <c r="M2090" i="3"/>
  <c r="L2090" i="3"/>
  <c r="M2089" i="3"/>
  <c r="L2089" i="3"/>
  <c r="M2088" i="3"/>
  <c r="L2088" i="3"/>
  <c r="M2087" i="3"/>
  <c r="L2087" i="3"/>
  <c r="M2086" i="3"/>
  <c r="L2086" i="3"/>
  <c r="M2085" i="3"/>
  <c r="L2085" i="3"/>
  <c r="M2084" i="3"/>
  <c r="L2084" i="3"/>
  <c r="M2083" i="3"/>
  <c r="L2083" i="3"/>
  <c r="M2082" i="3"/>
  <c r="L2082" i="3"/>
  <c r="M2081" i="3"/>
  <c r="L2081" i="3"/>
  <c r="M2080" i="3"/>
  <c r="L2080" i="3"/>
  <c r="M2079" i="3"/>
  <c r="L2079" i="3"/>
  <c r="M2078" i="3"/>
  <c r="L2078" i="3"/>
  <c r="M2077" i="3"/>
  <c r="L2077" i="3"/>
  <c r="M2076" i="3"/>
  <c r="L2076" i="3"/>
  <c r="M2075" i="3"/>
  <c r="L2075" i="3"/>
  <c r="M2074" i="3"/>
  <c r="L2074" i="3"/>
  <c r="M2073" i="3"/>
  <c r="L2073" i="3"/>
  <c r="M2072" i="3"/>
  <c r="L2072" i="3"/>
  <c r="M2071" i="3"/>
  <c r="L2071" i="3"/>
  <c r="M2070" i="3"/>
  <c r="L2070" i="3"/>
  <c r="M2069" i="3"/>
  <c r="L2069" i="3"/>
  <c r="M2068" i="3"/>
  <c r="L2068" i="3"/>
  <c r="M2067" i="3"/>
  <c r="L2067" i="3"/>
  <c r="M2066" i="3"/>
  <c r="L2066" i="3"/>
  <c r="M2065" i="3"/>
  <c r="L2065" i="3"/>
  <c r="M2064" i="3"/>
  <c r="L2064" i="3"/>
  <c r="M2063" i="3"/>
  <c r="L2063" i="3"/>
  <c r="M2062" i="3"/>
  <c r="L2062" i="3"/>
  <c r="M2061" i="3"/>
  <c r="L2061" i="3"/>
  <c r="M2060" i="3"/>
  <c r="L2060" i="3"/>
  <c r="M2059" i="3"/>
  <c r="L2059" i="3"/>
  <c r="M2058" i="3"/>
  <c r="L2058" i="3"/>
  <c r="M2057" i="3"/>
  <c r="L2057" i="3"/>
  <c r="M2056" i="3"/>
  <c r="L2056" i="3"/>
  <c r="M2055" i="3"/>
  <c r="L2055" i="3"/>
  <c r="M2054" i="3"/>
  <c r="L2054" i="3"/>
  <c r="M2053" i="3"/>
  <c r="L2053" i="3"/>
  <c r="M2052" i="3"/>
  <c r="L2052" i="3"/>
  <c r="M2051" i="3"/>
  <c r="L2051" i="3"/>
  <c r="M2050" i="3"/>
  <c r="L2050" i="3"/>
  <c r="M2049" i="3"/>
  <c r="L2049" i="3"/>
  <c r="M2048" i="3"/>
  <c r="L2048" i="3"/>
  <c r="M2047" i="3"/>
  <c r="L2047" i="3"/>
  <c r="M2046" i="3"/>
  <c r="L2046" i="3"/>
  <c r="M2045" i="3"/>
  <c r="L2045" i="3"/>
  <c r="M2044" i="3"/>
  <c r="L2044" i="3"/>
  <c r="M2043" i="3"/>
  <c r="L2043" i="3"/>
  <c r="M2042" i="3"/>
  <c r="L2042" i="3"/>
  <c r="M2041" i="3"/>
  <c r="L2041" i="3"/>
  <c r="M2040" i="3"/>
  <c r="L2040" i="3"/>
  <c r="M2039" i="3"/>
  <c r="L2039" i="3"/>
  <c r="M2038" i="3"/>
  <c r="L2038" i="3"/>
  <c r="M2037" i="3"/>
  <c r="L2037" i="3"/>
  <c r="M2036" i="3"/>
  <c r="L2036" i="3"/>
  <c r="M2035" i="3"/>
  <c r="L2035" i="3"/>
  <c r="M2034" i="3"/>
  <c r="L2034" i="3"/>
  <c r="M2033" i="3"/>
  <c r="L2033" i="3"/>
  <c r="M2032" i="3"/>
  <c r="L2032" i="3"/>
  <c r="M2031" i="3"/>
  <c r="L2031" i="3"/>
  <c r="M2030" i="3"/>
  <c r="L2030" i="3"/>
  <c r="M2029" i="3"/>
  <c r="L2029" i="3"/>
  <c r="M2028" i="3"/>
  <c r="L2028" i="3"/>
  <c r="M2027" i="3"/>
  <c r="L2027" i="3"/>
  <c r="M2026" i="3"/>
  <c r="L2026" i="3"/>
  <c r="M2025" i="3"/>
  <c r="L2025" i="3"/>
  <c r="M2024" i="3"/>
  <c r="L2024" i="3"/>
  <c r="M2023" i="3"/>
  <c r="L2023" i="3"/>
  <c r="M2022" i="3"/>
  <c r="L2022" i="3"/>
  <c r="M2021" i="3"/>
  <c r="L2021" i="3"/>
  <c r="M2020" i="3"/>
  <c r="L2020" i="3"/>
  <c r="M2019" i="3"/>
  <c r="L2019" i="3"/>
  <c r="M2018" i="3"/>
  <c r="L2018" i="3"/>
  <c r="M2017" i="3"/>
  <c r="L2017" i="3"/>
  <c r="M2016" i="3"/>
  <c r="L2016" i="3"/>
  <c r="M2015" i="3"/>
  <c r="L2015" i="3"/>
  <c r="M2014" i="3"/>
  <c r="L2014" i="3"/>
  <c r="M2013" i="3"/>
  <c r="L2013" i="3"/>
  <c r="M2012" i="3"/>
  <c r="L2012" i="3"/>
  <c r="M2011" i="3"/>
  <c r="L2011" i="3"/>
  <c r="M2010" i="3"/>
  <c r="L2010" i="3"/>
  <c r="M2009" i="3"/>
  <c r="L2009" i="3"/>
  <c r="M2008" i="3"/>
  <c r="L2008" i="3"/>
  <c r="M2007" i="3"/>
  <c r="L2007" i="3"/>
  <c r="M2006" i="3"/>
  <c r="L2006" i="3"/>
  <c r="M2005" i="3"/>
  <c r="L2005" i="3"/>
  <c r="M2004" i="3"/>
  <c r="L2004" i="3"/>
  <c r="M2003" i="3"/>
  <c r="L2003" i="3"/>
  <c r="M2002" i="3"/>
  <c r="L2002" i="3"/>
  <c r="M2001" i="3"/>
  <c r="L2001" i="3"/>
  <c r="M2000" i="3"/>
  <c r="L2000" i="3"/>
  <c r="M1999" i="3"/>
  <c r="L1999" i="3"/>
  <c r="M1998" i="3"/>
  <c r="L1998" i="3"/>
  <c r="M1997" i="3"/>
  <c r="L1997" i="3"/>
  <c r="M1996" i="3"/>
  <c r="L1996" i="3"/>
  <c r="M1995" i="3"/>
  <c r="L1995" i="3"/>
  <c r="M1994" i="3"/>
  <c r="L1994" i="3"/>
  <c r="M1993" i="3"/>
  <c r="L1993" i="3"/>
  <c r="M1992" i="3"/>
  <c r="L1992" i="3"/>
  <c r="M1991" i="3"/>
  <c r="L1991" i="3"/>
  <c r="M1990" i="3"/>
  <c r="L1990" i="3"/>
  <c r="M1989" i="3"/>
  <c r="L1989" i="3"/>
  <c r="M1988" i="3"/>
  <c r="L1988" i="3"/>
  <c r="M1987" i="3"/>
  <c r="L1987" i="3"/>
  <c r="M1986" i="3"/>
  <c r="L1986" i="3"/>
  <c r="M1985" i="3"/>
  <c r="L1985" i="3"/>
  <c r="M1984" i="3"/>
  <c r="L1984" i="3"/>
  <c r="M1983" i="3"/>
  <c r="L1983" i="3"/>
  <c r="M1982" i="3"/>
  <c r="L1982" i="3"/>
  <c r="M1981" i="3"/>
  <c r="L1981" i="3"/>
  <c r="M1980" i="3"/>
  <c r="L1980" i="3"/>
  <c r="M1979" i="3"/>
  <c r="L1979" i="3"/>
  <c r="M1978" i="3"/>
  <c r="L1978" i="3"/>
  <c r="M1977" i="3"/>
  <c r="L1977" i="3"/>
  <c r="M1976" i="3"/>
  <c r="L1976" i="3"/>
  <c r="M1975" i="3"/>
  <c r="L1975" i="3"/>
  <c r="M1974" i="3"/>
  <c r="L1974" i="3"/>
  <c r="M1973" i="3"/>
  <c r="L1973" i="3"/>
  <c r="M1972" i="3"/>
  <c r="L1972" i="3"/>
  <c r="M1971" i="3"/>
  <c r="L1971" i="3"/>
  <c r="M1970" i="3"/>
  <c r="L1970" i="3"/>
  <c r="M1969" i="3"/>
  <c r="L1969" i="3"/>
  <c r="M1968" i="3"/>
  <c r="L1968" i="3"/>
  <c r="M1967" i="3"/>
  <c r="L1967" i="3"/>
  <c r="M1966" i="3"/>
  <c r="L1966" i="3"/>
  <c r="M1965" i="3"/>
  <c r="L1965" i="3"/>
  <c r="M1964" i="3"/>
  <c r="L1964" i="3"/>
  <c r="M1963" i="3"/>
  <c r="L1963" i="3"/>
  <c r="M1962" i="3"/>
  <c r="L1962" i="3"/>
  <c r="M1961" i="3"/>
  <c r="L1961" i="3"/>
  <c r="M1960" i="3"/>
  <c r="L1960" i="3"/>
  <c r="M1959" i="3"/>
  <c r="L1959" i="3"/>
  <c r="M1958" i="3"/>
  <c r="L1958" i="3"/>
  <c r="M1957" i="3"/>
  <c r="L1957" i="3"/>
  <c r="M1956" i="3"/>
  <c r="L1956" i="3"/>
  <c r="M1955" i="3"/>
  <c r="L1955" i="3"/>
  <c r="M1954" i="3"/>
  <c r="L1954" i="3"/>
  <c r="M1953" i="3"/>
  <c r="L1953" i="3"/>
  <c r="M1952" i="3"/>
  <c r="L1952" i="3"/>
  <c r="M1951" i="3"/>
  <c r="L1951" i="3"/>
  <c r="M1950" i="3"/>
  <c r="L1950" i="3"/>
  <c r="M1949" i="3"/>
  <c r="L1949" i="3"/>
  <c r="M1948" i="3"/>
  <c r="L1948" i="3"/>
  <c r="M1947" i="3"/>
  <c r="L1947" i="3"/>
  <c r="M1946" i="3"/>
  <c r="L1946" i="3"/>
  <c r="M1945" i="3"/>
  <c r="L1945" i="3"/>
  <c r="M1944" i="3"/>
  <c r="L1944" i="3"/>
  <c r="M1943" i="3"/>
  <c r="L1943" i="3"/>
  <c r="M1942" i="3"/>
  <c r="L1942" i="3"/>
  <c r="M1941" i="3"/>
  <c r="L1941" i="3"/>
  <c r="M1940" i="3"/>
  <c r="L1940" i="3"/>
  <c r="M1939" i="3"/>
  <c r="L1939" i="3"/>
  <c r="M1938" i="3"/>
  <c r="L1938" i="3"/>
  <c r="M1937" i="3"/>
  <c r="L1937" i="3"/>
  <c r="M1936" i="3"/>
  <c r="L1936" i="3"/>
  <c r="M1935" i="3"/>
  <c r="L1935" i="3"/>
  <c r="M1934" i="3"/>
  <c r="L1934" i="3"/>
  <c r="M1933" i="3"/>
  <c r="L1933" i="3"/>
  <c r="M1932" i="3"/>
  <c r="L1932" i="3"/>
  <c r="M1931" i="3"/>
  <c r="L1931" i="3"/>
  <c r="M1930" i="3"/>
  <c r="L1930" i="3"/>
  <c r="M1929" i="3"/>
  <c r="L1929" i="3"/>
  <c r="M1928" i="3"/>
  <c r="L1928" i="3"/>
  <c r="M1927" i="3"/>
  <c r="L1927" i="3"/>
  <c r="M1926" i="3"/>
  <c r="L1926" i="3"/>
  <c r="M1925" i="3"/>
  <c r="L1925" i="3"/>
  <c r="M1924" i="3"/>
  <c r="L1924" i="3"/>
  <c r="M1923" i="3"/>
  <c r="L1923" i="3"/>
  <c r="M1922" i="3"/>
  <c r="L1922" i="3"/>
  <c r="M1921" i="3"/>
  <c r="L1921" i="3"/>
  <c r="M1920" i="3"/>
  <c r="L1920" i="3"/>
  <c r="M1919" i="3"/>
  <c r="L1919" i="3"/>
  <c r="M1918" i="3"/>
  <c r="L1918" i="3"/>
  <c r="M1917" i="3"/>
  <c r="L1917" i="3"/>
  <c r="M1916" i="3"/>
  <c r="L1916" i="3"/>
  <c r="M1915" i="3"/>
  <c r="L1915" i="3"/>
  <c r="M1914" i="3"/>
  <c r="L1914" i="3"/>
  <c r="M1913" i="3"/>
  <c r="L1913" i="3"/>
  <c r="M1912" i="3"/>
  <c r="L1912" i="3"/>
  <c r="M1911" i="3"/>
  <c r="L1911" i="3"/>
  <c r="M1910" i="3"/>
  <c r="L1910" i="3"/>
  <c r="M1909" i="3"/>
  <c r="L1909" i="3"/>
  <c r="M1908" i="3"/>
  <c r="L1908" i="3"/>
  <c r="M1907" i="3"/>
  <c r="L1907" i="3"/>
  <c r="M1906" i="3"/>
  <c r="L1906" i="3"/>
  <c r="M1905" i="3"/>
  <c r="L1905" i="3"/>
  <c r="M1904" i="3"/>
  <c r="L1904" i="3"/>
  <c r="M1903" i="3"/>
  <c r="L1903" i="3"/>
  <c r="M1902" i="3"/>
  <c r="L1902" i="3"/>
  <c r="M1901" i="3"/>
  <c r="L1901" i="3"/>
  <c r="M1900" i="3"/>
  <c r="L1900" i="3"/>
  <c r="M1899" i="3"/>
  <c r="L1899" i="3"/>
  <c r="M1898" i="3"/>
  <c r="L1898" i="3"/>
  <c r="M1897" i="3"/>
  <c r="L1897" i="3"/>
  <c r="M1896" i="3"/>
  <c r="L1896" i="3"/>
  <c r="M1895" i="3"/>
  <c r="L1895" i="3"/>
  <c r="M1894" i="3"/>
  <c r="L1894" i="3"/>
  <c r="M1893" i="3"/>
  <c r="L1893" i="3"/>
  <c r="M1892" i="3"/>
  <c r="L1892" i="3"/>
  <c r="M1891" i="3"/>
  <c r="L1891" i="3"/>
  <c r="M1890" i="3"/>
  <c r="L1890" i="3"/>
  <c r="M1889" i="3"/>
  <c r="L1889" i="3"/>
  <c r="M1888" i="3"/>
  <c r="L1888" i="3"/>
  <c r="M1887" i="3"/>
  <c r="L1887" i="3"/>
  <c r="M1886" i="3"/>
  <c r="L1886" i="3"/>
  <c r="M1885" i="3"/>
  <c r="L1885" i="3"/>
  <c r="M1884" i="3"/>
  <c r="L1884" i="3"/>
  <c r="M1883" i="3"/>
  <c r="L1883" i="3"/>
  <c r="M1882" i="3"/>
  <c r="L1882" i="3"/>
  <c r="M1881" i="3"/>
  <c r="L1881" i="3"/>
  <c r="M1880" i="3"/>
  <c r="L1880" i="3"/>
  <c r="M1879" i="3"/>
  <c r="L1879" i="3"/>
  <c r="M1878" i="3"/>
  <c r="L1878" i="3"/>
  <c r="M1877" i="3"/>
  <c r="L1877" i="3"/>
  <c r="M1876" i="3"/>
  <c r="L1876" i="3"/>
  <c r="M1875" i="3"/>
  <c r="L1875" i="3"/>
  <c r="M1874" i="3"/>
  <c r="L1874" i="3"/>
  <c r="M1873" i="3"/>
  <c r="L1873" i="3"/>
  <c r="M1872" i="3"/>
  <c r="L1872" i="3"/>
  <c r="M1871" i="3"/>
  <c r="L1871" i="3"/>
  <c r="M1870" i="3"/>
  <c r="L1870" i="3"/>
  <c r="M1869" i="3"/>
  <c r="L1869" i="3"/>
  <c r="M1868" i="3"/>
  <c r="L1868" i="3"/>
  <c r="M1867" i="3"/>
  <c r="L1867" i="3"/>
  <c r="M1866" i="3"/>
  <c r="L1866" i="3"/>
  <c r="M1865" i="3"/>
  <c r="L1865" i="3"/>
  <c r="M1864" i="3"/>
  <c r="L1864" i="3"/>
  <c r="M1863" i="3"/>
  <c r="L1863" i="3"/>
  <c r="M1862" i="3"/>
  <c r="L1862" i="3"/>
  <c r="M1861" i="3"/>
  <c r="L1861" i="3"/>
  <c r="M1860" i="3"/>
  <c r="L1860" i="3"/>
  <c r="M1859" i="3"/>
  <c r="L1859" i="3"/>
  <c r="M1858" i="3"/>
  <c r="L1858" i="3"/>
  <c r="M1857" i="3"/>
  <c r="L1857" i="3"/>
  <c r="M1856" i="3"/>
  <c r="L1856" i="3"/>
  <c r="M1855" i="3"/>
  <c r="L1855" i="3"/>
  <c r="M1854" i="3"/>
  <c r="L1854" i="3"/>
  <c r="M1853" i="3"/>
  <c r="L1853" i="3"/>
  <c r="M1852" i="3"/>
  <c r="L1852" i="3"/>
  <c r="M1851" i="3"/>
  <c r="L1851" i="3"/>
  <c r="M1850" i="3"/>
  <c r="L1850" i="3"/>
  <c r="M1849" i="3"/>
  <c r="L1849" i="3"/>
  <c r="M1848" i="3"/>
  <c r="L1848" i="3"/>
  <c r="M1847" i="3"/>
  <c r="L1847" i="3"/>
  <c r="M1846" i="3"/>
  <c r="L1846" i="3"/>
  <c r="M1845" i="3"/>
  <c r="L1845" i="3"/>
  <c r="M1844" i="3"/>
  <c r="L1844" i="3"/>
  <c r="M1843" i="3"/>
  <c r="L1843" i="3"/>
  <c r="M1842" i="3"/>
  <c r="L1842" i="3"/>
  <c r="M1841" i="3"/>
  <c r="L1841" i="3"/>
  <c r="M1840" i="3"/>
  <c r="L1840" i="3"/>
  <c r="M1839" i="3"/>
  <c r="L1839" i="3"/>
  <c r="M1838" i="3"/>
  <c r="L1838" i="3"/>
  <c r="M1837" i="3"/>
  <c r="L1837" i="3"/>
  <c r="M1836" i="3"/>
  <c r="L1836" i="3"/>
  <c r="M1835" i="3"/>
  <c r="L1835" i="3"/>
  <c r="M1834" i="3"/>
  <c r="L1834" i="3"/>
  <c r="M1833" i="3"/>
  <c r="L1833" i="3"/>
  <c r="M1832" i="3"/>
  <c r="L1832" i="3"/>
  <c r="M1831" i="3"/>
  <c r="L1831" i="3"/>
  <c r="M1830" i="3"/>
  <c r="L1830" i="3"/>
  <c r="M1829" i="3"/>
  <c r="L1829" i="3"/>
  <c r="M1828" i="3"/>
  <c r="L1828" i="3"/>
  <c r="M1827" i="3"/>
  <c r="L1827" i="3"/>
  <c r="M1826" i="3"/>
  <c r="L1826" i="3"/>
  <c r="M1825" i="3"/>
  <c r="L1825" i="3"/>
  <c r="M1824" i="3"/>
  <c r="L1824" i="3"/>
  <c r="M1823" i="3"/>
  <c r="L1823" i="3"/>
  <c r="M1822" i="3"/>
  <c r="L1822" i="3"/>
  <c r="M1821" i="3"/>
  <c r="L1821" i="3"/>
  <c r="M1820" i="3"/>
  <c r="L1820" i="3"/>
  <c r="M1819" i="3"/>
  <c r="L1819" i="3"/>
  <c r="M1818" i="3"/>
  <c r="L1818" i="3"/>
  <c r="M1817" i="3"/>
  <c r="L1817" i="3"/>
  <c r="M1816" i="3"/>
  <c r="L1816" i="3"/>
  <c r="M1815" i="3"/>
  <c r="L1815" i="3"/>
  <c r="M1814" i="3"/>
  <c r="L1814" i="3"/>
  <c r="M1813" i="3"/>
  <c r="L1813" i="3"/>
  <c r="M1812" i="3"/>
  <c r="L1812" i="3"/>
  <c r="M1811" i="3"/>
  <c r="L1811" i="3"/>
  <c r="M1810" i="3"/>
  <c r="L1810" i="3"/>
  <c r="M1809" i="3"/>
  <c r="L1809" i="3"/>
  <c r="M1808" i="3"/>
  <c r="L1808" i="3"/>
  <c r="M1807" i="3"/>
  <c r="L1807" i="3"/>
  <c r="M1806" i="3"/>
  <c r="L1806" i="3"/>
  <c r="M1805" i="3"/>
  <c r="L1805" i="3"/>
  <c r="M1804" i="3"/>
  <c r="L1804" i="3"/>
  <c r="M1803" i="3"/>
  <c r="L1803" i="3"/>
  <c r="M1802" i="3"/>
  <c r="L1802" i="3"/>
  <c r="M1801" i="3"/>
  <c r="L1801" i="3"/>
  <c r="M1800" i="3"/>
  <c r="L1800" i="3"/>
  <c r="M1799" i="3"/>
  <c r="L1799" i="3"/>
  <c r="M1798" i="3"/>
  <c r="L1798" i="3"/>
  <c r="M1797" i="3"/>
  <c r="L1797" i="3"/>
  <c r="M1796" i="3"/>
  <c r="L1796" i="3"/>
  <c r="M1795" i="3"/>
  <c r="L1795" i="3"/>
  <c r="M1794" i="3"/>
  <c r="L1794" i="3"/>
  <c r="M1793" i="3"/>
  <c r="L1793" i="3"/>
  <c r="M1792" i="3"/>
  <c r="L1792" i="3"/>
  <c r="M1791" i="3"/>
  <c r="L1791" i="3"/>
  <c r="M1790" i="3"/>
  <c r="L1790" i="3"/>
  <c r="M1789" i="3"/>
  <c r="L1789" i="3"/>
  <c r="M1788" i="3"/>
  <c r="L1788" i="3"/>
  <c r="M1787" i="3"/>
  <c r="L1787" i="3"/>
  <c r="M1786" i="3"/>
  <c r="L1786" i="3"/>
  <c r="M1785" i="3"/>
  <c r="L1785" i="3"/>
  <c r="M1784" i="3"/>
  <c r="L1784" i="3"/>
  <c r="M1783" i="3"/>
  <c r="L1783" i="3"/>
  <c r="M1782" i="3"/>
  <c r="L1782" i="3"/>
  <c r="M1781" i="3"/>
  <c r="L1781" i="3"/>
  <c r="M1780" i="3"/>
  <c r="L1780" i="3"/>
  <c r="M1779" i="3"/>
  <c r="L1779" i="3"/>
  <c r="M1778" i="3"/>
  <c r="L1778" i="3"/>
  <c r="M1777" i="3"/>
  <c r="L1777" i="3"/>
  <c r="M1776" i="3"/>
  <c r="L1776" i="3"/>
  <c r="M1775" i="3"/>
  <c r="L1775" i="3"/>
  <c r="M1774" i="3"/>
  <c r="L1774" i="3"/>
  <c r="M1773" i="3"/>
  <c r="L1773" i="3"/>
  <c r="M1772" i="3"/>
  <c r="L1772" i="3"/>
  <c r="M1771" i="3"/>
  <c r="L1771" i="3"/>
  <c r="M1770" i="3"/>
  <c r="L1770" i="3"/>
  <c r="M1769" i="3"/>
  <c r="L1769" i="3"/>
  <c r="M1768" i="3"/>
  <c r="L1768" i="3"/>
  <c r="M1767" i="3"/>
  <c r="L1767" i="3"/>
  <c r="M1766" i="3"/>
  <c r="L1766" i="3"/>
  <c r="M1765" i="3"/>
  <c r="L1765" i="3"/>
  <c r="M1764" i="3"/>
  <c r="L1764" i="3"/>
  <c r="M1763" i="3"/>
  <c r="L1763" i="3"/>
  <c r="M1762" i="3"/>
  <c r="L1762" i="3"/>
  <c r="M1761" i="3"/>
  <c r="L1761" i="3"/>
  <c r="M1760" i="3"/>
  <c r="L1760" i="3"/>
  <c r="M1759" i="3"/>
  <c r="L1759" i="3"/>
  <c r="M1758" i="3"/>
  <c r="L1758" i="3"/>
  <c r="M1757" i="3"/>
  <c r="L1757" i="3"/>
  <c r="M1756" i="3"/>
  <c r="L1756" i="3"/>
  <c r="M1755" i="3"/>
  <c r="L1755" i="3"/>
  <c r="M1754" i="3"/>
  <c r="L1754" i="3"/>
  <c r="M1753" i="3"/>
  <c r="L1753" i="3"/>
  <c r="M1752" i="3"/>
  <c r="L1752" i="3"/>
  <c r="M1751" i="3"/>
  <c r="L1751" i="3"/>
  <c r="M1750" i="3"/>
  <c r="L1750" i="3"/>
  <c r="M1749" i="3"/>
  <c r="L1749" i="3"/>
  <c r="M1748" i="3"/>
  <c r="L1748" i="3"/>
  <c r="M1747" i="3"/>
  <c r="L1747" i="3"/>
  <c r="M1746" i="3"/>
  <c r="L1746" i="3"/>
  <c r="M1745" i="3"/>
  <c r="L1745" i="3"/>
  <c r="M1744" i="3"/>
  <c r="L1744" i="3"/>
  <c r="M1743" i="3"/>
  <c r="L1743" i="3"/>
  <c r="M1742" i="3"/>
  <c r="L1742" i="3"/>
  <c r="M1741" i="3"/>
  <c r="L1741" i="3"/>
  <c r="M1740" i="3"/>
  <c r="L1740" i="3"/>
  <c r="M1739" i="3"/>
  <c r="L1739" i="3"/>
  <c r="M1738" i="3"/>
  <c r="L1738" i="3"/>
  <c r="M1737" i="3"/>
  <c r="L1737" i="3"/>
  <c r="M1736" i="3"/>
  <c r="L1736" i="3"/>
  <c r="M1735" i="3"/>
  <c r="L1735" i="3"/>
  <c r="M1734" i="3"/>
  <c r="L1734" i="3"/>
  <c r="M1733" i="3"/>
  <c r="L1733" i="3"/>
  <c r="M1732" i="3"/>
  <c r="L1732" i="3"/>
  <c r="M1731" i="3"/>
  <c r="L1731" i="3"/>
  <c r="M1730" i="3"/>
  <c r="L1730" i="3"/>
  <c r="M1729" i="3"/>
  <c r="L1729" i="3"/>
  <c r="M1728" i="3"/>
  <c r="L1728" i="3"/>
  <c r="M1727" i="3"/>
  <c r="L1727" i="3"/>
  <c r="M1726" i="3"/>
  <c r="L1726" i="3"/>
  <c r="M1725" i="3"/>
  <c r="L1725" i="3"/>
  <c r="M1724" i="3"/>
  <c r="L1724" i="3"/>
  <c r="M1723" i="3"/>
  <c r="L1723" i="3"/>
  <c r="M1722" i="3"/>
  <c r="L1722" i="3"/>
  <c r="M1721" i="3"/>
  <c r="L1721" i="3"/>
  <c r="M1720" i="3"/>
  <c r="L1720" i="3"/>
  <c r="M1719" i="3"/>
  <c r="L1719" i="3"/>
  <c r="M1718" i="3"/>
  <c r="L1718" i="3"/>
  <c r="M1717" i="3"/>
  <c r="L1717" i="3"/>
  <c r="M1716" i="3"/>
  <c r="L1716" i="3"/>
  <c r="M1715" i="3"/>
  <c r="L1715" i="3"/>
  <c r="M1714" i="3"/>
  <c r="L1714" i="3"/>
  <c r="M1713" i="3"/>
  <c r="L1713" i="3"/>
  <c r="M1712" i="3"/>
  <c r="L1712" i="3"/>
  <c r="M1711" i="3"/>
  <c r="L1711" i="3"/>
  <c r="M1710" i="3"/>
  <c r="L1710" i="3"/>
  <c r="M1709" i="3"/>
  <c r="L1709" i="3"/>
  <c r="M1708" i="3"/>
  <c r="L1708" i="3"/>
  <c r="M1707" i="3"/>
  <c r="L1707" i="3"/>
  <c r="M1706" i="3"/>
  <c r="L1706" i="3"/>
  <c r="M1705" i="3"/>
  <c r="L1705" i="3"/>
  <c r="M1704" i="3"/>
  <c r="L1704" i="3"/>
  <c r="M1703" i="3"/>
  <c r="L1703" i="3"/>
  <c r="M1702" i="3"/>
  <c r="L1702" i="3"/>
  <c r="M1701" i="3"/>
  <c r="L1701" i="3"/>
  <c r="M1700" i="3"/>
  <c r="L1700" i="3"/>
  <c r="M1699" i="3"/>
  <c r="L1699" i="3"/>
  <c r="M1698" i="3"/>
  <c r="L1698" i="3"/>
  <c r="M1697" i="3"/>
  <c r="L1697" i="3"/>
  <c r="M1696" i="3"/>
  <c r="L1696" i="3"/>
  <c r="M1695" i="3"/>
  <c r="L1695" i="3"/>
  <c r="M1694" i="3"/>
  <c r="L1694" i="3"/>
  <c r="M1693" i="3"/>
  <c r="L1693" i="3"/>
  <c r="M1692" i="3"/>
  <c r="L1692" i="3"/>
  <c r="M1691" i="3"/>
  <c r="L1691" i="3"/>
  <c r="M1690" i="3"/>
  <c r="L1690" i="3"/>
  <c r="M1689" i="3"/>
  <c r="L1689" i="3"/>
  <c r="M1688" i="3"/>
  <c r="L1688" i="3"/>
  <c r="M1687" i="3"/>
  <c r="L1687" i="3"/>
  <c r="M1686" i="3"/>
  <c r="L1686" i="3"/>
  <c r="M1685" i="3"/>
  <c r="L1685" i="3"/>
  <c r="M1684" i="3"/>
  <c r="L1684" i="3"/>
  <c r="M1683" i="3"/>
  <c r="L1683" i="3"/>
  <c r="M1682" i="3"/>
  <c r="L1682" i="3"/>
  <c r="M1681" i="3"/>
  <c r="L1681" i="3"/>
  <c r="M1680" i="3"/>
  <c r="L1680" i="3"/>
  <c r="M1679" i="3"/>
  <c r="L1679" i="3"/>
  <c r="M1678" i="3"/>
  <c r="L1678" i="3"/>
  <c r="M1677" i="3"/>
  <c r="L1677" i="3"/>
  <c r="M1676" i="3"/>
  <c r="L1676" i="3"/>
  <c r="M1675" i="3"/>
  <c r="L1675" i="3"/>
  <c r="M1674" i="3"/>
  <c r="L1674" i="3"/>
  <c r="M1673" i="3"/>
  <c r="L1673" i="3"/>
  <c r="M1672" i="3"/>
  <c r="L1672" i="3"/>
  <c r="M1671" i="3"/>
  <c r="L1671" i="3"/>
  <c r="M1670" i="3"/>
  <c r="L1670" i="3"/>
  <c r="M1669" i="3"/>
  <c r="L1669" i="3"/>
  <c r="M1668" i="3"/>
  <c r="L1668" i="3"/>
  <c r="M1667" i="3"/>
  <c r="L1667" i="3"/>
  <c r="M1666" i="3"/>
  <c r="L1666" i="3"/>
  <c r="M1665" i="3"/>
  <c r="L1665" i="3"/>
  <c r="M1664" i="3"/>
  <c r="L1664" i="3"/>
  <c r="M1663" i="3"/>
  <c r="L1663" i="3"/>
  <c r="M1662" i="3"/>
  <c r="L1662" i="3"/>
  <c r="M1661" i="3"/>
  <c r="L1661" i="3"/>
  <c r="M1660" i="3"/>
  <c r="L1660" i="3"/>
  <c r="M1659" i="3"/>
  <c r="L1659" i="3"/>
  <c r="M1658" i="3"/>
  <c r="L1658" i="3"/>
  <c r="M1657" i="3"/>
  <c r="L1657" i="3"/>
  <c r="M1656" i="3"/>
  <c r="L1656" i="3"/>
  <c r="M1655" i="3"/>
  <c r="L1655" i="3"/>
  <c r="M1654" i="3"/>
  <c r="L1654" i="3"/>
  <c r="M1653" i="3"/>
  <c r="L1653" i="3"/>
  <c r="M1652" i="3"/>
  <c r="L1652" i="3"/>
  <c r="M1651" i="3"/>
  <c r="L1651" i="3"/>
  <c r="M1650" i="3"/>
  <c r="L1650" i="3"/>
  <c r="M1649" i="3"/>
  <c r="L1649" i="3"/>
  <c r="M1648" i="3"/>
  <c r="L1648" i="3"/>
  <c r="M1647" i="3"/>
  <c r="L1647" i="3"/>
  <c r="M1646" i="3"/>
  <c r="L1646" i="3"/>
  <c r="M1645" i="3"/>
  <c r="L1645" i="3"/>
  <c r="M1644" i="3"/>
  <c r="L1644" i="3"/>
  <c r="M1643" i="3"/>
  <c r="L1643" i="3"/>
  <c r="M1642" i="3"/>
  <c r="L1642" i="3"/>
  <c r="M1641" i="3"/>
  <c r="L1641" i="3"/>
  <c r="M1640" i="3"/>
  <c r="L1640" i="3"/>
  <c r="M1639" i="3"/>
  <c r="L1639" i="3"/>
  <c r="M1638" i="3"/>
  <c r="L1638" i="3"/>
  <c r="M1637" i="3"/>
  <c r="L1637" i="3"/>
  <c r="M1636" i="3"/>
  <c r="L1636" i="3"/>
  <c r="M1635" i="3"/>
  <c r="L1635" i="3"/>
  <c r="M1634" i="3"/>
  <c r="L1634" i="3"/>
  <c r="M1633" i="3"/>
  <c r="L1633" i="3"/>
  <c r="M1632" i="3"/>
  <c r="L1632" i="3"/>
  <c r="M1631" i="3"/>
  <c r="L1631" i="3"/>
  <c r="M1630" i="3"/>
  <c r="L1630" i="3"/>
  <c r="M1629" i="3"/>
  <c r="L1629" i="3"/>
  <c r="M1628" i="3"/>
  <c r="L1628" i="3"/>
  <c r="M1627" i="3"/>
  <c r="L1627" i="3"/>
  <c r="M1626" i="3"/>
  <c r="L1626" i="3"/>
  <c r="M1625" i="3"/>
  <c r="L1625" i="3"/>
  <c r="M1624" i="3"/>
  <c r="L1624" i="3"/>
  <c r="M1623" i="3"/>
  <c r="L1623" i="3"/>
  <c r="M1622" i="3"/>
  <c r="L1622" i="3"/>
  <c r="M1621" i="3"/>
  <c r="L1621" i="3"/>
  <c r="M1620" i="3"/>
  <c r="L1620" i="3"/>
  <c r="M1619" i="3"/>
  <c r="L1619" i="3"/>
  <c r="M1618" i="3"/>
  <c r="L1618" i="3"/>
  <c r="M1617" i="3"/>
  <c r="L1617" i="3"/>
  <c r="M1616" i="3"/>
  <c r="L1616" i="3"/>
  <c r="M1615" i="3"/>
  <c r="L1615" i="3"/>
  <c r="M1614" i="3"/>
  <c r="L1614" i="3"/>
  <c r="M1613" i="3"/>
  <c r="L1613" i="3"/>
  <c r="M1612" i="3"/>
  <c r="L1612" i="3"/>
  <c r="M1611" i="3"/>
  <c r="L1611" i="3"/>
  <c r="M1610" i="3"/>
  <c r="L1610" i="3"/>
  <c r="M1609" i="3"/>
  <c r="L1609" i="3"/>
  <c r="M1608" i="3"/>
  <c r="L1608" i="3"/>
  <c r="M1607" i="3"/>
  <c r="L1607" i="3"/>
  <c r="M1606" i="3"/>
  <c r="L1606" i="3"/>
  <c r="M1605" i="3"/>
  <c r="L1605" i="3"/>
  <c r="M1604" i="3"/>
  <c r="L1604" i="3"/>
  <c r="M1603" i="3"/>
  <c r="L1603" i="3"/>
  <c r="M1602" i="3"/>
  <c r="L1602" i="3"/>
  <c r="M1601" i="3"/>
  <c r="L1601" i="3"/>
  <c r="M1600" i="3"/>
  <c r="L1600" i="3"/>
  <c r="M1599" i="3"/>
  <c r="L1599" i="3"/>
  <c r="M1598" i="3"/>
  <c r="L1598" i="3"/>
  <c r="M1597" i="3"/>
  <c r="L1597" i="3"/>
  <c r="M1596" i="3"/>
  <c r="L1596" i="3"/>
  <c r="M1595" i="3"/>
  <c r="L1595" i="3"/>
  <c r="M1594" i="3"/>
  <c r="L1594" i="3"/>
  <c r="M1593" i="3"/>
  <c r="L1593" i="3"/>
  <c r="M1592" i="3"/>
  <c r="L1592" i="3"/>
  <c r="M1591" i="3"/>
  <c r="L1591" i="3"/>
  <c r="M1590" i="3"/>
  <c r="L1590" i="3"/>
  <c r="M1589" i="3"/>
  <c r="L1589" i="3"/>
  <c r="M1588" i="3"/>
  <c r="L1588" i="3"/>
  <c r="M1587" i="3"/>
  <c r="L1587" i="3"/>
  <c r="M1586" i="3"/>
  <c r="L1586" i="3"/>
  <c r="M1585" i="3"/>
  <c r="L1585" i="3"/>
  <c r="M1584" i="3"/>
  <c r="L1584" i="3"/>
  <c r="M1583" i="3"/>
  <c r="L1583" i="3"/>
  <c r="M1582" i="3"/>
  <c r="L1582" i="3"/>
  <c r="M1581" i="3"/>
  <c r="L1581" i="3"/>
  <c r="M1580" i="3"/>
  <c r="L1580" i="3"/>
  <c r="M1579" i="3"/>
  <c r="L1579" i="3"/>
  <c r="M1578" i="3"/>
  <c r="L1578" i="3"/>
  <c r="M1577" i="3"/>
  <c r="L1577" i="3"/>
  <c r="M1576" i="3"/>
  <c r="L1576" i="3"/>
  <c r="M1575" i="3"/>
  <c r="L1575" i="3"/>
  <c r="M1574" i="3"/>
  <c r="L1574" i="3"/>
  <c r="M1573" i="3"/>
  <c r="L1573" i="3"/>
  <c r="M1572" i="3"/>
  <c r="L1572" i="3"/>
  <c r="M1571" i="3"/>
  <c r="L1571" i="3"/>
  <c r="M1570" i="3"/>
  <c r="L1570" i="3"/>
  <c r="M1569" i="3"/>
  <c r="L1569" i="3"/>
  <c r="M1568" i="3"/>
  <c r="L1568" i="3"/>
  <c r="M1567" i="3"/>
  <c r="L1567" i="3"/>
  <c r="M1566" i="3"/>
  <c r="L1566" i="3"/>
  <c r="M1565" i="3"/>
  <c r="L1565" i="3"/>
  <c r="M1564" i="3"/>
  <c r="L1564" i="3"/>
  <c r="M1563" i="3"/>
  <c r="L1563" i="3"/>
  <c r="M1562" i="3"/>
  <c r="L1562" i="3"/>
  <c r="M1561" i="3"/>
  <c r="L1561" i="3"/>
  <c r="M1560" i="3"/>
  <c r="L1560" i="3"/>
  <c r="M1559" i="3"/>
  <c r="L1559" i="3"/>
  <c r="M1558" i="3"/>
  <c r="L1558" i="3"/>
  <c r="M1557" i="3"/>
  <c r="L1557" i="3"/>
  <c r="M1556" i="3"/>
  <c r="L1556" i="3"/>
  <c r="M1555" i="3"/>
  <c r="L1555" i="3"/>
  <c r="M1554" i="3"/>
  <c r="L1554" i="3"/>
  <c r="M1553" i="3"/>
  <c r="L1553" i="3"/>
  <c r="M1552" i="3"/>
  <c r="L1552" i="3"/>
  <c r="M1551" i="3"/>
  <c r="L1551" i="3"/>
  <c r="M1550" i="3"/>
  <c r="L1550" i="3"/>
  <c r="M1549" i="3"/>
  <c r="L1549" i="3"/>
  <c r="M1548" i="3"/>
  <c r="L1548" i="3"/>
  <c r="M1547" i="3"/>
  <c r="L1547" i="3"/>
  <c r="M1546" i="3"/>
  <c r="L1546" i="3"/>
  <c r="M1545" i="3"/>
  <c r="L1545" i="3"/>
  <c r="M1544" i="3"/>
  <c r="L1544" i="3"/>
  <c r="M1543" i="3"/>
  <c r="L1543" i="3"/>
  <c r="M1542" i="3"/>
  <c r="L1542" i="3"/>
  <c r="M1541" i="3"/>
  <c r="L1541" i="3"/>
  <c r="M1540" i="3"/>
  <c r="L1540" i="3"/>
  <c r="M1539" i="3"/>
  <c r="L1539" i="3"/>
  <c r="M1538" i="3"/>
  <c r="L1538" i="3"/>
  <c r="M1537" i="3"/>
  <c r="L1537" i="3"/>
  <c r="M1536" i="3"/>
  <c r="L1536" i="3"/>
  <c r="M1535" i="3"/>
  <c r="L1535" i="3"/>
  <c r="M1534" i="3"/>
  <c r="L1534" i="3"/>
  <c r="M1533" i="3"/>
  <c r="L1533" i="3"/>
  <c r="M1532" i="3"/>
  <c r="L1532" i="3"/>
  <c r="M1531" i="3"/>
  <c r="L1531" i="3"/>
  <c r="M1530" i="3"/>
  <c r="L1530" i="3"/>
  <c r="M1529" i="3"/>
  <c r="L1529" i="3"/>
  <c r="M1528" i="3"/>
  <c r="L1528" i="3"/>
  <c r="M1527" i="3"/>
  <c r="L1527" i="3"/>
  <c r="M1526" i="3"/>
  <c r="L1526" i="3"/>
  <c r="M1525" i="3"/>
  <c r="L1525" i="3"/>
  <c r="M1524" i="3"/>
  <c r="L1524" i="3"/>
  <c r="M1523" i="3"/>
  <c r="L1523" i="3"/>
  <c r="M1522" i="3"/>
  <c r="L1522" i="3"/>
  <c r="M1521" i="3"/>
  <c r="L1521" i="3"/>
  <c r="M1520" i="3"/>
  <c r="L1520" i="3"/>
  <c r="M1519" i="3"/>
  <c r="L1519" i="3"/>
  <c r="M1518" i="3"/>
  <c r="L1518" i="3"/>
  <c r="M1517" i="3"/>
  <c r="L1517" i="3"/>
  <c r="M1516" i="3"/>
  <c r="L1516" i="3"/>
  <c r="M1515" i="3"/>
  <c r="L1515" i="3"/>
  <c r="M1514" i="3"/>
  <c r="L1514" i="3"/>
  <c r="M1513" i="3"/>
  <c r="L1513" i="3"/>
  <c r="M1512" i="3"/>
  <c r="L1512" i="3"/>
  <c r="M1511" i="3"/>
  <c r="L1511" i="3"/>
  <c r="M1510" i="3"/>
  <c r="L1510" i="3"/>
  <c r="M1509" i="3"/>
  <c r="L1509" i="3"/>
  <c r="M1508" i="3"/>
  <c r="L1508" i="3"/>
  <c r="M1507" i="3"/>
  <c r="L1507" i="3"/>
  <c r="M1506" i="3"/>
  <c r="L1506" i="3"/>
  <c r="M1505" i="3"/>
  <c r="L1505" i="3"/>
  <c r="M1504" i="3"/>
  <c r="L1504" i="3"/>
  <c r="M1503" i="3"/>
  <c r="L1503" i="3"/>
  <c r="M1502" i="3"/>
  <c r="L1502" i="3"/>
  <c r="M1501" i="3"/>
  <c r="L1501" i="3"/>
  <c r="M1500" i="3"/>
  <c r="L1500" i="3"/>
  <c r="M1499" i="3"/>
  <c r="L1499" i="3"/>
  <c r="M1498" i="3"/>
  <c r="L1498" i="3"/>
  <c r="M1497" i="3"/>
  <c r="L1497" i="3"/>
  <c r="M1496" i="3"/>
  <c r="L1496" i="3"/>
  <c r="M1495" i="3"/>
  <c r="L1495" i="3"/>
  <c r="M1494" i="3"/>
  <c r="L1494" i="3"/>
  <c r="M1493" i="3"/>
  <c r="L1493" i="3"/>
  <c r="M1492" i="3"/>
  <c r="L1492" i="3"/>
  <c r="M1491" i="3"/>
  <c r="L1491" i="3"/>
  <c r="M1490" i="3"/>
  <c r="L1490" i="3"/>
  <c r="M1489" i="3"/>
  <c r="L1489" i="3"/>
  <c r="M1488" i="3"/>
  <c r="L1488" i="3"/>
  <c r="M1487" i="3"/>
  <c r="L1487" i="3"/>
  <c r="M1486" i="3"/>
  <c r="L1486" i="3"/>
  <c r="M1485" i="3"/>
  <c r="L1485" i="3"/>
  <c r="M1484" i="3"/>
  <c r="L1484" i="3"/>
  <c r="M1483" i="3"/>
  <c r="L1483" i="3"/>
  <c r="M1482" i="3"/>
  <c r="L1482" i="3"/>
  <c r="M1481" i="3"/>
  <c r="L1481" i="3"/>
  <c r="M1480" i="3"/>
  <c r="L1480" i="3"/>
  <c r="M1479" i="3"/>
  <c r="L1479" i="3"/>
  <c r="M1478" i="3"/>
  <c r="L1478" i="3"/>
  <c r="M1477" i="3"/>
  <c r="L1477" i="3"/>
  <c r="M1476" i="3"/>
  <c r="L1476" i="3"/>
  <c r="M1475" i="3"/>
  <c r="L1475" i="3"/>
  <c r="M1474" i="3"/>
  <c r="L1474" i="3"/>
  <c r="M1473" i="3"/>
  <c r="L1473" i="3"/>
  <c r="M1472" i="3"/>
  <c r="L1472" i="3"/>
  <c r="M1471" i="3"/>
  <c r="L1471" i="3"/>
  <c r="M1470" i="3"/>
  <c r="L1470" i="3"/>
  <c r="M1469" i="3"/>
  <c r="L1469" i="3"/>
  <c r="M1468" i="3"/>
  <c r="L1468" i="3"/>
  <c r="M1467" i="3"/>
  <c r="L1467" i="3"/>
  <c r="M1466" i="3"/>
  <c r="L1466" i="3"/>
  <c r="M1465" i="3"/>
  <c r="L1465" i="3"/>
  <c r="M1464" i="3"/>
  <c r="L1464" i="3"/>
  <c r="M1463" i="3"/>
  <c r="L1463" i="3"/>
  <c r="M1462" i="3"/>
  <c r="L1462" i="3"/>
  <c r="M1461" i="3"/>
  <c r="L1461" i="3"/>
  <c r="M1460" i="3"/>
  <c r="L1460" i="3"/>
  <c r="M1459" i="3"/>
  <c r="L1459" i="3"/>
  <c r="M1458" i="3"/>
  <c r="L1458" i="3"/>
  <c r="M1457" i="3"/>
  <c r="L1457" i="3"/>
  <c r="M1456" i="3"/>
  <c r="L1456" i="3"/>
  <c r="M1455" i="3"/>
  <c r="L1455" i="3"/>
  <c r="M1454" i="3"/>
  <c r="L1454" i="3"/>
  <c r="M1453" i="3"/>
  <c r="L1453" i="3"/>
  <c r="M1452" i="3"/>
  <c r="L1452" i="3"/>
  <c r="M1451" i="3"/>
  <c r="L1451" i="3"/>
  <c r="M1450" i="3"/>
  <c r="L1450" i="3"/>
  <c r="M1449" i="3"/>
  <c r="L1449" i="3"/>
  <c r="M1448" i="3"/>
  <c r="L1448" i="3"/>
  <c r="M1447" i="3"/>
  <c r="L1447" i="3"/>
  <c r="M1446" i="3"/>
  <c r="L1446" i="3"/>
  <c r="M1445" i="3"/>
  <c r="L1445" i="3"/>
  <c r="M1444" i="3"/>
  <c r="L1444" i="3"/>
  <c r="M1443" i="3"/>
  <c r="L1443" i="3"/>
  <c r="M1442" i="3"/>
  <c r="L1442" i="3"/>
  <c r="M1441" i="3"/>
  <c r="L1441" i="3"/>
  <c r="M1440" i="3"/>
  <c r="L1440" i="3"/>
  <c r="M1439" i="3"/>
  <c r="L1439" i="3"/>
  <c r="M1438" i="3"/>
  <c r="L1438" i="3"/>
  <c r="M1437" i="3"/>
  <c r="L1437" i="3"/>
  <c r="M1436" i="3"/>
  <c r="L1436" i="3"/>
  <c r="M1435" i="3"/>
  <c r="L1435" i="3"/>
  <c r="M1434" i="3"/>
  <c r="L1434" i="3"/>
  <c r="M1433" i="3"/>
  <c r="L1433" i="3"/>
  <c r="M1432" i="3"/>
  <c r="L1432" i="3"/>
  <c r="M1431" i="3"/>
  <c r="L1431" i="3"/>
  <c r="M1430" i="3"/>
  <c r="L1430" i="3"/>
  <c r="M1429" i="3"/>
  <c r="L1429" i="3"/>
  <c r="M1428" i="3"/>
  <c r="L1428" i="3"/>
  <c r="M1427" i="3"/>
  <c r="L1427" i="3"/>
  <c r="M1426" i="3"/>
  <c r="L1426" i="3"/>
  <c r="M1425" i="3"/>
  <c r="L1425" i="3"/>
  <c r="M1424" i="3"/>
  <c r="L1424" i="3"/>
  <c r="M1423" i="3"/>
  <c r="L1423" i="3"/>
  <c r="M1422" i="3"/>
  <c r="L1422" i="3"/>
  <c r="M1421" i="3"/>
  <c r="L1421" i="3"/>
  <c r="M1420" i="3"/>
  <c r="L1420" i="3"/>
  <c r="M1419" i="3"/>
  <c r="L1419" i="3"/>
  <c r="M1418" i="3"/>
  <c r="L1418" i="3"/>
  <c r="M1417" i="3"/>
  <c r="L1417" i="3"/>
  <c r="M1416" i="3"/>
  <c r="L1416" i="3"/>
  <c r="M1415" i="3"/>
  <c r="L1415" i="3"/>
  <c r="M1414" i="3"/>
  <c r="L1414" i="3"/>
  <c r="M1413" i="3"/>
  <c r="L1413" i="3"/>
  <c r="M1412" i="3"/>
  <c r="L1412" i="3"/>
  <c r="M1411" i="3"/>
  <c r="L1411" i="3"/>
  <c r="M1410" i="3"/>
  <c r="L1410" i="3"/>
  <c r="M1409" i="3"/>
  <c r="L1409" i="3"/>
  <c r="M1408" i="3"/>
  <c r="L1408" i="3"/>
  <c r="M1407" i="3"/>
  <c r="L1407" i="3"/>
  <c r="M1406" i="3"/>
  <c r="L1406" i="3"/>
  <c r="M1405" i="3"/>
  <c r="L1405" i="3"/>
  <c r="M1404" i="3"/>
  <c r="L1404" i="3"/>
  <c r="M1403" i="3"/>
  <c r="L1403" i="3"/>
  <c r="M1402" i="3"/>
  <c r="L1402" i="3"/>
  <c r="M1401" i="3"/>
  <c r="L1401" i="3"/>
  <c r="M1400" i="3"/>
  <c r="L1400" i="3"/>
  <c r="M1399" i="3"/>
  <c r="L1399" i="3"/>
  <c r="M1398" i="3"/>
  <c r="L1398" i="3"/>
  <c r="M1397" i="3"/>
  <c r="L1397" i="3"/>
  <c r="M1396" i="3"/>
  <c r="L1396" i="3"/>
  <c r="M1395" i="3"/>
  <c r="L1395" i="3"/>
  <c r="M1394" i="3"/>
  <c r="L1394" i="3"/>
  <c r="M1393" i="3"/>
  <c r="L1393" i="3"/>
  <c r="M1392" i="3"/>
  <c r="L1392" i="3"/>
  <c r="M1391" i="3"/>
  <c r="L1391" i="3"/>
  <c r="M1390" i="3"/>
  <c r="L1390" i="3"/>
  <c r="M1389" i="3"/>
  <c r="L1389" i="3"/>
  <c r="M1388" i="3"/>
  <c r="L1388" i="3"/>
  <c r="M1387" i="3"/>
  <c r="L1387" i="3"/>
  <c r="M1386" i="3"/>
  <c r="L1386" i="3"/>
  <c r="M1385" i="3"/>
  <c r="L1385" i="3"/>
  <c r="M1384" i="3"/>
  <c r="L1384" i="3"/>
  <c r="M1383" i="3"/>
  <c r="L1383" i="3"/>
  <c r="M1382" i="3"/>
  <c r="L1382" i="3"/>
  <c r="M1381" i="3"/>
  <c r="L1381" i="3"/>
  <c r="M1380" i="3"/>
  <c r="L1380" i="3"/>
  <c r="M1379" i="3"/>
  <c r="L1379" i="3"/>
  <c r="M1378" i="3"/>
  <c r="L1378" i="3"/>
  <c r="M1377" i="3"/>
  <c r="L1377" i="3"/>
  <c r="M1376" i="3"/>
  <c r="L1376" i="3"/>
  <c r="M1375" i="3"/>
  <c r="L1375" i="3"/>
  <c r="M1374" i="3"/>
  <c r="L1374" i="3"/>
  <c r="M1373" i="3"/>
  <c r="L1373" i="3"/>
  <c r="M1372" i="3"/>
  <c r="L1372" i="3"/>
  <c r="M1371" i="3"/>
  <c r="L1371" i="3"/>
  <c r="M1370" i="3"/>
  <c r="L1370" i="3"/>
  <c r="M1369" i="3"/>
  <c r="L1369" i="3"/>
  <c r="M1368" i="3"/>
  <c r="L1368" i="3"/>
  <c r="M1367" i="3"/>
  <c r="L1367" i="3"/>
  <c r="M1366" i="3"/>
  <c r="L1366" i="3"/>
  <c r="M1365" i="3"/>
  <c r="L1365" i="3"/>
  <c r="M1364" i="3"/>
  <c r="L1364" i="3"/>
  <c r="M1363" i="3"/>
  <c r="L1363" i="3"/>
  <c r="M1362" i="3"/>
  <c r="L1362" i="3"/>
  <c r="M1361" i="3"/>
  <c r="L1361" i="3"/>
  <c r="M1360" i="3"/>
  <c r="L1360" i="3"/>
  <c r="M1359" i="3"/>
  <c r="L1359" i="3"/>
  <c r="M1358" i="3"/>
  <c r="L1358" i="3"/>
  <c r="M1357" i="3"/>
  <c r="L1357" i="3"/>
  <c r="M1356" i="3"/>
  <c r="L1356" i="3"/>
  <c r="M1355" i="3"/>
  <c r="L1355" i="3"/>
  <c r="M1354" i="3"/>
  <c r="L1354" i="3"/>
  <c r="M1353" i="3"/>
  <c r="L1353" i="3"/>
  <c r="M1352" i="3"/>
  <c r="L1352" i="3"/>
  <c r="M1351" i="3"/>
  <c r="L1351" i="3"/>
  <c r="M1350" i="3"/>
  <c r="L1350" i="3"/>
  <c r="M1349" i="3"/>
  <c r="L1349" i="3"/>
  <c r="M1348" i="3"/>
  <c r="L1348" i="3"/>
  <c r="M1347" i="3"/>
  <c r="L1347" i="3"/>
  <c r="M1346" i="3"/>
  <c r="L1346" i="3"/>
  <c r="M1345" i="3"/>
  <c r="L1345" i="3"/>
  <c r="M1344" i="3"/>
  <c r="L1344" i="3"/>
  <c r="M1343" i="3"/>
  <c r="L1343" i="3"/>
  <c r="M1342" i="3"/>
  <c r="L1342" i="3"/>
  <c r="M1341" i="3"/>
  <c r="L1341" i="3"/>
  <c r="M1340" i="3"/>
  <c r="L1340" i="3"/>
  <c r="M1339" i="3"/>
  <c r="L1339" i="3"/>
  <c r="M1338" i="3"/>
  <c r="L1338" i="3"/>
  <c r="M1337" i="3"/>
  <c r="L1337" i="3"/>
  <c r="M1336" i="3"/>
  <c r="L1336" i="3"/>
  <c r="M1335" i="3"/>
  <c r="L1335" i="3"/>
  <c r="M1334" i="3"/>
  <c r="L1334" i="3"/>
  <c r="M1333" i="3"/>
  <c r="L1333" i="3"/>
  <c r="M1332" i="3"/>
  <c r="L1332" i="3"/>
  <c r="M1331" i="3"/>
  <c r="L1331" i="3"/>
  <c r="M1330" i="3"/>
  <c r="L1330" i="3"/>
  <c r="M1329" i="3"/>
  <c r="L1329" i="3"/>
  <c r="M1328" i="3"/>
  <c r="L1328" i="3"/>
  <c r="M1327" i="3"/>
  <c r="L1327" i="3"/>
  <c r="M1326" i="3"/>
  <c r="L1326" i="3"/>
  <c r="M1325" i="3"/>
  <c r="L1325" i="3"/>
  <c r="M1324" i="3"/>
  <c r="L1324" i="3"/>
  <c r="M1323" i="3"/>
  <c r="L1323" i="3"/>
  <c r="M1322" i="3"/>
  <c r="L1322" i="3"/>
  <c r="M1321" i="3"/>
  <c r="L1321" i="3"/>
  <c r="M1320" i="3"/>
  <c r="L1320" i="3"/>
  <c r="M1319" i="3"/>
  <c r="L1319" i="3"/>
  <c r="M1318" i="3"/>
  <c r="L1318" i="3"/>
  <c r="M1317" i="3"/>
  <c r="L1317" i="3"/>
  <c r="M1316" i="3"/>
  <c r="L1316" i="3"/>
  <c r="M1315" i="3"/>
  <c r="L1315" i="3"/>
  <c r="M1314" i="3"/>
  <c r="L1314" i="3"/>
  <c r="M1313" i="3"/>
  <c r="L1313" i="3"/>
  <c r="M1312" i="3"/>
  <c r="L1312" i="3"/>
  <c r="M1311" i="3"/>
  <c r="L1311" i="3"/>
  <c r="M1310" i="3"/>
  <c r="L1310" i="3"/>
  <c r="M1309" i="3"/>
  <c r="L1309" i="3"/>
  <c r="M1308" i="3"/>
  <c r="L1308" i="3"/>
  <c r="M1307" i="3"/>
  <c r="L1307" i="3"/>
  <c r="M1306" i="3"/>
  <c r="L1306" i="3"/>
  <c r="M1305" i="3"/>
  <c r="L1305" i="3"/>
  <c r="M1304" i="3"/>
  <c r="L1304" i="3"/>
  <c r="M1303" i="3"/>
  <c r="L1303" i="3"/>
  <c r="M1302" i="3"/>
  <c r="L1302" i="3"/>
  <c r="M1301" i="3"/>
  <c r="L1301" i="3"/>
  <c r="M1300" i="3"/>
  <c r="L1300" i="3"/>
  <c r="M1299" i="3"/>
  <c r="L1299" i="3"/>
  <c r="M1298" i="3"/>
  <c r="L1298" i="3"/>
  <c r="M1297" i="3"/>
  <c r="L1297" i="3"/>
  <c r="M1296" i="3"/>
  <c r="L1296" i="3"/>
  <c r="M1295" i="3"/>
  <c r="L1295" i="3"/>
  <c r="M1294" i="3"/>
  <c r="L1294" i="3"/>
  <c r="M1293" i="3"/>
  <c r="L1293" i="3"/>
  <c r="M1292" i="3"/>
  <c r="L1292" i="3"/>
  <c r="M1291" i="3"/>
  <c r="L1291" i="3"/>
  <c r="M1290" i="3"/>
  <c r="L1290" i="3"/>
  <c r="M1289" i="3"/>
  <c r="L1289" i="3"/>
  <c r="M1288" i="3"/>
  <c r="L1288" i="3"/>
  <c r="M1287" i="3"/>
  <c r="L1287" i="3"/>
  <c r="M1286" i="3"/>
  <c r="L1286" i="3"/>
  <c r="M1285" i="3"/>
  <c r="L1285" i="3"/>
  <c r="M1284" i="3"/>
  <c r="L1284" i="3"/>
  <c r="M1283" i="3"/>
  <c r="L1283" i="3"/>
  <c r="M1282" i="3"/>
  <c r="L1282" i="3"/>
  <c r="M1281" i="3"/>
  <c r="L1281" i="3"/>
  <c r="M1280" i="3"/>
  <c r="L1280" i="3"/>
  <c r="M1279" i="3"/>
  <c r="L1279" i="3"/>
  <c r="M1278" i="3"/>
  <c r="L1278" i="3"/>
  <c r="M1277" i="3"/>
  <c r="L1277" i="3"/>
  <c r="M1276" i="3"/>
  <c r="L1276" i="3"/>
  <c r="M1275" i="3"/>
  <c r="L1275" i="3"/>
  <c r="M1274" i="3"/>
  <c r="L1274" i="3"/>
  <c r="M1273" i="3"/>
  <c r="L1273" i="3"/>
  <c r="M1272" i="3"/>
  <c r="L1272" i="3"/>
  <c r="M1271" i="3"/>
  <c r="L1271" i="3"/>
  <c r="M1270" i="3"/>
  <c r="L1270" i="3"/>
  <c r="M1269" i="3"/>
  <c r="L1269" i="3"/>
  <c r="M1268" i="3"/>
  <c r="L1268" i="3"/>
  <c r="M1267" i="3"/>
  <c r="L1267" i="3"/>
  <c r="M1266" i="3"/>
  <c r="L1266" i="3"/>
  <c r="M1265" i="3"/>
  <c r="L1265" i="3"/>
  <c r="M1264" i="3"/>
  <c r="L1264" i="3"/>
  <c r="M1263" i="3"/>
  <c r="L1263" i="3"/>
  <c r="M1262" i="3"/>
  <c r="L1262" i="3"/>
  <c r="M1261" i="3"/>
  <c r="L1261" i="3"/>
  <c r="M1260" i="3"/>
  <c r="L1260" i="3"/>
  <c r="M1259" i="3"/>
  <c r="L1259" i="3"/>
  <c r="M1258" i="3"/>
  <c r="L1258" i="3"/>
  <c r="M1257" i="3"/>
  <c r="L1257" i="3"/>
  <c r="M1256" i="3"/>
  <c r="L1256" i="3"/>
  <c r="M1255" i="3"/>
  <c r="L1255" i="3"/>
  <c r="M1254" i="3"/>
  <c r="L1254" i="3"/>
  <c r="M1253" i="3"/>
  <c r="L1253" i="3"/>
  <c r="M1252" i="3"/>
  <c r="L1252" i="3"/>
  <c r="M1251" i="3"/>
  <c r="L1251" i="3"/>
  <c r="M1250" i="3"/>
  <c r="L1250" i="3"/>
  <c r="M1249" i="3"/>
  <c r="L1249" i="3"/>
  <c r="M1248" i="3"/>
  <c r="L1248" i="3"/>
  <c r="M1247" i="3"/>
  <c r="L1247" i="3"/>
  <c r="M1246" i="3"/>
  <c r="L1246" i="3"/>
  <c r="M1245" i="3"/>
  <c r="L1245" i="3"/>
  <c r="M1244" i="3"/>
  <c r="L1244" i="3"/>
  <c r="M1243" i="3"/>
  <c r="L1243" i="3"/>
  <c r="M1242" i="3"/>
  <c r="L1242" i="3"/>
  <c r="M1241" i="3"/>
  <c r="L1241" i="3"/>
  <c r="M1240" i="3"/>
  <c r="L1240" i="3"/>
  <c r="M1239" i="3"/>
  <c r="L1239" i="3"/>
  <c r="M1238" i="3"/>
  <c r="L1238" i="3"/>
  <c r="M1237" i="3"/>
  <c r="L1237" i="3"/>
  <c r="M1236" i="3"/>
  <c r="L1236" i="3"/>
  <c r="M1235" i="3"/>
  <c r="L1235" i="3"/>
  <c r="M1234" i="3"/>
  <c r="L1234" i="3"/>
  <c r="M1233" i="3"/>
  <c r="L1233" i="3"/>
  <c r="M1232" i="3"/>
  <c r="L1232" i="3"/>
  <c r="M1231" i="3"/>
  <c r="L1231" i="3"/>
  <c r="M1230" i="3"/>
  <c r="L1230" i="3"/>
  <c r="M1229" i="3"/>
  <c r="L1229" i="3"/>
  <c r="M1228" i="3"/>
  <c r="L1228" i="3"/>
  <c r="M1227" i="3"/>
  <c r="L1227" i="3"/>
  <c r="M1226" i="3"/>
  <c r="L1226" i="3"/>
  <c r="M1225" i="3"/>
  <c r="L1225" i="3"/>
  <c r="M1224" i="3"/>
  <c r="L1224" i="3"/>
  <c r="M1223" i="3"/>
  <c r="L1223" i="3"/>
  <c r="M1222" i="3"/>
  <c r="L1222" i="3"/>
  <c r="M1221" i="3"/>
  <c r="L1221" i="3"/>
  <c r="M1220" i="3"/>
  <c r="L1220" i="3"/>
  <c r="M1219" i="3"/>
  <c r="L1219" i="3"/>
  <c r="M1218" i="3"/>
  <c r="L1218" i="3"/>
  <c r="M1217" i="3"/>
  <c r="L1217" i="3"/>
  <c r="M1216" i="3"/>
  <c r="L1216" i="3"/>
  <c r="M1215" i="3"/>
  <c r="L1215" i="3"/>
  <c r="M1214" i="3"/>
  <c r="L1214" i="3"/>
  <c r="M1213" i="3"/>
  <c r="L1213" i="3"/>
  <c r="M1212" i="3"/>
  <c r="L1212" i="3"/>
  <c r="M1211" i="3"/>
  <c r="L1211" i="3"/>
  <c r="M1210" i="3"/>
  <c r="L1210" i="3"/>
  <c r="M1209" i="3"/>
  <c r="L1209" i="3"/>
  <c r="M1208" i="3"/>
  <c r="L1208" i="3"/>
  <c r="M1207" i="3"/>
  <c r="L1207" i="3"/>
  <c r="M1206" i="3"/>
  <c r="L1206" i="3"/>
  <c r="M1205" i="3"/>
  <c r="L1205" i="3"/>
  <c r="M1204" i="3"/>
  <c r="L1204" i="3"/>
  <c r="M1203" i="3"/>
  <c r="L1203" i="3"/>
  <c r="M1202" i="3"/>
  <c r="L1202" i="3"/>
  <c r="M1201" i="3"/>
  <c r="L1201" i="3"/>
  <c r="M1200" i="3"/>
  <c r="L1200" i="3"/>
  <c r="M1199" i="3"/>
  <c r="L1199" i="3"/>
  <c r="M1198" i="3"/>
  <c r="L1198" i="3"/>
  <c r="M1197" i="3"/>
  <c r="L1197" i="3"/>
  <c r="M1196" i="3"/>
  <c r="L1196" i="3"/>
  <c r="M1195" i="3"/>
  <c r="L1195" i="3"/>
  <c r="M1194" i="3"/>
  <c r="L1194" i="3"/>
  <c r="M1193" i="3"/>
  <c r="L1193" i="3"/>
  <c r="M1192" i="3"/>
  <c r="L1192" i="3"/>
  <c r="M1191" i="3"/>
  <c r="L1191" i="3"/>
  <c r="M1190" i="3"/>
  <c r="L1190" i="3"/>
  <c r="M1189" i="3"/>
  <c r="L1189" i="3"/>
  <c r="M1188" i="3"/>
  <c r="L1188" i="3"/>
  <c r="M1187" i="3"/>
  <c r="L1187" i="3"/>
  <c r="M1186" i="3"/>
  <c r="L1186" i="3"/>
  <c r="M1185" i="3"/>
  <c r="L1185" i="3"/>
  <c r="M1184" i="3"/>
  <c r="L1184" i="3"/>
  <c r="M1183" i="3"/>
  <c r="L1183" i="3"/>
  <c r="M1182" i="3"/>
  <c r="L1182" i="3"/>
  <c r="M1181" i="3"/>
  <c r="L1181" i="3"/>
  <c r="M1180" i="3"/>
  <c r="L1180" i="3"/>
  <c r="M1179" i="3"/>
  <c r="L1179" i="3"/>
  <c r="M1178" i="3"/>
  <c r="L1178" i="3"/>
  <c r="M1177" i="3"/>
  <c r="L1177" i="3"/>
  <c r="M1176" i="3"/>
  <c r="L1176" i="3"/>
  <c r="M1175" i="3"/>
  <c r="L1175" i="3"/>
  <c r="M1174" i="3"/>
  <c r="L1174" i="3"/>
  <c r="M1173" i="3"/>
  <c r="L1173" i="3"/>
  <c r="M1172" i="3"/>
  <c r="L1172" i="3"/>
  <c r="M1171" i="3"/>
  <c r="L1171" i="3"/>
  <c r="M1170" i="3"/>
  <c r="L1170" i="3"/>
  <c r="M1169" i="3"/>
  <c r="L1169" i="3"/>
  <c r="M1168" i="3"/>
  <c r="L1168" i="3"/>
  <c r="M1167" i="3"/>
  <c r="L1167" i="3"/>
  <c r="M1166" i="3"/>
  <c r="L1166" i="3"/>
  <c r="M1165" i="3"/>
  <c r="L1165" i="3"/>
  <c r="M1164" i="3"/>
  <c r="L1164" i="3"/>
  <c r="M1163" i="3"/>
  <c r="L1163" i="3"/>
  <c r="M1162" i="3"/>
  <c r="L1162" i="3"/>
  <c r="M1161" i="3"/>
  <c r="L1161" i="3"/>
  <c r="M1160" i="3"/>
  <c r="L1160" i="3"/>
  <c r="M1159" i="3"/>
  <c r="L1159" i="3"/>
  <c r="M1158" i="3"/>
  <c r="L1158" i="3"/>
  <c r="M1157" i="3"/>
  <c r="L1157" i="3"/>
  <c r="M1156" i="3"/>
  <c r="L1156" i="3"/>
  <c r="M1155" i="3"/>
  <c r="L1155" i="3"/>
  <c r="M1154" i="3"/>
  <c r="L1154" i="3"/>
  <c r="M1153" i="3"/>
  <c r="L1153" i="3"/>
  <c r="M1152" i="3"/>
  <c r="L1152" i="3"/>
  <c r="M1151" i="3"/>
  <c r="L1151" i="3"/>
  <c r="M1150" i="3"/>
  <c r="L1150" i="3"/>
  <c r="M1149" i="3"/>
  <c r="L1149" i="3"/>
  <c r="M1148" i="3"/>
  <c r="L1148" i="3"/>
  <c r="M1147" i="3"/>
  <c r="L1147" i="3"/>
  <c r="M1146" i="3"/>
  <c r="L1146" i="3"/>
  <c r="M1145" i="3"/>
  <c r="L1145" i="3"/>
  <c r="M1144" i="3"/>
  <c r="L1144" i="3"/>
  <c r="M1143" i="3"/>
  <c r="L1143" i="3"/>
  <c r="M1142" i="3"/>
  <c r="L1142" i="3"/>
  <c r="M1141" i="3"/>
  <c r="L1141" i="3"/>
  <c r="M1140" i="3"/>
  <c r="L1140" i="3"/>
  <c r="M1139" i="3"/>
  <c r="L1139" i="3"/>
  <c r="M1138" i="3"/>
  <c r="L1138" i="3"/>
  <c r="M1137" i="3"/>
  <c r="L1137" i="3"/>
  <c r="M1136" i="3"/>
  <c r="L1136" i="3"/>
  <c r="M1135" i="3"/>
  <c r="L1135" i="3"/>
  <c r="M1134" i="3"/>
  <c r="L1134" i="3"/>
  <c r="M1133" i="3"/>
  <c r="L1133" i="3"/>
  <c r="M1132" i="3"/>
  <c r="L1132" i="3"/>
  <c r="M1131" i="3"/>
  <c r="L1131" i="3"/>
  <c r="M1130" i="3"/>
  <c r="L1130" i="3"/>
  <c r="M1129" i="3"/>
  <c r="L1129" i="3"/>
  <c r="M1128" i="3"/>
  <c r="L1128" i="3"/>
  <c r="M1127" i="3"/>
  <c r="L1127" i="3"/>
  <c r="M1126" i="3"/>
  <c r="L1126" i="3"/>
  <c r="M1125" i="3"/>
  <c r="L1125" i="3"/>
  <c r="M1124" i="3"/>
  <c r="L1124" i="3"/>
  <c r="M1123" i="3"/>
  <c r="L1123" i="3"/>
  <c r="M1122" i="3"/>
  <c r="L1122" i="3"/>
  <c r="M1121" i="3"/>
  <c r="L1121" i="3"/>
  <c r="M1120" i="3"/>
  <c r="L1120" i="3"/>
  <c r="M1119" i="3"/>
  <c r="L1119" i="3"/>
  <c r="M1118" i="3"/>
  <c r="L1118" i="3"/>
  <c r="M1117" i="3"/>
  <c r="L1117" i="3"/>
  <c r="M1116" i="3"/>
  <c r="L1116" i="3"/>
  <c r="M1115" i="3"/>
  <c r="L1115" i="3"/>
  <c r="M1114" i="3"/>
  <c r="L1114" i="3"/>
  <c r="M1113" i="3"/>
  <c r="L1113" i="3"/>
  <c r="M1112" i="3"/>
  <c r="L1112" i="3"/>
  <c r="M1111" i="3"/>
  <c r="L1111" i="3"/>
  <c r="M1110" i="3"/>
  <c r="L1110" i="3"/>
  <c r="M1109" i="3"/>
  <c r="L1109" i="3"/>
  <c r="M1108" i="3"/>
  <c r="L1108" i="3"/>
  <c r="M1107" i="3"/>
  <c r="L1107" i="3"/>
  <c r="M1106" i="3"/>
  <c r="L1106" i="3"/>
  <c r="M1105" i="3"/>
  <c r="L1105" i="3"/>
  <c r="M1104" i="3"/>
  <c r="L1104" i="3"/>
  <c r="M1103" i="3"/>
  <c r="L1103" i="3"/>
  <c r="M1102" i="3"/>
  <c r="L1102" i="3"/>
  <c r="M1101" i="3"/>
  <c r="L1101" i="3"/>
  <c r="M1100" i="3"/>
  <c r="L1100" i="3"/>
  <c r="M1099" i="3"/>
  <c r="L1099" i="3"/>
  <c r="M1098" i="3"/>
  <c r="L1098" i="3"/>
  <c r="M1097" i="3"/>
  <c r="L1097" i="3"/>
  <c r="M1096" i="3"/>
  <c r="L1096" i="3"/>
  <c r="M1095" i="3"/>
  <c r="L1095" i="3"/>
  <c r="M1094" i="3"/>
  <c r="L1094" i="3"/>
  <c r="M1093" i="3"/>
  <c r="L1093" i="3"/>
  <c r="M1092" i="3"/>
  <c r="L1092" i="3"/>
  <c r="M1091" i="3"/>
  <c r="L1091" i="3"/>
  <c r="M1090" i="3"/>
  <c r="L1090" i="3"/>
  <c r="M1089" i="3"/>
  <c r="L1089" i="3"/>
  <c r="M1088" i="3"/>
  <c r="L1088" i="3"/>
  <c r="M1087" i="3"/>
  <c r="L1087" i="3"/>
  <c r="M1086" i="3"/>
  <c r="L1086" i="3"/>
  <c r="M1085" i="3"/>
  <c r="L1085" i="3"/>
  <c r="M1084" i="3"/>
  <c r="L1084" i="3"/>
  <c r="M1083" i="3"/>
  <c r="L1083" i="3"/>
  <c r="M1082" i="3"/>
  <c r="L1082" i="3"/>
  <c r="M1081" i="3"/>
  <c r="L1081" i="3"/>
  <c r="M1080" i="3"/>
  <c r="L1080" i="3"/>
  <c r="M1079" i="3"/>
  <c r="L1079" i="3"/>
  <c r="M1078" i="3"/>
  <c r="L1078" i="3"/>
  <c r="M1077" i="3"/>
  <c r="L1077" i="3"/>
  <c r="M1076" i="3"/>
  <c r="L1076" i="3"/>
  <c r="M1075" i="3"/>
  <c r="L1075" i="3"/>
  <c r="M1074" i="3"/>
  <c r="L1074" i="3"/>
  <c r="M1073" i="3"/>
  <c r="L1073" i="3"/>
  <c r="M1072" i="3"/>
  <c r="L1072" i="3"/>
  <c r="M1071" i="3"/>
  <c r="L1071" i="3"/>
  <c r="M1070" i="3"/>
  <c r="L1070" i="3"/>
  <c r="M1069" i="3"/>
  <c r="L1069" i="3"/>
  <c r="M1068" i="3"/>
  <c r="L1068" i="3"/>
  <c r="M1067" i="3"/>
  <c r="L1067" i="3"/>
  <c r="M1066" i="3"/>
  <c r="L1066" i="3"/>
  <c r="M1065" i="3"/>
  <c r="L1065" i="3"/>
  <c r="M1064" i="3"/>
  <c r="L1064" i="3"/>
  <c r="M1063" i="3"/>
  <c r="L1063" i="3"/>
  <c r="M1062" i="3"/>
  <c r="L1062" i="3"/>
  <c r="M1061" i="3"/>
  <c r="L1061" i="3"/>
  <c r="M1060" i="3"/>
  <c r="L1060" i="3"/>
  <c r="M1059" i="3"/>
  <c r="L1059" i="3"/>
  <c r="M1058" i="3"/>
  <c r="L1058" i="3"/>
  <c r="M1057" i="3"/>
  <c r="L1057" i="3"/>
  <c r="M1056" i="3"/>
  <c r="L1056" i="3"/>
  <c r="M1055" i="3"/>
  <c r="L1055" i="3"/>
  <c r="M1054" i="3"/>
  <c r="L1054" i="3"/>
  <c r="M1053" i="3"/>
  <c r="L1053" i="3"/>
  <c r="M1052" i="3"/>
  <c r="L1052" i="3"/>
  <c r="M1051" i="3"/>
  <c r="L1051" i="3"/>
  <c r="M1050" i="3"/>
  <c r="L1050" i="3"/>
  <c r="M1049" i="3"/>
  <c r="L1049" i="3"/>
  <c r="M1048" i="3"/>
  <c r="L1048" i="3"/>
  <c r="M1047" i="3"/>
  <c r="L1047" i="3"/>
  <c r="M1046" i="3"/>
  <c r="L1046" i="3"/>
  <c r="M1045" i="3"/>
  <c r="L1045" i="3"/>
  <c r="M1044" i="3"/>
  <c r="L1044" i="3"/>
  <c r="M1043" i="3"/>
  <c r="L1043" i="3"/>
  <c r="M1042" i="3"/>
  <c r="L1042" i="3"/>
  <c r="M1041" i="3"/>
  <c r="L1041" i="3"/>
  <c r="M1040" i="3"/>
  <c r="L1040" i="3"/>
  <c r="M1039" i="3"/>
  <c r="L1039" i="3"/>
  <c r="M1038" i="3"/>
  <c r="L1038" i="3"/>
  <c r="M1037" i="3"/>
  <c r="L1037" i="3"/>
  <c r="M1036" i="3"/>
  <c r="L1036" i="3"/>
  <c r="M1035" i="3"/>
  <c r="L1035" i="3"/>
  <c r="M1034" i="3"/>
  <c r="L1034" i="3"/>
  <c r="M1033" i="3"/>
  <c r="L1033" i="3"/>
  <c r="M1032" i="3"/>
  <c r="L1032" i="3"/>
  <c r="M1031" i="3"/>
  <c r="L1031" i="3"/>
  <c r="M1030" i="3"/>
  <c r="L1030" i="3"/>
  <c r="M1029" i="3"/>
  <c r="L1029" i="3"/>
  <c r="M1028" i="3"/>
  <c r="L1028" i="3"/>
  <c r="M1027" i="3"/>
  <c r="L1027" i="3"/>
  <c r="M1026" i="3"/>
  <c r="L1026" i="3"/>
  <c r="M1025" i="3"/>
  <c r="L1025" i="3"/>
  <c r="M1024" i="3"/>
  <c r="L1024" i="3"/>
  <c r="M1023" i="3"/>
  <c r="L1023" i="3"/>
  <c r="M1022" i="3"/>
  <c r="L1022" i="3"/>
  <c r="M1021" i="3"/>
  <c r="L1021" i="3"/>
  <c r="M1020" i="3"/>
  <c r="L1020" i="3"/>
  <c r="M1019" i="3"/>
  <c r="L1019" i="3"/>
  <c r="M1018" i="3"/>
  <c r="L1018" i="3"/>
  <c r="M1017" i="3"/>
  <c r="L1017" i="3"/>
  <c r="M1016" i="3"/>
  <c r="L1016" i="3"/>
  <c r="M1015" i="3"/>
  <c r="L1015" i="3"/>
  <c r="M1014" i="3"/>
  <c r="L1014" i="3"/>
  <c r="M1013" i="3"/>
  <c r="L1013" i="3"/>
  <c r="M1012" i="3"/>
  <c r="L1012" i="3"/>
  <c r="M1011" i="3"/>
  <c r="L1011" i="3"/>
  <c r="M1010" i="3"/>
  <c r="L1010" i="3"/>
  <c r="M1009" i="3"/>
  <c r="L1009" i="3"/>
  <c r="M1008" i="3"/>
  <c r="L1008" i="3"/>
  <c r="M1007" i="3"/>
  <c r="L1007" i="3"/>
  <c r="M1006" i="3"/>
  <c r="L1006" i="3"/>
  <c r="M1005" i="3"/>
  <c r="L1005" i="3"/>
  <c r="M1004" i="3"/>
  <c r="L1004" i="3"/>
  <c r="M1003" i="3"/>
  <c r="L1003" i="3"/>
  <c r="M1002" i="3"/>
  <c r="L1002" i="3"/>
  <c r="M1001" i="3"/>
  <c r="L1001" i="3"/>
  <c r="M1000" i="3"/>
  <c r="L1000" i="3"/>
  <c r="M999" i="3"/>
  <c r="L999" i="3"/>
  <c r="M998" i="3"/>
  <c r="L998" i="3"/>
  <c r="M997" i="3"/>
  <c r="L997" i="3"/>
  <c r="M996" i="3"/>
  <c r="L996" i="3"/>
  <c r="M995" i="3"/>
  <c r="L995" i="3"/>
  <c r="M994" i="3"/>
  <c r="L994" i="3"/>
  <c r="M993" i="3"/>
  <c r="L993" i="3"/>
  <c r="M992" i="3"/>
  <c r="L992" i="3"/>
  <c r="M991" i="3"/>
  <c r="L991" i="3"/>
  <c r="M990" i="3"/>
  <c r="L990" i="3"/>
  <c r="M989" i="3"/>
  <c r="L989" i="3"/>
  <c r="M988" i="3"/>
  <c r="L988" i="3"/>
  <c r="M987" i="3"/>
  <c r="L987" i="3"/>
  <c r="M986" i="3"/>
  <c r="L986" i="3"/>
  <c r="M985" i="3"/>
  <c r="L985" i="3"/>
  <c r="M984" i="3"/>
  <c r="L984" i="3"/>
  <c r="M983" i="3"/>
  <c r="L983" i="3"/>
  <c r="M982" i="3"/>
  <c r="L982" i="3"/>
  <c r="M981" i="3"/>
  <c r="L981" i="3"/>
  <c r="M980" i="3"/>
  <c r="L980" i="3"/>
  <c r="M979" i="3"/>
  <c r="L979" i="3"/>
  <c r="M978" i="3"/>
  <c r="L978" i="3"/>
  <c r="M977" i="3"/>
  <c r="L977" i="3"/>
  <c r="M976" i="3"/>
  <c r="L976" i="3"/>
  <c r="M975" i="3"/>
  <c r="L975" i="3"/>
  <c r="M974" i="3"/>
  <c r="L974" i="3"/>
  <c r="M973" i="3"/>
  <c r="L973" i="3"/>
  <c r="M972" i="3"/>
  <c r="L972" i="3"/>
  <c r="M971" i="3"/>
  <c r="L971" i="3"/>
  <c r="M970" i="3"/>
  <c r="L970" i="3"/>
  <c r="M969" i="3"/>
  <c r="L969" i="3"/>
  <c r="M968" i="3"/>
  <c r="L968" i="3"/>
  <c r="M967" i="3"/>
  <c r="L967" i="3"/>
  <c r="M966" i="3"/>
  <c r="L966" i="3"/>
  <c r="M965" i="3"/>
  <c r="L965" i="3"/>
  <c r="M964" i="3"/>
  <c r="L964" i="3"/>
  <c r="M963" i="3"/>
  <c r="L963" i="3"/>
  <c r="M962" i="3"/>
  <c r="L962" i="3"/>
  <c r="M961" i="3"/>
  <c r="L961" i="3"/>
  <c r="M960" i="3"/>
  <c r="L960" i="3"/>
  <c r="M959" i="3"/>
  <c r="L959" i="3"/>
  <c r="M958" i="3"/>
  <c r="L958" i="3"/>
  <c r="M957" i="3"/>
  <c r="L957" i="3"/>
  <c r="M956" i="3"/>
  <c r="L956" i="3"/>
  <c r="M955" i="3"/>
  <c r="L955" i="3"/>
  <c r="M954" i="3"/>
  <c r="L954" i="3"/>
  <c r="M953" i="3"/>
  <c r="L953" i="3"/>
  <c r="M952" i="3"/>
  <c r="L952" i="3"/>
  <c r="M951" i="3"/>
  <c r="L951" i="3"/>
  <c r="M950" i="3"/>
  <c r="L950" i="3"/>
  <c r="M949" i="3"/>
  <c r="L949" i="3"/>
  <c r="M948" i="3"/>
  <c r="L948" i="3"/>
  <c r="M947" i="3"/>
  <c r="L947" i="3"/>
  <c r="M946" i="3"/>
  <c r="L946" i="3"/>
  <c r="M945" i="3"/>
  <c r="L945" i="3"/>
  <c r="M944" i="3"/>
  <c r="L944" i="3"/>
  <c r="M943" i="3"/>
  <c r="L943" i="3"/>
  <c r="M942" i="3"/>
  <c r="L942" i="3"/>
  <c r="M941" i="3"/>
  <c r="L941" i="3"/>
  <c r="M940" i="3"/>
  <c r="L940" i="3"/>
  <c r="M939" i="3"/>
  <c r="L939" i="3"/>
  <c r="M938" i="3"/>
  <c r="L938" i="3"/>
  <c r="M937" i="3"/>
  <c r="L937" i="3"/>
  <c r="M936" i="3"/>
  <c r="L936" i="3"/>
  <c r="M935" i="3"/>
  <c r="L935" i="3"/>
  <c r="M934" i="3"/>
  <c r="L934" i="3"/>
  <c r="M933" i="3"/>
  <c r="L933" i="3"/>
  <c r="M932" i="3"/>
  <c r="L932" i="3"/>
  <c r="M931" i="3"/>
  <c r="L931" i="3"/>
  <c r="M930" i="3"/>
  <c r="L930" i="3"/>
  <c r="M929" i="3"/>
  <c r="L929" i="3"/>
  <c r="M928" i="3"/>
  <c r="L928" i="3"/>
  <c r="M927" i="3"/>
  <c r="L927" i="3"/>
  <c r="M926" i="3"/>
  <c r="L926" i="3"/>
  <c r="M925" i="3"/>
  <c r="L925" i="3"/>
  <c r="M924" i="3"/>
  <c r="L924" i="3"/>
  <c r="M923" i="3"/>
  <c r="L923" i="3"/>
  <c r="M922" i="3"/>
  <c r="L922" i="3"/>
  <c r="M921" i="3"/>
  <c r="L921" i="3"/>
  <c r="M920" i="3"/>
  <c r="L920" i="3"/>
  <c r="M919" i="3"/>
  <c r="L919" i="3"/>
  <c r="M918" i="3"/>
  <c r="L918" i="3"/>
  <c r="M917" i="3"/>
  <c r="L917" i="3"/>
  <c r="M916" i="3"/>
  <c r="L916" i="3"/>
  <c r="M915" i="3"/>
  <c r="L915" i="3"/>
  <c r="M914" i="3"/>
  <c r="L914" i="3"/>
  <c r="M913" i="3"/>
  <c r="L913" i="3"/>
  <c r="M912" i="3"/>
  <c r="L912" i="3"/>
  <c r="M911" i="3"/>
  <c r="L911" i="3"/>
  <c r="M910" i="3"/>
  <c r="L910" i="3"/>
  <c r="M909" i="3"/>
  <c r="L909" i="3"/>
  <c r="M908" i="3"/>
  <c r="L908" i="3"/>
  <c r="M907" i="3"/>
  <c r="L907" i="3"/>
  <c r="M906" i="3"/>
  <c r="L906" i="3"/>
  <c r="M905" i="3"/>
  <c r="L905" i="3"/>
  <c r="M904" i="3"/>
  <c r="L904" i="3"/>
  <c r="M903" i="3"/>
  <c r="L903" i="3"/>
  <c r="M902" i="3"/>
  <c r="L902" i="3"/>
  <c r="M901" i="3"/>
  <c r="L901" i="3"/>
  <c r="M900" i="3"/>
  <c r="L900" i="3"/>
  <c r="M899" i="3"/>
  <c r="L899" i="3"/>
  <c r="M898" i="3"/>
  <c r="L898" i="3"/>
  <c r="M897" i="3"/>
  <c r="L897" i="3"/>
  <c r="M896" i="3"/>
  <c r="L896" i="3"/>
  <c r="M895" i="3"/>
  <c r="L895" i="3"/>
  <c r="M894" i="3"/>
  <c r="L894" i="3"/>
  <c r="M893" i="3"/>
  <c r="L893" i="3"/>
  <c r="M892" i="3"/>
  <c r="L892" i="3"/>
  <c r="M891" i="3"/>
  <c r="L891" i="3"/>
  <c r="M890" i="3"/>
  <c r="L890" i="3"/>
  <c r="M889" i="3"/>
  <c r="L889" i="3"/>
  <c r="M888" i="3"/>
  <c r="L888" i="3"/>
  <c r="M887" i="3"/>
  <c r="L887" i="3"/>
  <c r="M886" i="3"/>
  <c r="L886" i="3"/>
  <c r="M885" i="3"/>
  <c r="L885" i="3"/>
  <c r="M884" i="3"/>
  <c r="L884" i="3"/>
  <c r="M883" i="3"/>
  <c r="L883" i="3"/>
  <c r="M882" i="3"/>
  <c r="L882" i="3"/>
  <c r="M881" i="3"/>
  <c r="L881" i="3"/>
  <c r="M880" i="3"/>
  <c r="L880" i="3"/>
  <c r="M879" i="3"/>
  <c r="L879" i="3"/>
  <c r="M878" i="3"/>
  <c r="L878" i="3"/>
  <c r="M877" i="3"/>
  <c r="L877" i="3"/>
  <c r="M876" i="3"/>
  <c r="L876" i="3"/>
  <c r="M875" i="3"/>
  <c r="L875" i="3"/>
  <c r="M874" i="3"/>
  <c r="L874" i="3"/>
  <c r="M873" i="3"/>
  <c r="L873" i="3"/>
  <c r="M872" i="3"/>
  <c r="L872" i="3"/>
  <c r="M871" i="3"/>
  <c r="L871" i="3"/>
  <c r="M870" i="3"/>
  <c r="L870" i="3"/>
  <c r="M869" i="3"/>
  <c r="L869" i="3"/>
  <c r="M868" i="3"/>
  <c r="L868" i="3"/>
  <c r="M867" i="3"/>
  <c r="L867" i="3"/>
  <c r="M866" i="3"/>
  <c r="L866" i="3"/>
  <c r="M865" i="3"/>
  <c r="L865" i="3"/>
  <c r="M864" i="3"/>
  <c r="L864" i="3"/>
  <c r="M863" i="3"/>
  <c r="L863" i="3"/>
  <c r="M862" i="3"/>
  <c r="L862" i="3"/>
  <c r="M861" i="3"/>
  <c r="L861" i="3"/>
  <c r="M860" i="3"/>
  <c r="L860" i="3"/>
  <c r="M859" i="3"/>
  <c r="L859" i="3"/>
  <c r="M858" i="3"/>
  <c r="L858" i="3"/>
  <c r="M857" i="3"/>
  <c r="L857" i="3"/>
  <c r="M856" i="3"/>
  <c r="L856" i="3"/>
  <c r="M855" i="3"/>
  <c r="L855" i="3"/>
  <c r="M854" i="3"/>
  <c r="L854" i="3"/>
  <c r="M853" i="3"/>
  <c r="L853" i="3"/>
  <c r="M852" i="3"/>
  <c r="L852" i="3"/>
  <c r="M851" i="3"/>
  <c r="L851" i="3"/>
  <c r="M850" i="3"/>
  <c r="L850" i="3"/>
  <c r="M849" i="3"/>
  <c r="L849" i="3"/>
  <c r="M848" i="3"/>
  <c r="L848" i="3"/>
  <c r="M847" i="3"/>
  <c r="L847" i="3"/>
  <c r="M846" i="3"/>
  <c r="L846" i="3"/>
  <c r="M845" i="3"/>
  <c r="L845" i="3"/>
  <c r="M844" i="3"/>
  <c r="L844" i="3"/>
  <c r="M843" i="3"/>
  <c r="L843" i="3"/>
  <c r="M842" i="3"/>
  <c r="L842" i="3"/>
  <c r="M841" i="3"/>
  <c r="L841" i="3"/>
  <c r="M840" i="3"/>
  <c r="L840" i="3"/>
  <c r="M839" i="3"/>
  <c r="L839" i="3"/>
  <c r="M838" i="3"/>
  <c r="L838" i="3"/>
  <c r="M837" i="3"/>
  <c r="L837" i="3"/>
  <c r="M836" i="3"/>
  <c r="L836" i="3"/>
  <c r="M835" i="3"/>
  <c r="L835" i="3"/>
  <c r="M834" i="3"/>
  <c r="L834" i="3"/>
  <c r="M833" i="3"/>
  <c r="L833" i="3"/>
  <c r="M832" i="3"/>
  <c r="L832" i="3"/>
  <c r="M831" i="3"/>
  <c r="L831" i="3"/>
  <c r="M830" i="3"/>
  <c r="L830" i="3"/>
  <c r="M829" i="3"/>
  <c r="L829" i="3"/>
  <c r="M828" i="3"/>
  <c r="L828" i="3"/>
  <c r="M827" i="3"/>
  <c r="L827" i="3"/>
  <c r="M826" i="3"/>
  <c r="L826" i="3"/>
  <c r="M825" i="3"/>
  <c r="L825" i="3"/>
  <c r="M824" i="3"/>
  <c r="L824" i="3"/>
  <c r="M823" i="3"/>
  <c r="L823" i="3"/>
  <c r="M822" i="3"/>
  <c r="L822" i="3"/>
  <c r="M821" i="3"/>
  <c r="L821" i="3"/>
  <c r="M820" i="3"/>
  <c r="L820" i="3"/>
  <c r="M819" i="3"/>
  <c r="L819" i="3"/>
  <c r="M818" i="3"/>
  <c r="L818" i="3"/>
  <c r="M817" i="3"/>
  <c r="L817" i="3"/>
  <c r="M816" i="3"/>
  <c r="L816" i="3"/>
  <c r="M815" i="3"/>
  <c r="L815" i="3"/>
  <c r="M814" i="3"/>
  <c r="L814" i="3"/>
  <c r="M813" i="3"/>
  <c r="L813" i="3"/>
  <c r="M812" i="3"/>
  <c r="L812" i="3"/>
  <c r="M811" i="3"/>
  <c r="L811" i="3"/>
  <c r="M810" i="3"/>
  <c r="L810" i="3"/>
  <c r="M809" i="3"/>
  <c r="L809" i="3"/>
  <c r="M808" i="3"/>
  <c r="L808" i="3"/>
  <c r="M807" i="3"/>
  <c r="L807" i="3"/>
  <c r="M806" i="3"/>
  <c r="L806" i="3"/>
  <c r="M805" i="3"/>
  <c r="L805" i="3"/>
  <c r="M804" i="3"/>
  <c r="L804" i="3"/>
  <c r="M803" i="3"/>
  <c r="L803" i="3"/>
  <c r="M802" i="3"/>
  <c r="L802" i="3"/>
  <c r="M801" i="3"/>
  <c r="L801" i="3"/>
  <c r="M800" i="3"/>
  <c r="L800" i="3"/>
  <c r="M799" i="3"/>
  <c r="L799" i="3"/>
  <c r="M798" i="3"/>
  <c r="L798" i="3"/>
  <c r="M797" i="3"/>
  <c r="L797" i="3"/>
  <c r="M796" i="3"/>
  <c r="L796" i="3"/>
  <c r="M795" i="3"/>
  <c r="L795" i="3"/>
  <c r="M794" i="3"/>
  <c r="L794" i="3"/>
  <c r="M793" i="3"/>
  <c r="L793" i="3"/>
  <c r="M792" i="3"/>
  <c r="L792" i="3"/>
  <c r="M791" i="3"/>
  <c r="L791" i="3"/>
  <c r="M790" i="3"/>
  <c r="L790" i="3"/>
  <c r="M789" i="3"/>
  <c r="L789" i="3"/>
  <c r="M788" i="3"/>
  <c r="L788" i="3"/>
  <c r="M787" i="3"/>
  <c r="L787" i="3"/>
  <c r="M786" i="3"/>
  <c r="L786" i="3"/>
  <c r="M785" i="3"/>
  <c r="L785" i="3"/>
  <c r="M784" i="3"/>
  <c r="L784" i="3"/>
  <c r="M783" i="3"/>
  <c r="L783" i="3"/>
  <c r="M782" i="3"/>
  <c r="L782" i="3"/>
  <c r="M781" i="3"/>
  <c r="L781" i="3"/>
  <c r="M780" i="3"/>
  <c r="L780" i="3"/>
  <c r="M779" i="3"/>
  <c r="L779" i="3"/>
  <c r="M778" i="3"/>
  <c r="L778" i="3"/>
  <c r="M777" i="3"/>
  <c r="L777" i="3"/>
  <c r="M776" i="3"/>
  <c r="L776" i="3"/>
  <c r="M775" i="3"/>
  <c r="L775" i="3"/>
  <c r="M774" i="3"/>
  <c r="L774" i="3"/>
  <c r="M773" i="3"/>
  <c r="L773" i="3"/>
  <c r="M772" i="3"/>
  <c r="L772" i="3"/>
  <c r="M771" i="3"/>
  <c r="L771" i="3"/>
  <c r="M770" i="3"/>
  <c r="L770" i="3"/>
  <c r="M769" i="3"/>
  <c r="L769" i="3"/>
  <c r="M768" i="3"/>
  <c r="L768" i="3"/>
  <c r="M767" i="3"/>
  <c r="L767" i="3"/>
  <c r="M766" i="3"/>
  <c r="L766" i="3"/>
  <c r="M765" i="3"/>
  <c r="L765" i="3"/>
  <c r="M764" i="3"/>
  <c r="L764" i="3"/>
  <c r="M763" i="3"/>
  <c r="L763" i="3"/>
  <c r="M762" i="3"/>
  <c r="L762" i="3"/>
  <c r="M761" i="3"/>
  <c r="L761" i="3"/>
  <c r="M760" i="3"/>
  <c r="L760" i="3"/>
  <c r="M759" i="3"/>
  <c r="L759" i="3"/>
  <c r="M758" i="3"/>
  <c r="L758" i="3"/>
  <c r="M757" i="3"/>
  <c r="L757" i="3"/>
  <c r="M756" i="3"/>
  <c r="L756" i="3"/>
  <c r="M755" i="3"/>
  <c r="L755" i="3"/>
  <c r="M754" i="3"/>
  <c r="L754" i="3"/>
  <c r="M753" i="3"/>
  <c r="L753" i="3"/>
  <c r="M752" i="3"/>
  <c r="L752" i="3"/>
  <c r="M751" i="3"/>
  <c r="L751" i="3"/>
  <c r="M750" i="3"/>
  <c r="L750" i="3"/>
  <c r="M749" i="3"/>
  <c r="L749" i="3"/>
  <c r="M748" i="3"/>
  <c r="L748" i="3"/>
  <c r="M747" i="3"/>
  <c r="L747" i="3"/>
  <c r="M746" i="3"/>
  <c r="L746" i="3"/>
  <c r="M745" i="3"/>
  <c r="L745" i="3"/>
  <c r="M744" i="3"/>
  <c r="L744" i="3"/>
  <c r="M743" i="3"/>
  <c r="L743" i="3"/>
  <c r="M742" i="3"/>
  <c r="L742" i="3"/>
  <c r="M741" i="3"/>
  <c r="L741" i="3"/>
  <c r="M740" i="3"/>
  <c r="L740" i="3"/>
  <c r="M739" i="3"/>
  <c r="L739" i="3"/>
  <c r="M738" i="3"/>
  <c r="L738" i="3"/>
  <c r="M737" i="3"/>
  <c r="L737" i="3"/>
  <c r="M736" i="3"/>
  <c r="L736" i="3"/>
  <c r="M735" i="3"/>
  <c r="L735" i="3"/>
  <c r="M734" i="3"/>
  <c r="L734" i="3"/>
  <c r="M733" i="3"/>
  <c r="L733" i="3"/>
  <c r="M732" i="3"/>
  <c r="L732" i="3"/>
  <c r="M731" i="3"/>
  <c r="L731" i="3"/>
  <c r="M730" i="3"/>
  <c r="L730" i="3"/>
  <c r="M729" i="3"/>
  <c r="L729" i="3"/>
  <c r="M728" i="3"/>
  <c r="L728" i="3"/>
  <c r="M727" i="3"/>
  <c r="L727" i="3"/>
  <c r="M726" i="3"/>
  <c r="L726" i="3"/>
  <c r="M725" i="3"/>
  <c r="L725" i="3"/>
  <c r="M724" i="3"/>
  <c r="L724" i="3"/>
  <c r="M723" i="3"/>
  <c r="L723" i="3"/>
  <c r="M722" i="3"/>
  <c r="L722" i="3"/>
  <c r="M721" i="3"/>
  <c r="L721" i="3"/>
  <c r="M720" i="3"/>
  <c r="L720" i="3"/>
  <c r="M719" i="3"/>
  <c r="L719" i="3"/>
  <c r="M718" i="3"/>
  <c r="L718" i="3"/>
  <c r="M717" i="3"/>
  <c r="L717" i="3"/>
  <c r="M716" i="3"/>
  <c r="L716" i="3"/>
  <c r="M715" i="3"/>
  <c r="L715" i="3"/>
  <c r="M714" i="3"/>
  <c r="L714" i="3"/>
  <c r="M713" i="3"/>
  <c r="L713" i="3"/>
  <c r="M712" i="3"/>
  <c r="L712" i="3"/>
  <c r="M711" i="3"/>
  <c r="L711" i="3"/>
  <c r="M710" i="3"/>
  <c r="L710" i="3"/>
  <c r="M709" i="3"/>
  <c r="L709" i="3"/>
  <c r="M708" i="3"/>
  <c r="L708" i="3"/>
  <c r="M707" i="3"/>
  <c r="L707" i="3"/>
  <c r="M706" i="3"/>
  <c r="L706" i="3"/>
  <c r="M705" i="3"/>
  <c r="L705" i="3"/>
  <c r="M704" i="3"/>
  <c r="L704" i="3"/>
  <c r="M703" i="3"/>
  <c r="L703" i="3"/>
  <c r="M702" i="3"/>
  <c r="L702" i="3"/>
  <c r="M701" i="3"/>
  <c r="L701" i="3"/>
  <c r="M700" i="3"/>
  <c r="L700" i="3"/>
  <c r="M699" i="3"/>
  <c r="L699" i="3"/>
  <c r="M698" i="3"/>
  <c r="L698" i="3"/>
  <c r="M697" i="3"/>
  <c r="L697" i="3"/>
  <c r="M696" i="3"/>
  <c r="L696" i="3"/>
  <c r="M695" i="3"/>
  <c r="L695" i="3"/>
  <c r="M694" i="3"/>
  <c r="L694" i="3"/>
  <c r="M693" i="3"/>
  <c r="L693" i="3"/>
  <c r="M692" i="3"/>
  <c r="L692" i="3"/>
  <c r="M691" i="3"/>
  <c r="L691" i="3"/>
  <c r="M690" i="3"/>
  <c r="L690" i="3"/>
  <c r="M689" i="3"/>
  <c r="L689" i="3"/>
  <c r="M688" i="3"/>
  <c r="L688" i="3"/>
  <c r="M687" i="3"/>
  <c r="L687" i="3"/>
  <c r="M686" i="3"/>
  <c r="L686" i="3"/>
  <c r="M685" i="3"/>
  <c r="L685" i="3"/>
  <c r="M684" i="3"/>
  <c r="L684" i="3"/>
  <c r="M683" i="3"/>
  <c r="L683" i="3"/>
  <c r="M682" i="3"/>
  <c r="L682" i="3"/>
  <c r="M681" i="3"/>
  <c r="L681" i="3"/>
  <c r="M680" i="3"/>
  <c r="L680" i="3"/>
  <c r="M679" i="3"/>
  <c r="L679" i="3"/>
  <c r="M678" i="3"/>
  <c r="L678" i="3"/>
  <c r="M677" i="3"/>
  <c r="L677" i="3"/>
  <c r="M676" i="3"/>
  <c r="L676" i="3"/>
  <c r="M675" i="3"/>
  <c r="L675" i="3"/>
  <c r="M674" i="3"/>
  <c r="L674" i="3"/>
  <c r="M673" i="3"/>
  <c r="L673" i="3"/>
  <c r="M672" i="3"/>
  <c r="L672" i="3"/>
  <c r="M671" i="3"/>
  <c r="L671" i="3"/>
  <c r="M670" i="3"/>
  <c r="L670" i="3"/>
  <c r="M669" i="3"/>
  <c r="L669" i="3"/>
  <c r="M668" i="3"/>
  <c r="L668" i="3"/>
  <c r="M667" i="3"/>
  <c r="L667" i="3"/>
  <c r="M666" i="3"/>
  <c r="L666" i="3"/>
  <c r="M665" i="3"/>
  <c r="L665" i="3"/>
  <c r="M664" i="3"/>
  <c r="L664" i="3"/>
  <c r="M663" i="3"/>
  <c r="L663" i="3"/>
  <c r="M662" i="3"/>
  <c r="L662" i="3"/>
  <c r="M661" i="3"/>
  <c r="L661" i="3"/>
  <c r="M660" i="3"/>
  <c r="L660" i="3"/>
  <c r="M659" i="3"/>
  <c r="L659" i="3"/>
  <c r="M658" i="3"/>
  <c r="L658" i="3"/>
  <c r="M657" i="3"/>
  <c r="L657" i="3"/>
  <c r="M656" i="3"/>
  <c r="L656" i="3"/>
  <c r="M655" i="3"/>
  <c r="L655" i="3"/>
  <c r="M654" i="3"/>
  <c r="L654" i="3"/>
  <c r="M653" i="3"/>
  <c r="L653" i="3"/>
  <c r="M652" i="3"/>
  <c r="L652" i="3"/>
  <c r="M651" i="3"/>
  <c r="L651" i="3"/>
  <c r="M650" i="3"/>
  <c r="L650" i="3"/>
  <c r="M649" i="3"/>
  <c r="L649" i="3"/>
  <c r="M648" i="3"/>
  <c r="L648" i="3"/>
  <c r="M647" i="3"/>
  <c r="L647" i="3"/>
  <c r="M646" i="3"/>
  <c r="L646" i="3"/>
  <c r="M645" i="3"/>
  <c r="L645" i="3"/>
  <c r="M644" i="3"/>
  <c r="L644" i="3"/>
  <c r="M643" i="3"/>
  <c r="L643" i="3"/>
  <c r="M642" i="3"/>
  <c r="L642" i="3"/>
  <c r="M641" i="3"/>
  <c r="L641" i="3"/>
  <c r="M640" i="3"/>
  <c r="L640" i="3"/>
  <c r="M639" i="3"/>
  <c r="L639" i="3"/>
  <c r="M638" i="3"/>
  <c r="L638" i="3"/>
  <c r="M637" i="3"/>
  <c r="L637" i="3"/>
  <c r="M636" i="3"/>
  <c r="L636" i="3"/>
  <c r="M635" i="3"/>
  <c r="L635" i="3"/>
  <c r="M634" i="3"/>
  <c r="L634" i="3"/>
  <c r="M633" i="3"/>
  <c r="L633" i="3"/>
  <c r="M632" i="3"/>
  <c r="L632" i="3"/>
  <c r="M631" i="3"/>
  <c r="L631" i="3"/>
  <c r="M630" i="3"/>
  <c r="L630" i="3"/>
  <c r="M629" i="3"/>
  <c r="L629" i="3"/>
  <c r="M628" i="3"/>
  <c r="L628" i="3"/>
  <c r="M627" i="3"/>
  <c r="L627" i="3"/>
  <c r="M626" i="3"/>
  <c r="L626" i="3"/>
  <c r="M625" i="3"/>
  <c r="L625" i="3"/>
  <c r="M624" i="3"/>
  <c r="L624" i="3"/>
  <c r="M623" i="3"/>
  <c r="L623" i="3"/>
  <c r="M622" i="3"/>
  <c r="L622" i="3"/>
  <c r="M621" i="3"/>
  <c r="L621" i="3"/>
  <c r="M620" i="3"/>
  <c r="L620" i="3"/>
  <c r="M619" i="3"/>
  <c r="L619" i="3"/>
  <c r="M618" i="3"/>
  <c r="L618" i="3"/>
  <c r="M617" i="3"/>
  <c r="L617" i="3"/>
  <c r="M616" i="3"/>
  <c r="L616" i="3"/>
  <c r="M615" i="3"/>
  <c r="L615" i="3"/>
  <c r="M614" i="3"/>
  <c r="L614" i="3"/>
  <c r="M613" i="3"/>
  <c r="L613" i="3"/>
  <c r="M612" i="3"/>
  <c r="L612" i="3"/>
  <c r="M611" i="3"/>
  <c r="L611" i="3"/>
  <c r="M610" i="3"/>
  <c r="L610" i="3"/>
  <c r="M609" i="3"/>
  <c r="L609" i="3"/>
  <c r="M608" i="3"/>
  <c r="L608" i="3"/>
  <c r="M607" i="3"/>
  <c r="L607" i="3"/>
  <c r="M606" i="3"/>
  <c r="L606" i="3"/>
  <c r="M605" i="3"/>
  <c r="L605" i="3"/>
  <c r="M604" i="3"/>
  <c r="L604" i="3"/>
  <c r="M603" i="3"/>
  <c r="L603" i="3"/>
  <c r="M602" i="3"/>
  <c r="L602" i="3"/>
  <c r="M601" i="3"/>
  <c r="L601" i="3"/>
  <c r="M600" i="3"/>
  <c r="L600" i="3"/>
  <c r="M599" i="3"/>
  <c r="L599" i="3"/>
  <c r="M598" i="3"/>
  <c r="L598" i="3"/>
  <c r="M597" i="3"/>
  <c r="L597" i="3"/>
  <c r="M596" i="3"/>
  <c r="L596" i="3"/>
  <c r="M595" i="3"/>
  <c r="L595" i="3"/>
  <c r="M594" i="3"/>
  <c r="L594" i="3"/>
  <c r="M593" i="3"/>
  <c r="L593" i="3"/>
  <c r="M592" i="3"/>
  <c r="L592" i="3"/>
  <c r="M591" i="3"/>
  <c r="L591" i="3"/>
  <c r="M590" i="3"/>
  <c r="L590" i="3"/>
  <c r="M589" i="3"/>
  <c r="L589" i="3"/>
  <c r="M588" i="3"/>
  <c r="L588" i="3"/>
  <c r="M587" i="3"/>
  <c r="L587" i="3"/>
  <c r="M586" i="3"/>
  <c r="L586" i="3"/>
  <c r="M585" i="3"/>
  <c r="L585" i="3"/>
  <c r="M584" i="3"/>
  <c r="L584" i="3"/>
  <c r="M583" i="3"/>
  <c r="L583" i="3"/>
  <c r="M582" i="3"/>
  <c r="L582" i="3"/>
  <c r="M581" i="3"/>
  <c r="L581" i="3"/>
  <c r="M580" i="3"/>
  <c r="L580" i="3"/>
  <c r="M579" i="3"/>
  <c r="L579" i="3"/>
  <c r="M578" i="3"/>
  <c r="L578" i="3"/>
  <c r="M577" i="3"/>
  <c r="L577" i="3"/>
  <c r="M576" i="3"/>
  <c r="L576" i="3"/>
  <c r="M575" i="3"/>
  <c r="L575" i="3"/>
  <c r="M574" i="3"/>
  <c r="L574" i="3"/>
  <c r="M573" i="3"/>
  <c r="L573" i="3"/>
  <c r="M572" i="3"/>
  <c r="L572" i="3"/>
  <c r="M571" i="3"/>
  <c r="L571" i="3"/>
  <c r="M570" i="3"/>
  <c r="L570" i="3"/>
  <c r="M569" i="3"/>
  <c r="L569" i="3"/>
  <c r="M568" i="3"/>
  <c r="L568" i="3"/>
  <c r="M567" i="3"/>
  <c r="L567" i="3"/>
  <c r="M566" i="3"/>
  <c r="L566" i="3"/>
  <c r="M565" i="3"/>
  <c r="L565" i="3"/>
  <c r="M564" i="3"/>
  <c r="L564" i="3"/>
  <c r="M563" i="3"/>
  <c r="L563" i="3"/>
  <c r="M562" i="3"/>
  <c r="L562" i="3"/>
  <c r="M561" i="3"/>
  <c r="L561" i="3"/>
  <c r="M560" i="3"/>
  <c r="L560" i="3"/>
  <c r="M559" i="3"/>
  <c r="L559" i="3"/>
  <c r="M558" i="3"/>
  <c r="L558" i="3"/>
  <c r="M557" i="3"/>
  <c r="L557" i="3"/>
  <c r="M556" i="3"/>
  <c r="L556" i="3"/>
  <c r="M555" i="3"/>
  <c r="L555" i="3"/>
  <c r="M554" i="3"/>
  <c r="L554" i="3"/>
  <c r="M553" i="3"/>
  <c r="L553" i="3"/>
  <c r="M552" i="3"/>
  <c r="L552" i="3"/>
  <c r="M551" i="3"/>
  <c r="L551" i="3"/>
  <c r="M550" i="3"/>
  <c r="L550" i="3"/>
  <c r="M549" i="3"/>
  <c r="L549" i="3"/>
  <c r="M548" i="3"/>
  <c r="L548" i="3"/>
  <c r="M547" i="3"/>
  <c r="L547" i="3"/>
  <c r="M546" i="3"/>
  <c r="L546" i="3"/>
  <c r="M545" i="3"/>
  <c r="L545" i="3"/>
  <c r="M544" i="3"/>
  <c r="L544" i="3"/>
  <c r="M543" i="3"/>
  <c r="L543" i="3"/>
  <c r="M542" i="3"/>
  <c r="L542" i="3"/>
  <c r="M541" i="3"/>
  <c r="L541" i="3"/>
  <c r="M540" i="3"/>
  <c r="L540" i="3"/>
  <c r="M539" i="3"/>
  <c r="L539" i="3"/>
  <c r="M538" i="3"/>
  <c r="L538" i="3"/>
  <c r="M537" i="3"/>
  <c r="L537" i="3"/>
  <c r="M536" i="3"/>
  <c r="L536" i="3"/>
  <c r="M535" i="3"/>
  <c r="L535" i="3"/>
  <c r="M534" i="3"/>
  <c r="L534" i="3"/>
  <c r="M533" i="3"/>
  <c r="L533" i="3"/>
  <c r="M532" i="3"/>
  <c r="L532" i="3"/>
  <c r="M531" i="3"/>
  <c r="L531" i="3"/>
  <c r="M530" i="3"/>
  <c r="L530" i="3"/>
  <c r="M529" i="3"/>
  <c r="L529" i="3"/>
  <c r="M528" i="3"/>
  <c r="L528" i="3"/>
  <c r="M527" i="3"/>
  <c r="L527" i="3"/>
  <c r="M526" i="3"/>
  <c r="L526" i="3"/>
  <c r="M525" i="3"/>
  <c r="L525" i="3"/>
  <c r="M524" i="3"/>
  <c r="L524" i="3"/>
  <c r="M523" i="3"/>
  <c r="L523" i="3"/>
  <c r="M522" i="3"/>
  <c r="L522" i="3"/>
  <c r="M521" i="3"/>
  <c r="L521" i="3"/>
  <c r="M520" i="3"/>
  <c r="L520" i="3"/>
  <c r="M519" i="3"/>
  <c r="L519" i="3"/>
  <c r="M518" i="3"/>
  <c r="L518" i="3"/>
  <c r="M517" i="3"/>
  <c r="L517" i="3"/>
  <c r="M516" i="3"/>
  <c r="L516" i="3"/>
  <c r="M515" i="3"/>
  <c r="L515" i="3"/>
  <c r="M514" i="3"/>
  <c r="L514" i="3"/>
  <c r="M513" i="3"/>
  <c r="L513" i="3"/>
  <c r="M512" i="3"/>
  <c r="L512" i="3"/>
  <c r="M511" i="3"/>
  <c r="L511" i="3"/>
  <c r="M510" i="3"/>
  <c r="L510" i="3"/>
  <c r="M509" i="3"/>
  <c r="L509" i="3"/>
  <c r="M508" i="3"/>
  <c r="L508" i="3"/>
  <c r="M507" i="3"/>
  <c r="L507" i="3"/>
  <c r="M506" i="3"/>
  <c r="L506" i="3"/>
  <c r="M505" i="3"/>
  <c r="L505" i="3"/>
  <c r="M504" i="3"/>
  <c r="L504" i="3"/>
  <c r="M503" i="3"/>
  <c r="L503" i="3"/>
  <c r="M502" i="3"/>
  <c r="L502" i="3"/>
  <c r="M501" i="3"/>
  <c r="L501" i="3"/>
  <c r="M500" i="3"/>
  <c r="L500" i="3"/>
  <c r="M499" i="3"/>
  <c r="L499" i="3"/>
  <c r="M498" i="3"/>
  <c r="L498" i="3"/>
  <c r="M497" i="3"/>
  <c r="L497" i="3"/>
  <c r="M496" i="3"/>
  <c r="L496" i="3"/>
  <c r="M495" i="3"/>
  <c r="L495" i="3"/>
  <c r="M494" i="3"/>
  <c r="L494" i="3"/>
  <c r="M493" i="3"/>
  <c r="L493" i="3"/>
  <c r="M492" i="3"/>
  <c r="L492" i="3"/>
  <c r="M491" i="3"/>
  <c r="L491" i="3"/>
  <c r="M490" i="3"/>
  <c r="L490" i="3"/>
  <c r="M489" i="3"/>
  <c r="L489" i="3"/>
  <c r="M488" i="3"/>
  <c r="L488" i="3"/>
  <c r="M487" i="3"/>
  <c r="L487" i="3"/>
  <c r="M486" i="3"/>
  <c r="L486" i="3"/>
  <c r="M485" i="3"/>
  <c r="L485" i="3"/>
  <c r="M484" i="3"/>
  <c r="L484" i="3"/>
  <c r="M483" i="3"/>
  <c r="L483" i="3"/>
  <c r="M482" i="3"/>
  <c r="L482" i="3"/>
  <c r="M481" i="3"/>
  <c r="L481" i="3"/>
  <c r="M480" i="3"/>
  <c r="L480" i="3"/>
  <c r="M479" i="3"/>
  <c r="L479" i="3"/>
  <c r="M478" i="3"/>
  <c r="L478" i="3"/>
  <c r="M477" i="3"/>
  <c r="L477" i="3"/>
  <c r="M476" i="3"/>
  <c r="L476" i="3"/>
  <c r="M475" i="3"/>
  <c r="L475" i="3"/>
  <c r="M474" i="3"/>
  <c r="L474" i="3"/>
  <c r="M473" i="3"/>
  <c r="L473" i="3"/>
  <c r="M472" i="3"/>
  <c r="L472" i="3"/>
  <c r="M471" i="3"/>
  <c r="L471" i="3"/>
  <c r="M470" i="3"/>
  <c r="L470" i="3"/>
  <c r="M469" i="3"/>
  <c r="L469" i="3"/>
  <c r="M468" i="3"/>
  <c r="L468" i="3"/>
  <c r="M467" i="3"/>
  <c r="L467" i="3"/>
  <c r="M466" i="3"/>
  <c r="L466" i="3"/>
  <c r="M465" i="3"/>
  <c r="L465" i="3"/>
  <c r="M464" i="3"/>
  <c r="L464" i="3"/>
  <c r="M463" i="3"/>
  <c r="L463" i="3"/>
  <c r="M462" i="3"/>
  <c r="L462" i="3"/>
  <c r="M461" i="3"/>
  <c r="L461" i="3"/>
  <c r="M460" i="3"/>
  <c r="L460" i="3"/>
  <c r="M459" i="3"/>
  <c r="L459" i="3"/>
  <c r="M458" i="3"/>
  <c r="L458" i="3"/>
  <c r="M457" i="3"/>
  <c r="L457" i="3"/>
  <c r="M456" i="3"/>
  <c r="L456" i="3"/>
  <c r="M455" i="3"/>
  <c r="L455" i="3"/>
  <c r="M454" i="3"/>
  <c r="L454" i="3"/>
  <c r="M453" i="3"/>
  <c r="L453" i="3"/>
  <c r="M452" i="3"/>
  <c r="L452" i="3"/>
  <c r="M451" i="3"/>
  <c r="L451" i="3"/>
  <c r="M450" i="3"/>
  <c r="L450" i="3"/>
  <c r="M449" i="3"/>
  <c r="L449" i="3"/>
  <c r="M448" i="3"/>
  <c r="L448" i="3"/>
  <c r="M447" i="3"/>
  <c r="L447" i="3"/>
  <c r="M446" i="3"/>
  <c r="L446" i="3"/>
  <c r="M445" i="3"/>
  <c r="L445" i="3"/>
  <c r="M444" i="3"/>
  <c r="L444" i="3"/>
  <c r="M443" i="3"/>
  <c r="L443" i="3"/>
  <c r="M442" i="3"/>
  <c r="L442" i="3"/>
  <c r="M441" i="3"/>
  <c r="L441" i="3"/>
  <c r="M440" i="3"/>
  <c r="L440" i="3"/>
  <c r="M439" i="3"/>
  <c r="L439" i="3"/>
  <c r="M438" i="3"/>
  <c r="L438" i="3"/>
  <c r="M437" i="3"/>
  <c r="L437" i="3"/>
  <c r="M436" i="3"/>
  <c r="L436" i="3"/>
  <c r="M435" i="3"/>
  <c r="L435" i="3"/>
  <c r="M434" i="3"/>
  <c r="L434" i="3"/>
  <c r="M433" i="3"/>
  <c r="L433" i="3"/>
  <c r="M432" i="3"/>
  <c r="L432" i="3"/>
  <c r="M431" i="3"/>
  <c r="L431" i="3"/>
  <c r="M430" i="3"/>
  <c r="L430" i="3"/>
  <c r="M429" i="3"/>
  <c r="L429" i="3"/>
  <c r="M428" i="3"/>
  <c r="L428" i="3"/>
  <c r="M427" i="3"/>
  <c r="L427" i="3"/>
  <c r="M426" i="3"/>
  <c r="L426" i="3"/>
  <c r="M425" i="3"/>
  <c r="L425" i="3"/>
  <c r="M424" i="3"/>
  <c r="L424" i="3"/>
  <c r="M423" i="3"/>
  <c r="L423" i="3"/>
  <c r="M422" i="3"/>
  <c r="L422" i="3"/>
  <c r="M421" i="3"/>
  <c r="L421" i="3"/>
  <c r="M420" i="3"/>
  <c r="L420" i="3"/>
  <c r="M419" i="3"/>
  <c r="L419" i="3"/>
  <c r="M418" i="3"/>
  <c r="L418" i="3"/>
  <c r="M417" i="3"/>
  <c r="L417" i="3"/>
  <c r="M416" i="3"/>
  <c r="L416" i="3"/>
  <c r="M415" i="3"/>
  <c r="L415" i="3"/>
  <c r="M414" i="3"/>
  <c r="L414" i="3"/>
  <c r="M413" i="3"/>
  <c r="L413" i="3"/>
  <c r="M412" i="3"/>
  <c r="L412" i="3"/>
  <c r="M411" i="3"/>
  <c r="L411" i="3"/>
  <c r="M410" i="3"/>
  <c r="L410" i="3"/>
  <c r="M409" i="3"/>
  <c r="L409" i="3"/>
  <c r="M408" i="3"/>
  <c r="L408" i="3"/>
  <c r="M407" i="3"/>
  <c r="L407" i="3"/>
  <c r="M406" i="3"/>
  <c r="L406" i="3"/>
  <c r="M405" i="3"/>
  <c r="L405" i="3"/>
  <c r="M404" i="3"/>
  <c r="L404" i="3"/>
  <c r="M403" i="3"/>
  <c r="L403" i="3"/>
  <c r="M402" i="3"/>
  <c r="L402" i="3"/>
  <c r="M401" i="3"/>
  <c r="L401" i="3"/>
  <c r="M400" i="3"/>
  <c r="L400" i="3"/>
  <c r="M399" i="3"/>
  <c r="L399" i="3"/>
  <c r="M398" i="3"/>
  <c r="L398" i="3"/>
  <c r="M397" i="3"/>
  <c r="L397" i="3"/>
  <c r="M396" i="3"/>
  <c r="L396" i="3"/>
  <c r="M395" i="3"/>
  <c r="L395" i="3"/>
  <c r="M394" i="3"/>
  <c r="L394" i="3"/>
  <c r="M393" i="3"/>
  <c r="L393" i="3"/>
  <c r="M392" i="3"/>
  <c r="L392" i="3"/>
  <c r="M391" i="3"/>
  <c r="L391" i="3"/>
  <c r="M390" i="3"/>
  <c r="L390" i="3"/>
  <c r="M389" i="3"/>
  <c r="L389" i="3"/>
  <c r="M388" i="3"/>
  <c r="L388" i="3"/>
  <c r="M387" i="3"/>
  <c r="L387" i="3"/>
  <c r="M386" i="3"/>
  <c r="L386" i="3"/>
  <c r="M385" i="3"/>
  <c r="L385" i="3"/>
  <c r="M384" i="3"/>
  <c r="L384" i="3"/>
  <c r="M383" i="3"/>
  <c r="L383" i="3"/>
  <c r="M382" i="3"/>
  <c r="L382" i="3"/>
  <c r="M381" i="3"/>
  <c r="L381" i="3"/>
  <c r="M380" i="3"/>
  <c r="L380" i="3"/>
  <c r="M379" i="3"/>
  <c r="L379" i="3"/>
  <c r="M378" i="3"/>
  <c r="L378" i="3"/>
  <c r="M377" i="3"/>
  <c r="L377" i="3"/>
  <c r="M376" i="3"/>
  <c r="L376" i="3"/>
  <c r="M375" i="3"/>
  <c r="L375" i="3"/>
  <c r="M374" i="3"/>
  <c r="L374" i="3"/>
  <c r="M373" i="3"/>
  <c r="L373" i="3"/>
  <c r="M372" i="3"/>
  <c r="L372" i="3"/>
  <c r="M371" i="3"/>
  <c r="L371" i="3"/>
  <c r="M370" i="3"/>
  <c r="L370" i="3"/>
  <c r="M369" i="3"/>
  <c r="L369" i="3"/>
  <c r="M368" i="3"/>
  <c r="L368" i="3"/>
  <c r="M367" i="3"/>
  <c r="L367" i="3"/>
  <c r="M366" i="3"/>
  <c r="L366" i="3"/>
  <c r="M365" i="3"/>
  <c r="L365" i="3"/>
  <c r="M364" i="3"/>
  <c r="L364" i="3"/>
  <c r="M363" i="3"/>
  <c r="L363" i="3"/>
  <c r="M362" i="3"/>
  <c r="L362" i="3"/>
  <c r="M361" i="3"/>
  <c r="L361" i="3"/>
  <c r="M360" i="3"/>
  <c r="L360" i="3"/>
  <c r="M359" i="3"/>
  <c r="L359" i="3"/>
  <c r="M358" i="3"/>
  <c r="L358" i="3"/>
  <c r="M357" i="3"/>
  <c r="L357" i="3"/>
  <c r="M356" i="3"/>
  <c r="L356" i="3"/>
  <c r="M355" i="3"/>
  <c r="L355" i="3"/>
  <c r="M354" i="3"/>
  <c r="L354" i="3"/>
  <c r="M353" i="3"/>
  <c r="L353" i="3"/>
  <c r="M352" i="3"/>
  <c r="L352" i="3"/>
  <c r="M351" i="3"/>
  <c r="L351" i="3"/>
  <c r="M350" i="3"/>
  <c r="L350" i="3"/>
  <c r="M349" i="3"/>
  <c r="L349" i="3"/>
  <c r="M348" i="3"/>
  <c r="L348" i="3"/>
  <c r="M347" i="3"/>
  <c r="L347" i="3"/>
  <c r="M346" i="3"/>
  <c r="L346" i="3"/>
  <c r="M345" i="3"/>
  <c r="L345" i="3"/>
  <c r="M344" i="3"/>
  <c r="L344" i="3"/>
  <c r="M343" i="3"/>
  <c r="L343" i="3"/>
  <c r="M342" i="3"/>
  <c r="L342" i="3"/>
  <c r="M341" i="3"/>
  <c r="L341" i="3"/>
  <c r="M340" i="3"/>
  <c r="L340" i="3"/>
  <c r="M339" i="3"/>
  <c r="L339" i="3"/>
  <c r="M338" i="3"/>
  <c r="L338" i="3"/>
  <c r="M337" i="3"/>
  <c r="L337" i="3"/>
  <c r="M336" i="3"/>
  <c r="L336" i="3"/>
  <c r="M335" i="3"/>
  <c r="L335" i="3"/>
  <c r="M334" i="3"/>
  <c r="L334" i="3"/>
  <c r="M333" i="3"/>
  <c r="L333" i="3"/>
  <c r="M332" i="3"/>
  <c r="L332" i="3"/>
  <c r="M331" i="3"/>
  <c r="L331" i="3"/>
  <c r="M330" i="3"/>
  <c r="L330" i="3"/>
  <c r="M329" i="3"/>
  <c r="L329" i="3"/>
  <c r="M328" i="3"/>
  <c r="L328" i="3"/>
  <c r="M327" i="3"/>
  <c r="L327" i="3"/>
  <c r="M326" i="3"/>
  <c r="L326" i="3"/>
  <c r="M325" i="3"/>
  <c r="L325" i="3"/>
  <c r="M324" i="3"/>
  <c r="L324" i="3"/>
  <c r="M323" i="3"/>
  <c r="L323" i="3"/>
  <c r="M322" i="3"/>
  <c r="L322" i="3"/>
  <c r="M321" i="3"/>
  <c r="L321" i="3"/>
  <c r="M320" i="3"/>
  <c r="L320" i="3"/>
  <c r="M319" i="3"/>
  <c r="L319" i="3"/>
  <c r="M318" i="3"/>
  <c r="L318" i="3"/>
  <c r="M317" i="3"/>
  <c r="L317" i="3"/>
  <c r="M316" i="3"/>
  <c r="L316" i="3"/>
  <c r="M315" i="3"/>
  <c r="L315" i="3"/>
  <c r="M314" i="3"/>
  <c r="L314" i="3"/>
  <c r="M313" i="3"/>
  <c r="L313" i="3"/>
  <c r="M312" i="3"/>
  <c r="L312" i="3"/>
  <c r="M311" i="3"/>
  <c r="L311" i="3"/>
  <c r="M310" i="3"/>
  <c r="L310" i="3"/>
  <c r="M309" i="3"/>
  <c r="L309" i="3"/>
  <c r="M308" i="3"/>
  <c r="L308" i="3"/>
  <c r="M307" i="3"/>
  <c r="L307" i="3"/>
  <c r="M306" i="3"/>
  <c r="L306" i="3"/>
  <c r="M305" i="3"/>
  <c r="L305" i="3"/>
  <c r="M304" i="3"/>
  <c r="L304" i="3"/>
  <c r="M303" i="3"/>
  <c r="L303" i="3"/>
  <c r="M302" i="3"/>
  <c r="L302" i="3"/>
  <c r="M301" i="3"/>
  <c r="L301" i="3"/>
  <c r="M300" i="3"/>
  <c r="L300" i="3"/>
  <c r="M299" i="3"/>
  <c r="L299" i="3"/>
  <c r="M298" i="3"/>
  <c r="L298" i="3"/>
  <c r="M297" i="3"/>
  <c r="L297" i="3"/>
  <c r="M296" i="3"/>
  <c r="L296" i="3"/>
  <c r="M295" i="3"/>
  <c r="L295" i="3"/>
  <c r="M294" i="3"/>
  <c r="L294" i="3"/>
  <c r="M293" i="3"/>
  <c r="L293" i="3"/>
  <c r="M292" i="3"/>
  <c r="L292" i="3"/>
  <c r="M291" i="3"/>
  <c r="L291" i="3"/>
  <c r="M290" i="3"/>
  <c r="L290" i="3"/>
  <c r="M289" i="3"/>
  <c r="L289" i="3"/>
  <c r="M288" i="3"/>
  <c r="L288" i="3"/>
  <c r="M287" i="3"/>
  <c r="L287" i="3"/>
  <c r="M286" i="3"/>
  <c r="L286" i="3"/>
  <c r="M285" i="3"/>
  <c r="L285" i="3"/>
  <c r="M284" i="3"/>
  <c r="L284" i="3"/>
  <c r="M283" i="3"/>
  <c r="L283" i="3"/>
  <c r="M282" i="3"/>
  <c r="L282" i="3"/>
  <c r="M281" i="3"/>
  <c r="L281" i="3"/>
  <c r="M280" i="3"/>
  <c r="L280" i="3"/>
  <c r="M279" i="3"/>
  <c r="L279" i="3"/>
  <c r="M278" i="3"/>
  <c r="L278" i="3"/>
  <c r="M277" i="3"/>
  <c r="L277" i="3"/>
  <c r="M276" i="3"/>
  <c r="L276" i="3"/>
  <c r="M275" i="3"/>
  <c r="L275" i="3"/>
  <c r="M274" i="3"/>
  <c r="L274" i="3"/>
  <c r="M273" i="3"/>
  <c r="L273" i="3"/>
  <c r="M272" i="3"/>
  <c r="L272" i="3"/>
  <c r="M271" i="3"/>
  <c r="L271" i="3"/>
  <c r="M270" i="3"/>
  <c r="L270" i="3"/>
  <c r="M269" i="3"/>
  <c r="L269" i="3"/>
  <c r="M268" i="3"/>
  <c r="L268" i="3"/>
  <c r="M267" i="3"/>
  <c r="L267" i="3"/>
  <c r="M266" i="3"/>
  <c r="L266" i="3"/>
  <c r="M265" i="3"/>
  <c r="L265" i="3"/>
  <c r="M264" i="3"/>
  <c r="L264" i="3"/>
  <c r="M263" i="3"/>
  <c r="L263" i="3"/>
  <c r="M262" i="3"/>
  <c r="L262" i="3"/>
  <c r="M261" i="3"/>
  <c r="L261" i="3"/>
  <c r="M260" i="3"/>
  <c r="L260" i="3"/>
  <c r="M259" i="3"/>
  <c r="L259" i="3"/>
  <c r="M258" i="3"/>
  <c r="L258" i="3"/>
  <c r="M257" i="3"/>
  <c r="L257" i="3"/>
  <c r="M256" i="3"/>
  <c r="L256" i="3"/>
  <c r="M255" i="3"/>
  <c r="L255" i="3"/>
  <c r="M254" i="3"/>
  <c r="L254" i="3"/>
  <c r="M253" i="3"/>
  <c r="L253" i="3"/>
  <c r="M252" i="3"/>
  <c r="L252" i="3"/>
  <c r="M251" i="3"/>
  <c r="L251" i="3"/>
  <c r="M250" i="3"/>
  <c r="L250" i="3"/>
  <c r="M249" i="3"/>
  <c r="L249" i="3"/>
  <c r="M248" i="3"/>
  <c r="L248" i="3"/>
  <c r="M247" i="3"/>
  <c r="L247" i="3"/>
  <c r="M246" i="3"/>
  <c r="L246" i="3"/>
  <c r="M245" i="3"/>
  <c r="L245" i="3"/>
  <c r="M244" i="3"/>
  <c r="L244" i="3"/>
  <c r="M243" i="3"/>
  <c r="L243" i="3"/>
  <c r="M242" i="3"/>
  <c r="L242" i="3"/>
  <c r="M241" i="3"/>
  <c r="L241" i="3"/>
  <c r="M240" i="3"/>
  <c r="L240" i="3"/>
  <c r="M239" i="3"/>
  <c r="L239" i="3"/>
  <c r="M238" i="3"/>
  <c r="L238" i="3"/>
  <c r="M237" i="3"/>
  <c r="L237" i="3"/>
  <c r="M236" i="3"/>
  <c r="L236" i="3"/>
  <c r="M235" i="3"/>
  <c r="L235" i="3"/>
  <c r="M234" i="3"/>
  <c r="L234" i="3"/>
  <c r="M233" i="3"/>
  <c r="L233" i="3"/>
  <c r="M232" i="3"/>
  <c r="L232" i="3"/>
  <c r="M231" i="3"/>
  <c r="L231" i="3"/>
  <c r="M230" i="3"/>
  <c r="L230" i="3"/>
  <c r="M229" i="3"/>
  <c r="L229" i="3"/>
  <c r="M228" i="3"/>
  <c r="L228" i="3"/>
  <c r="M227" i="3"/>
  <c r="L227" i="3"/>
  <c r="M226" i="3"/>
  <c r="L226" i="3"/>
  <c r="M225" i="3"/>
  <c r="L225" i="3"/>
  <c r="M224" i="3"/>
  <c r="L224" i="3"/>
  <c r="M223" i="3"/>
  <c r="L223" i="3"/>
  <c r="M222" i="3"/>
  <c r="L222" i="3"/>
  <c r="M221" i="3"/>
  <c r="L221" i="3"/>
  <c r="M220" i="3"/>
  <c r="L220" i="3"/>
  <c r="M219" i="3"/>
  <c r="L219" i="3"/>
  <c r="M218" i="3"/>
  <c r="L218" i="3"/>
  <c r="M217" i="3"/>
  <c r="L217" i="3"/>
  <c r="M216" i="3"/>
  <c r="L216" i="3"/>
  <c r="M215" i="3"/>
  <c r="L215" i="3"/>
  <c r="M214" i="3"/>
  <c r="L214" i="3"/>
  <c r="M213" i="3"/>
  <c r="L213" i="3"/>
  <c r="M212" i="3"/>
  <c r="L212" i="3"/>
  <c r="M211" i="3"/>
  <c r="L211" i="3"/>
  <c r="M210" i="3"/>
  <c r="L210" i="3"/>
  <c r="M209" i="3"/>
  <c r="L209" i="3"/>
  <c r="M208" i="3"/>
  <c r="L208" i="3"/>
  <c r="M207" i="3"/>
  <c r="L207" i="3"/>
  <c r="M206" i="3"/>
  <c r="L206" i="3"/>
  <c r="M205" i="3"/>
  <c r="L205" i="3"/>
  <c r="M204" i="3"/>
  <c r="L204" i="3"/>
  <c r="M203" i="3"/>
  <c r="L203" i="3"/>
  <c r="M202" i="3"/>
  <c r="L202" i="3"/>
  <c r="M201" i="3"/>
  <c r="L201" i="3"/>
  <c r="M200" i="3"/>
  <c r="L200" i="3"/>
  <c r="M199" i="3"/>
  <c r="L199" i="3"/>
  <c r="M198" i="3"/>
  <c r="L198" i="3"/>
  <c r="M197" i="3"/>
  <c r="L197" i="3"/>
  <c r="M196" i="3"/>
  <c r="L196" i="3"/>
  <c r="M195" i="3"/>
  <c r="L195" i="3"/>
  <c r="M194" i="3"/>
  <c r="L194" i="3"/>
  <c r="M193" i="3"/>
  <c r="L193" i="3"/>
  <c r="M192" i="3"/>
  <c r="L192" i="3"/>
  <c r="M191" i="3"/>
  <c r="L191" i="3"/>
  <c r="M190" i="3"/>
  <c r="L190" i="3"/>
  <c r="M189" i="3"/>
  <c r="L189" i="3"/>
  <c r="M188" i="3"/>
  <c r="L188" i="3"/>
  <c r="M187" i="3"/>
  <c r="L187" i="3"/>
  <c r="M186" i="3"/>
  <c r="L186" i="3"/>
  <c r="M185" i="3"/>
  <c r="L185" i="3"/>
  <c r="M184" i="3"/>
  <c r="L184" i="3"/>
  <c r="M183" i="3"/>
  <c r="L183" i="3"/>
  <c r="M182" i="3"/>
  <c r="L182" i="3"/>
  <c r="M181" i="3"/>
  <c r="L181" i="3"/>
  <c r="M180" i="3"/>
  <c r="L180" i="3"/>
  <c r="M179" i="3"/>
  <c r="L179" i="3"/>
  <c r="M178" i="3"/>
  <c r="L178" i="3"/>
  <c r="M177" i="3"/>
  <c r="L177" i="3"/>
  <c r="M176" i="3"/>
  <c r="L176" i="3"/>
  <c r="M175" i="3"/>
  <c r="L175" i="3"/>
  <c r="M174" i="3"/>
  <c r="L174" i="3"/>
  <c r="M173" i="3"/>
  <c r="L173" i="3"/>
  <c r="M172" i="3"/>
  <c r="L172" i="3"/>
  <c r="M171" i="3"/>
  <c r="L171" i="3"/>
  <c r="M170" i="3"/>
  <c r="L170" i="3"/>
  <c r="M169" i="3"/>
  <c r="L169" i="3"/>
  <c r="M168" i="3"/>
  <c r="L168" i="3"/>
  <c r="M167" i="3"/>
  <c r="L167" i="3"/>
  <c r="M166" i="3"/>
  <c r="L166" i="3"/>
  <c r="M165" i="3"/>
  <c r="L165" i="3"/>
  <c r="M164" i="3"/>
  <c r="L164" i="3"/>
  <c r="M163" i="3"/>
  <c r="L163" i="3"/>
  <c r="M162" i="3"/>
  <c r="L162" i="3"/>
  <c r="M161" i="3"/>
  <c r="L161" i="3"/>
  <c r="M160" i="3"/>
  <c r="L160" i="3"/>
  <c r="M159" i="3"/>
  <c r="L159" i="3"/>
  <c r="M158" i="3"/>
  <c r="L158" i="3"/>
  <c r="M157" i="3"/>
  <c r="L157" i="3"/>
  <c r="M156" i="3"/>
  <c r="L156" i="3"/>
  <c r="M155" i="3"/>
  <c r="L155" i="3"/>
  <c r="M154" i="3"/>
  <c r="L154" i="3"/>
  <c r="M153" i="3"/>
  <c r="L153" i="3"/>
  <c r="M152" i="3"/>
  <c r="L152" i="3"/>
  <c r="M151" i="3"/>
  <c r="L151" i="3"/>
  <c r="M150" i="3"/>
  <c r="L150" i="3"/>
  <c r="M149" i="3"/>
  <c r="L149" i="3"/>
  <c r="M148" i="3"/>
  <c r="L148" i="3"/>
  <c r="M147" i="3"/>
  <c r="L147" i="3"/>
  <c r="M146" i="3"/>
  <c r="L146" i="3"/>
  <c r="M145" i="3"/>
  <c r="L145" i="3"/>
  <c r="M144" i="3"/>
  <c r="L144" i="3"/>
  <c r="M143" i="3"/>
  <c r="L143" i="3"/>
  <c r="M142" i="3"/>
  <c r="L142" i="3"/>
  <c r="M141" i="3"/>
  <c r="L141" i="3"/>
  <c r="M140" i="3"/>
  <c r="L140" i="3"/>
  <c r="M139" i="3"/>
  <c r="L139" i="3"/>
  <c r="M138" i="3"/>
  <c r="L138" i="3"/>
  <c r="M137" i="3"/>
  <c r="L137" i="3"/>
  <c r="M136" i="3"/>
  <c r="L136" i="3"/>
  <c r="M135" i="3"/>
  <c r="L135" i="3"/>
  <c r="M134" i="3"/>
  <c r="L134" i="3"/>
  <c r="M133" i="3"/>
  <c r="L133" i="3"/>
  <c r="M132" i="3"/>
  <c r="L132" i="3"/>
  <c r="M131" i="3"/>
  <c r="L131" i="3"/>
  <c r="M130" i="3"/>
  <c r="L130" i="3"/>
  <c r="M129" i="3"/>
  <c r="L129" i="3"/>
  <c r="M128" i="3"/>
  <c r="L128" i="3"/>
  <c r="M127" i="3"/>
  <c r="L127" i="3"/>
  <c r="M126" i="3"/>
  <c r="L126" i="3"/>
  <c r="M125" i="3"/>
  <c r="L125" i="3"/>
  <c r="M124" i="3"/>
  <c r="L124" i="3"/>
  <c r="M123" i="3"/>
  <c r="L123" i="3"/>
  <c r="M122" i="3"/>
  <c r="L122" i="3"/>
  <c r="M121" i="3"/>
  <c r="L121" i="3"/>
  <c r="M120" i="3"/>
  <c r="L120" i="3"/>
  <c r="M119" i="3"/>
  <c r="L119" i="3"/>
  <c r="M118" i="3"/>
  <c r="L118" i="3"/>
  <c r="M117" i="3"/>
  <c r="L117" i="3"/>
  <c r="M116" i="3"/>
  <c r="L116" i="3"/>
  <c r="M115" i="3"/>
  <c r="L115" i="3"/>
  <c r="M114" i="3"/>
  <c r="L114" i="3"/>
  <c r="M113" i="3"/>
  <c r="L113" i="3"/>
  <c r="M112" i="3"/>
  <c r="L112" i="3"/>
  <c r="M111" i="3"/>
  <c r="L111" i="3"/>
  <c r="M110" i="3"/>
  <c r="L110" i="3"/>
  <c r="M109" i="3"/>
  <c r="L109" i="3"/>
  <c r="M108" i="3"/>
  <c r="L108" i="3"/>
  <c r="M107" i="3"/>
  <c r="L107" i="3"/>
  <c r="M106" i="3"/>
  <c r="L106" i="3"/>
  <c r="M105" i="3"/>
  <c r="L105" i="3"/>
  <c r="M104" i="3"/>
  <c r="L104" i="3"/>
  <c r="M103" i="3"/>
  <c r="L103" i="3"/>
  <c r="M102" i="3"/>
  <c r="L102" i="3"/>
  <c r="M101" i="3"/>
  <c r="L101" i="3"/>
  <c r="M100" i="3"/>
  <c r="L100" i="3"/>
  <c r="M99" i="3"/>
  <c r="L99" i="3"/>
  <c r="M98" i="3"/>
  <c r="L98" i="3"/>
  <c r="M97" i="3"/>
  <c r="L97" i="3"/>
  <c r="M96" i="3"/>
  <c r="L96" i="3"/>
  <c r="M95" i="3"/>
  <c r="L95" i="3"/>
  <c r="M94" i="3"/>
  <c r="L94" i="3"/>
  <c r="M93" i="3"/>
  <c r="L93" i="3"/>
  <c r="M92" i="3"/>
  <c r="L92" i="3"/>
  <c r="M91" i="3"/>
  <c r="L91" i="3"/>
  <c r="M90" i="3"/>
  <c r="L90" i="3"/>
  <c r="M89" i="3"/>
  <c r="L89" i="3"/>
  <c r="M88" i="3"/>
  <c r="L88" i="3"/>
  <c r="M87" i="3"/>
  <c r="L87" i="3"/>
  <c r="M86" i="3"/>
  <c r="L86" i="3"/>
  <c r="M85" i="3"/>
  <c r="L85" i="3"/>
  <c r="M84" i="3"/>
  <c r="L84" i="3"/>
  <c r="M83" i="3"/>
  <c r="L83" i="3"/>
  <c r="M82" i="3"/>
  <c r="L82" i="3"/>
  <c r="M81" i="3"/>
  <c r="L81" i="3"/>
  <c r="M80" i="3"/>
  <c r="L80" i="3"/>
  <c r="M79" i="3"/>
  <c r="L79" i="3"/>
  <c r="M78" i="3"/>
  <c r="L78" i="3"/>
  <c r="M77" i="3"/>
  <c r="L77" i="3"/>
  <c r="M76" i="3"/>
  <c r="L76" i="3"/>
  <c r="M75" i="3"/>
  <c r="L75" i="3"/>
  <c r="M74" i="3"/>
  <c r="L74" i="3"/>
  <c r="M73" i="3"/>
  <c r="L73" i="3"/>
  <c r="M72" i="3"/>
  <c r="L72" i="3"/>
  <c r="M71" i="3"/>
  <c r="L71" i="3"/>
  <c r="M70" i="3"/>
  <c r="L70" i="3"/>
  <c r="M69" i="3"/>
  <c r="L69" i="3"/>
  <c r="M68" i="3"/>
  <c r="L68" i="3"/>
  <c r="M67" i="3"/>
  <c r="L67" i="3"/>
  <c r="M66" i="3"/>
  <c r="L66" i="3"/>
  <c r="M65" i="3"/>
  <c r="L65" i="3"/>
  <c r="M64" i="3"/>
  <c r="L64" i="3"/>
  <c r="M63" i="3"/>
  <c r="L63" i="3"/>
  <c r="M62" i="3"/>
  <c r="L62" i="3"/>
  <c r="M61" i="3"/>
  <c r="L61" i="3"/>
  <c r="M60" i="3"/>
  <c r="L60" i="3"/>
  <c r="M59" i="3"/>
  <c r="L59" i="3"/>
  <c r="M58" i="3"/>
  <c r="L58" i="3"/>
  <c r="M57" i="3"/>
  <c r="L57" i="3"/>
  <c r="M56" i="3"/>
  <c r="L56" i="3"/>
  <c r="M55" i="3"/>
  <c r="L55" i="3"/>
  <c r="M54" i="3"/>
  <c r="L54" i="3"/>
  <c r="M53" i="3"/>
  <c r="L53" i="3"/>
  <c r="M52" i="3"/>
  <c r="L52" i="3"/>
  <c r="M51" i="3"/>
  <c r="L51" i="3"/>
  <c r="M50" i="3"/>
  <c r="L50" i="3"/>
  <c r="M49" i="3"/>
  <c r="L49" i="3"/>
  <c r="M48" i="3"/>
  <c r="L48" i="3"/>
  <c r="M47" i="3"/>
  <c r="L47" i="3"/>
  <c r="M46" i="3"/>
  <c r="L46" i="3"/>
  <c r="M45" i="3"/>
  <c r="L45" i="3"/>
  <c r="M44" i="3"/>
  <c r="L44" i="3"/>
  <c r="M43" i="3"/>
  <c r="L43" i="3"/>
  <c r="M42" i="3"/>
  <c r="L42" i="3"/>
  <c r="M41" i="3"/>
  <c r="L41" i="3"/>
  <c r="M40" i="3"/>
  <c r="L40" i="3"/>
  <c r="M39" i="3"/>
  <c r="L39" i="3"/>
  <c r="M38" i="3"/>
  <c r="L38" i="3"/>
  <c r="M37" i="3"/>
  <c r="L37" i="3"/>
  <c r="M36" i="3"/>
  <c r="L36" i="3"/>
  <c r="M35" i="3"/>
  <c r="L35" i="3"/>
  <c r="M34" i="3"/>
  <c r="L34" i="3"/>
  <c r="M33" i="3"/>
  <c r="L33" i="3"/>
  <c r="M32" i="3"/>
  <c r="L32" i="3"/>
  <c r="M31" i="3"/>
  <c r="L31" i="3"/>
  <c r="M30" i="3"/>
  <c r="L30" i="3"/>
  <c r="M29" i="3"/>
  <c r="L29" i="3"/>
  <c r="M28" i="3"/>
  <c r="L28" i="3"/>
  <c r="M27" i="3"/>
  <c r="L27" i="3"/>
  <c r="M26" i="3"/>
  <c r="L26" i="3"/>
  <c r="M25" i="3"/>
  <c r="L25" i="3"/>
  <c r="M24" i="3"/>
  <c r="L24" i="3"/>
  <c r="M23" i="3"/>
  <c r="L23" i="3"/>
  <c r="M22" i="3"/>
  <c r="L22" i="3"/>
  <c r="M21" i="3"/>
  <c r="L21" i="3"/>
  <c r="M20" i="3"/>
  <c r="L20" i="3"/>
  <c r="M19" i="3"/>
  <c r="L19" i="3"/>
  <c r="M18" i="3"/>
  <c r="L18" i="3"/>
  <c r="M17" i="3"/>
  <c r="L17" i="3"/>
  <c r="M16" i="3"/>
  <c r="L16" i="3"/>
  <c r="M15" i="3"/>
  <c r="L15" i="3"/>
  <c r="P31" i="3" l="1"/>
  <c r="O31" i="3"/>
  <c r="K31" i="3"/>
  <c r="D108" i="17"/>
  <c r="G108" i="17"/>
  <c r="F108" i="17"/>
  <c r="C108" i="17"/>
  <c r="P16" i="3" l="1"/>
  <c r="O16" i="3"/>
  <c r="K16" i="3"/>
  <c r="P15" i="3"/>
  <c r="O15" i="3"/>
  <c r="K15" i="3"/>
  <c r="P26" i="3"/>
  <c r="O26" i="3"/>
  <c r="K26" i="3"/>
  <c r="P25" i="3"/>
  <c r="O25" i="3"/>
  <c r="K25" i="3"/>
  <c r="P24" i="3"/>
  <c r="O24" i="3"/>
  <c r="K24" i="3"/>
  <c r="P23" i="3"/>
  <c r="O23" i="3"/>
  <c r="K23" i="3"/>
  <c r="P22" i="3"/>
  <c r="O22" i="3"/>
  <c r="K22" i="3"/>
  <c r="P21" i="3"/>
  <c r="O21" i="3"/>
  <c r="K21" i="3"/>
  <c r="P20" i="3"/>
  <c r="O20" i="3"/>
  <c r="K20" i="3"/>
  <c r="P19" i="3"/>
  <c r="O19" i="3"/>
  <c r="K19" i="3"/>
  <c r="P18" i="3"/>
  <c r="O18" i="3"/>
  <c r="K18" i="3"/>
  <c r="P17" i="3"/>
  <c r="O17" i="3"/>
  <c r="K17" i="3"/>
  <c r="T23" i="3" l="1"/>
  <c r="G125" i="17"/>
  <c r="G124" i="17"/>
  <c r="G118" i="17"/>
  <c r="G117" i="17"/>
  <c r="G116" i="17"/>
  <c r="G115" i="17"/>
  <c r="G114" i="17"/>
  <c r="G110" i="17"/>
  <c r="G109" i="17"/>
  <c r="G104" i="17"/>
  <c r="G103" i="17"/>
  <c r="G102" i="17"/>
  <c r="G101" i="17"/>
  <c r="G100" i="17"/>
  <c r="G96" i="17"/>
  <c r="G95" i="17"/>
  <c r="G94" i="17"/>
  <c r="G93" i="17"/>
  <c r="G92" i="17"/>
  <c r="G91" i="17"/>
  <c r="G87" i="17"/>
  <c r="G86" i="17"/>
  <c r="G85" i="17"/>
  <c r="G84" i="17"/>
  <c r="G83" i="17"/>
  <c r="G82" i="17"/>
  <c r="G81" i="17"/>
  <c r="G76" i="17"/>
  <c r="G75" i="17"/>
  <c r="G74" i="17"/>
  <c r="G73" i="17"/>
  <c r="G72" i="17"/>
  <c r="G68" i="17"/>
  <c r="G67" i="17"/>
  <c r="G66" i="17"/>
  <c r="G60" i="17"/>
  <c r="G59" i="17"/>
  <c r="G58" i="17"/>
  <c r="G57" i="17"/>
  <c r="G56" i="17"/>
  <c r="G55" i="17"/>
  <c r="G54" i="17"/>
  <c r="G50" i="17"/>
  <c r="G49" i="17"/>
  <c r="G48" i="17"/>
  <c r="G47" i="17"/>
  <c r="G46" i="17"/>
  <c r="G45" i="17"/>
  <c r="G41" i="17"/>
  <c r="G40" i="17"/>
  <c r="G39" i="17"/>
  <c r="G38" i="17"/>
  <c r="G37" i="17"/>
  <c r="G33" i="17"/>
  <c r="G32" i="17"/>
  <c r="G31" i="17"/>
  <c r="G30" i="17"/>
  <c r="G29" i="17"/>
  <c r="G28" i="17"/>
  <c r="G27" i="17"/>
  <c r="G18" i="17"/>
  <c r="F125" i="17"/>
  <c r="F124" i="17"/>
  <c r="F118" i="17"/>
  <c r="F117" i="17"/>
  <c r="F116" i="17"/>
  <c r="F115" i="17"/>
  <c r="F114" i="17"/>
  <c r="F110" i="17"/>
  <c r="F109" i="17"/>
  <c r="F104" i="17"/>
  <c r="F103" i="17"/>
  <c r="F102" i="17"/>
  <c r="F101" i="17"/>
  <c r="F100" i="17"/>
  <c r="F96" i="17"/>
  <c r="F95" i="17"/>
  <c r="F94" i="17"/>
  <c r="F93" i="17"/>
  <c r="F92" i="17"/>
  <c r="F91" i="17"/>
  <c r="F87" i="17"/>
  <c r="F86" i="17"/>
  <c r="F85" i="17"/>
  <c r="F84" i="17"/>
  <c r="F83" i="17"/>
  <c r="F82" i="17"/>
  <c r="F81" i="17"/>
  <c r="F76" i="17"/>
  <c r="F75" i="17"/>
  <c r="F74" i="17"/>
  <c r="F73" i="17"/>
  <c r="F72" i="17"/>
  <c r="F68" i="17"/>
  <c r="F67" i="17"/>
  <c r="F66" i="17"/>
  <c r="F60" i="17"/>
  <c r="F59" i="17"/>
  <c r="F58" i="17"/>
  <c r="F57" i="17"/>
  <c r="F56" i="17"/>
  <c r="F55" i="17"/>
  <c r="F54" i="17"/>
  <c r="F50" i="17"/>
  <c r="F49" i="17"/>
  <c r="F48" i="17"/>
  <c r="F47" i="17"/>
  <c r="F46" i="17"/>
  <c r="F45" i="17"/>
  <c r="F41" i="17"/>
  <c r="F40" i="17"/>
  <c r="F39" i="17"/>
  <c r="F38" i="17"/>
  <c r="F37" i="17"/>
  <c r="F33" i="17"/>
  <c r="F32" i="17"/>
  <c r="F31" i="17"/>
  <c r="F30" i="17"/>
  <c r="F29" i="17"/>
  <c r="F28" i="17"/>
  <c r="F27" i="17"/>
  <c r="F18" i="17"/>
  <c r="T3140" i="3"/>
  <c r="T3139" i="3"/>
  <c r="T3138" i="3"/>
  <c r="T3137" i="3"/>
  <c r="T3136" i="3"/>
  <c r="T3135" i="3"/>
  <c r="T3134" i="3"/>
  <c r="T3133" i="3"/>
  <c r="T3132" i="3"/>
  <c r="T3131" i="3"/>
  <c r="T3130" i="3"/>
  <c r="T3129" i="3"/>
  <c r="T3128" i="3"/>
  <c r="T3127" i="3"/>
  <c r="T3126" i="3"/>
  <c r="T3125" i="3"/>
  <c r="T3124" i="3"/>
  <c r="T3123" i="3"/>
  <c r="T3122" i="3"/>
  <c r="T3121" i="3"/>
  <c r="T3120" i="3"/>
  <c r="T3119" i="3"/>
  <c r="T3118" i="3"/>
  <c r="T3117" i="3"/>
  <c r="T3116" i="3"/>
  <c r="T3115" i="3"/>
  <c r="T3114" i="3"/>
  <c r="T3113" i="3"/>
  <c r="T3112" i="3"/>
  <c r="T3111" i="3"/>
  <c r="T3110" i="3"/>
  <c r="T3109" i="3"/>
  <c r="T3108" i="3"/>
  <c r="T3107" i="3"/>
  <c r="T3106" i="3"/>
  <c r="T3105" i="3"/>
  <c r="T3104" i="3"/>
  <c r="T3103" i="3"/>
  <c r="T3102" i="3"/>
  <c r="T3101" i="3"/>
  <c r="T3100" i="3"/>
  <c r="T3099" i="3"/>
  <c r="T3098" i="3"/>
  <c r="T3097" i="3"/>
  <c r="T3096" i="3"/>
  <c r="T3095" i="3"/>
  <c r="T3094" i="3"/>
  <c r="T3093" i="3"/>
  <c r="T3092" i="3"/>
  <c r="T3091" i="3"/>
  <c r="T3090" i="3"/>
  <c r="T3089" i="3"/>
  <c r="T3088" i="3"/>
  <c r="T3087" i="3"/>
  <c r="T3086" i="3"/>
  <c r="T3085" i="3"/>
  <c r="T3084" i="3"/>
  <c r="T3083" i="3"/>
  <c r="T3082" i="3"/>
  <c r="T3081" i="3"/>
  <c r="T3080" i="3"/>
  <c r="T3079" i="3"/>
  <c r="T3078" i="3"/>
  <c r="T3077" i="3"/>
  <c r="T3076" i="3"/>
  <c r="T3075" i="3"/>
  <c r="T3074" i="3"/>
  <c r="T3073" i="3"/>
  <c r="T3072" i="3"/>
  <c r="T3071" i="3"/>
  <c r="T3070" i="3"/>
  <c r="T3069" i="3"/>
  <c r="T3068" i="3"/>
  <c r="T3067" i="3"/>
  <c r="T3066" i="3"/>
  <c r="T3065" i="3"/>
  <c r="T3064" i="3"/>
  <c r="T3063" i="3"/>
  <c r="T3062" i="3"/>
  <c r="T3061" i="3"/>
  <c r="T3060" i="3"/>
  <c r="T3059" i="3"/>
  <c r="T3058" i="3"/>
  <c r="T3057" i="3"/>
  <c r="T3056" i="3"/>
  <c r="T3055" i="3"/>
  <c r="T3054" i="3"/>
  <c r="T3053" i="3"/>
  <c r="T3052" i="3"/>
  <c r="T3051" i="3"/>
  <c r="T3050" i="3"/>
  <c r="T3049" i="3"/>
  <c r="T3048" i="3"/>
  <c r="T3047" i="3"/>
  <c r="T3046" i="3"/>
  <c r="T3045" i="3"/>
  <c r="T3044" i="3"/>
  <c r="T3043" i="3"/>
  <c r="T3042" i="3"/>
  <c r="T3041" i="3"/>
  <c r="T3040" i="3"/>
  <c r="T3039" i="3"/>
  <c r="T3038" i="3"/>
  <c r="T3037" i="3"/>
  <c r="T3036" i="3"/>
  <c r="T3035" i="3"/>
  <c r="T3034" i="3"/>
  <c r="T3033" i="3"/>
  <c r="T3032" i="3"/>
  <c r="T3031" i="3"/>
  <c r="T3030" i="3"/>
  <c r="T3029" i="3"/>
  <c r="T3028" i="3"/>
  <c r="T3027" i="3"/>
  <c r="T3026" i="3"/>
  <c r="T3025" i="3"/>
  <c r="T3024" i="3"/>
  <c r="T3023" i="3"/>
  <c r="T3022" i="3"/>
  <c r="T3021" i="3"/>
  <c r="T3020" i="3"/>
  <c r="T3019" i="3"/>
  <c r="T3018" i="3"/>
  <c r="T3017" i="3"/>
  <c r="T3016" i="3"/>
  <c r="T3015" i="3"/>
  <c r="T3014" i="3"/>
  <c r="T3013" i="3"/>
  <c r="T3012" i="3"/>
  <c r="T3011" i="3"/>
  <c r="T3010" i="3"/>
  <c r="T3009" i="3"/>
  <c r="T3008" i="3"/>
  <c r="T3007" i="3"/>
  <c r="T3006" i="3"/>
  <c r="T3005" i="3"/>
  <c r="T3004" i="3"/>
  <c r="T3003" i="3"/>
  <c r="T3002" i="3"/>
  <c r="T3001" i="3"/>
  <c r="T3000" i="3"/>
  <c r="T2999" i="3"/>
  <c r="T2998" i="3"/>
  <c r="T2997" i="3"/>
  <c r="T2996" i="3"/>
  <c r="T2995" i="3"/>
  <c r="T2994" i="3"/>
  <c r="T2993" i="3"/>
  <c r="T2992" i="3"/>
  <c r="T2991" i="3"/>
  <c r="T2990" i="3"/>
  <c r="T2989" i="3"/>
  <c r="T2988" i="3"/>
  <c r="T2987" i="3"/>
  <c r="T2986" i="3"/>
  <c r="T2985" i="3"/>
  <c r="T2984" i="3"/>
  <c r="T2983" i="3"/>
  <c r="T2982" i="3"/>
  <c r="T2981" i="3"/>
  <c r="T2980" i="3"/>
  <c r="T2979" i="3"/>
  <c r="T2978" i="3"/>
  <c r="T2977" i="3"/>
  <c r="T2976" i="3"/>
  <c r="T2975" i="3"/>
  <c r="T2974" i="3"/>
  <c r="T2973" i="3"/>
  <c r="T2972" i="3"/>
  <c r="T2971" i="3"/>
  <c r="T2970" i="3"/>
  <c r="T2969" i="3"/>
  <c r="T2968" i="3"/>
  <c r="T2967" i="3"/>
  <c r="T2966" i="3"/>
  <c r="T2965" i="3"/>
  <c r="T2964" i="3"/>
  <c r="T2963" i="3"/>
  <c r="T2962" i="3"/>
  <c r="T2961" i="3"/>
  <c r="T2960" i="3"/>
  <c r="T2959" i="3"/>
  <c r="T2958" i="3"/>
  <c r="T2957" i="3"/>
  <c r="T2956" i="3"/>
  <c r="T2955" i="3"/>
  <c r="T2954" i="3"/>
  <c r="T2953" i="3"/>
  <c r="T2952" i="3"/>
  <c r="T2951" i="3"/>
  <c r="T2950" i="3"/>
  <c r="T2949" i="3"/>
  <c r="T2948" i="3"/>
  <c r="T2947" i="3"/>
  <c r="T2946" i="3"/>
  <c r="T2945" i="3"/>
  <c r="T2944" i="3"/>
  <c r="T2943" i="3"/>
  <c r="T2942" i="3"/>
  <c r="T2941" i="3"/>
  <c r="T2940" i="3"/>
  <c r="T2939" i="3"/>
  <c r="T2938" i="3"/>
  <c r="T2937" i="3"/>
  <c r="T2936" i="3"/>
  <c r="T2935" i="3"/>
  <c r="T2934" i="3"/>
  <c r="T2933" i="3"/>
  <c r="T2932" i="3"/>
  <c r="T2931" i="3"/>
  <c r="T2930" i="3"/>
  <c r="T2929" i="3"/>
  <c r="T2928" i="3"/>
  <c r="T2927" i="3"/>
  <c r="T2926" i="3"/>
  <c r="T2925" i="3"/>
  <c r="T2924" i="3"/>
  <c r="T2923" i="3"/>
  <c r="T2922" i="3"/>
  <c r="T2921" i="3"/>
  <c r="T2920" i="3"/>
  <c r="T2919" i="3"/>
  <c r="T2918" i="3"/>
  <c r="T2917" i="3"/>
  <c r="T2916" i="3"/>
  <c r="T2915" i="3"/>
  <c r="T2914" i="3"/>
  <c r="T2913" i="3"/>
  <c r="T2912" i="3"/>
  <c r="T2911" i="3"/>
  <c r="T2910" i="3"/>
  <c r="T2909" i="3"/>
  <c r="T2908" i="3"/>
  <c r="T2907" i="3"/>
  <c r="T2906" i="3"/>
  <c r="T2905" i="3"/>
  <c r="T2904" i="3"/>
  <c r="T2903" i="3"/>
  <c r="T2902" i="3"/>
  <c r="T2901" i="3"/>
  <c r="T2900" i="3"/>
  <c r="T2899" i="3"/>
  <c r="T2898" i="3"/>
  <c r="T2897" i="3"/>
  <c r="T2896" i="3"/>
  <c r="T2895" i="3"/>
  <c r="T2894" i="3"/>
  <c r="T2893" i="3"/>
  <c r="T2892" i="3"/>
  <c r="T2891" i="3"/>
  <c r="T2890" i="3"/>
  <c r="T2889" i="3"/>
  <c r="T2888" i="3"/>
  <c r="T2887" i="3"/>
  <c r="T2886" i="3"/>
  <c r="T2885" i="3"/>
  <c r="T2884" i="3"/>
  <c r="T2883" i="3"/>
  <c r="T2882" i="3"/>
  <c r="T2881" i="3"/>
  <c r="T2880" i="3"/>
  <c r="T2879" i="3"/>
  <c r="T2878" i="3"/>
  <c r="T2877" i="3"/>
  <c r="T2876" i="3"/>
  <c r="T2875" i="3"/>
  <c r="T2874" i="3"/>
  <c r="T2873" i="3"/>
  <c r="T2872" i="3"/>
  <c r="T2871" i="3"/>
  <c r="T2870" i="3"/>
  <c r="T2869" i="3"/>
  <c r="T2868" i="3"/>
  <c r="T2867" i="3"/>
  <c r="T2866" i="3"/>
  <c r="T2865" i="3"/>
  <c r="T2864" i="3"/>
  <c r="T2863" i="3"/>
  <c r="T2862" i="3"/>
  <c r="T2861" i="3"/>
  <c r="T2860" i="3"/>
  <c r="T2859" i="3"/>
  <c r="T2858" i="3"/>
  <c r="T2857" i="3"/>
  <c r="T2856" i="3"/>
  <c r="T2855" i="3"/>
  <c r="T2854" i="3"/>
  <c r="T2853" i="3"/>
  <c r="T2852" i="3"/>
  <c r="T2851" i="3"/>
  <c r="T2850" i="3"/>
  <c r="T2849" i="3"/>
  <c r="T2848" i="3"/>
  <c r="T2847" i="3"/>
  <c r="T2846" i="3"/>
  <c r="T2845" i="3"/>
  <c r="T2844" i="3"/>
  <c r="T2843" i="3"/>
  <c r="T2842" i="3"/>
  <c r="T2841" i="3"/>
  <c r="T2840" i="3"/>
  <c r="T2839" i="3"/>
  <c r="T2838" i="3"/>
  <c r="T2837" i="3"/>
  <c r="T2836" i="3"/>
  <c r="T2835" i="3"/>
  <c r="T2834" i="3"/>
  <c r="T2833" i="3"/>
  <c r="T2832" i="3"/>
  <c r="T2831" i="3"/>
  <c r="T2830" i="3"/>
  <c r="T2829" i="3"/>
  <c r="T2828" i="3"/>
  <c r="T2827" i="3"/>
  <c r="T2826" i="3"/>
  <c r="T2825" i="3"/>
  <c r="T2824" i="3"/>
  <c r="T2823" i="3"/>
  <c r="T2822" i="3"/>
  <c r="T2821" i="3"/>
  <c r="T2820" i="3"/>
  <c r="T2819" i="3"/>
  <c r="T2818" i="3"/>
  <c r="T2817" i="3"/>
  <c r="T2816" i="3"/>
  <c r="T2815" i="3"/>
  <c r="T2814" i="3"/>
  <c r="T2813" i="3"/>
  <c r="T2812" i="3"/>
  <c r="T2811" i="3"/>
  <c r="T2810" i="3"/>
  <c r="T2809" i="3"/>
  <c r="T2808" i="3"/>
  <c r="T2807" i="3"/>
  <c r="T2806" i="3"/>
  <c r="T2805" i="3"/>
  <c r="T2804" i="3"/>
  <c r="T2803" i="3"/>
  <c r="T2802" i="3"/>
  <c r="T2801" i="3"/>
  <c r="T2800" i="3"/>
  <c r="T2799" i="3"/>
  <c r="T2798" i="3"/>
  <c r="T2797" i="3"/>
  <c r="T2796" i="3"/>
  <c r="T2795" i="3"/>
  <c r="T2794" i="3"/>
  <c r="T2793" i="3"/>
  <c r="T2792" i="3"/>
  <c r="T2791" i="3"/>
  <c r="T2790" i="3"/>
  <c r="T2789" i="3"/>
  <c r="T2788" i="3"/>
  <c r="T2787" i="3"/>
  <c r="T2786" i="3"/>
  <c r="T2785" i="3"/>
  <c r="T2784" i="3"/>
  <c r="T2783" i="3"/>
  <c r="T2782" i="3"/>
  <c r="T2781" i="3"/>
  <c r="T2780" i="3"/>
  <c r="T2779" i="3"/>
  <c r="T2778" i="3"/>
  <c r="T2777" i="3"/>
  <c r="T2776" i="3"/>
  <c r="T2775" i="3"/>
  <c r="T2774" i="3"/>
  <c r="T2773" i="3"/>
  <c r="T2772" i="3"/>
  <c r="T2771" i="3"/>
  <c r="T2770" i="3"/>
  <c r="T2769" i="3"/>
  <c r="T2768" i="3"/>
  <c r="T2767" i="3"/>
  <c r="T2766" i="3"/>
  <c r="T2765" i="3"/>
  <c r="T2764" i="3"/>
  <c r="T2763" i="3"/>
  <c r="T2762" i="3"/>
  <c r="T2761" i="3"/>
  <c r="T2760" i="3"/>
  <c r="T2759" i="3"/>
  <c r="T2758" i="3"/>
  <c r="T2757" i="3"/>
  <c r="T2756" i="3"/>
  <c r="T2755" i="3"/>
  <c r="T2754" i="3"/>
  <c r="T2753" i="3"/>
  <c r="T2752" i="3"/>
  <c r="T2751" i="3"/>
  <c r="T2750" i="3"/>
  <c r="T2749" i="3"/>
  <c r="T2748" i="3"/>
  <c r="T2747" i="3"/>
  <c r="T2746" i="3"/>
  <c r="T2745" i="3"/>
  <c r="T2744" i="3"/>
  <c r="T2743" i="3"/>
  <c r="T2742" i="3"/>
  <c r="T2741" i="3"/>
  <c r="T2740" i="3"/>
  <c r="T2739" i="3"/>
  <c r="T2738" i="3"/>
  <c r="T2737" i="3"/>
  <c r="T2736" i="3"/>
  <c r="T2735" i="3"/>
  <c r="T2734" i="3"/>
  <c r="T2733" i="3"/>
  <c r="T2732" i="3"/>
  <c r="T2731" i="3"/>
  <c r="T2730" i="3"/>
  <c r="T2729" i="3"/>
  <c r="T2728" i="3"/>
  <c r="T2727" i="3"/>
  <c r="T2726" i="3"/>
  <c r="T2725" i="3"/>
  <c r="T2724" i="3"/>
  <c r="T2723" i="3"/>
  <c r="T2722" i="3"/>
  <c r="T2721" i="3"/>
  <c r="T2720" i="3"/>
  <c r="T2719" i="3"/>
  <c r="T2718" i="3"/>
  <c r="T2717" i="3"/>
  <c r="T2716" i="3"/>
  <c r="T2715" i="3"/>
  <c r="T2714" i="3"/>
  <c r="T2713" i="3"/>
  <c r="T2712" i="3"/>
  <c r="T2711" i="3"/>
  <c r="T2710" i="3"/>
  <c r="T2709" i="3"/>
  <c r="T2708" i="3"/>
  <c r="T2707" i="3"/>
  <c r="T2706" i="3"/>
  <c r="T2705" i="3"/>
  <c r="T2704" i="3"/>
  <c r="T2703" i="3"/>
  <c r="T2702" i="3"/>
  <c r="T2701" i="3"/>
  <c r="T2700" i="3"/>
  <c r="T2699" i="3"/>
  <c r="T2698" i="3"/>
  <c r="T2697" i="3"/>
  <c r="T2696" i="3"/>
  <c r="T2695" i="3"/>
  <c r="T2694" i="3"/>
  <c r="T2693" i="3"/>
  <c r="T2692" i="3"/>
  <c r="T2691" i="3"/>
  <c r="T2690" i="3"/>
  <c r="T2689" i="3"/>
  <c r="T2688" i="3"/>
  <c r="T2687" i="3"/>
  <c r="T2686" i="3"/>
  <c r="T2685" i="3"/>
  <c r="T2684" i="3"/>
  <c r="T2683" i="3"/>
  <c r="T2682" i="3"/>
  <c r="T2681" i="3"/>
  <c r="T2680" i="3"/>
  <c r="T2679" i="3"/>
  <c r="T2678" i="3"/>
  <c r="T2677" i="3"/>
  <c r="T2676" i="3"/>
  <c r="T2675" i="3"/>
  <c r="T2674" i="3"/>
  <c r="T2673" i="3"/>
  <c r="T2672" i="3"/>
  <c r="T2671" i="3"/>
  <c r="T2670" i="3"/>
  <c r="T2669" i="3"/>
  <c r="T2668" i="3"/>
  <c r="T2667" i="3"/>
  <c r="T2666" i="3"/>
  <c r="T2665" i="3"/>
  <c r="T2664" i="3"/>
  <c r="T2663" i="3"/>
  <c r="T2662" i="3"/>
  <c r="T2661" i="3"/>
  <c r="T2660" i="3"/>
  <c r="T2659" i="3"/>
  <c r="T2658" i="3"/>
  <c r="T2657" i="3"/>
  <c r="T2656" i="3"/>
  <c r="T2655" i="3"/>
  <c r="T2654" i="3"/>
  <c r="T2653" i="3"/>
  <c r="T2652" i="3"/>
  <c r="T2651" i="3"/>
  <c r="T2650" i="3"/>
  <c r="T2649" i="3"/>
  <c r="T2648" i="3"/>
  <c r="T2647" i="3"/>
  <c r="T2646" i="3"/>
  <c r="T2645" i="3"/>
  <c r="T2644" i="3"/>
  <c r="T2643" i="3"/>
  <c r="T2642" i="3"/>
  <c r="T2641" i="3"/>
  <c r="T2640" i="3"/>
  <c r="T2639" i="3"/>
  <c r="T2638" i="3"/>
  <c r="T2637" i="3"/>
  <c r="T2636" i="3"/>
  <c r="T2635" i="3"/>
  <c r="T2634" i="3"/>
  <c r="T2633" i="3"/>
  <c r="T2632" i="3"/>
  <c r="T2631" i="3"/>
  <c r="T2630" i="3"/>
  <c r="T2629" i="3"/>
  <c r="T2628" i="3"/>
  <c r="T2627" i="3"/>
  <c r="T2626" i="3"/>
  <c r="T2625" i="3"/>
  <c r="T2624" i="3"/>
  <c r="T2623" i="3"/>
  <c r="T2622" i="3"/>
  <c r="T2621" i="3"/>
  <c r="T2620" i="3"/>
  <c r="T2619" i="3"/>
  <c r="T2618" i="3"/>
  <c r="T2617" i="3"/>
  <c r="T2616" i="3"/>
  <c r="T2615" i="3"/>
  <c r="T2614" i="3"/>
  <c r="T2613" i="3"/>
  <c r="T2612" i="3"/>
  <c r="T2611" i="3"/>
  <c r="T2610" i="3"/>
  <c r="T2609" i="3"/>
  <c r="T2608" i="3"/>
  <c r="T2607" i="3"/>
  <c r="T2606" i="3"/>
  <c r="T2605" i="3"/>
  <c r="T2604" i="3"/>
  <c r="T2603" i="3"/>
  <c r="T2602" i="3"/>
  <c r="T2601" i="3"/>
  <c r="T2600" i="3"/>
  <c r="T2599" i="3"/>
  <c r="T2598" i="3"/>
  <c r="T2597" i="3"/>
  <c r="T2596" i="3"/>
  <c r="T2595" i="3"/>
  <c r="T2594" i="3"/>
  <c r="T2593" i="3"/>
  <c r="T2592" i="3"/>
  <c r="T2591" i="3"/>
  <c r="T2590" i="3"/>
  <c r="T2589" i="3"/>
  <c r="T2588" i="3"/>
  <c r="T2587" i="3"/>
  <c r="T2586" i="3"/>
  <c r="T2585" i="3"/>
  <c r="T2584" i="3"/>
  <c r="T2583" i="3"/>
  <c r="T2582" i="3"/>
  <c r="T2581" i="3"/>
  <c r="T2580" i="3"/>
  <c r="T2579" i="3"/>
  <c r="T2578" i="3"/>
  <c r="T2577" i="3"/>
  <c r="T2576" i="3"/>
  <c r="T2575" i="3"/>
  <c r="T2574" i="3"/>
  <c r="T2573" i="3"/>
  <c r="T2572" i="3"/>
  <c r="T2571" i="3"/>
  <c r="T2570" i="3"/>
  <c r="T2569" i="3"/>
  <c r="T2568" i="3"/>
  <c r="T2567" i="3"/>
  <c r="T2566" i="3"/>
  <c r="T2565" i="3"/>
  <c r="T2564" i="3"/>
  <c r="T2563" i="3"/>
  <c r="T2562" i="3"/>
  <c r="T2561" i="3"/>
  <c r="T2560" i="3"/>
  <c r="T2559" i="3"/>
  <c r="T2558" i="3"/>
  <c r="T2557" i="3"/>
  <c r="T2556" i="3"/>
  <c r="T2555" i="3"/>
  <c r="T2554" i="3"/>
  <c r="T2553" i="3"/>
  <c r="T2552" i="3"/>
  <c r="T2551" i="3"/>
  <c r="T2550" i="3"/>
  <c r="T2549" i="3"/>
  <c r="T2548" i="3"/>
  <c r="T2547" i="3"/>
  <c r="T2546" i="3"/>
  <c r="T2545" i="3"/>
  <c r="T2544" i="3"/>
  <c r="T2543" i="3"/>
  <c r="T2542" i="3"/>
  <c r="T2541" i="3"/>
  <c r="T2540" i="3"/>
  <c r="T2539" i="3"/>
  <c r="T2538" i="3"/>
  <c r="T2537" i="3"/>
  <c r="T2536" i="3"/>
  <c r="T2535" i="3"/>
  <c r="T2534" i="3"/>
  <c r="T2533" i="3"/>
  <c r="T2532" i="3"/>
  <c r="T2531" i="3"/>
  <c r="T2530" i="3"/>
  <c r="T2529" i="3"/>
  <c r="T2528" i="3"/>
  <c r="T2527" i="3"/>
  <c r="T2526" i="3"/>
  <c r="T2525" i="3"/>
  <c r="T2524" i="3"/>
  <c r="T2523" i="3"/>
  <c r="T2522" i="3"/>
  <c r="T2521" i="3"/>
  <c r="T2520" i="3"/>
  <c r="T2519" i="3"/>
  <c r="T2518" i="3"/>
  <c r="T2517" i="3"/>
  <c r="T2516" i="3"/>
  <c r="T2515" i="3"/>
  <c r="T2514" i="3"/>
  <c r="T2513" i="3"/>
  <c r="T2512" i="3"/>
  <c r="T2511" i="3"/>
  <c r="T2510" i="3"/>
  <c r="T2509" i="3"/>
  <c r="T2508" i="3"/>
  <c r="T2507" i="3"/>
  <c r="T2506" i="3"/>
  <c r="T2505" i="3"/>
  <c r="T2504" i="3"/>
  <c r="T2503" i="3"/>
  <c r="T2502" i="3"/>
  <c r="T2501" i="3"/>
  <c r="T2500" i="3"/>
  <c r="T2499" i="3"/>
  <c r="T2498" i="3"/>
  <c r="T2497" i="3"/>
  <c r="T2496" i="3"/>
  <c r="T2495" i="3"/>
  <c r="T2494" i="3"/>
  <c r="T2493" i="3"/>
  <c r="T2492" i="3"/>
  <c r="T2491" i="3"/>
  <c r="T2490" i="3"/>
  <c r="T2489" i="3"/>
  <c r="T2488" i="3"/>
  <c r="T2487" i="3"/>
  <c r="T2486" i="3"/>
  <c r="T2485" i="3"/>
  <c r="T2484" i="3"/>
  <c r="T2483" i="3"/>
  <c r="T2482" i="3"/>
  <c r="T2481" i="3"/>
  <c r="T2480" i="3"/>
  <c r="T2479" i="3"/>
  <c r="T2478" i="3"/>
  <c r="T2477" i="3"/>
  <c r="T2476" i="3"/>
  <c r="T2475" i="3"/>
  <c r="T2474" i="3"/>
  <c r="T2473" i="3"/>
  <c r="T2472" i="3"/>
  <c r="T2471" i="3"/>
  <c r="T2470" i="3"/>
  <c r="T2469" i="3"/>
  <c r="T2468" i="3"/>
  <c r="T2467" i="3"/>
  <c r="T2466" i="3"/>
  <c r="T2465" i="3"/>
  <c r="T2464" i="3"/>
  <c r="T2463" i="3"/>
  <c r="T2462" i="3"/>
  <c r="T2461" i="3"/>
  <c r="T2460" i="3"/>
  <c r="T2459" i="3"/>
  <c r="T2458" i="3"/>
  <c r="T2457" i="3"/>
  <c r="T2456" i="3"/>
  <c r="T2455" i="3"/>
  <c r="T2454" i="3"/>
  <c r="T2453" i="3"/>
  <c r="T2452" i="3"/>
  <c r="T2451" i="3"/>
  <c r="T2450" i="3"/>
  <c r="T2449" i="3"/>
  <c r="T2448" i="3"/>
  <c r="T2447" i="3"/>
  <c r="T2446" i="3"/>
  <c r="T2445" i="3"/>
  <c r="T2444" i="3"/>
  <c r="T2443" i="3"/>
  <c r="T2442" i="3"/>
  <c r="T2441" i="3"/>
  <c r="T2440" i="3"/>
  <c r="T2439" i="3"/>
  <c r="T2438" i="3"/>
  <c r="T2437" i="3"/>
  <c r="T2436" i="3"/>
  <c r="T2435" i="3"/>
  <c r="T2434" i="3"/>
  <c r="T2433" i="3"/>
  <c r="T2432" i="3"/>
  <c r="T2431" i="3"/>
  <c r="T2430" i="3"/>
  <c r="T2429" i="3"/>
  <c r="T2428" i="3"/>
  <c r="T2427" i="3"/>
  <c r="T2426" i="3"/>
  <c r="T2425" i="3"/>
  <c r="T2424" i="3"/>
  <c r="T2423" i="3"/>
  <c r="T2422" i="3"/>
  <c r="T2421" i="3"/>
  <c r="T2420" i="3"/>
  <c r="T2419" i="3"/>
  <c r="T2418" i="3"/>
  <c r="T2417" i="3"/>
  <c r="T2416" i="3"/>
  <c r="T2415" i="3"/>
  <c r="T2414" i="3"/>
  <c r="T2413" i="3"/>
  <c r="T2412" i="3"/>
  <c r="T2411" i="3"/>
  <c r="T2410" i="3"/>
  <c r="T2409" i="3"/>
  <c r="T2408" i="3"/>
  <c r="T2407" i="3"/>
  <c r="T2406" i="3"/>
  <c r="T2405" i="3"/>
  <c r="T2404" i="3"/>
  <c r="T2403" i="3"/>
  <c r="T2402" i="3"/>
  <c r="T2401" i="3"/>
  <c r="T2400" i="3"/>
  <c r="T2399" i="3"/>
  <c r="T2398" i="3"/>
  <c r="T2397" i="3"/>
  <c r="T2396" i="3"/>
  <c r="T2395" i="3"/>
  <c r="T2394" i="3"/>
  <c r="T2393" i="3"/>
  <c r="T2392" i="3"/>
  <c r="T2391" i="3"/>
  <c r="T2390" i="3"/>
  <c r="T2389" i="3"/>
  <c r="T2388" i="3"/>
  <c r="T2387" i="3"/>
  <c r="T2386" i="3"/>
  <c r="T2385" i="3"/>
  <c r="T2384" i="3"/>
  <c r="T2383" i="3"/>
  <c r="T2382" i="3"/>
  <c r="T2381" i="3"/>
  <c r="T2380" i="3"/>
  <c r="T2379" i="3"/>
  <c r="T2378" i="3"/>
  <c r="T2377" i="3"/>
  <c r="T2376" i="3"/>
  <c r="T2375" i="3"/>
  <c r="T2374" i="3"/>
  <c r="T2373" i="3"/>
  <c r="T2372" i="3"/>
  <c r="T2371" i="3"/>
  <c r="T2370" i="3"/>
  <c r="T2369" i="3"/>
  <c r="T2368" i="3"/>
  <c r="T2367" i="3"/>
  <c r="T2366" i="3"/>
  <c r="T2365" i="3"/>
  <c r="T2364" i="3"/>
  <c r="T2363" i="3"/>
  <c r="T2362" i="3"/>
  <c r="T2361" i="3"/>
  <c r="T2360" i="3"/>
  <c r="T2359" i="3"/>
  <c r="T2358" i="3"/>
  <c r="T2357" i="3"/>
  <c r="T2356" i="3"/>
  <c r="T2355" i="3"/>
  <c r="T2354" i="3"/>
  <c r="T2353" i="3"/>
  <c r="T2352" i="3"/>
  <c r="T2351" i="3"/>
  <c r="T2350" i="3"/>
  <c r="T2349" i="3"/>
  <c r="T2348" i="3"/>
  <c r="T2347" i="3"/>
  <c r="T2346" i="3"/>
  <c r="T2345" i="3"/>
  <c r="T2344" i="3"/>
  <c r="T2343" i="3"/>
  <c r="T2342" i="3"/>
  <c r="T2341" i="3"/>
  <c r="T2340" i="3"/>
  <c r="T2339" i="3"/>
  <c r="T2338" i="3"/>
  <c r="T2337" i="3"/>
  <c r="T2336" i="3"/>
  <c r="T2335" i="3"/>
  <c r="T2334" i="3"/>
  <c r="T2333" i="3"/>
  <c r="T2332" i="3"/>
  <c r="T2331" i="3"/>
  <c r="T2330" i="3"/>
  <c r="T2329" i="3"/>
  <c r="T2328" i="3"/>
  <c r="T2327" i="3"/>
  <c r="T2326" i="3"/>
  <c r="T2325" i="3"/>
  <c r="T2324" i="3"/>
  <c r="T2323" i="3"/>
  <c r="T2322" i="3"/>
  <c r="T2321" i="3"/>
  <c r="T2320" i="3"/>
  <c r="T2319" i="3"/>
  <c r="T2318" i="3"/>
  <c r="T2317" i="3"/>
  <c r="T2316" i="3"/>
  <c r="T2315" i="3"/>
  <c r="T2314" i="3"/>
  <c r="T2313" i="3"/>
  <c r="T2312" i="3"/>
  <c r="T2311" i="3"/>
  <c r="T2310" i="3"/>
  <c r="T2309" i="3"/>
  <c r="T2308" i="3"/>
  <c r="T2307" i="3"/>
  <c r="T2306" i="3"/>
  <c r="T2305" i="3"/>
  <c r="T2304" i="3"/>
  <c r="T2303" i="3"/>
  <c r="T2302" i="3"/>
  <c r="T2301" i="3"/>
  <c r="T2300" i="3"/>
  <c r="T2299" i="3"/>
  <c r="T2298" i="3"/>
  <c r="T2297" i="3"/>
  <c r="T2296" i="3"/>
  <c r="T2295" i="3"/>
  <c r="T2294" i="3"/>
  <c r="T2293" i="3"/>
  <c r="T2292" i="3"/>
  <c r="T2291" i="3"/>
  <c r="T2290" i="3"/>
  <c r="T2289" i="3"/>
  <c r="T2288" i="3"/>
  <c r="T2287" i="3"/>
  <c r="T2286" i="3"/>
  <c r="T2285" i="3"/>
  <c r="T2284" i="3"/>
  <c r="T2283" i="3"/>
  <c r="T2282" i="3"/>
  <c r="T2281" i="3"/>
  <c r="T2280" i="3"/>
  <c r="T2279" i="3"/>
  <c r="T2278" i="3"/>
  <c r="T2277" i="3"/>
  <c r="T2276" i="3"/>
  <c r="T2275" i="3"/>
  <c r="T2274" i="3"/>
  <c r="T2273" i="3"/>
  <c r="T2272" i="3"/>
  <c r="T2271" i="3"/>
  <c r="T2270" i="3"/>
  <c r="T2269" i="3"/>
  <c r="T2268" i="3"/>
  <c r="T2267" i="3"/>
  <c r="T2266" i="3"/>
  <c r="T2265" i="3"/>
  <c r="T2264" i="3"/>
  <c r="T2263" i="3"/>
  <c r="T2262" i="3"/>
  <c r="T2261" i="3"/>
  <c r="T2260" i="3"/>
  <c r="T2259" i="3"/>
  <c r="T2258" i="3"/>
  <c r="T2257" i="3"/>
  <c r="T2256" i="3"/>
  <c r="T2255" i="3"/>
  <c r="T2254" i="3"/>
  <c r="T2253" i="3"/>
  <c r="T2252" i="3"/>
  <c r="T2251" i="3"/>
  <c r="T2250" i="3"/>
  <c r="T2249" i="3"/>
  <c r="T2248" i="3"/>
  <c r="T2247" i="3"/>
  <c r="T2246" i="3"/>
  <c r="T2245" i="3"/>
  <c r="T2244" i="3"/>
  <c r="T2243" i="3"/>
  <c r="T2242" i="3"/>
  <c r="T2241" i="3"/>
  <c r="T2240" i="3"/>
  <c r="T2239" i="3"/>
  <c r="T2238" i="3"/>
  <c r="T2237" i="3"/>
  <c r="T2236" i="3"/>
  <c r="T2235" i="3"/>
  <c r="T2234" i="3"/>
  <c r="T2233" i="3"/>
  <c r="T2232" i="3"/>
  <c r="T2231" i="3"/>
  <c r="T2230" i="3"/>
  <c r="T2229" i="3"/>
  <c r="T2228" i="3"/>
  <c r="T2227" i="3"/>
  <c r="T2226" i="3"/>
  <c r="T2225" i="3"/>
  <c r="T2224" i="3"/>
  <c r="T2223" i="3"/>
  <c r="T2222" i="3"/>
  <c r="T2221" i="3"/>
  <c r="T2220" i="3"/>
  <c r="T2219" i="3"/>
  <c r="T2218" i="3"/>
  <c r="T2217" i="3"/>
  <c r="T2216" i="3"/>
  <c r="T2215" i="3"/>
  <c r="T2214" i="3"/>
  <c r="T2213" i="3"/>
  <c r="T2212" i="3"/>
  <c r="T2211" i="3"/>
  <c r="T2210" i="3"/>
  <c r="T2209" i="3"/>
  <c r="T2208" i="3"/>
  <c r="T2207" i="3"/>
  <c r="T2206" i="3"/>
  <c r="T2205" i="3"/>
  <c r="T2204" i="3"/>
  <c r="T2203" i="3"/>
  <c r="T2202" i="3"/>
  <c r="T2201" i="3"/>
  <c r="T2200" i="3"/>
  <c r="T2199" i="3"/>
  <c r="T2198" i="3"/>
  <c r="T2197" i="3"/>
  <c r="T2196" i="3"/>
  <c r="T2195" i="3"/>
  <c r="T2194" i="3"/>
  <c r="T2193" i="3"/>
  <c r="T2192" i="3"/>
  <c r="T2191" i="3"/>
  <c r="T2190" i="3"/>
  <c r="T2189" i="3"/>
  <c r="T2188" i="3"/>
  <c r="T2187" i="3"/>
  <c r="T2186" i="3"/>
  <c r="T2185" i="3"/>
  <c r="T2184" i="3"/>
  <c r="T2183" i="3"/>
  <c r="T2182" i="3"/>
  <c r="T2181" i="3"/>
  <c r="T2180" i="3"/>
  <c r="T2179" i="3"/>
  <c r="T2178" i="3"/>
  <c r="T2177" i="3"/>
  <c r="T2176" i="3"/>
  <c r="T2175" i="3"/>
  <c r="T2174" i="3"/>
  <c r="T2173" i="3"/>
  <c r="T2172" i="3"/>
  <c r="T2171" i="3"/>
  <c r="T2170" i="3"/>
  <c r="T2169" i="3"/>
  <c r="T2168" i="3"/>
  <c r="T2167" i="3"/>
  <c r="T2166" i="3"/>
  <c r="T2165" i="3"/>
  <c r="T2164" i="3"/>
  <c r="T2163" i="3"/>
  <c r="T2162" i="3"/>
  <c r="T2161" i="3"/>
  <c r="T2160" i="3"/>
  <c r="T2159" i="3"/>
  <c r="T2158" i="3"/>
  <c r="T2157" i="3"/>
  <c r="T2156" i="3"/>
  <c r="T2155" i="3"/>
  <c r="T2154" i="3"/>
  <c r="T2153" i="3"/>
  <c r="T2152" i="3"/>
  <c r="T2151" i="3"/>
  <c r="T2150" i="3"/>
  <c r="T2149" i="3"/>
  <c r="T2148" i="3"/>
  <c r="T2147" i="3"/>
  <c r="T2146" i="3"/>
  <c r="T2145" i="3"/>
  <c r="T2144" i="3"/>
  <c r="T2143" i="3"/>
  <c r="T2142" i="3"/>
  <c r="T2141" i="3"/>
  <c r="T2140" i="3"/>
  <c r="T2139" i="3"/>
  <c r="T2138" i="3"/>
  <c r="T2137" i="3"/>
  <c r="T2136" i="3"/>
  <c r="T2135" i="3"/>
  <c r="T2134" i="3"/>
  <c r="T2133" i="3"/>
  <c r="T2132" i="3"/>
  <c r="T2131" i="3"/>
  <c r="T2130" i="3"/>
  <c r="T2129" i="3"/>
  <c r="T2128" i="3"/>
  <c r="T2127" i="3"/>
  <c r="T2126" i="3"/>
  <c r="T2125" i="3"/>
  <c r="T2124" i="3"/>
  <c r="T2123" i="3"/>
  <c r="T2122" i="3"/>
  <c r="T2121" i="3"/>
  <c r="T2120" i="3"/>
  <c r="T2119" i="3"/>
  <c r="T2118" i="3"/>
  <c r="T2117" i="3"/>
  <c r="T2116" i="3"/>
  <c r="T2115" i="3"/>
  <c r="T2114" i="3"/>
  <c r="T2113" i="3"/>
  <c r="T2112" i="3"/>
  <c r="T2111" i="3"/>
  <c r="T2110" i="3"/>
  <c r="T2109" i="3"/>
  <c r="T2108" i="3"/>
  <c r="T2107" i="3"/>
  <c r="T2106" i="3"/>
  <c r="T2105" i="3"/>
  <c r="T2104" i="3"/>
  <c r="T2103" i="3"/>
  <c r="T2102" i="3"/>
  <c r="T2101" i="3"/>
  <c r="T2100" i="3"/>
  <c r="T2099" i="3"/>
  <c r="T2098" i="3"/>
  <c r="T2097" i="3"/>
  <c r="T2096" i="3"/>
  <c r="T2095" i="3"/>
  <c r="T2094" i="3"/>
  <c r="T2093" i="3"/>
  <c r="T2092" i="3"/>
  <c r="T2091" i="3"/>
  <c r="T2090" i="3"/>
  <c r="T2089" i="3"/>
  <c r="T2088" i="3"/>
  <c r="T2087" i="3"/>
  <c r="T2086" i="3"/>
  <c r="T2085" i="3"/>
  <c r="T2084" i="3"/>
  <c r="T2083" i="3"/>
  <c r="T2082" i="3"/>
  <c r="T2081" i="3"/>
  <c r="T2080" i="3"/>
  <c r="T2079" i="3"/>
  <c r="T2078" i="3"/>
  <c r="T2077" i="3"/>
  <c r="T2076" i="3"/>
  <c r="T2075" i="3"/>
  <c r="T2074" i="3"/>
  <c r="T2073" i="3"/>
  <c r="T2072" i="3"/>
  <c r="T2071" i="3"/>
  <c r="T2070" i="3"/>
  <c r="T2069" i="3"/>
  <c r="T2068" i="3"/>
  <c r="T2067" i="3"/>
  <c r="T2066" i="3"/>
  <c r="T2065" i="3"/>
  <c r="T2064" i="3"/>
  <c r="T2063" i="3"/>
  <c r="T2062" i="3"/>
  <c r="T2061" i="3"/>
  <c r="T2060" i="3"/>
  <c r="T2059" i="3"/>
  <c r="T2058" i="3"/>
  <c r="T2057" i="3"/>
  <c r="T2056" i="3"/>
  <c r="T2055" i="3"/>
  <c r="T2054" i="3"/>
  <c r="T2053" i="3"/>
  <c r="T2052" i="3"/>
  <c r="T2051" i="3"/>
  <c r="T2050" i="3"/>
  <c r="T2049" i="3"/>
  <c r="T2048" i="3"/>
  <c r="T2047" i="3"/>
  <c r="T2046" i="3"/>
  <c r="T2045" i="3"/>
  <c r="T2044" i="3"/>
  <c r="T2043" i="3"/>
  <c r="T2042" i="3"/>
  <c r="T2041" i="3"/>
  <c r="T2040" i="3"/>
  <c r="T2039" i="3"/>
  <c r="T2038" i="3"/>
  <c r="T2037" i="3"/>
  <c r="T2036" i="3"/>
  <c r="T2035" i="3"/>
  <c r="T2034" i="3"/>
  <c r="T2033" i="3"/>
  <c r="T2032" i="3"/>
  <c r="T2031" i="3"/>
  <c r="T2030" i="3"/>
  <c r="T2029" i="3"/>
  <c r="T2028" i="3"/>
  <c r="T2027" i="3"/>
  <c r="T2026" i="3"/>
  <c r="T2025" i="3"/>
  <c r="T2024" i="3"/>
  <c r="T2023" i="3"/>
  <c r="T2022" i="3"/>
  <c r="T2021" i="3"/>
  <c r="T2020" i="3"/>
  <c r="T2019" i="3"/>
  <c r="T2018" i="3"/>
  <c r="T2017" i="3"/>
  <c r="T2016" i="3"/>
  <c r="T2015" i="3"/>
  <c r="T2014" i="3"/>
  <c r="T2013" i="3"/>
  <c r="T2012" i="3"/>
  <c r="T2011" i="3"/>
  <c r="T2010" i="3"/>
  <c r="T2009" i="3"/>
  <c r="T2008" i="3"/>
  <c r="T2007" i="3"/>
  <c r="T2006" i="3"/>
  <c r="T2005" i="3"/>
  <c r="T2004" i="3"/>
  <c r="T2003" i="3"/>
  <c r="T2002" i="3"/>
  <c r="T2001" i="3"/>
  <c r="T2000" i="3"/>
  <c r="T1999" i="3"/>
  <c r="T1998" i="3"/>
  <c r="T1997" i="3"/>
  <c r="T1996" i="3"/>
  <c r="T1995" i="3"/>
  <c r="T1994" i="3"/>
  <c r="T1993" i="3"/>
  <c r="T1992" i="3"/>
  <c r="T1991" i="3"/>
  <c r="T1990" i="3"/>
  <c r="T1989" i="3"/>
  <c r="T1988" i="3"/>
  <c r="T1987" i="3"/>
  <c r="T1986" i="3"/>
  <c r="T1985" i="3"/>
  <c r="T1984" i="3"/>
  <c r="T1983" i="3"/>
  <c r="T1982" i="3"/>
  <c r="T1981" i="3"/>
  <c r="T1980" i="3"/>
  <c r="T1979" i="3"/>
  <c r="T1978" i="3"/>
  <c r="T1977" i="3"/>
  <c r="T1976" i="3"/>
  <c r="T1975" i="3"/>
  <c r="T1974" i="3"/>
  <c r="T1973" i="3"/>
  <c r="T1972" i="3"/>
  <c r="T1971" i="3"/>
  <c r="T1970" i="3"/>
  <c r="T1969" i="3"/>
  <c r="T1968" i="3"/>
  <c r="T1967" i="3"/>
  <c r="T1966" i="3"/>
  <c r="T1965" i="3"/>
  <c r="T1964" i="3"/>
  <c r="T1963" i="3"/>
  <c r="T1962" i="3"/>
  <c r="T1961" i="3"/>
  <c r="T1960" i="3"/>
  <c r="T1959" i="3"/>
  <c r="T1958" i="3"/>
  <c r="T1957" i="3"/>
  <c r="T1956" i="3"/>
  <c r="T1955" i="3"/>
  <c r="T1954" i="3"/>
  <c r="T1953" i="3"/>
  <c r="T1952" i="3"/>
  <c r="T1951" i="3"/>
  <c r="T1950" i="3"/>
  <c r="T1949" i="3"/>
  <c r="T1948" i="3"/>
  <c r="T1947" i="3"/>
  <c r="T1946" i="3"/>
  <c r="T1945" i="3"/>
  <c r="T1944" i="3"/>
  <c r="T1943" i="3"/>
  <c r="T1942" i="3"/>
  <c r="T1941" i="3"/>
  <c r="T1940" i="3"/>
  <c r="T1939" i="3"/>
  <c r="T1938" i="3"/>
  <c r="T1937" i="3"/>
  <c r="T1936" i="3"/>
  <c r="T1935" i="3"/>
  <c r="T1934" i="3"/>
  <c r="T1933" i="3"/>
  <c r="T1932" i="3"/>
  <c r="T1931" i="3"/>
  <c r="T1930" i="3"/>
  <c r="T1929" i="3"/>
  <c r="T1928" i="3"/>
  <c r="T1927" i="3"/>
  <c r="T1926" i="3"/>
  <c r="T1925" i="3"/>
  <c r="T1924" i="3"/>
  <c r="T1923" i="3"/>
  <c r="T1922" i="3"/>
  <c r="T1921" i="3"/>
  <c r="T1920" i="3"/>
  <c r="T1919" i="3"/>
  <c r="T1918" i="3"/>
  <c r="T1917" i="3"/>
  <c r="T1916" i="3"/>
  <c r="T1915" i="3"/>
  <c r="T1914" i="3"/>
  <c r="T1913" i="3"/>
  <c r="T1912" i="3"/>
  <c r="T1911" i="3"/>
  <c r="T1910" i="3"/>
  <c r="T1909" i="3"/>
  <c r="T1908" i="3"/>
  <c r="T1907" i="3"/>
  <c r="T1906" i="3"/>
  <c r="T1905" i="3"/>
  <c r="T1904" i="3"/>
  <c r="T1903" i="3"/>
  <c r="T1902" i="3"/>
  <c r="T1901" i="3"/>
  <c r="T1900" i="3"/>
  <c r="T1899" i="3"/>
  <c r="T1898" i="3"/>
  <c r="T1897" i="3"/>
  <c r="T1896" i="3"/>
  <c r="T1895" i="3"/>
  <c r="T1894" i="3"/>
  <c r="T1893" i="3"/>
  <c r="T1892" i="3"/>
  <c r="T1891" i="3"/>
  <c r="T1890" i="3"/>
  <c r="T1889" i="3"/>
  <c r="T1888" i="3"/>
  <c r="T1887" i="3"/>
  <c r="T1886" i="3"/>
  <c r="T1885" i="3"/>
  <c r="T1884" i="3"/>
  <c r="T1883" i="3"/>
  <c r="T1882" i="3"/>
  <c r="T1881" i="3"/>
  <c r="T1880" i="3"/>
  <c r="T1879" i="3"/>
  <c r="T1878" i="3"/>
  <c r="T1877" i="3"/>
  <c r="T1876" i="3"/>
  <c r="T1875" i="3"/>
  <c r="T1874" i="3"/>
  <c r="T1873" i="3"/>
  <c r="T1872" i="3"/>
  <c r="T1871" i="3"/>
  <c r="T1870" i="3"/>
  <c r="T1869" i="3"/>
  <c r="T1868" i="3"/>
  <c r="T1867" i="3"/>
  <c r="T1866" i="3"/>
  <c r="T1865" i="3"/>
  <c r="T1864" i="3"/>
  <c r="T1863" i="3"/>
  <c r="T1862" i="3"/>
  <c r="T1861" i="3"/>
  <c r="T1860" i="3"/>
  <c r="T1859" i="3"/>
  <c r="T1858" i="3"/>
  <c r="T1857" i="3"/>
  <c r="T1856" i="3"/>
  <c r="T1855" i="3"/>
  <c r="T1854" i="3"/>
  <c r="T1853" i="3"/>
  <c r="T1852" i="3"/>
  <c r="T1851" i="3"/>
  <c r="T1850" i="3"/>
  <c r="T1849" i="3"/>
  <c r="T1848" i="3"/>
  <c r="T1847" i="3"/>
  <c r="T1846" i="3"/>
  <c r="T1845" i="3"/>
  <c r="T1844" i="3"/>
  <c r="T1843" i="3"/>
  <c r="T1842" i="3"/>
  <c r="T1841" i="3"/>
  <c r="T1840" i="3"/>
  <c r="T1839" i="3"/>
  <c r="T1838" i="3"/>
  <c r="T1837" i="3"/>
  <c r="T1836" i="3"/>
  <c r="T1835" i="3"/>
  <c r="T1834" i="3"/>
  <c r="T1833" i="3"/>
  <c r="T1832" i="3"/>
  <c r="T1831" i="3"/>
  <c r="T1830" i="3"/>
  <c r="T1829" i="3"/>
  <c r="T1828" i="3"/>
  <c r="T1827" i="3"/>
  <c r="T1826" i="3"/>
  <c r="T1825" i="3"/>
  <c r="T1824" i="3"/>
  <c r="T1823" i="3"/>
  <c r="T1822" i="3"/>
  <c r="T1821" i="3"/>
  <c r="T1820" i="3"/>
  <c r="T1819" i="3"/>
  <c r="T1818" i="3"/>
  <c r="T1817" i="3"/>
  <c r="T1816" i="3"/>
  <c r="T1815" i="3"/>
  <c r="T1814" i="3"/>
  <c r="T1813" i="3"/>
  <c r="T1812" i="3"/>
  <c r="T1811" i="3"/>
  <c r="T1810" i="3"/>
  <c r="T1809" i="3"/>
  <c r="T1808" i="3"/>
  <c r="T1807" i="3"/>
  <c r="T1806" i="3"/>
  <c r="T1805" i="3"/>
  <c r="T1804" i="3"/>
  <c r="T1803" i="3"/>
  <c r="T1802" i="3"/>
  <c r="T1801" i="3"/>
  <c r="T1800" i="3"/>
  <c r="T1799" i="3"/>
  <c r="T1798" i="3"/>
  <c r="T1797" i="3"/>
  <c r="T1796" i="3"/>
  <c r="T1795" i="3"/>
  <c r="T1794" i="3"/>
  <c r="T1793" i="3"/>
  <c r="T1792" i="3"/>
  <c r="T1791" i="3"/>
  <c r="T1790" i="3"/>
  <c r="T1789" i="3"/>
  <c r="T1788" i="3"/>
  <c r="T1787" i="3"/>
  <c r="T1786" i="3"/>
  <c r="T1785" i="3"/>
  <c r="T1784" i="3"/>
  <c r="T1783" i="3"/>
  <c r="T1782" i="3"/>
  <c r="T1781" i="3"/>
  <c r="T1780" i="3"/>
  <c r="T1779" i="3"/>
  <c r="T1778" i="3"/>
  <c r="T1777" i="3"/>
  <c r="T1776" i="3"/>
  <c r="T1775" i="3"/>
  <c r="T1774" i="3"/>
  <c r="T1773" i="3"/>
  <c r="T1772" i="3"/>
  <c r="T1771" i="3"/>
  <c r="T1770" i="3"/>
  <c r="T1769" i="3"/>
  <c r="T1768" i="3"/>
  <c r="T1767" i="3"/>
  <c r="T1766" i="3"/>
  <c r="T1765" i="3"/>
  <c r="T1764" i="3"/>
  <c r="T1763" i="3"/>
  <c r="T1762" i="3"/>
  <c r="T1761" i="3"/>
  <c r="T1760" i="3"/>
  <c r="T1759" i="3"/>
  <c r="T1758" i="3"/>
  <c r="T1757" i="3"/>
  <c r="T1756" i="3"/>
  <c r="T1755" i="3"/>
  <c r="T1754" i="3"/>
  <c r="T1753" i="3"/>
  <c r="T1752" i="3"/>
  <c r="T1751" i="3"/>
  <c r="T1750" i="3"/>
  <c r="T1749" i="3"/>
  <c r="T1748" i="3"/>
  <c r="T1747" i="3"/>
  <c r="T1746" i="3"/>
  <c r="T1745" i="3"/>
  <c r="T1744" i="3"/>
  <c r="T1743" i="3"/>
  <c r="T1742" i="3"/>
  <c r="T1741" i="3"/>
  <c r="T1740" i="3"/>
  <c r="T1739" i="3"/>
  <c r="T1738" i="3"/>
  <c r="T1737" i="3"/>
  <c r="T1736" i="3"/>
  <c r="T1735" i="3"/>
  <c r="T1734" i="3"/>
  <c r="T1733" i="3"/>
  <c r="T1732" i="3"/>
  <c r="T1731" i="3"/>
  <c r="T1730" i="3"/>
  <c r="T1729" i="3"/>
  <c r="T1728" i="3"/>
  <c r="T1727" i="3"/>
  <c r="T1726" i="3"/>
  <c r="T1725" i="3"/>
  <c r="T1724" i="3"/>
  <c r="T1723" i="3"/>
  <c r="T1722" i="3"/>
  <c r="T1721" i="3"/>
  <c r="T1720" i="3"/>
  <c r="T1719" i="3"/>
  <c r="T1718" i="3"/>
  <c r="T1717" i="3"/>
  <c r="T1716" i="3"/>
  <c r="T1715" i="3"/>
  <c r="T1714" i="3"/>
  <c r="T1713" i="3"/>
  <c r="T1712" i="3"/>
  <c r="T1711" i="3"/>
  <c r="T1710" i="3"/>
  <c r="T1709" i="3"/>
  <c r="T1708" i="3"/>
  <c r="T1707" i="3"/>
  <c r="T1706" i="3"/>
  <c r="T1705" i="3"/>
  <c r="T1704" i="3"/>
  <c r="T1703" i="3"/>
  <c r="T1702" i="3"/>
  <c r="T1701" i="3"/>
  <c r="T1700" i="3"/>
  <c r="T1699" i="3"/>
  <c r="T1698" i="3"/>
  <c r="T1697" i="3"/>
  <c r="T1696" i="3"/>
  <c r="T1695" i="3"/>
  <c r="T1694" i="3"/>
  <c r="T1693" i="3"/>
  <c r="T1692" i="3"/>
  <c r="T1691" i="3"/>
  <c r="T1690" i="3"/>
  <c r="T1689" i="3"/>
  <c r="T1688" i="3"/>
  <c r="T1687" i="3"/>
  <c r="T1686" i="3"/>
  <c r="T1685" i="3"/>
  <c r="T1684" i="3"/>
  <c r="T1683" i="3"/>
  <c r="T1682" i="3"/>
  <c r="T1681" i="3"/>
  <c r="T1680" i="3"/>
  <c r="T1679" i="3"/>
  <c r="T1678" i="3"/>
  <c r="T1677" i="3"/>
  <c r="T1676" i="3"/>
  <c r="T1675" i="3"/>
  <c r="T1674" i="3"/>
  <c r="T1673" i="3"/>
  <c r="T1672" i="3"/>
  <c r="T1671" i="3"/>
  <c r="T1670" i="3"/>
  <c r="T1669" i="3"/>
  <c r="T1668" i="3"/>
  <c r="T1667" i="3"/>
  <c r="T1666" i="3"/>
  <c r="T1665" i="3"/>
  <c r="T1664" i="3"/>
  <c r="T1663" i="3"/>
  <c r="T1662" i="3"/>
  <c r="T1661" i="3"/>
  <c r="T1660" i="3"/>
  <c r="T1659" i="3"/>
  <c r="T1658" i="3"/>
  <c r="T1657" i="3"/>
  <c r="T1656" i="3"/>
  <c r="T1655" i="3"/>
  <c r="T1654" i="3"/>
  <c r="T1653" i="3"/>
  <c r="T1652" i="3"/>
  <c r="T1651" i="3"/>
  <c r="T1650" i="3"/>
  <c r="T1649" i="3"/>
  <c r="T1648" i="3"/>
  <c r="T1647" i="3"/>
  <c r="T1646" i="3"/>
  <c r="T1645" i="3"/>
  <c r="T1644" i="3"/>
  <c r="T1643" i="3"/>
  <c r="T1642" i="3"/>
  <c r="T1641" i="3"/>
  <c r="T1640" i="3"/>
  <c r="T1639" i="3"/>
  <c r="T1638" i="3"/>
  <c r="T1637" i="3"/>
  <c r="T1636" i="3"/>
  <c r="T1635" i="3"/>
  <c r="T1634" i="3"/>
  <c r="T1633" i="3"/>
  <c r="T1632" i="3"/>
  <c r="T1631" i="3"/>
  <c r="T1630" i="3"/>
  <c r="T1629" i="3"/>
  <c r="T1628" i="3"/>
  <c r="T1627" i="3"/>
  <c r="T1626" i="3"/>
  <c r="T1625" i="3"/>
  <c r="T1624" i="3"/>
  <c r="T1623" i="3"/>
  <c r="T1622" i="3"/>
  <c r="T1621" i="3"/>
  <c r="T1620" i="3"/>
  <c r="T1619" i="3"/>
  <c r="T1618" i="3"/>
  <c r="T1617" i="3"/>
  <c r="T1616" i="3"/>
  <c r="T1615" i="3"/>
  <c r="T1614" i="3"/>
  <c r="T1613" i="3"/>
  <c r="T1612" i="3"/>
  <c r="T1611" i="3"/>
  <c r="T1610" i="3"/>
  <c r="T1609" i="3"/>
  <c r="T1608" i="3"/>
  <c r="T1607" i="3"/>
  <c r="T1606" i="3"/>
  <c r="T1605" i="3"/>
  <c r="T1604" i="3"/>
  <c r="T1603" i="3"/>
  <c r="T1602" i="3"/>
  <c r="T1601" i="3"/>
  <c r="T1600" i="3"/>
  <c r="T1599" i="3"/>
  <c r="T1598" i="3"/>
  <c r="T1597" i="3"/>
  <c r="T1596" i="3"/>
  <c r="T1595" i="3"/>
  <c r="T1594" i="3"/>
  <c r="T1593" i="3"/>
  <c r="T1592" i="3"/>
  <c r="T1591" i="3"/>
  <c r="T1590" i="3"/>
  <c r="T1589" i="3"/>
  <c r="T1588" i="3"/>
  <c r="T1587" i="3"/>
  <c r="T1586" i="3"/>
  <c r="T1585" i="3"/>
  <c r="T1584" i="3"/>
  <c r="T1583" i="3"/>
  <c r="T1582" i="3"/>
  <c r="T1581" i="3"/>
  <c r="T1580" i="3"/>
  <c r="T1579" i="3"/>
  <c r="T1578" i="3"/>
  <c r="T1577" i="3"/>
  <c r="T1576" i="3"/>
  <c r="T1575" i="3"/>
  <c r="T1574" i="3"/>
  <c r="T1573" i="3"/>
  <c r="T1572" i="3"/>
  <c r="T1571" i="3"/>
  <c r="T1570" i="3"/>
  <c r="T1569" i="3"/>
  <c r="T1568" i="3"/>
  <c r="T1567" i="3"/>
  <c r="T1566" i="3"/>
  <c r="T1565" i="3"/>
  <c r="T1564" i="3"/>
  <c r="T1563" i="3"/>
  <c r="T1562" i="3"/>
  <c r="T1561" i="3"/>
  <c r="T1560" i="3"/>
  <c r="T1559" i="3"/>
  <c r="T1558" i="3"/>
  <c r="T1557" i="3"/>
  <c r="T1556" i="3"/>
  <c r="T1555" i="3"/>
  <c r="T1554" i="3"/>
  <c r="T1553" i="3"/>
  <c r="T1552" i="3"/>
  <c r="T1551" i="3"/>
  <c r="T1550" i="3"/>
  <c r="T1549" i="3"/>
  <c r="T1548" i="3"/>
  <c r="T1547" i="3"/>
  <c r="T1546" i="3"/>
  <c r="T1545" i="3"/>
  <c r="T1544" i="3"/>
  <c r="T1543" i="3"/>
  <c r="T1542" i="3"/>
  <c r="T1541" i="3"/>
  <c r="T1540" i="3"/>
  <c r="T1539" i="3"/>
  <c r="T1538" i="3"/>
  <c r="T1537" i="3"/>
  <c r="T1536" i="3"/>
  <c r="T1535" i="3"/>
  <c r="T1534" i="3"/>
  <c r="T1533" i="3"/>
  <c r="T1532" i="3"/>
  <c r="T1531" i="3"/>
  <c r="T1530" i="3"/>
  <c r="T1529" i="3"/>
  <c r="T1528" i="3"/>
  <c r="T1527" i="3"/>
  <c r="T1526" i="3"/>
  <c r="T1525" i="3"/>
  <c r="T1524" i="3"/>
  <c r="T1523" i="3"/>
  <c r="T1522" i="3"/>
  <c r="T1521" i="3"/>
  <c r="T1520" i="3"/>
  <c r="T1519" i="3"/>
  <c r="T1518" i="3"/>
  <c r="T1517" i="3"/>
  <c r="T1516" i="3"/>
  <c r="T1515" i="3"/>
  <c r="T1514" i="3"/>
  <c r="T1513" i="3"/>
  <c r="T1512" i="3"/>
  <c r="T1511" i="3"/>
  <c r="T1510" i="3"/>
  <c r="T1509" i="3"/>
  <c r="T1508" i="3"/>
  <c r="T1507" i="3"/>
  <c r="T1506" i="3"/>
  <c r="T1505" i="3"/>
  <c r="T1504" i="3"/>
  <c r="T1503" i="3"/>
  <c r="T1502" i="3"/>
  <c r="T1501" i="3"/>
  <c r="T1500" i="3"/>
  <c r="T1499" i="3"/>
  <c r="T1498" i="3"/>
  <c r="T1497" i="3"/>
  <c r="T1496" i="3"/>
  <c r="T1495" i="3"/>
  <c r="T1494" i="3"/>
  <c r="T1493" i="3"/>
  <c r="T1492" i="3"/>
  <c r="T1491" i="3"/>
  <c r="T1490" i="3"/>
  <c r="T1489" i="3"/>
  <c r="T1488" i="3"/>
  <c r="T1487" i="3"/>
  <c r="T1486" i="3"/>
  <c r="T1485" i="3"/>
  <c r="T1484" i="3"/>
  <c r="T1483" i="3"/>
  <c r="T1482" i="3"/>
  <c r="T1481" i="3"/>
  <c r="T1480" i="3"/>
  <c r="T1479" i="3"/>
  <c r="T1478" i="3"/>
  <c r="T1477" i="3"/>
  <c r="T1476" i="3"/>
  <c r="T1475" i="3"/>
  <c r="T1474" i="3"/>
  <c r="T1473" i="3"/>
  <c r="T1472" i="3"/>
  <c r="T1471" i="3"/>
  <c r="T1470" i="3"/>
  <c r="T1469" i="3"/>
  <c r="T1468" i="3"/>
  <c r="T1467" i="3"/>
  <c r="T1466" i="3"/>
  <c r="T1465" i="3"/>
  <c r="T1464" i="3"/>
  <c r="T1463" i="3"/>
  <c r="T1462" i="3"/>
  <c r="T1461" i="3"/>
  <c r="T1460" i="3"/>
  <c r="T1459" i="3"/>
  <c r="T1458" i="3"/>
  <c r="T1457" i="3"/>
  <c r="T1456" i="3"/>
  <c r="T1455" i="3"/>
  <c r="T1454" i="3"/>
  <c r="T1453" i="3"/>
  <c r="T1452" i="3"/>
  <c r="T1451" i="3"/>
  <c r="T1450" i="3"/>
  <c r="T1449" i="3"/>
  <c r="T1448" i="3"/>
  <c r="T1447" i="3"/>
  <c r="T1446" i="3"/>
  <c r="T1445" i="3"/>
  <c r="T1444" i="3"/>
  <c r="T1443" i="3"/>
  <c r="T1442" i="3"/>
  <c r="T1441" i="3"/>
  <c r="T1440" i="3"/>
  <c r="T1439" i="3"/>
  <c r="T1438" i="3"/>
  <c r="T1437" i="3"/>
  <c r="T1436" i="3"/>
  <c r="T1435" i="3"/>
  <c r="T1434" i="3"/>
  <c r="T1433" i="3"/>
  <c r="T1432" i="3"/>
  <c r="T1431" i="3"/>
  <c r="T1430" i="3"/>
  <c r="T1429" i="3"/>
  <c r="T1428" i="3"/>
  <c r="T1427" i="3"/>
  <c r="T1426" i="3"/>
  <c r="T1425" i="3"/>
  <c r="T1424" i="3"/>
  <c r="T1423" i="3"/>
  <c r="T1422" i="3"/>
  <c r="T1421" i="3"/>
  <c r="T1420" i="3"/>
  <c r="T1419" i="3"/>
  <c r="T1418" i="3"/>
  <c r="T1417" i="3"/>
  <c r="T1416" i="3"/>
  <c r="T1415" i="3"/>
  <c r="T1414" i="3"/>
  <c r="T1413" i="3"/>
  <c r="T1412" i="3"/>
  <c r="T1411" i="3"/>
  <c r="T1410" i="3"/>
  <c r="T1409" i="3"/>
  <c r="T1408" i="3"/>
  <c r="T1407" i="3"/>
  <c r="T1406" i="3"/>
  <c r="T1405" i="3"/>
  <c r="T1404" i="3"/>
  <c r="T1403" i="3"/>
  <c r="T1402" i="3"/>
  <c r="T1401" i="3"/>
  <c r="T1400" i="3"/>
  <c r="T1399" i="3"/>
  <c r="T1398" i="3"/>
  <c r="T1397" i="3"/>
  <c r="T1396" i="3"/>
  <c r="T1395" i="3"/>
  <c r="T1394" i="3"/>
  <c r="T1393" i="3"/>
  <c r="T1392" i="3"/>
  <c r="T1391" i="3"/>
  <c r="T1390" i="3"/>
  <c r="T1389" i="3"/>
  <c r="T1388" i="3"/>
  <c r="T1387" i="3"/>
  <c r="T1386" i="3"/>
  <c r="T1385" i="3"/>
  <c r="T1384" i="3"/>
  <c r="T1383" i="3"/>
  <c r="T1382" i="3"/>
  <c r="T1381" i="3"/>
  <c r="T1380" i="3"/>
  <c r="T1379" i="3"/>
  <c r="T1378" i="3"/>
  <c r="T1377" i="3"/>
  <c r="T1376" i="3"/>
  <c r="T1375" i="3"/>
  <c r="T1374" i="3"/>
  <c r="T1373" i="3"/>
  <c r="T1372" i="3"/>
  <c r="T1371" i="3"/>
  <c r="T1370" i="3"/>
  <c r="T1369" i="3"/>
  <c r="T1368" i="3"/>
  <c r="T1367" i="3"/>
  <c r="T1366" i="3"/>
  <c r="T1365" i="3"/>
  <c r="T1364" i="3"/>
  <c r="T1363" i="3"/>
  <c r="T1362" i="3"/>
  <c r="T1361" i="3"/>
  <c r="T1360" i="3"/>
  <c r="T1359" i="3"/>
  <c r="T1358" i="3"/>
  <c r="T1357" i="3"/>
  <c r="T1356" i="3"/>
  <c r="T1355" i="3"/>
  <c r="T1354" i="3"/>
  <c r="T1353" i="3"/>
  <c r="T1352" i="3"/>
  <c r="T1351" i="3"/>
  <c r="T1350" i="3"/>
  <c r="T1349" i="3"/>
  <c r="T1348" i="3"/>
  <c r="T1347" i="3"/>
  <c r="T1346" i="3"/>
  <c r="T1345" i="3"/>
  <c r="T1344" i="3"/>
  <c r="T1343" i="3"/>
  <c r="T1342" i="3"/>
  <c r="T1341" i="3"/>
  <c r="T1340" i="3"/>
  <c r="T1339" i="3"/>
  <c r="T1338" i="3"/>
  <c r="T1337" i="3"/>
  <c r="T1336" i="3"/>
  <c r="T1335" i="3"/>
  <c r="T1334" i="3"/>
  <c r="T1333" i="3"/>
  <c r="T1332" i="3"/>
  <c r="T1331" i="3"/>
  <c r="T1330" i="3"/>
  <c r="T1329" i="3"/>
  <c r="T1328" i="3"/>
  <c r="T1327" i="3"/>
  <c r="T1326" i="3"/>
  <c r="T1325" i="3"/>
  <c r="T1324" i="3"/>
  <c r="T1323" i="3"/>
  <c r="T1322" i="3"/>
  <c r="T1321" i="3"/>
  <c r="T1320" i="3"/>
  <c r="T1319" i="3"/>
  <c r="T1318" i="3"/>
  <c r="T1317" i="3"/>
  <c r="T1316" i="3"/>
  <c r="T1315" i="3"/>
  <c r="T1314" i="3"/>
  <c r="T1313" i="3"/>
  <c r="T1312" i="3"/>
  <c r="T1311" i="3"/>
  <c r="T1310" i="3"/>
  <c r="T1309" i="3"/>
  <c r="T1308" i="3"/>
  <c r="T1307" i="3"/>
  <c r="T1306" i="3"/>
  <c r="T1305" i="3"/>
  <c r="T1304" i="3"/>
  <c r="T1303" i="3"/>
  <c r="T1302" i="3"/>
  <c r="T1301" i="3"/>
  <c r="T1300" i="3"/>
  <c r="T1299" i="3"/>
  <c r="T1298" i="3"/>
  <c r="T1297" i="3"/>
  <c r="T1296" i="3"/>
  <c r="T1295" i="3"/>
  <c r="T1294" i="3"/>
  <c r="T1293" i="3"/>
  <c r="T1292" i="3"/>
  <c r="T1291" i="3"/>
  <c r="T1290" i="3"/>
  <c r="T1289" i="3"/>
  <c r="T1288" i="3"/>
  <c r="T1287" i="3"/>
  <c r="T1286" i="3"/>
  <c r="T1285" i="3"/>
  <c r="T1284" i="3"/>
  <c r="T1283" i="3"/>
  <c r="T1282" i="3"/>
  <c r="T1281" i="3"/>
  <c r="T1280" i="3"/>
  <c r="T1279" i="3"/>
  <c r="T1278" i="3"/>
  <c r="T1277" i="3"/>
  <c r="T1276" i="3"/>
  <c r="T1275" i="3"/>
  <c r="T1274" i="3"/>
  <c r="T1273" i="3"/>
  <c r="T1272" i="3"/>
  <c r="T1271" i="3"/>
  <c r="T1270" i="3"/>
  <c r="T1269" i="3"/>
  <c r="T1268" i="3"/>
  <c r="T1267" i="3"/>
  <c r="T1266" i="3"/>
  <c r="T1265" i="3"/>
  <c r="T1264" i="3"/>
  <c r="T1263" i="3"/>
  <c r="T1262" i="3"/>
  <c r="T1261" i="3"/>
  <c r="T1260" i="3"/>
  <c r="T1259" i="3"/>
  <c r="T1258" i="3"/>
  <c r="T1257" i="3"/>
  <c r="T1256" i="3"/>
  <c r="T1255" i="3"/>
  <c r="T1254" i="3"/>
  <c r="T1253" i="3"/>
  <c r="T1252" i="3"/>
  <c r="T1251" i="3"/>
  <c r="T1250" i="3"/>
  <c r="T1249" i="3"/>
  <c r="T1248" i="3"/>
  <c r="T1247" i="3"/>
  <c r="T1246" i="3"/>
  <c r="T1245" i="3"/>
  <c r="T1244" i="3"/>
  <c r="T1243" i="3"/>
  <c r="T1242" i="3"/>
  <c r="T1241" i="3"/>
  <c r="T1240" i="3"/>
  <c r="T1239" i="3"/>
  <c r="T1238" i="3"/>
  <c r="T1237" i="3"/>
  <c r="T1236" i="3"/>
  <c r="T1235" i="3"/>
  <c r="T1234" i="3"/>
  <c r="T1233" i="3"/>
  <c r="T1232" i="3"/>
  <c r="T1231" i="3"/>
  <c r="T1230" i="3"/>
  <c r="T1229" i="3"/>
  <c r="T1228" i="3"/>
  <c r="T1227" i="3"/>
  <c r="T1226" i="3"/>
  <c r="T1225" i="3"/>
  <c r="T1224" i="3"/>
  <c r="T1223" i="3"/>
  <c r="T1222" i="3"/>
  <c r="T1221" i="3"/>
  <c r="T1220" i="3"/>
  <c r="T1219" i="3"/>
  <c r="T1218" i="3"/>
  <c r="T1217" i="3"/>
  <c r="T1216" i="3"/>
  <c r="T1215" i="3"/>
  <c r="T1214" i="3"/>
  <c r="T1213" i="3"/>
  <c r="T1212" i="3"/>
  <c r="T1211" i="3"/>
  <c r="T1210" i="3"/>
  <c r="T1209" i="3"/>
  <c r="T1208" i="3"/>
  <c r="T1207" i="3"/>
  <c r="T1206" i="3"/>
  <c r="T1205" i="3"/>
  <c r="T1204" i="3"/>
  <c r="T1203" i="3"/>
  <c r="T1202" i="3"/>
  <c r="T1201" i="3"/>
  <c r="T1200" i="3"/>
  <c r="T1199" i="3"/>
  <c r="T1198" i="3"/>
  <c r="T1197" i="3"/>
  <c r="T1196" i="3"/>
  <c r="T1195" i="3"/>
  <c r="T1194" i="3"/>
  <c r="T1193" i="3"/>
  <c r="T1192" i="3"/>
  <c r="T1191" i="3"/>
  <c r="T1190" i="3"/>
  <c r="T1189" i="3"/>
  <c r="T1188" i="3"/>
  <c r="T1187" i="3"/>
  <c r="T1186" i="3"/>
  <c r="T1185" i="3"/>
  <c r="T1184" i="3"/>
  <c r="T1183" i="3"/>
  <c r="T1182" i="3"/>
  <c r="T1181" i="3"/>
  <c r="T1180" i="3"/>
  <c r="T1179" i="3"/>
  <c r="T1178" i="3"/>
  <c r="T1177" i="3"/>
  <c r="T1176" i="3"/>
  <c r="T1175" i="3"/>
  <c r="T1174" i="3"/>
  <c r="T1173" i="3"/>
  <c r="T1172" i="3"/>
  <c r="T1171" i="3"/>
  <c r="T1170" i="3"/>
  <c r="T1169" i="3"/>
  <c r="T1168" i="3"/>
  <c r="T1167" i="3"/>
  <c r="T1166" i="3"/>
  <c r="T1165" i="3"/>
  <c r="T1164" i="3"/>
  <c r="T1163" i="3"/>
  <c r="T1162" i="3"/>
  <c r="T1161" i="3"/>
  <c r="T1160" i="3"/>
  <c r="T1159" i="3"/>
  <c r="T1158" i="3"/>
  <c r="T1157" i="3"/>
  <c r="T1156" i="3"/>
  <c r="T1155" i="3"/>
  <c r="T1154" i="3"/>
  <c r="T1153" i="3"/>
  <c r="T1152" i="3"/>
  <c r="T1151" i="3"/>
  <c r="T1150" i="3"/>
  <c r="T1149" i="3"/>
  <c r="T1148" i="3"/>
  <c r="T1147" i="3"/>
  <c r="T1146" i="3"/>
  <c r="T1145" i="3"/>
  <c r="T1144" i="3"/>
  <c r="T1143" i="3"/>
  <c r="T1142" i="3"/>
  <c r="T1141" i="3"/>
  <c r="T1140" i="3"/>
  <c r="T1139" i="3"/>
  <c r="T1138" i="3"/>
  <c r="T1137" i="3"/>
  <c r="T1136" i="3"/>
  <c r="T1135" i="3"/>
  <c r="T1134" i="3"/>
  <c r="T1133" i="3"/>
  <c r="T1132" i="3"/>
  <c r="T1131" i="3"/>
  <c r="T1130" i="3"/>
  <c r="T1129" i="3"/>
  <c r="T1128" i="3"/>
  <c r="T1127" i="3"/>
  <c r="T1126" i="3"/>
  <c r="T1125" i="3"/>
  <c r="T1124" i="3"/>
  <c r="T1123" i="3"/>
  <c r="T1122" i="3"/>
  <c r="T1121" i="3"/>
  <c r="T1120" i="3"/>
  <c r="T1119" i="3"/>
  <c r="T1118" i="3"/>
  <c r="T1117" i="3"/>
  <c r="T1116" i="3"/>
  <c r="T1115" i="3"/>
  <c r="T1114" i="3"/>
  <c r="T1113" i="3"/>
  <c r="T1112" i="3"/>
  <c r="T1111" i="3"/>
  <c r="T1110" i="3"/>
  <c r="T1109" i="3"/>
  <c r="T1108" i="3"/>
  <c r="T1107" i="3"/>
  <c r="T1106" i="3"/>
  <c r="T1105" i="3"/>
  <c r="T1104" i="3"/>
  <c r="T1103" i="3"/>
  <c r="T1102" i="3"/>
  <c r="T1101" i="3"/>
  <c r="T1100" i="3"/>
  <c r="T1099" i="3"/>
  <c r="T1098" i="3"/>
  <c r="T1097" i="3"/>
  <c r="T1096" i="3"/>
  <c r="T1095" i="3"/>
  <c r="T1094" i="3"/>
  <c r="T1093" i="3"/>
  <c r="T1092" i="3"/>
  <c r="T1091" i="3"/>
  <c r="T1090" i="3"/>
  <c r="T1089" i="3"/>
  <c r="T1088" i="3"/>
  <c r="T1087" i="3"/>
  <c r="T1086" i="3"/>
  <c r="T1085" i="3"/>
  <c r="T1084" i="3"/>
  <c r="T1083" i="3"/>
  <c r="T1082" i="3"/>
  <c r="T1081" i="3"/>
  <c r="T1080" i="3"/>
  <c r="T1079" i="3"/>
  <c r="T1078" i="3"/>
  <c r="T1077" i="3"/>
  <c r="T1076" i="3"/>
  <c r="T1075" i="3"/>
  <c r="T1074" i="3"/>
  <c r="T1073" i="3"/>
  <c r="T1072" i="3"/>
  <c r="T1071" i="3"/>
  <c r="T1070" i="3"/>
  <c r="T1069" i="3"/>
  <c r="T1068" i="3"/>
  <c r="T1067" i="3"/>
  <c r="T1066" i="3"/>
  <c r="T1065" i="3"/>
  <c r="T1064" i="3"/>
  <c r="T1063" i="3"/>
  <c r="T1062" i="3"/>
  <c r="T1061" i="3"/>
  <c r="T1060" i="3"/>
  <c r="T1059" i="3"/>
  <c r="T1058" i="3"/>
  <c r="T1057" i="3"/>
  <c r="T1056" i="3"/>
  <c r="T1055" i="3"/>
  <c r="T1054" i="3"/>
  <c r="T1053" i="3"/>
  <c r="T1052" i="3"/>
  <c r="T1051" i="3"/>
  <c r="T1050" i="3"/>
  <c r="T1049" i="3"/>
  <c r="T1048" i="3"/>
  <c r="T1047" i="3"/>
  <c r="T1046" i="3"/>
  <c r="T1045" i="3"/>
  <c r="T1044" i="3"/>
  <c r="T1043" i="3"/>
  <c r="T1042" i="3"/>
  <c r="T1041" i="3"/>
  <c r="T1040" i="3"/>
  <c r="T1039" i="3"/>
  <c r="T1038" i="3"/>
  <c r="T1037" i="3"/>
  <c r="T1036" i="3"/>
  <c r="T1035" i="3"/>
  <c r="T1034" i="3"/>
  <c r="T1033" i="3"/>
  <c r="T1032" i="3"/>
  <c r="T1031" i="3"/>
  <c r="T1030" i="3"/>
  <c r="T1029" i="3"/>
  <c r="T1028" i="3"/>
  <c r="T1027" i="3"/>
  <c r="T1026" i="3"/>
  <c r="T1025" i="3"/>
  <c r="T1024" i="3"/>
  <c r="T1023" i="3"/>
  <c r="T1022" i="3"/>
  <c r="T1021" i="3"/>
  <c r="T1020" i="3"/>
  <c r="T1019" i="3"/>
  <c r="T1018" i="3"/>
  <c r="T1017" i="3"/>
  <c r="T1016" i="3"/>
  <c r="T1015" i="3"/>
  <c r="T1014" i="3"/>
  <c r="T1013" i="3"/>
  <c r="T1012" i="3"/>
  <c r="T1011" i="3"/>
  <c r="T1010" i="3"/>
  <c r="T1009" i="3"/>
  <c r="T1008" i="3"/>
  <c r="T1007" i="3"/>
  <c r="T1006" i="3"/>
  <c r="T1005" i="3"/>
  <c r="T1004" i="3"/>
  <c r="T1003" i="3"/>
  <c r="T1002" i="3"/>
  <c r="T1001" i="3"/>
  <c r="T1000" i="3"/>
  <c r="T999" i="3"/>
  <c r="T998" i="3"/>
  <c r="T997" i="3"/>
  <c r="T996" i="3"/>
  <c r="T995" i="3"/>
  <c r="T994" i="3"/>
  <c r="T993" i="3"/>
  <c r="T992" i="3"/>
  <c r="T991" i="3"/>
  <c r="T990" i="3"/>
  <c r="T989" i="3"/>
  <c r="T988" i="3"/>
  <c r="T987" i="3"/>
  <c r="T986" i="3"/>
  <c r="T985" i="3"/>
  <c r="T984" i="3"/>
  <c r="T983" i="3"/>
  <c r="T982" i="3"/>
  <c r="T981" i="3"/>
  <c r="T980" i="3"/>
  <c r="T979" i="3"/>
  <c r="T978" i="3"/>
  <c r="T977" i="3"/>
  <c r="T976" i="3"/>
  <c r="T975" i="3"/>
  <c r="T974" i="3"/>
  <c r="T973" i="3"/>
  <c r="T972" i="3"/>
  <c r="T971" i="3"/>
  <c r="T970" i="3"/>
  <c r="T969" i="3"/>
  <c r="T968" i="3"/>
  <c r="T967" i="3"/>
  <c r="T966" i="3"/>
  <c r="T965" i="3"/>
  <c r="T964" i="3"/>
  <c r="T963" i="3"/>
  <c r="T962" i="3"/>
  <c r="T961" i="3"/>
  <c r="T960" i="3"/>
  <c r="T959" i="3"/>
  <c r="T958" i="3"/>
  <c r="T957" i="3"/>
  <c r="T956" i="3"/>
  <c r="T955" i="3"/>
  <c r="T954" i="3"/>
  <c r="T953" i="3"/>
  <c r="T952" i="3"/>
  <c r="T951" i="3"/>
  <c r="T950" i="3"/>
  <c r="T949" i="3"/>
  <c r="T948" i="3"/>
  <c r="T947" i="3"/>
  <c r="T946" i="3"/>
  <c r="T945" i="3"/>
  <c r="T944" i="3"/>
  <c r="T943" i="3"/>
  <c r="T942" i="3"/>
  <c r="T941" i="3"/>
  <c r="T940" i="3"/>
  <c r="T939" i="3"/>
  <c r="T938" i="3"/>
  <c r="T937" i="3"/>
  <c r="T936" i="3"/>
  <c r="T935" i="3"/>
  <c r="T934" i="3"/>
  <c r="T933" i="3"/>
  <c r="T932" i="3"/>
  <c r="T931" i="3"/>
  <c r="T930" i="3"/>
  <c r="T929" i="3"/>
  <c r="T928" i="3"/>
  <c r="T927" i="3"/>
  <c r="T926" i="3"/>
  <c r="T925" i="3"/>
  <c r="T924" i="3"/>
  <c r="T923" i="3"/>
  <c r="T922" i="3"/>
  <c r="T921" i="3"/>
  <c r="T920" i="3"/>
  <c r="T919" i="3"/>
  <c r="T918" i="3"/>
  <c r="T917" i="3"/>
  <c r="T916" i="3"/>
  <c r="T915" i="3"/>
  <c r="T914" i="3"/>
  <c r="T913" i="3"/>
  <c r="T912" i="3"/>
  <c r="T911" i="3"/>
  <c r="T910" i="3"/>
  <c r="T909" i="3"/>
  <c r="T908" i="3"/>
  <c r="T907" i="3"/>
  <c r="T906" i="3"/>
  <c r="T905" i="3"/>
  <c r="T904" i="3"/>
  <c r="T903" i="3"/>
  <c r="T902" i="3"/>
  <c r="T901" i="3"/>
  <c r="T900" i="3"/>
  <c r="T899" i="3"/>
  <c r="T898" i="3"/>
  <c r="T897" i="3"/>
  <c r="T896" i="3"/>
  <c r="T895" i="3"/>
  <c r="T894" i="3"/>
  <c r="T893" i="3"/>
  <c r="T892" i="3"/>
  <c r="T891" i="3"/>
  <c r="T890" i="3"/>
  <c r="T889" i="3"/>
  <c r="T888" i="3"/>
  <c r="T887" i="3"/>
  <c r="T886" i="3"/>
  <c r="T885" i="3"/>
  <c r="T884" i="3"/>
  <c r="T883" i="3"/>
  <c r="T882" i="3"/>
  <c r="T881" i="3"/>
  <c r="T880" i="3"/>
  <c r="T879" i="3"/>
  <c r="T878" i="3"/>
  <c r="T877" i="3"/>
  <c r="T876" i="3"/>
  <c r="T875" i="3"/>
  <c r="T874" i="3"/>
  <c r="T873" i="3"/>
  <c r="T872" i="3"/>
  <c r="T871" i="3"/>
  <c r="T870" i="3"/>
  <c r="T869" i="3"/>
  <c r="T868" i="3"/>
  <c r="T867" i="3"/>
  <c r="T866" i="3"/>
  <c r="T865" i="3"/>
  <c r="T864" i="3"/>
  <c r="T863" i="3"/>
  <c r="T862" i="3"/>
  <c r="T861" i="3"/>
  <c r="T860" i="3"/>
  <c r="T859" i="3"/>
  <c r="T858" i="3"/>
  <c r="T857" i="3"/>
  <c r="T856" i="3"/>
  <c r="T855" i="3"/>
  <c r="T854" i="3"/>
  <c r="T853" i="3"/>
  <c r="T852" i="3"/>
  <c r="T851" i="3"/>
  <c r="T850" i="3"/>
  <c r="T849" i="3"/>
  <c r="T848" i="3"/>
  <c r="T847" i="3"/>
  <c r="T846" i="3"/>
  <c r="T845" i="3"/>
  <c r="T844" i="3"/>
  <c r="T843" i="3"/>
  <c r="T842" i="3"/>
  <c r="T841" i="3"/>
  <c r="T840" i="3"/>
  <c r="T839" i="3"/>
  <c r="T838" i="3"/>
  <c r="T837" i="3"/>
  <c r="T836" i="3"/>
  <c r="T835" i="3"/>
  <c r="T834" i="3"/>
  <c r="T833" i="3"/>
  <c r="T832" i="3"/>
  <c r="T831" i="3"/>
  <c r="T830" i="3"/>
  <c r="T829" i="3"/>
  <c r="T828" i="3"/>
  <c r="T827" i="3"/>
  <c r="T826" i="3"/>
  <c r="T825" i="3"/>
  <c r="T824" i="3"/>
  <c r="T823" i="3"/>
  <c r="T822" i="3"/>
  <c r="T821" i="3"/>
  <c r="T820" i="3"/>
  <c r="T819" i="3"/>
  <c r="T818" i="3"/>
  <c r="T817" i="3"/>
  <c r="T816" i="3"/>
  <c r="T815" i="3"/>
  <c r="T814" i="3"/>
  <c r="T813" i="3"/>
  <c r="T812" i="3"/>
  <c r="T811" i="3"/>
  <c r="T810" i="3"/>
  <c r="T809" i="3"/>
  <c r="T808" i="3"/>
  <c r="T807" i="3"/>
  <c r="T806" i="3"/>
  <c r="T805" i="3"/>
  <c r="T804" i="3"/>
  <c r="T803" i="3"/>
  <c r="T802" i="3"/>
  <c r="T801" i="3"/>
  <c r="T800" i="3"/>
  <c r="T799" i="3"/>
  <c r="T798" i="3"/>
  <c r="T797" i="3"/>
  <c r="T796" i="3"/>
  <c r="T795" i="3"/>
  <c r="T794" i="3"/>
  <c r="T793" i="3"/>
  <c r="T792" i="3"/>
  <c r="T791" i="3"/>
  <c r="T790" i="3"/>
  <c r="T789" i="3"/>
  <c r="T788" i="3"/>
  <c r="T787" i="3"/>
  <c r="T786" i="3"/>
  <c r="T785" i="3"/>
  <c r="T784" i="3"/>
  <c r="T783" i="3"/>
  <c r="T782" i="3"/>
  <c r="T781" i="3"/>
  <c r="T780" i="3"/>
  <c r="T779" i="3"/>
  <c r="T778" i="3"/>
  <c r="T777" i="3"/>
  <c r="T776" i="3"/>
  <c r="T775" i="3"/>
  <c r="T774" i="3"/>
  <c r="T773" i="3"/>
  <c r="T772" i="3"/>
  <c r="T771" i="3"/>
  <c r="T770" i="3"/>
  <c r="T769" i="3"/>
  <c r="T768" i="3"/>
  <c r="T767" i="3"/>
  <c r="T766" i="3"/>
  <c r="T765" i="3"/>
  <c r="T764" i="3"/>
  <c r="T763" i="3"/>
  <c r="T762" i="3"/>
  <c r="T761" i="3"/>
  <c r="T760" i="3"/>
  <c r="T759" i="3"/>
  <c r="T758" i="3"/>
  <c r="T757" i="3"/>
  <c r="T756" i="3"/>
  <c r="T755" i="3"/>
  <c r="T754" i="3"/>
  <c r="T753" i="3"/>
  <c r="T752" i="3"/>
  <c r="T751" i="3"/>
  <c r="T750" i="3"/>
  <c r="T749" i="3"/>
  <c r="T748" i="3"/>
  <c r="T747" i="3"/>
  <c r="T746" i="3"/>
  <c r="T745" i="3"/>
  <c r="T744" i="3"/>
  <c r="T743" i="3"/>
  <c r="T742" i="3"/>
  <c r="T741" i="3"/>
  <c r="T740" i="3"/>
  <c r="T739" i="3"/>
  <c r="T738" i="3"/>
  <c r="T737" i="3"/>
  <c r="T736" i="3"/>
  <c r="T735" i="3"/>
  <c r="T734" i="3"/>
  <c r="T733" i="3"/>
  <c r="T732" i="3"/>
  <c r="T731" i="3"/>
  <c r="T730" i="3"/>
  <c r="T729" i="3"/>
  <c r="T728" i="3"/>
  <c r="T727" i="3"/>
  <c r="T726" i="3"/>
  <c r="T725" i="3"/>
  <c r="T724" i="3"/>
  <c r="T723" i="3"/>
  <c r="T722" i="3"/>
  <c r="T721" i="3"/>
  <c r="T720" i="3"/>
  <c r="T719" i="3"/>
  <c r="T718" i="3"/>
  <c r="T717" i="3"/>
  <c r="T716" i="3"/>
  <c r="T715" i="3"/>
  <c r="T714" i="3"/>
  <c r="T713" i="3"/>
  <c r="T712" i="3"/>
  <c r="T711" i="3"/>
  <c r="T710" i="3"/>
  <c r="T709" i="3"/>
  <c r="T708" i="3"/>
  <c r="T707" i="3"/>
  <c r="T706" i="3"/>
  <c r="T705" i="3"/>
  <c r="T704" i="3"/>
  <c r="T703" i="3"/>
  <c r="T702" i="3"/>
  <c r="T701" i="3"/>
  <c r="T700" i="3"/>
  <c r="T699" i="3"/>
  <c r="T698" i="3"/>
  <c r="T697" i="3"/>
  <c r="T696" i="3"/>
  <c r="T695" i="3"/>
  <c r="T694" i="3"/>
  <c r="T693" i="3"/>
  <c r="T692" i="3"/>
  <c r="T691" i="3"/>
  <c r="T690" i="3"/>
  <c r="T689" i="3"/>
  <c r="T688" i="3"/>
  <c r="T687" i="3"/>
  <c r="T686" i="3"/>
  <c r="T685" i="3"/>
  <c r="T684" i="3"/>
  <c r="T683" i="3"/>
  <c r="T682" i="3"/>
  <c r="T681" i="3"/>
  <c r="T680" i="3"/>
  <c r="T679" i="3"/>
  <c r="T678" i="3"/>
  <c r="T677" i="3"/>
  <c r="T676" i="3"/>
  <c r="T675" i="3"/>
  <c r="T674" i="3"/>
  <c r="T673" i="3"/>
  <c r="T672" i="3"/>
  <c r="T671" i="3"/>
  <c r="T670" i="3"/>
  <c r="T669" i="3"/>
  <c r="T668" i="3"/>
  <c r="T667" i="3"/>
  <c r="T666" i="3"/>
  <c r="T665" i="3"/>
  <c r="T664" i="3"/>
  <c r="T663" i="3"/>
  <c r="T662" i="3"/>
  <c r="T661" i="3"/>
  <c r="T660" i="3"/>
  <c r="T659" i="3"/>
  <c r="T658" i="3"/>
  <c r="T657" i="3"/>
  <c r="T656" i="3"/>
  <c r="T655" i="3"/>
  <c r="T654" i="3"/>
  <c r="T653" i="3"/>
  <c r="T652" i="3"/>
  <c r="T651" i="3"/>
  <c r="T650" i="3"/>
  <c r="T649" i="3"/>
  <c r="T648" i="3"/>
  <c r="T647" i="3"/>
  <c r="T646" i="3"/>
  <c r="T645" i="3"/>
  <c r="T644" i="3"/>
  <c r="T643" i="3"/>
  <c r="T642" i="3"/>
  <c r="T641" i="3"/>
  <c r="T640" i="3"/>
  <c r="T639" i="3"/>
  <c r="T638" i="3"/>
  <c r="T637" i="3"/>
  <c r="T636" i="3"/>
  <c r="T635" i="3"/>
  <c r="T634" i="3"/>
  <c r="T633" i="3"/>
  <c r="T632" i="3"/>
  <c r="T631" i="3"/>
  <c r="T630" i="3"/>
  <c r="T629" i="3"/>
  <c r="T628" i="3"/>
  <c r="T627" i="3"/>
  <c r="T626" i="3"/>
  <c r="T625" i="3"/>
  <c r="T624" i="3"/>
  <c r="T623" i="3"/>
  <c r="T622" i="3"/>
  <c r="T621" i="3"/>
  <c r="T620" i="3"/>
  <c r="T619" i="3"/>
  <c r="T618" i="3"/>
  <c r="T617" i="3"/>
  <c r="T616" i="3"/>
  <c r="T615" i="3"/>
  <c r="T614" i="3"/>
  <c r="T613" i="3"/>
  <c r="T612" i="3"/>
  <c r="T611" i="3"/>
  <c r="T610" i="3"/>
  <c r="T609" i="3"/>
  <c r="T608" i="3"/>
  <c r="T607" i="3"/>
  <c r="T606" i="3"/>
  <c r="T605" i="3"/>
  <c r="T604" i="3"/>
  <c r="T603" i="3"/>
  <c r="T602" i="3"/>
  <c r="T601" i="3"/>
  <c r="T600" i="3"/>
  <c r="T599" i="3"/>
  <c r="T598" i="3"/>
  <c r="T597" i="3"/>
  <c r="T596" i="3"/>
  <c r="T595" i="3"/>
  <c r="T594" i="3"/>
  <c r="T593" i="3"/>
  <c r="T592" i="3"/>
  <c r="T591" i="3"/>
  <c r="T590" i="3"/>
  <c r="T589" i="3"/>
  <c r="T588" i="3"/>
  <c r="T587" i="3"/>
  <c r="T586" i="3"/>
  <c r="T585" i="3"/>
  <c r="T584" i="3"/>
  <c r="T583" i="3"/>
  <c r="T582" i="3"/>
  <c r="T581" i="3"/>
  <c r="T580" i="3"/>
  <c r="T579" i="3"/>
  <c r="T578" i="3"/>
  <c r="T577" i="3"/>
  <c r="T576" i="3"/>
  <c r="T575" i="3"/>
  <c r="T574" i="3"/>
  <c r="T573" i="3"/>
  <c r="T572" i="3"/>
  <c r="T571" i="3"/>
  <c r="T570" i="3"/>
  <c r="T569" i="3"/>
  <c r="T568" i="3"/>
  <c r="T567" i="3"/>
  <c r="T566" i="3"/>
  <c r="T565" i="3"/>
  <c r="T564" i="3"/>
  <c r="T563" i="3"/>
  <c r="T562" i="3"/>
  <c r="T561" i="3"/>
  <c r="T560" i="3"/>
  <c r="T559" i="3"/>
  <c r="T558" i="3"/>
  <c r="T557" i="3"/>
  <c r="T556" i="3"/>
  <c r="T555" i="3"/>
  <c r="T554" i="3"/>
  <c r="T553" i="3"/>
  <c r="T552" i="3"/>
  <c r="T551" i="3"/>
  <c r="T550" i="3"/>
  <c r="T549" i="3"/>
  <c r="T548" i="3"/>
  <c r="T547" i="3"/>
  <c r="T546" i="3"/>
  <c r="T545" i="3"/>
  <c r="T544" i="3"/>
  <c r="T543" i="3"/>
  <c r="T542" i="3"/>
  <c r="T541" i="3"/>
  <c r="T540" i="3"/>
  <c r="T539" i="3"/>
  <c r="T538" i="3"/>
  <c r="T537" i="3"/>
  <c r="T536" i="3"/>
  <c r="T535" i="3"/>
  <c r="T534" i="3"/>
  <c r="T533" i="3"/>
  <c r="T532" i="3"/>
  <c r="T531" i="3"/>
  <c r="T530" i="3"/>
  <c r="T529" i="3"/>
  <c r="T528" i="3"/>
  <c r="T527" i="3"/>
  <c r="T526" i="3"/>
  <c r="T525" i="3"/>
  <c r="T524" i="3"/>
  <c r="T523" i="3"/>
  <c r="T522" i="3"/>
  <c r="T521" i="3"/>
  <c r="T520" i="3"/>
  <c r="T519" i="3"/>
  <c r="T518" i="3"/>
  <c r="T517" i="3"/>
  <c r="T516" i="3"/>
  <c r="T515" i="3"/>
  <c r="T514" i="3"/>
  <c r="T513" i="3"/>
  <c r="T512" i="3"/>
  <c r="T511" i="3"/>
  <c r="T510" i="3"/>
  <c r="T509" i="3"/>
  <c r="T508" i="3"/>
  <c r="T507" i="3"/>
  <c r="T506" i="3"/>
  <c r="T505" i="3"/>
  <c r="T504" i="3"/>
  <c r="T503" i="3"/>
  <c r="T502" i="3"/>
  <c r="T501" i="3"/>
  <c r="T500" i="3"/>
  <c r="T499" i="3"/>
  <c r="T498" i="3"/>
  <c r="T497" i="3"/>
  <c r="T496" i="3"/>
  <c r="T495" i="3"/>
  <c r="T494" i="3"/>
  <c r="T493" i="3"/>
  <c r="T492" i="3"/>
  <c r="T491" i="3"/>
  <c r="T490" i="3"/>
  <c r="T489" i="3"/>
  <c r="T488" i="3"/>
  <c r="T487" i="3"/>
  <c r="T486" i="3"/>
  <c r="T485" i="3"/>
  <c r="T484" i="3"/>
  <c r="T483" i="3"/>
  <c r="T482" i="3"/>
  <c r="T481" i="3"/>
  <c r="T480" i="3"/>
  <c r="T479" i="3"/>
  <c r="T478" i="3"/>
  <c r="T477" i="3"/>
  <c r="T476" i="3"/>
  <c r="T475" i="3"/>
  <c r="T474" i="3"/>
  <c r="T473" i="3"/>
  <c r="T472" i="3"/>
  <c r="T471" i="3"/>
  <c r="T470" i="3"/>
  <c r="T469" i="3"/>
  <c r="T468" i="3"/>
  <c r="T467" i="3"/>
  <c r="T466" i="3"/>
  <c r="T465" i="3"/>
  <c r="T464" i="3"/>
  <c r="T463" i="3"/>
  <c r="T462" i="3"/>
  <c r="T461" i="3"/>
  <c r="T460" i="3"/>
  <c r="T459" i="3"/>
  <c r="T458" i="3"/>
  <c r="T457" i="3"/>
  <c r="T456" i="3"/>
  <c r="T455" i="3"/>
  <c r="T454" i="3"/>
  <c r="T453" i="3"/>
  <c r="T452" i="3"/>
  <c r="T451" i="3"/>
  <c r="T450" i="3"/>
  <c r="T449" i="3"/>
  <c r="T448" i="3"/>
  <c r="T447" i="3"/>
  <c r="T446" i="3"/>
  <c r="T445" i="3"/>
  <c r="T444" i="3"/>
  <c r="T443" i="3"/>
  <c r="T442" i="3"/>
  <c r="T441" i="3"/>
  <c r="T440" i="3"/>
  <c r="T439" i="3"/>
  <c r="T438" i="3"/>
  <c r="T437" i="3"/>
  <c r="T436" i="3"/>
  <c r="T435" i="3"/>
  <c r="T434" i="3"/>
  <c r="T433" i="3"/>
  <c r="T432" i="3"/>
  <c r="T431" i="3"/>
  <c r="T430" i="3"/>
  <c r="T429" i="3"/>
  <c r="T428" i="3"/>
  <c r="T427" i="3"/>
  <c r="T426" i="3"/>
  <c r="T425" i="3"/>
  <c r="T424" i="3"/>
  <c r="T423" i="3"/>
  <c r="T422" i="3"/>
  <c r="T421" i="3"/>
  <c r="T420" i="3"/>
  <c r="T419" i="3"/>
  <c r="T418" i="3"/>
  <c r="T417" i="3"/>
  <c r="T416" i="3"/>
  <c r="T415" i="3"/>
  <c r="T414" i="3"/>
  <c r="T413" i="3"/>
  <c r="T412" i="3"/>
  <c r="T411" i="3"/>
  <c r="T410" i="3"/>
  <c r="T409" i="3"/>
  <c r="T408" i="3"/>
  <c r="T407" i="3"/>
  <c r="T406" i="3"/>
  <c r="T405" i="3"/>
  <c r="T404" i="3"/>
  <c r="T403" i="3"/>
  <c r="T402" i="3"/>
  <c r="T401" i="3"/>
  <c r="T400" i="3"/>
  <c r="T399" i="3"/>
  <c r="T398" i="3"/>
  <c r="T397" i="3"/>
  <c r="T396" i="3"/>
  <c r="T395" i="3"/>
  <c r="T394" i="3"/>
  <c r="T393" i="3"/>
  <c r="T392" i="3"/>
  <c r="T391" i="3"/>
  <c r="T390" i="3"/>
  <c r="T389" i="3"/>
  <c r="T388" i="3"/>
  <c r="T387" i="3"/>
  <c r="T386" i="3"/>
  <c r="T385" i="3"/>
  <c r="T384" i="3"/>
  <c r="T383" i="3"/>
  <c r="T382" i="3"/>
  <c r="T381" i="3"/>
  <c r="T380" i="3"/>
  <c r="T379" i="3"/>
  <c r="T378" i="3"/>
  <c r="T377" i="3"/>
  <c r="T376" i="3"/>
  <c r="T375" i="3"/>
  <c r="T374" i="3"/>
  <c r="T373" i="3"/>
  <c r="T372" i="3"/>
  <c r="T371" i="3"/>
  <c r="T370" i="3"/>
  <c r="T369" i="3"/>
  <c r="T368" i="3"/>
  <c r="T367" i="3"/>
  <c r="T366" i="3"/>
  <c r="T365" i="3"/>
  <c r="T364" i="3"/>
  <c r="T363" i="3"/>
  <c r="T362" i="3"/>
  <c r="T361" i="3"/>
  <c r="T360" i="3"/>
  <c r="T359" i="3"/>
  <c r="T358" i="3"/>
  <c r="T357" i="3"/>
  <c r="T356" i="3"/>
  <c r="T355" i="3"/>
  <c r="T354" i="3"/>
  <c r="T353" i="3"/>
  <c r="T352" i="3"/>
  <c r="T351" i="3"/>
  <c r="T350" i="3"/>
  <c r="T349" i="3"/>
  <c r="T348" i="3"/>
  <c r="T347" i="3"/>
  <c r="T346" i="3"/>
  <c r="T345" i="3"/>
  <c r="T344" i="3"/>
  <c r="T343" i="3"/>
  <c r="T342" i="3"/>
  <c r="T341" i="3"/>
  <c r="T340" i="3"/>
  <c r="T339" i="3"/>
  <c r="T338" i="3"/>
  <c r="T337" i="3"/>
  <c r="T336" i="3"/>
  <c r="T335" i="3"/>
  <c r="T334" i="3"/>
  <c r="T333" i="3"/>
  <c r="T332" i="3"/>
  <c r="T331" i="3"/>
  <c r="T330" i="3"/>
  <c r="T329" i="3"/>
  <c r="T328" i="3"/>
  <c r="T327" i="3"/>
  <c r="T326" i="3"/>
  <c r="T325" i="3"/>
  <c r="T324" i="3"/>
  <c r="T323" i="3"/>
  <c r="T322" i="3"/>
  <c r="T321" i="3"/>
  <c r="T320" i="3"/>
  <c r="T319" i="3"/>
  <c r="T318" i="3"/>
  <c r="T317" i="3"/>
  <c r="T316" i="3"/>
  <c r="T315" i="3"/>
  <c r="T314" i="3"/>
  <c r="T313" i="3"/>
  <c r="T312" i="3"/>
  <c r="T311" i="3"/>
  <c r="T310" i="3"/>
  <c r="T309" i="3"/>
  <c r="T308" i="3"/>
  <c r="T307" i="3"/>
  <c r="T306" i="3"/>
  <c r="T305" i="3"/>
  <c r="T304" i="3"/>
  <c r="T303" i="3"/>
  <c r="T302" i="3"/>
  <c r="T301" i="3"/>
  <c r="T300" i="3"/>
  <c r="T299" i="3"/>
  <c r="T298" i="3"/>
  <c r="T297" i="3"/>
  <c r="T296" i="3"/>
  <c r="T295" i="3"/>
  <c r="T294" i="3"/>
  <c r="T293" i="3"/>
  <c r="T292" i="3"/>
  <c r="T291" i="3"/>
  <c r="T290" i="3"/>
  <c r="T289" i="3"/>
  <c r="T288" i="3"/>
  <c r="T287" i="3"/>
  <c r="T286" i="3"/>
  <c r="T285" i="3"/>
  <c r="T284" i="3"/>
  <c r="T283" i="3"/>
  <c r="T282" i="3"/>
  <c r="T281" i="3"/>
  <c r="T280" i="3"/>
  <c r="T279" i="3"/>
  <c r="T278" i="3"/>
  <c r="T277" i="3"/>
  <c r="T276" i="3"/>
  <c r="T275" i="3"/>
  <c r="T274" i="3"/>
  <c r="T273" i="3"/>
  <c r="T272" i="3"/>
  <c r="T271" i="3"/>
  <c r="T270" i="3"/>
  <c r="T269" i="3"/>
  <c r="T268" i="3"/>
  <c r="T267" i="3"/>
  <c r="T266" i="3"/>
  <c r="T265" i="3"/>
  <c r="T264" i="3"/>
  <c r="T263" i="3"/>
  <c r="T262" i="3"/>
  <c r="T261" i="3"/>
  <c r="T260" i="3"/>
  <c r="T259" i="3"/>
  <c r="T258" i="3"/>
  <c r="T257" i="3"/>
  <c r="T256" i="3"/>
  <c r="T255" i="3"/>
  <c r="T254" i="3"/>
  <c r="T253" i="3"/>
  <c r="T252" i="3"/>
  <c r="T251" i="3"/>
  <c r="T250" i="3"/>
  <c r="T249" i="3"/>
  <c r="T248" i="3"/>
  <c r="T247" i="3"/>
  <c r="T246" i="3"/>
  <c r="T245" i="3"/>
  <c r="T244" i="3"/>
  <c r="T243" i="3"/>
  <c r="T242" i="3"/>
  <c r="T241" i="3"/>
  <c r="T240" i="3"/>
  <c r="T239" i="3"/>
  <c r="T238" i="3"/>
  <c r="T237" i="3"/>
  <c r="T236" i="3"/>
  <c r="T235" i="3"/>
  <c r="T234" i="3"/>
  <c r="T233" i="3"/>
  <c r="T232" i="3"/>
  <c r="T231" i="3"/>
  <c r="T230" i="3"/>
  <c r="T229" i="3"/>
  <c r="T228" i="3"/>
  <c r="T227" i="3"/>
  <c r="T226" i="3"/>
  <c r="T225" i="3"/>
  <c r="T224" i="3"/>
  <c r="T223" i="3"/>
  <c r="T222" i="3"/>
  <c r="T221" i="3"/>
  <c r="T220" i="3"/>
  <c r="T219" i="3"/>
  <c r="T218" i="3"/>
  <c r="T217" i="3"/>
  <c r="T216" i="3"/>
  <c r="T215" i="3"/>
  <c r="T214" i="3"/>
  <c r="T213" i="3"/>
  <c r="T212" i="3"/>
  <c r="T211" i="3"/>
  <c r="T210" i="3"/>
  <c r="T209" i="3"/>
  <c r="T208" i="3"/>
  <c r="T207" i="3"/>
  <c r="T206" i="3"/>
  <c r="T205" i="3"/>
  <c r="T204" i="3"/>
  <c r="T203" i="3"/>
  <c r="T202" i="3"/>
  <c r="T201" i="3"/>
  <c r="T200" i="3"/>
  <c r="T199" i="3"/>
  <c r="T198" i="3"/>
  <c r="T197" i="3"/>
  <c r="T196" i="3"/>
  <c r="T195" i="3"/>
  <c r="T194" i="3"/>
  <c r="T193" i="3"/>
  <c r="T192" i="3"/>
  <c r="T191" i="3"/>
  <c r="T190" i="3"/>
  <c r="T189" i="3"/>
  <c r="T188" i="3"/>
  <c r="T187" i="3"/>
  <c r="T186" i="3"/>
  <c r="T185" i="3"/>
  <c r="T184" i="3"/>
  <c r="T183" i="3"/>
  <c r="T182" i="3"/>
  <c r="T181" i="3"/>
  <c r="T180" i="3"/>
  <c r="T179" i="3"/>
  <c r="T178" i="3"/>
  <c r="T177" i="3"/>
  <c r="T176" i="3"/>
  <c r="T175" i="3"/>
  <c r="T174" i="3"/>
  <c r="T173" i="3"/>
  <c r="T172" i="3"/>
  <c r="T171" i="3"/>
  <c r="T170" i="3"/>
  <c r="T169" i="3"/>
  <c r="T168" i="3"/>
  <c r="T167" i="3"/>
  <c r="T166" i="3"/>
  <c r="T165" i="3"/>
  <c r="T164" i="3"/>
  <c r="T163" i="3"/>
  <c r="T162" i="3"/>
  <c r="T161" i="3"/>
  <c r="T160" i="3"/>
  <c r="T159" i="3"/>
  <c r="T158" i="3"/>
  <c r="T157" i="3"/>
  <c r="T156" i="3"/>
  <c r="T155" i="3"/>
  <c r="T154" i="3"/>
  <c r="T153" i="3"/>
  <c r="T152" i="3"/>
  <c r="T151" i="3"/>
  <c r="T150" i="3"/>
  <c r="T149" i="3"/>
  <c r="T148" i="3"/>
  <c r="T147" i="3"/>
  <c r="T146" i="3"/>
  <c r="T145" i="3"/>
  <c r="T144" i="3"/>
  <c r="T143" i="3"/>
  <c r="T142" i="3"/>
  <c r="T141" i="3"/>
  <c r="T140" i="3"/>
  <c r="T139" i="3"/>
  <c r="T138" i="3"/>
  <c r="T137" i="3"/>
  <c r="T136" i="3"/>
  <c r="T135" i="3"/>
  <c r="T134" i="3"/>
  <c r="T133" i="3"/>
  <c r="T132" i="3"/>
  <c r="T131" i="3"/>
  <c r="T130" i="3"/>
  <c r="T129" i="3"/>
  <c r="T128" i="3"/>
  <c r="T127" i="3"/>
  <c r="T126" i="3"/>
  <c r="T125" i="3"/>
  <c r="T124" i="3"/>
  <c r="T123" i="3"/>
  <c r="T122" i="3"/>
  <c r="T121" i="3"/>
  <c r="T120" i="3"/>
  <c r="T119" i="3"/>
  <c r="T118" i="3"/>
  <c r="T117" i="3"/>
  <c r="T116" i="3"/>
  <c r="T115" i="3"/>
  <c r="T114" i="3"/>
  <c r="T113" i="3"/>
  <c r="T112" i="3"/>
  <c r="T111" i="3"/>
  <c r="T110" i="3"/>
  <c r="T109" i="3"/>
  <c r="T108" i="3"/>
  <c r="T107" i="3"/>
  <c r="T106" i="3"/>
  <c r="T105" i="3"/>
  <c r="T104" i="3"/>
  <c r="T103" i="3"/>
  <c r="T102" i="3"/>
  <c r="T101" i="3"/>
  <c r="T100" i="3"/>
  <c r="T99" i="3"/>
  <c r="T98" i="3"/>
  <c r="T97" i="3"/>
  <c r="T96" i="3"/>
  <c r="T95" i="3"/>
  <c r="T94" i="3"/>
  <c r="T93" i="3"/>
  <c r="T92" i="3"/>
  <c r="T91" i="3"/>
  <c r="T90" i="3"/>
  <c r="T89" i="3"/>
  <c r="T88" i="3"/>
  <c r="T87" i="3"/>
  <c r="T86" i="3"/>
  <c r="T85" i="3"/>
  <c r="T84" i="3"/>
  <c r="T83" i="3"/>
  <c r="T82" i="3"/>
  <c r="T81" i="3"/>
  <c r="T80" i="3"/>
  <c r="T79" i="3"/>
  <c r="T78" i="3"/>
  <c r="T77" i="3"/>
  <c r="T76" i="3"/>
  <c r="T75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T61" i="3"/>
  <c r="T60" i="3"/>
  <c r="T59" i="3"/>
  <c r="T58" i="3"/>
  <c r="T57" i="3"/>
  <c r="T56" i="3"/>
  <c r="T55" i="3"/>
  <c r="T54" i="3"/>
  <c r="T53" i="3"/>
  <c r="T52" i="3"/>
  <c r="T51" i="3"/>
  <c r="T50" i="3"/>
  <c r="T49" i="3"/>
  <c r="T48" i="3"/>
  <c r="T47" i="3"/>
  <c r="T46" i="3"/>
  <c r="T45" i="3"/>
  <c r="T44" i="3"/>
  <c r="T43" i="3"/>
  <c r="T42" i="3"/>
  <c r="T41" i="3"/>
  <c r="T40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2" i="3"/>
  <c r="T21" i="3"/>
  <c r="T20" i="3"/>
  <c r="T19" i="3"/>
  <c r="T18" i="3"/>
  <c r="T17" i="3"/>
  <c r="T16" i="3"/>
  <c r="T15" i="3"/>
  <c r="G69" i="17" l="1"/>
  <c r="D125" i="17"/>
  <c r="C125" i="17"/>
  <c r="H125" i="17" s="1"/>
  <c r="D124" i="17"/>
  <c r="C124" i="17"/>
  <c r="H124" i="17" s="1"/>
  <c r="D118" i="17"/>
  <c r="C118" i="17"/>
  <c r="H118" i="17" s="1"/>
  <c r="D117" i="17"/>
  <c r="C117" i="17"/>
  <c r="H117" i="17" s="1"/>
  <c r="D116" i="17"/>
  <c r="C116" i="17"/>
  <c r="H116" i="17" s="1"/>
  <c r="D115" i="17"/>
  <c r="C115" i="17"/>
  <c r="H115" i="17" s="1"/>
  <c r="D114" i="17"/>
  <c r="C114" i="17"/>
  <c r="H114" i="17" s="1"/>
  <c r="D110" i="17"/>
  <c r="C110" i="17"/>
  <c r="H110" i="17" s="1"/>
  <c r="D109" i="17"/>
  <c r="C109" i="17"/>
  <c r="H109" i="17" s="1"/>
  <c r="H108" i="17"/>
  <c r="D104" i="17"/>
  <c r="C104" i="17"/>
  <c r="H104" i="17" s="1"/>
  <c r="D103" i="17"/>
  <c r="C103" i="17"/>
  <c r="H103" i="17" s="1"/>
  <c r="D102" i="17"/>
  <c r="C102" i="17"/>
  <c r="H102" i="17" s="1"/>
  <c r="D101" i="17"/>
  <c r="C101" i="17"/>
  <c r="H101" i="17" s="1"/>
  <c r="D100" i="17"/>
  <c r="C100" i="17"/>
  <c r="H100" i="17" s="1"/>
  <c r="D96" i="17"/>
  <c r="C96" i="17"/>
  <c r="H96" i="17" s="1"/>
  <c r="D95" i="17"/>
  <c r="C95" i="17"/>
  <c r="H95" i="17" s="1"/>
  <c r="D94" i="17"/>
  <c r="C94" i="17"/>
  <c r="H94" i="17" s="1"/>
  <c r="D93" i="17"/>
  <c r="C93" i="17"/>
  <c r="H93" i="17" s="1"/>
  <c r="D92" i="17"/>
  <c r="C92" i="17"/>
  <c r="H92" i="17" s="1"/>
  <c r="D91" i="17"/>
  <c r="C91" i="17"/>
  <c r="H91" i="17" s="1"/>
  <c r="D87" i="17"/>
  <c r="C87" i="17"/>
  <c r="H87" i="17" s="1"/>
  <c r="D86" i="17"/>
  <c r="C86" i="17"/>
  <c r="H86" i="17" s="1"/>
  <c r="D85" i="17"/>
  <c r="C85" i="17"/>
  <c r="H85" i="17" s="1"/>
  <c r="D84" i="17"/>
  <c r="C84" i="17"/>
  <c r="H84" i="17" s="1"/>
  <c r="D83" i="17"/>
  <c r="C83" i="17"/>
  <c r="H83" i="17" s="1"/>
  <c r="D82" i="17"/>
  <c r="C82" i="17"/>
  <c r="H82" i="17" s="1"/>
  <c r="D81" i="17"/>
  <c r="C81" i="17"/>
  <c r="H81" i="17" s="1"/>
  <c r="D76" i="17"/>
  <c r="C76" i="17"/>
  <c r="H76" i="17" s="1"/>
  <c r="D75" i="17"/>
  <c r="C75" i="17"/>
  <c r="H75" i="17" s="1"/>
  <c r="D74" i="17"/>
  <c r="C74" i="17"/>
  <c r="H74" i="17" s="1"/>
  <c r="D73" i="17"/>
  <c r="C73" i="17"/>
  <c r="H73" i="17" s="1"/>
  <c r="D72" i="17"/>
  <c r="C72" i="17"/>
  <c r="H72" i="17" s="1"/>
  <c r="D68" i="17"/>
  <c r="C68" i="17"/>
  <c r="H68" i="17" s="1"/>
  <c r="D67" i="17"/>
  <c r="C67" i="17"/>
  <c r="H67" i="17" s="1"/>
  <c r="D66" i="17"/>
  <c r="C66" i="17"/>
  <c r="H66" i="17" s="1"/>
  <c r="D60" i="17"/>
  <c r="C60" i="17"/>
  <c r="H60" i="17" s="1"/>
  <c r="D59" i="17"/>
  <c r="C59" i="17"/>
  <c r="H59" i="17" s="1"/>
  <c r="D58" i="17"/>
  <c r="C58" i="17"/>
  <c r="H58" i="17" s="1"/>
  <c r="D57" i="17"/>
  <c r="C57" i="17"/>
  <c r="H57" i="17" s="1"/>
  <c r="D56" i="17"/>
  <c r="C56" i="17"/>
  <c r="H56" i="17" s="1"/>
  <c r="D55" i="17"/>
  <c r="C55" i="17"/>
  <c r="H55" i="17" s="1"/>
  <c r="D54" i="17"/>
  <c r="C54" i="17"/>
  <c r="H54" i="17" s="1"/>
  <c r="D50" i="17"/>
  <c r="C50" i="17"/>
  <c r="H50" i="17" s="1"/>
  <c r="D49" i="17"/>
  <c r="C49" i="17"/>
  <c r="H49" i="17" s="1"/>
  <c r="D48" i="17"/>
  <c r="C48" i="17"/>
  <c r="H48" i="17" s="1"/>
  <c r="D47" i="17"/>
  <c r="C47" i="17"/>
  <c r="H47" i="17" s="1"/>
  <c r="D46" i="17"/>
  <c r="C46" i="17"/>
  <c r="H46" i="17" s="1"/>
  <c r="D45" i="17"/>
  <c r="C45" i="17"/>
  <c r="H45" i="17" s="1"/>
  <c r="D41" i="17"/>
  <c r="C41" i="17"/>
  <c r="H41" i="17" s="1"/>
  <c r="D40" i="17"/>
  <c r="C40" i="17"/>
  <c r="H40" i="17" s="1"/>
  <c r="D39" i="17"/>
  <c r="C39" i="17"/>
  <c r="H39" i="17" s="1"/>
  <c r="D38" i="17"/>
  <c r="C38" i="17"/>
  <c r="H38" i="17" s="1"/>
  <c r="D37" i="17"/>
  <c r="C37" i="17"/>
  <c r="H37" i="17" s="1"/>
  <c r="D33" i="17"/>
  <c r="C33" i="17"/>
  <c r="H33" i="17" s="1"/>
  <c r="D32" i="17"/>
  <c r="C32" i="17"/>
  <c r="H32" i="17" s="1"/>
  <c r="D31" i="17"/>
  <c r="C31" i="17"/>
  <c r="H31" i="17" s="1"/>
  <c r="D30" i="17"/>
  <c r="C30" i="17"/>
  <c r="H30" i="17" s="1"/>
  <c r="D29" i="17"/>
  <c r="C29" i="17"/>
  <c r="H29" i="17" s="1"/>
  <c r="D28" i="17"/>
  <c r="C28" i="17"/>
  <c r="H28" i="17" s="1"/>
  <c r="D27" i="17"/>
  <c r="C27" i="17"/>
  <c r="H27" i="17" s="1"/>
  <c r="D18" i="17"/>
  <c r="C18" i="17"/>
  <c r="H18" i="17" s="1"/>
  <c r="G126" i="17"/>
  <c r="G111" i="17"/>
  <c r="F126" i="17"/>
  <c r="F77" i="17" l="1"/>
  <c r="G105" i="17"/>
  <c r="G119" i="17"/>
  <c r="F105" i="17"/>
  <c r="F119" i="17"/>
  <c r="F88" i="17"/>
  <c r="F97" i="17"/>
  <c r="G77" i="17"/>
  <c r="F51" i="17"/>
  <c r="G97" i="17"/>
  <c r="F69" i="17"/>
  <c r="G61" i="17"/>
  <c r="G88" i="17"/>
  <c r="G51" i="17"/>
  <c r="G42" i="17"/>
  <c r="F61" i="17"/>
  <c r="F111" i="17"/>
  <c r="F42" i="17"/>
  <c r="P10000" i="3"/>
  <c r="O10000" i="3"/>
  <c r="P9999" i="3"/>
  <c r="O9999" i="3"/>
  <c r="P9998" i="3"/>
  <c r="O9998" i="3"/>
  <c r="P9997" i="3"/>
  <c r="O9997" i="3"/>
  <c r="P9996" i="3"/>
  <c r="O9996" i="3"/>
  <c r="P9995" i="3"/>
  <c r="O9995" i="3"/>
  <c r="P9994" i="3"/>
  <c r="O9994" i="3"/>
  <c r="P9993" i="3"/>
  <c r="O9993" i="3"/>
  <c r="P9992" i="3"/>
  <c r="O9992" i="3"/>
  <c r="P9991" i="3"/>
  <c r="O9991" i="3"/>
  <c r="P9990" i="3"/>
  <c r="O9990" i="3"/>
  <c r="P9989" i="3"/>
  <c r="O9989" i="3"/>
  <c r="P9988" i="3"/>
  <c r="O9988" i="3"/>
  <c r="P9987" i="3"/>
  <c r="O9987" i="3"/>
  <c r="P9986" i="3"/>
  <c r="O9986" i="3"/>
  <c r="P9985" i="3"/>
  <c r="O9985" i="3"/>
  <c r="P9984" i="3"/>
  <c r="O9984" i="3"/>
  <c r="P9983" i="3"/>
  <c r="O9983" i="3"/>
  <c r="P9982" i="3"/>
  <c r="O9982" i="3"/>
  <c r="P9981" i="3"/>
  <c r="O9981" i="3"/>
  <c r="P9980" i="3"/>
  <c r="O9980" i="3"/>
  <c r="P9979" i="3"/>
  <c r="O9979" i="3"/>
  <c r="P9978" i="3"/>
  <c r="O9978" i="3"/>
  <c r="P9977" i="3"/>
  <c r="O9977" i="3"/>
  <c r="P9976" i="3"/>
  <c r="O9976" i="3"/>
  <c r="P9975" i="3"/>
  <c r="O9975" i="3"/>
  <c r="P9974" i="3"/>
  <c r="O9974" i="3"/>
  <c r="P9973" i="3"/>
  <c r="O9973" i="3"/>
  <c r="P9972" i="3"/>
  <c r="O9972" i="3"/>
  <c r="P9971" i="3"/>
  <c r="O9971" i="3"/>
  <c r="P9970" i="3"/>
  <c r="O9970" i="3"/>
  <c r="P9969" i="3"/>
  <c r="O9969" i="3"/>
  <c r="P9968" i="3"/>
  <c r="O9968" i="3"/>
  <c r="P9967" i="3"/>
  <c r="O9967" i="3"/>
  <c r="P9966" i="3"/>
  <c r="O9966" i="3"/>
  <c r="P9965" i="3"/>
  <c r="O9965" i="3"/>
  <c r="P9964" i="3"/>
  <c r="O9964" i="3"/>
  <c r="P9963" i="3"/>
  <c r="O9963" i="3"/>
  <c r="P9962" i="3"/>
  <c r="O9962" i="3"/>
  <c r="P9961" i="3"/>
  <c r="O9961" i="3"/>
  <c r="P9960" i="3"/>
  <c r="O9960" i="3"/>
  <c r="P9959" i="3"/>
  <c r="O9959" i="3"/>
  <c r="P9958" i="3"/>
  <c r="O9958" i="3"/>
  <c r="P9957" i="3"/>
  <c r="O9957" i="3"/>
  <c r="P9956" i="3"/>
  <c r="O9956" i="3"/>
  <c r="P9955" i="3"/>
  <c r="O9955" i="3"/>
  <c r="P9954" i="3"/>
  <c r="O9954" i="3"/>
  <c r="P9953" i="3"/>
  <c r="O9953" i="3"/>
  <c r="P9952" i="3"/>
  <c r="O9952" i="3"/>
  <c r="P9951" i="3"/>
  <c r="O9951" i="3"/>
  <c r="P9950" i="3"/>
  <c r="O9950" i="3"/>
  <c r="P9949" i="3"/>
  <c r="O9949" i="3"/>
  <c r="P9948" i="3"/>
  <c r="O9948" i="3"/>
  <c r="P9947" i="3"/>
  <c r="O9947" i="3"/>
  <c r="P9946" i="3"/>
  <c r="O9946" i="3"/>
  <c r="P9945" i="3"/>
  <c r="O9945" i="3"/>
  <c r="P9944" i="3"/>
  <c r="O9944" i="3"/>
  <c r="P9943" i="3"/>
  <c r="O9943" i="3"/>
  <c r="P9942" i="3"/>
  <c r="O9942" i="3"/>
  <c r="P9941" i="3"/>
  <c r="O9941" i="3"/>
  <c r="P9940" i="3"/>
  <c r="O9940" i="3"/>
  <c r="P9939" i="3"/>
  <c r="O9939" i="3"/>
  <c r="P9938" i="3"/>
  <c r="O9938" i="3"/>
  <c r="P9937" i="3"/>
  <c r="O9937" i="3"/>
  <c r="P9936" i="3"/>
  <c r="O9936" i="3"/>
  <c r="P9935" i="3"/>
  <c r="O9935" i="3"/>
  <c r="P9934" i="3"/>
  <c r="O9934" i="3"/>
  <c r="P9933" i="3"/>
  <c r="O9933" i="3"/>
  <c r="P9932" i="3"/>
  <c r="O9932" i="3"/>
  <c r="P9931" i="3"/>
  <c r="O9931" i="3"/>
  <c r="P9930" i="3"/>
  <c r="O9930" i="3"/>
  <c r="P9929" i="3"/>
  <c r="O9929" i="3"/>
  <c r="P9928" i="3"/>
  <c r="O9928" i="3"/>
  <c r="P9927" i="3"/>
  <c r="O9927" i="3"/>
  <c r="P9926" i="3"/>
  <c r="O9926" i="3"/>
  <c r="P9925" i="3"/>
  <c r="O9925" i="3"/>
  <c r="P9924" i="3"/>
  <c r="O9924" i="3"/>
  <c r="P9923" i="3"/>
  <c r="O9923" i="3"/>
  <c r="P9922" i="3"/>
  <c r="O9922" i="3"/>
  <c r="P9921" i="3"/>
  <c r="O9921" i="3"/>
  <c r="P9920" i="3"/>
  <c r="O9920" i="3"/>
  <c r="P9919" i="3"/>
  <c r="O9919" i="3"/>
  <c r="P9918" i="3"/>
  <c r="O9918" i="3"/>
  <c r="P9917" i="3"/>
  <c r="O9917" i="3"/>
  <c r="P9916" i="3"/>
  <c r="O9916" i="3"/>
  <c r="P9915" i="3"/>
  <c r="O9915" i="3"/>
  <c r="P9914" i="3"/>
  <c r="O9914" i="3"/>
  <c r="P9913" i="3"/>
  <c r="O9913" i="3"/>
  <c r="P9912" i="3"/>
  <c r="O9912" i="3"/>
  <c r="P9911" i="3"/>
  <c r="O9911" i="3"/>
  <c r="P9910" i="3"/>
  <c r="O9910" i="3"/>
  <c r="P9909" i="3"/>
  <c r="O9909" i="3"/>
  <c r="P9908" i="3"/>
  <c r="O9908" i="3"/>
  <c r="P9907" i="3"/>
  <c r="O9907" i="3"/>
  <c r="P9906" i="3"/>
  <c r="O9906" i="3"/>
  <c r="P9905" i="3"/>
  <c r="O9905" i="3"/>
  <c r="P9904" i="3"/>
  <c r="O9904" i="3"/>
  <c r="P9903" i="3"/>
  <c r="O9903" i="3"/>
  <c r="P9902" i="3"/>
  <c r="O9902" i="3"/>
  <c r="P9901" i="3"/>
  <c r="O9901" i="3"/>
  <c r="P9900" i="3"/>
  <c r="O9900" i="3"/>
  <c r="P9899" i="3"/>
  <c r="O9899" i="3"/>
  <c r="P9898" i="3"/>
  <c r="O9898" i="3"/>
  <c r="P9897" i="3"/>
  <c r="O9897" i="3"/>
  <c r="P9896" i="3"/>
  <c r="O9896" i="3"/>
  <c r="P9895" i="3"/>
  <c r="O9895" i="3"/>
  <c r="P9894" i="3"/>
  <c r="O9894" i="3"/>
  <c r="P9893" i="3"/>
  <c r="O9893" i="3"/>
  <c r="P9892" i="3"/>
  <c r="O9892" i="3"/>
  <c r="P9891" i="3"/>
  <c r="O9891" i="3"/>
  <c r="P9890" i="3"/>
  <c r="O9890" i="3"/>
  <c r="P9889" i="3"/>
  <c r="O9889" i="3"/>
  <c r="P9888" i="3"/>
  <c r="O9888" i="3"/>
  <c r="P9887" i="3"/>
  <c r="O9887" i="3"/>
  <c r="P9886" i="3"/>
  <c r="O9886" i="3"/>
  <c r="P9885" i="3"/>
  <c r="O9885" i="3"/>
  <c r="P9884" i="3"/>
  <c r="O9884" i="3"/>
  <c r="P9883" i="3"/>
  <c r="O9883" i="3"/>
  <c r="P9882" i="3"/>
  <c r="O9882" i="3"/>
  <c r="P9881" i="3"/>
  <c r="O9881" i="3"/>
  <c r="P9880" i="3"/>
  <c r="O9880" i="3"/>
  <c r="P9879" i="3"/>
  <c r="O9879" i="3"/>
  <c r="P9878" i="3"/>
  <c r="O9878" i="3"/>
  <c r="P9877" i="3"/>
  <c r="O9877" i="3"/>
  <c r="P9876" i="3"/>
  <c r="O9876" i="3"/>
  <c r="P9875" i="3"/>
  <c r="O9875" i="3"/>
  <c r="P9874" i="3"/>
  <c r="O9874" i="3"/>
  <c r="P9873" i="3"/>
  <c r="O9873" i="3"/>
  <c r="P9872" i="3"/>
  <c r="O9872" i="3"/>
  <c r="P9871" i="3"/>
  <c r="O9871" i="3"/>
  <c r="P9870" i="3"/>
  <c r="O9870" i="3"/>
  <c r="P9869" i="3"/>
  <c r="O9869" i="3"/>
  <c r="P9868" i="3"/>
  <c r="O9868" i="3"/>
  <c r="P9867" i="3"/>
  <c r="O9867" i="3"/>
  <c r="P9866" i="3"/>
  <c r="O9866" i="3"/>
  <c r="P9865" i="3"/>
  <c r="O9865" i="3"/>
  <c r="P9864" i="3"/>
  <c r="O9864" i="3"/>
  <c r="P9863" i="3"/>
  <c r="O9863" i="3"/>
  <c r="P9862" i="3"/>
  <c r="O9862" i="3"/>
  <c r="P9861" i="3"/>
  <c r="O9861" i="3"/>
  <c r="P9860" i="3"/>
  <c r="O9860" i="3"/>
  <c r="P9859" i="3"/>
  <c r="O9859" i="3"/>
  <c r="P9858" i="3"/>
  <c r="O9858" i="3"/>
  <c r="P9857" i="3"/>
  <c r="O9857" i="3"/>
  <c r="P9856" i="3"/>
  <c r="O9856" i="3"/>
  <c r="P9855" i="3"/>
  <c r="O9855" i="3"/>
  <c r="P9854" i="3"/>
  <c r="O9854" i="3"/>
  <c r="P9853" i="3"/>
  <c r="O9853" i="3"/>
  <c r="P9852" i="3"/>
  <c r="O9852" i="3"/>
  <c r="P9851" i="3"/>
  <c r="O9851" i="3"/>
  <c r="P9850" i="3"/>
  <c r="O9850" i="3"/>
  <c r="P9849" i="3"/>
  <c r="O9849" i="3"/>
  <c r="P9848" i="3"/>
  <c r="O9848" i="3"/>
  <c r="P9847" i="3"/>
  <c r="O9847" i="3"/>
  <c r="P9846" i="3"/>
  <c r="O9846" i="3"/>
  <c r="P9845" i="3"/>
  <c r="O9845" i="3"/>
  <c r="P9844" i="3"/>
  <c r="O9844" i="3"/>
  <c r="P9843" i="3"/>
  <c r="O9843" i="3"/>
  <c r="P9842" i="3"/>
  <c r="O9842" i="3"/>
  <c r="P9841" i="3"/>
  <c r="O9841" i="3"/>
  <c r="P9840" i="3"/>
  <c r="O9840" i="3"/>
  <c r="P9839" i="3"/>
  <c r="O9839" i="3"/>
  <c r="P9838" i="3"/>
  <c r="O9838" i="3"/>
  <c r="P9837" i="3"/>
  <c r="O9837" i="3"/>
  <c r="P9836" i="3"/>
  <c r="O9836" i="3"/>
  <c r="P9835" i="3"/>
  <c r="O9835" i="3"/>
  <c r="P9834" i="3"/>
  <c r="O9834" i="3"/>
  <c r="P9833" i="3"/>
  <c r="O9833" i="3"/>
  <c r="P9832" i="3"/>
  <c r="O9832" i="3"/>
  <c r="P9831" i="3"/>
  <c r="O9831" i="3"/>
  <c r="P9830" i="3"/>
  <c r="O9830" i="3"/>
  <c r="P9829" i="3"/>
  <c r="O9829" i="3"/>
  <c r="P9828" i="3"/>
  <c r="O9828" i="3"/>
  <c r="P9827" i="3"/>
  <c r="O9827" i="3"/>
  <c r="P9826" i="3"/>
  <c r="O9826" i="3"/>
  <c r="P9825" i="3"/>
  <c r="O9825" i="3"/>
  <c r="P9824" i="3"/>
  <c r="O9824" i="3"/>
  <c r="P9823" i="3"/>
  <c r="O9823" i="3"/>
  <c r="P9822" i="3"/>
  <c r="O9822" i="3"/>
  <c r="P9821" i="3"/>
  <c r="O9821" i="3"/>
  <c r="P9820" i="3"/>
  <c r="O9820" i="3"/>
  <c r="P9819" i="3"/>
  <c r="O9819" i="3"/>
  <c r="P9818" i="3"/>
  <c r="O9818" i="3"/>
  <c r="P9817" i="3"/>
  <c r="O9817" i="3"/>
  <c r="P9816" i="3"/>
  <c r="O9816" i="3"/>
  <c r="P9815" i="3"/>
  <c r="O9815" i="3"/>
  <c r="P9814" i="3"/>
  <c r="O9814" i="3"/>
  <c r="P9813" i="3"/>
  <c r="O9813" i="3"/>
  <c r="P9812" i="3"/>
  <c r="O9812" i="3"/>
  <c r="P9811" i="3"/>
  <c r="O9811" i="3"/>
  <c r="P9810" i="3"/>
  <c r="O9810" i="3"/>
  <c r="P9809" i="3"/>
  <c r="O9809" i="3"/>
  <c r="P9808" i="3"/>
  <c r="O9808" i="3"/>
  <c r="P9807" i="3"/>
  <c r="O9807" i="3"/>
  <c r="P9806" i="3"/>
  <c r="O9806" i="3"/>
  <c r="P9805" i="3"/>
  <c r="O9805" i="3"/>
  <c r="P9804" i="3"/>
  <c r="O9804" i="3"/>
  <c r="P9803" i="3"/>
  <c r="O9803" i="3"/>
  <c r="P9802" i="3"/>
  <c r="O9802" i="3"/>
  <c r="P9801" i="3"/>
  <c r="O9801" i="3"/>
  <c r="P9800" i="3"/>
  <c r="O9800" i="3"/>
  <c r="P9799" i="3"/>
  <c r="O9799" i="3"/>
  <c r="P9798" i="3"/>
  <c r="O9798" i="3"/>
  <c r="P9797" i="3"/>
  <c r="O9797" i="3"/>
  <c r="P9796" i="3"/>
  <c r="O9796" i="3"/>
  <c r="P9795" i="3"/>
  <c r="O9795" i="3"/>
  <c r="P9794" i="3"/>
  <c r="O9794" i="3"/>
  <c r="P9793" i="3"/>
  <c r="O9793" i="3"/>
  <c r="P9792" i="3"/>
  <c r="O9792" i="3"/>
  <c r="P9791" i="3"/>
  <c r="O9791" i="3"/>
  <c r="P9790" i="3"/>
  <c r="O9790" i="3"/>
  <c r="P9789" i="3"/>
  <c r="O9789" i="3"/>
  <c r="P9788" i="3"/>
  <c r="O9788" i="3"/>
  <c r="P9787" i="3"/>
  <c r="O9787" i="3"/>
  <c r="P9786" i="3"/>
  <c r="O9786" i="3"/>
  <c r="P9785" i="3"/>
  <c r="O9785" i="3"/>
  <c r="P9784" i="3"/>
  <c r="O9784" i="3"/>
  <c r="P9783" i="3"/>
  <c r="O9783" i="3"/>
  <c r="P9782" i="3"/>
  <c r="O9782" i="3"/>
  <c r="P9781" i="3"/>
  <c r="O9781" i="3"/>
  <c r="P9780" i="3"/>
  <c r="O9780" i="3"/>
  <c r="P9779" i="3"/>
  <c r="O9779" i="3"/>
  <c r="P9778" i="3"/>
  <c r="O9778" i="3"/>
  <c r="P9777" i="3"/>
  <c r="O9777" i="3"/>
  <c r="P9776" i="3"/>
  <c r="O9776" i="3"/>
  <c r="P9775" i="3"/>
  <c r="O9775" i="3"/>
  <c r="P9774" i="3"/>
  <c r="O9774" i="3"/>
  <c r="P9773" i="3"/>
  <c r="O9773" i="3"/>
  <c r="P9772" i="3"/>
  <c r="O9772" i="3"/>
  <c r="P9771" i="3"/>
  <c r="O9771" i="3"/>
  <c r="P9770" i="3"/>
  <c r="O9770" i="3"/>
  <c r="P9769" i="3"/>
  <c r="O9769" i="3"/>
  <c r="P9768" i="3"/>
  <c r="O9768" i="3"/>
  <c r="P9767" i="3"/>
  <c r="O9767" i="3"/>
  <c r="P9766" i="3"/>
  <c r="O9766" i="3"/>
  <c r="P9765" i="3"/>
  <c r="O9765" i="3"/>
  <c r="P9764" i="3"/>
  <c r="O9764" i="3"/>
  <c r="P9763" i="3"/>
  <c r="O9763" i="3"/>
  <c r="P9762" i="3"/>
  <c r="O9762" i="3"/>
  <c r="P9761" i="3"/>
  <c r="O9761" i="3"/>
  <c r="P9760" i="3"/>
  <c r="O9760" i="3"/>
  <c r="P9759" i="3"/>
  <c r="O9759" i="3"/>
  <c r="P9758" i="3"/>
  <c r="O9758" i="3"/>
  <c r="P9757" i="3"/>
  <c r="O9757" i="3"/>
  <c r="P9756" i="3"/>
  <c r="O9756" i="3"/>
  <c r="P9755" i="3"/>
  <c r="O9755" i="3"/>
  <c r="P9754" i="3"/>
  <c r="O9754" i="3"/>
  <c r="P9753" i="3"/>
  <c r="O9753" i="3"/>
  <c r="P9752" i="3"/>
  <c r="O9752" i="3"/>
  <c r="P9751" i="3"/>
  <c r="O9751" i="3"/>
  <c r="P9750" i="3"/>
  <c r="O9750" i="3"/>
  <c r="P9749" i="3"/>
  <c r="O9749" i="3"/>
  <c r="P9748" i="3"/>
  <c r="O9748" i="3"/>
  <c r="P9747" i="3"/>
  <c r="O9747" i="3"/>
  <c r="P9746" i="3"/>
  <c r="O9746" i="3"/>
  <c r="P9745" i="3"/>
  <c r="O9745" i="3"/>
  <c r="P9744" i="3"/>
  <c r="O9744" i="3"/>
  <c r="P9743" i="3"/>
  <c r="O9743" i="3"/>
  <c r="P9742" i="3"/>
  <c r="O9742" i="3"/>
  <c r="P9741" i="3"/>
  <c r="O9741" i="3"/>
  <c r="P9740" i="3"/>
  <c r="O9740" i="3"/>
  <c r="P9739" i="3"/>
  <c r="O9739" i="3"/>
  <c r="P9738" i="3"/>
  <c r="O9738" i="3"/>
  <c r="P9737" i="3"/>
  <c r="O9737" i="3"/>
  <c r="P9736" i="3"/>
  <c r="O9736" i="3"/>
  <c r="P9735" i="3"/>
  <c r="O9735" i="3"/>
  <c r="P9734" i="3"/>
  <c r="O9734" i="3"/>
  <c r="P9733" i="3"/>
  <c r="O9733" i="3"/>
  <c r="P9732" i="3"/>
  <c r="O9732" i="3"/>
  <c r="P9731" i="3"/>
  <c r="O9731" i="3"/>
  <c r="P9730" i="3"/>
  <c r="O9730" i="3"/>
  <c r="P9729" i="3"/>
  <c r="O9729" i="3"/>
  <c r="P9728" i="3"/>
  <c r="O9728" i="3"/>
  <c r="P9727" i="3"/>
  <c r="O9727" i="3"/>
  <c r="P9726" i="3"/>
  <c r="O9726" i="3"/>
  <c r="P9725" i="3"/>
  <c r="O9725" i="3"/>
  <c r="P9724" i="3"/>
  <c r="O9724" i="3"/>
  <c r="P9723" i="3"/>
  <c r="O9723" i="3"/>
  <c r="P9722" i="3"/>
  <c r="O9722" i="3"/>
  <c r="P9721" i="3"/>
  <c r="O9721" i="3"/>
  <c r="P9720" i="3"/>
  <c r="O9720" i="3"/>
  <c r="P9719" i="3"/>
  <c r="O9719" i="3"/>
  <c r="P9718" i="3"/>
  <c r="O9718" i="3"/>
  <c r="P9717" i="3"/>
  <c r="O9717" i="3"/>
  <c r="P9716" i="3"/>
  <c r="O9716" i="3"/>
  <c r="P9715" i="3"/>
  <c r="O9715" i="3"/>
  <c r="P9714" i="3"/>
  <c r="O9714" i="3"/>
  <c r="P9713" i="3"/>
  <c r="O9713" i="3"/>
  <c r="P9712" i="3"/>
  <c r="O9712" i="3"/>
  <c r="P9711" i="3"/>
  <c r="O9711" i="3"/>
  <c r="P9710" i="3"/>
  <c r="O9710" i="3"/>
  <c r="P9709" i="3"/>
  <c r="O9709" i="3"/>
  <c r="P9708" i="3"/>
  <c r="O9708" i="3"/>
  <c r="P9707" i="3"/>
  <c r="O9707" i="3"/>
  <c r="P9706" i="3"/>
  <c r="O9706" i="3"/>
  <c r="P9705" i="3"/>
  <c r="O9705" i="3"/>
  <c r="P9704" i="3"/>
  <c r="O9704" i="3"/>
  <c r="P9703" i="3"/>
  <c r="O9703" i="3"/>
  <c r="P9702" i="3"/>
  <c r="O9702" i="3"/>
  <c r="P9701" i="3"/>
  <c r="O9701" i="3"/>
  <c r="P9700" i="3"/>
  <c r="O9700" i="3"/>
  <c r="P9699" i="3"/>
  <c r="O9699" i="3"/>
  <c r="P9698" i="3"/>
  <c r="O9698" i="3"/>
  <c r="P9697" i="3"/>
  <c r="O9697" i="3"/>
  <c r="P9696" i="3"/>
  <c r="O9696" i="3"/>
  <c r="P9695" i="3"/>
  <c r="O9695" i="3"/>
  <c r="P9694" i="3"/>
  <c r="O9694" i="3"/>
  <c r="P9693" i="3"/>
  <c r="O9693" i="3"/>
  <c r="P9692" i="3"/>
  <c r="O9692" i="3"/>
  <c r="P9691" i="3"/>
  <c r="O9691" i="3"/>
  <c r="P9690" i="3"/>
  <c r="O9690" i="3"/>
  <c r="P9689" i="3"/>
  <c r="O9689" i="3"/>
  <c r="P9688" i="3"/>
  <c r="O9688" i="3"/>
  <c r="P9687" i="3"/>
  <c r="O9687" i="3"/>
  <c r="P9686" i="3"/>
  <c r="O9686" i="3"/>
  <c r="P9685" i="3"/>
  <c r="O9685" i="3"/>
  <c r="P9684" i="3"/>
  <c r="O9684" i="3"/>
  <c r="P9683" i="3"/>
  <c r="O9683" i="3"/>
  <c r="P9682" i="3"/>
  <c r="O9682" i="3"/>
  <c r="P9681" i="3"/>
  <c r="O9681" i="3"/>
  <c r="P9680" i="3"/>
  <c r="O9680" i="3"/>
  <c r="P9679" i="3"/>
  <c r="O9679" i="3"/>
  <c r="P9678" i="3"/>
  <c r="O9678" i="3"/>
  <c r="P9677" i="3"/>
  <c r="O9677" i="3"/>
  <c r="P9676" i="3"/>
  <c r="O9676" i="3"/>
  <c r="P9675" i="3"/>
  <c r="O9675" i="3"/>
  <c r="P9674" i="3"/>
  <c r="O9674" i="3"/>
  <c r="P9673" i="3"/>
  <c r="O9673" i="3"/>
  <c r="P9672" i="3"/>
  <c r="O9672" i="3"/>
  <c r="P9671" i="3"/>
  <c r="O9671" i="3"/>
  <c r="P9670" i="3"/>
  <c r="O9670" i="3"/>
  <c r="P9669" i="3"/>
  <c r="O9669" i="3"/>
  <c r="P9668" i="3"/>
  <c r="O9668" i="3"/>
  <c r="P9667" i="3"/>
  <c r="O9667" i="3"/>
  <c r="P9666" i="3"/>
  <c r="O9666" i="3"/>
  <c r="P9665" i="3"/>
  <c r="O9665" i="3"/>
  <c r="P9664" i="3"/>
  <c r="O9664" i="3"/>
  <c r="P9663" i="3"/>
  <c r="O9663" i="3"/>
  <c r="P9662" i="3"/>
  <c r="O9662" i="3"/>
  <c r="P9661" i="3"/>
  <c r="O9661" i="3"/>
  <c r="P9660" i="3"/>
  <c r="O9660" i="3"/>
  <c r="P9659" i="3"/>
  <c r="O9659" i="3"/>
  <c r="P9658" i="3"/>
  <c r="O9658" i="3"/>
  <c r="P9657" i="3"/>
  <c r="O9657" i="3"/>
  <c r="P9656" i="3"/>
  <c r="O9656" i="3"/>
  <c r="P9655" i="3"/>
  <c r="O9655" i="3"/>
  <c r="P9654" i="3"/>
  <c r="O9654" i="3"/>
  <c r="P9653" i="3"/>
  <c r="O9653" i="3"/>
  <c r="P9652" i="3"/>
  <c r="O9652" i="3"/>
  <c r="P9651" i="3"/>
  <c r="O9651" i="3"/>
  <c r="P9650" i="3"/>
  <c r="O9650" i="3"/>
  <c r="P9649" i="3"/>
  <c r="O9649" i="3"/>
  <c r="P9648" i="3"/>
  <c r="O9648" i="3"/>
  <c r="P9647" i="3"/>
  <c r="O9647" i="3"/>
  <c r="P9646" i="3"/>
  <c r="O9646" i="3"/>
  <c r="P9645" i="3"/>
  <c r="O9645" i="3"/>
  <c r="P9644" i="3"/>
  <c r="O9644" i="3"/>
  <c r="P9643" i="3"/>
  <c r="O9643" i="3"/>
  <c r="P9642" i="3"/>
  <c r="O9642" i="3"/>
  <c r="P9641" i="3"/>
  <c r="O9641" i="3"/>
  <c r="P9640" i="3"/>
  <c r="O9640" i="3"/>
  <c r="P9639" i="3"/>
  <c r="O9639" i="3"/>
  <c r="P9638" i="3"/>
  <c r="O9638" i="3"/>
  <c r="P9637" i="3"/>
  <c r="O9637" i="3"/>
  <c r="P9636" i="3"/>
  <c r="O9636" i="3"/>
  <c r="P9635" i="3"/>
  <c r="O9635" i="3"/>
  <c r="P9634" i="3"/>
  <c r="O9634" i="3"/>
  <c r="P9633" i="3"/>
  <c r="O9633" i="3"/>
  <c r="P9632" i="3"/>
  <c r="O9632" i="3"/>
  <c r="P9631" i="3"/>
  <c r="O9631" i="3"/>
  <c r="P9630" i="3"/>
  <c r="O9630" i="3"/>
  <c r="P9629" i="3"/>
  <c r="O9629" i="3"/>
  <c r="P9628" i="3"/>
  <c r="O9628" i="3"/>
  <c r="P9627" i="3"/>
  <c r="O9627" i="3"/>
  <c r="P9626" i="3"/>
  <c r="O9626" i="3"/>
  <c r="P9625" i="3"/>
  <c r="O9625" i="3"/>
  <c r="P9624" i="3"/>
  <c r="O9624" i="3"/>
  <c r="P9623" i="3"/>
  <c r="O9623" i="3"/>
  <c r="P9622" i="3"/>
  <c r="O9622" i="3"/>
  <c r="P9621" i="3"/>
  <c r="O9621" i="3"/>
  <c r="P9620" i="3"/>
  <c r="O9620" i="3"/>
  <c r="P9619" i="3"/>
  <c r="O9619" i="3"/>
  <c r="P9618" i="3"/>
  <c r="O9618" i="3"/>
  <c r="P9617" i="3"/>
  <c r="O9617" i="3"/>
  <c r="P9616" i="3"/>
  <c r="O9616" i="3"/>
  <c r="P9615" i="3"/>
  <c r="O9615" i="3"/>
  <c r="P9614" i="3"/>
  <c r="O9614" i="3"/>
  <c r="P9613" i="3"/>
  <c r="O9613" i="3"/>
  <c r="P9612" i="3"/>
  <c r="O9612" i="3"/>
  <c r="P9611" i="3"/>
  <c r="O9611" i="3"/>
  <c r="P9610" i="3"/>
  <c r="O9610" i="3"/>
  <c r="P9609" i="3"/>
  <c r="O9609" i="3"/>
  <c r="P9608" i="3"/>
  <c r="O9608" i="3"/>
  <c r="P9607" i="3"/>
  <c r="O9607" i="3"/>
  <c r="P9606" i="3"/>
  <c r="O9606" i="3"/>
  <c r="P9605" i="3"/>
  <c r="O9605" i="3"/>
  <c r="P9604" i="3"/>
  <c r="O9604" i="3"/>
  <c r="P9603" i="3"/>
  <c r="O9603" i="3"/>
  <c r="P9602" i="3"/>
  <c r="O9602" i="3"/>
  <c r="P9601" i="3"/>
  <c r="O9601" i="3"/>
  <c r="P9600" i="3"/>
  <c r="O9600" i="3"/>
  <c r="P9599" i="3"/>
  <c r="O9599" i="3"/>
  <c r="P9598" i="3"/>
  <c r="O9598" i="3"/>
  <c r="P9597" i="3"/>
  <c r="O9597" i="3"/>
  <c r="P9596" i="3"/>
  <c r="O9596" i="3"/>
  <c r="P9595" i="3"/>
  <c r="O9595" i="3"/>
  <c r="P9594" i="3"/>
  <c r="O9594" i="3"/>
  <c r="P9593" i="3"/>
  <c r="O9593" i="3"/>
  <c r="P9592" i="3"/>
  <c r="O9592" i="3"/>
  <c r="P9591" i="3"/>
  <c r="O9591" i="3"/>
  <c r="P9590" i="3"/>
  <c r="O9590" i="3"/>
  <c r="P9589" i="3"/>
  <c r="O9589" i="3"/>
  <c r="P9588" i="3"/>
  <c r="O9588" i="3"/>
  <c r="P9587" i="3"/>
  <c r="O9587" i="3"/>
  <c r="P9586" i="3"/>
  <c r="O9586" i="3"/>
  <c r="P9585" i="3"/>
  <c r="O9585" i="3"/>
  <c r="P9584" i="3"/>
  <c r="O9584" i="3"/>
  <c r="P9583" i="3"/>
  <c r="O9583" i="3"/>
  <c r="P9582" i="3"/>
  <c r="O9582" i="3"/>
  <c r="P9581" i="3"/>
  <c r="O9581" i="3"/>
  <c r="P9580" i="3"/>
  <c r="O9580" i="3"/>
  <c r="P9579" i="3"/>
  <c r="O9579" i="3"/>
  <c r="P9578" i="3"/>
  <c r="O9578" i="3"/>
  <c r="P9577" i="3"/>
  <c r="O9577" i="3"/>
  <c r="P9576" i="3"/>
  <c r="O9576" i="3"/>
  <c r="P9575" i="3"/>
  <c r="O9575" i="3"/>
  <c r="P9574" i="3"/>
  <c r="O9574" i="3"/>
  <c r="P9573" i="3"/>
  <c r="O9573" i="3"/>
  <c r="P9572" i="3"/>
  <c r="O9572" i="3"/>
  <c r="P9571" i="3"/>
  <c r="O9571" i="3"/>
  <c r="P9570" i="3"/>
  <c r="O9570" i="3"/>
  <c r="P9569" i="3"/>
  <c r="O9569" i="3"/>
  <c r="P9568" i="3"/>
  <c r="O9568" i="3"/>
  <c r="P9567" i="3"/>
  <c r="O9567" i="3"/>
  <c r="P9566" i="3"/>
  <c r="O9566" i="3"/>
  <c r="P9565" i="3"/>
  <c r="O9565" i="3"/>
  <c r="P9564" i="3"/>
  <c r="O9564" i="3"/>
  <c r="P9563" i="3"/>
  <c r="O9563" i="3"/>
  <c r="P9562" i="3"/>
  <c r="O9562" i="3"/>
  <c r="P9561" i="3"/>
  <c r="O9561" i="3"/>
  <c r="P9560" i="3"/>
  <c r="O9560" i="3"/>
  <c r="P9559" i="3"/>
  <c r="O9559" i="3"/>
  <c r="P9558" i="3"/>
  <c r="O9558" i="3"/>
  <c r="P9557" i="3"/>
  <c r="O9557" i="3"/>
  <c r="P9556" i="3"/>
  <c r="O9556" i="3"/>
  <c r="P9555" i="3"/>
  <c r="O9555" i="3"/>
  <c r="P9554" i="3"/>
  <c r="O9554" i="3"/>
  <c r="P9553" i="3"/>
  <c r="O9553" i="3"/>
  <c r="P9552" i="3"/>
  <c r="O9552" i="3"/>
  <c r="P9551" i="3"/>
  <c r="O9551" i="3"/>
  <c r="P9550" i="3"/>
  <c r="O9550" i="3"/>
  <c r="P9549" i="3"/>
  <c r="O9549" i="3"/>
  <c r="P9548" i="3"/>
  <c r="O9548" i="3"/>
  <c r="P9547" i="3"/>
  <c r="O9547" i="3"/>
  <c r="P9546" i="3"/>
  <c r="O9546" i="3"/>
  <c r="P9545" i="3"/>
  <c r="O9545" i="3"/>
  <c r="P9544" i="3"/>
  <c r="O9544" i="3"/>
  <c r="P9543" i="3"/>
  <c r="O9543" i="3"/>
  <c r="P9542" i="3"/>
  <c r="O9542" i="3"/>
  <c r="P9541" i="3"/>
  <c r="O9541" i="3"/>
  <c r="P9540" i="3"/>
  <c r="O9540" i="3"/>
  <c r="P9539" i="3"/>
  <c r="O9539" i="3"/>
  <c r="P9538" i="3"/>
  <c r="O9538" i="3"/>
  <c r="P9537" i="3"/>
  <c r="O9537" i="3"/>
  <c r="P9536" i="3"/>
  <c r="O9536" i="3"/>
  <c r="P9535" i="3"/>
  <c r="O9535" i="3"/>
  <c r="P9534" i="3"/>
  <c r="O9534" i="3"/>
  <c r="P9533" i="3"/>
  <c r="O9533" i="3"/>
  <c r="P9532" i="3"/>
  <c r="O9532" i="3"/>
  <c r="P9531" i="3"/>
  <c r="O9531" i="3"/>
  <c r="P9530" i="3"/>
  <c r="O9530" i="3"/>
  <c r="P9529" i="3"/>
  <c r="O9529" i="3"/>
  <c r="P9528" i="3"/>
  <c r="O9528" i="3"/>
  <c r="P9527" i="3"/>
  <c r="O9527" i="3"/>
  <c r="P9526" i="3"/>
  <c r="O9526" i="3"/>
  <c r="P9525" i="3"/>
  <c r="O9525" i="3"/>
  <c r="P9524" i="3"/>
  <c r="O9524" i="3"/>
  <c r="P9523" i="3"/>
  <c r="O9523" i="3"/>
  <c r="P9522" i="3"/>
  <c r="O9522" i="3"/>
  <c r="P9521" i="3"/>
  <c r="O9521" i="3"/>
  <c r="P9520" i="3"/>
  <c r="O9520" i="3"/>
  <c r="P9519" i="3"/>
  <c r="O9519" i="3"/>
  <c r="P9518" i="3"/>
  <c r="O9518" i="3"/>
  <c r="P9517" i="3"/>
  <c r="O9517" i="3"/>
  <c r="P9516" i="3"/>
  <c r="O9516" i="3"/>
  <c r="P9515" i="3"/>
  <c r="O9515" i="3"/>
  <c r="P9514" i="3"/>
  <c r="O9514" i="3"/>
  <c r="P9513" i="3"/>
  <c r="O9513" i="3"/>
  <c r="P9512" i="3"/>
  <c r="O9512" i="3"/>
  <c r="P9511" i="3"/>
  <c r="O9511" i="3"/>
  <c r="P9510" i="3"/>
  <c r="O9510" i="3"/>
  <c r="P9509" i="3"/>
  <c r="O9509" i="3"/>
  <c r="P9508" i="3"/>
  <c r="O9508" i="3"/>
  <c r="P9507" i="3"/>
  <c r="O9507" i="3"/>
  <c r="P9506" i="3"/>
  <c r="O9506" i="3"/>
  <c r="P9505" i="3"/>
  <c r="O9505" i="3"/>
  <c r="P9504" i="3"/>
  <c r="O9504" i="3"/>
  <c r="P9503" i="3"/>
  <c r="O9503" i="3"/>
  <c r="P9502" i="3"/>
  <c r="O9502" i="3"/>
  <c r="P9501" i="3"/>
  <c r="O9501" i="3"/>
  <c r="P9500" i="3"/>
  <c r="O9500" i="3"/>
  <c r="P9499" i="3"/>
  <c r="O9499" i="3"/>
  <c r="P9498" i="3"/>
  <c r="O9498" i="3"/>
  <c r="P9497" i="3"/>
  <c r="O9497" i="3"/>
  <c r="P9496" i="3"/>
  <c r="O9496" i="3"/>
  <c r="P9495" i="3"/>
  <c r="O9495" i="3"/>
  <c r="P9494" i="3"/>
  <c r="O9494" i="3"/>
  <c r="P9493" i="3"/>
  <c r="O9493" i="3"/>
  <c r="P9492" i="3"/>
  <c r="O9492" i="3"/>
  <c r="P9491" i="3"/>
  <c r="O9491" i="3"/>
  <c r="P9490" i="3"/>
  <c r="O9490" i="3"/>
  <c r="P9489" i="3"/>
  <c r="O9489" i="3"/>
  <c r="P9488" i="3"/>
  <c r="O9488" i="3"/>
  <c r="P9487" i="3"/>
  <c r="O9487" i="3"/>
  <c r="P9486" i="3"/>
  <c r="O9486" i="3"/>
  <c r="P9485" i="3"/>
  <c r="O9485" i="3"/>
  <c r="P9484" i="3"/>
  <c r="O9484" i="3"/>
  <c r="P9483" i="3"/>
  <c r="O9483" i="3"/>
  <c r="P9482" i="3"/>
  <c r="O9482" i="3"/>
  <c r="P9481" i="3"/>
  <c r="O9481" i="3"/>
  <c r="P9480" i="3"/>
  <c r="O9480" i="3"/>
  <c r="P9479" i="3"/>
  <c r="O9479" i="3"/>
  <c r="P9478" i="3"/>
  <c r="O9478" i="3"/>
  <c r="P9477" i="3"/>
  <c r="O9477" i="3"/>
  <c r="P9476" i="3"/>
  <c r="O9476" i="3"/>
  <c r="P9475" i="3"/>
  <c r="O9475" i="3"/>
  <c r="P9474" i="3"/>
  <c r="O9474" i="3"/>
  <c r="P9473" i="3"/>
  <c r="O9473" i="3"/>
  <c r="P9472" i="3"/>
  <c r="O9472" i="3"/>
  <c r="P9471" i="3"/>
  <c r="O9471" i="3"/>
  <c r="P9470" i="3"/>
  <c r="O9470" i="3"/>
  <c r="P9469" i="3"/>
  <c r="O9469" i="3"/>
  <c r="P9468" i="3"/>
  <c r="O9468" i="3"/>
  <c r="P9467" i="3"/>
  <c r="O9467" i="3"/>
  <c r="P9466" i="3"/>
  <c r="O9466" i="3"/>
  <c r="P9465" i="3"/>
  <c r="O9465" i="3"/>
  <c r="P9464" i="3"/>
  <c r="O9464" i="3"/>
  <c r="P9463" i="3"/>
  <c r="O9463" i="3"/>
  <c r="P9462" i="3"/>
  <c r="O9462" i="3"/>
  <c r="P9461" i="3"/>
  <c r="O9461" i="3"/>
  <c r="P9460" i="3"/>
  <c r="O9460" i="3"/>
  <c r="P9459" i="3"/>
  <c r="O9459" i="3"/>
  <c r="P9458" i="3"/>
  <c r="O9458" i="3"/>
  <c r="P9457" i="3"/>
  <c r="O9457" i="3"/>
  <c r="P9456" i="3"/>
  <c r="O9456" i="3"/>
  <c r="P9455" i="3"/>
  <c r="O9455" i="3"/>
  <c r="P9454" i="3"/>
  <c r="O9454" i="3"/>
  <c r="P9453" i="3"/>
  <c r="O9453" i="3"/>
  <c r="P9452" i="3"/>
  <c r="O9452" i="3"/>
  <c r="P9451" i="3"/>
  <c r="O9451" i="3"/>
  <c r="P9450" i="3"/>
  <c r="O9450" i="3"/>
  <c r="P9449" i="3"/>
  <c r="O9449" i="3"/>
  <c r="P9448" i="3"/>
  <c r="O9448" i="3"/>
  <c r="P9447" i="3"/>
  <c r="O9447" i="3"/>
  <c r="P9446" i="3"/>
  <c r="O9446" i="3"/>
  <c r="P9445" i="3"/>
  <c r="O9445" i="3"/>
  <c r="P9444" i="3"/>
  <c r="O9444" i="3"/>
  <c r="P9443" i="3"/>
  <c r="O9443" i="3"/>
  <c r="P9442" i="3"/>
  <c r="O9442" i="3"/>
  <c r="P9441" i="3"/>
  <c r="O9441" i="3"/>
  <c r="P9440" i="3"/>
  <c r="O9440" i="3"/>
  <c r="P9439" i="3"/>
  <c r="O9439" i="3"/>
  <c r="P9438" i="3"/>
  <c r="O9438" i="3"/>
  <c r="P9437" i="3"/>
  <c r="O9437" i="3"/>
  <c r="P9436" i="3"/>
  <c r="O9436" i="3"/>
  <c r="P9435" i="3"/>
  <c r="O9435" i="3"/>
  <c r="P9434" i="3"/>
  <c r="O9434" i="3"/>
  <c r="P9433" i="3"/>
  <c r="O9433" i="3"/>
  <c r="P9432" i="3"/>
  <c r="O9432" i="3"/>
  <c r="P9431" i="3"/>
  <c r="O9431" i="3"/>
  <c r="P9430" i="3"/>
  <c r="O9430" i="3"/>
  <c r="P9429" i="3"/>
  <c r="O9429" i="3"/>
  <c r="P9428" i="3"/>
  <c r="O9428" i="3"/>
  <c r="P9427" i="3"/>
  <c r="O9427" i="3"/>
  <c r="P9426" i="3"/>
  <c r="O9426" i="3"/>
  <c r="P9425" i="3"/>
  <c r="O9425" i="3"/>
  <c r="P9424" i="3"/>
  <c r="O9424" i="3"/>
  <c r="P9423" i="3"/>
  <c r="O9423" i="3"/>
  <c r="P9422" i="3"/>
  <c r="O9422" i="3"/>
  <c r="P9421" i="3"/>
  <c r="O9421" i="3"/>
  <c r="P9420" i="3"/>
  <c r="O9420" i="3"/>
  <c r="P9419" i="3"/>
  <c r="O9419" i="3"/>
  <c r="P9418" i="3"/>
  <c r="O9418" i="3"/>
  <c r="P9417" i="3"/>
  <c r="O9417" i="3"/>
  <c r="P9416" i="3"/>
  <c r="O9416" i="3"/>
  <c r="P9415" i="3"/>
  <c r="O9415" i="3"/>
  <c r="P9414" i="3"/>
  <c r="O9414" i="3"/>
  <c r="P9413" i="3"/>
  <c r="O9413" i="3"/>
  <c r="P9412" i="3"/>
  <c r="O9412" i="3"/>
  <c r="P9411" i="3"/>
  <c r="O9411" i="3"/>
  <c r="P9410" i="3"/>
  <c r="O9410" i="3"/>
  <c r="P9409" i="3"/>
  <c r="O9409" i="3"/>
  <c r="P9408" i="3"/>
  <c r="O9408" i="3"/>
  <c r="P9407" i="3"/>
  <c r="O9407" i="3"/>
  <c r="P9406" i="3"/>
  <c r="O9406" i="3"/>
  <c r="P9405" i="3"/>
  <c r="O9405" i="3"/>
  <c r="P9404" i="3"/>
  <c r="O9404" i="3"/>
  <c r="P9403" i="3"/>
  <c r="O9403" i="3"/>
  <c r="P9402" i="3"/>
  <c r="O9402" i="3"/>
  <c r="P9401" i="3"/>
  <c r="O9401" i="3"/>
  <c r="P9400" i="3"/>
  <c r="O9400" i="3"/>
  <c r="P9399" i="3"/>
  <c r="O9399" i="3"/>
  <c r="P9398" i="3"/>
  <c r="O9398" i="3"/>
  <c r="P9397" i="3"/>
  <c r="O9397" i="3"/>
  <c r="P9396" i="3"/>
  <c r="O9396" i="3"/>
  <c r="P9395" i="3"/>
  <c r="O9395" i="3"/>
  <c r="P9394" i="3"/>
  <c r="O9394" i="3"/>
  <c r="P9393" i="3"/>
  <c r="O9393" i="3"/>
  <c r="P9392" i="3"/>
  <c r="O9392" i="3"/>
  <c r="P9391" i="3"/>
  <c r="O9391" i="3"/>
  <c r="P9390" i="3"/>
  <c r="O9390" i="3"/>
  <c r="P9389" i="3"/>
  <c r="O9389" i="3"/>
  <c r="P9388" i="3"/>
  <c r="O9388" i="3"/>
  <c r="P9387" i="3"/>
  <c r="O9387" i="3"/>
  <c r="P9386" i="3"/>
  <c r="O9386" i="3"/>
  <c r="P9385" i="3"/>
  <c r="O9385" i="3"/>
  <c r="P9384" i="3"/>
  <c r="O9384" i="3"/>
  <c r="P9383" i="3"/>
  <c r="O9383" i="3"/>
  <c r="P9382" i="3"/>
  <c r="O9382" i="3"/>
  <c r="P9381" i="3"/>
  <c r="O9381" i="3"/>
  <c r="P9380" i="3"/>
  <c r="O9380" i="3"/>
  <c r="P9379" i="3"/>
  <c r="O9379" i="3"/>
  <c r="P9378" i="3"/>
  <c r="O9378" i="3"/>
  <c r="P9377" i="3"/>
  <c r="O9377" i="3"/>
  <c r="P9376" i="3"/>
  <c r="O9376" i="3"/>
  <c r="P9375" i="3"/>
  <c r="O9375" i="3"/>
  <c r="P9374" i="3"/>
  <c r="O9374" i="3"/>
  <c r="P9373" i="3"/>
  <c r="O9373" i="3"/>
  <c r="P9372" i="3"/>
  <c r="O9372" i="3"/>
  <c r="P9371" i="3"/>
  <c r="O9371" i="3"/>
  <c r="P9370" i="3"/>
  <c r="O9370" i="3"/>
  <c r="P9369" i="3"/>
  <c r="O9369" i="3"/>
  <c r="P9368" i="3"/>
  <c r="O9368" i="3"/>
  <c r="P9367" i="3"/>
  <c r="O9367" i="3"/>
  <c r="P9366" i="3"/>
  <c r="O9366" i="3"/>
  <c r="P9365" i="3"/>
  <c r="O9365" i="3"/>
  <c r="P9364" i="3"/>
  <c r="O9364" i="3"/>
  <c r="P9363" i="3"/>
  <c r="O9363" i="3"/>
  <c r="P9362" i="3"/>
  <c r="O9362" i="3"/>
  <c r="P9361" i="3"/>
  <c r="O9361" i="3"/>
  <c r="P9360" i="3"/>
  <c r="O9360" i="3"/>
  <c r="P9359" i="3"/>
  <c r="O9359" i="3"/>
  <c r="P9358" i="3"/>
  <c r="O9358" i="3"/>
  <c r="P9357" i="3"/>
  <c r="O9357" i="3"/>
  <c r="P9356" i="3"/>
  <c r="O9356" i="3"/>
  <c r="P9355" i="3"/>
  <c r="O9355" i="3"/>
  <c r="P9354" i="3"/>
  <c r="O9354" i="3"/>
  <c r="P9353" i="3"/>
  <c r="O9353" i="3"/>
  <c r="P9352" i="3"/>
  <c r="O9352" i="3"/>
  <c r="P9351" i="3"/>
  <c r="O9351" i="3"/>
  <c r="P9350" i="3"/>
  <c r="O9350" i="3"/>
  <c r="P9349" i="3"/>
  <c r="O9349" i="3"/>
  <c r="P9348" i="3"/>
  <c r="O9348" i="3"/>
  <c r="P9347" i="3"/>
  <c r="O9347" i="3"/>
  <c r="P9346" i="3"/>
  <c r="O9346" i="3"/>
  <c r="P9345" i="3"/>
  <c r="O9345" i="3"/>
  <c r="P9344" i="3"/>
  <c r="O9344" i="3"/>
  <c r="P9343" i="3"/>
  <c r="O9343" i="3"/>
  <c r="P9342" i="3"/>
  <c r="O9342" i="3"/>
  <c r="P9341" i="3"/>
  <c r="O9341" i="3"/>
  <c r="P9340" i="3"/>
  <c r="O9340" i="3"/>
  <c r="P9339" i="3"/>
  <c r="O9339" i="3"/>
  <c r="P9338" i="3"/>
  <c r="O9338" i="3"/>
  <c r="P9337" i="3"/>
  <c r="O9337" i="3"/>
  <c r="P9336" i="3"/>
  <c r="O9336" i="3"/>
  <c r="P9335" i="3"/>
  <c r="O9335" i="3"/>
  <c r="P9334" i="3"/>
  <c r="O9334" i="3"/>
  <c r="P9333" i="3"/>
  <c r="O9333" i="3"/>
  <c r="P9332" i="3"/>
  <c r="O9332" i="3"/>
  <c r="P9331" i="3"/>
  <c r="O9331" i="3"/>
  <c r="P9330" i="3"/>
  <c r="O9330" i="3"/>
  <c r="P9329" i="3"/>
  <c r="O9329" i="3"/>
  <c r="P9328" i="3"/>
  <c r="O9328" i="3"/>
  <c r="P9327" i="3"/>
  <c r="O9327" i="3"/>
  <c r="P9326" i="3"/>
  <c r="O9326" i="3"/>
  <c r="P9325" i="3"/>
  <c r="O9325" i="3"/>
  <c r="P9324" i="3"/>
  <c r="O9324" i="3"/>
  <c r="P9323" i="3"/>
  <c r="O9323" i="3"/>
  <c r="P9322" i="3"/>
  <c r="O9322" i="3"/>
  <c r="P9321" i="3"/>
  <c r="O9321" i="3"/>
  <c r="P9320" i="3"/>
  <c r="O9320" i="3"/>
  <c r="P9319" i="3"/>
  <c r="O9319" i="3"/>
  <c r="P9318" i="3"/>
  <c r="O9318" i="3"/>
  <c r="P9317" i="3"/>
  <c r="O9317" i="3"/>
  <c r="P9316" i="3"/>
  <c r="O9316" i="3"/>
  <c r="P9315" i="3"/>
  <c r="O9315" i="3"/>
  <c r="P9314" i="3"/>
  <c r="O9314" i="3"/>
  <c r="P9313" i="3"/>
  <c r="O9313" i="3"/>
  <c r="P9312" i="3"/>
  <c r="O9312" i="3"/>
  <c r="P9311" i="3"/>
  <c r="O9311" i="3"/>
  <c r="P9310" i="3"/>
  <c r="O9310" i="3"/>
  <c r="P9309" i="3"/>
  <c r="O9309" i="3"/>
  <c r="P9308" i="3"/>
  <c r="O9308" i="3"/>
  <c r="P9307" i="3"/>
  <c r="O9307" i="3"/>
  <c r="P9306" i="3"/>
  <c r="O9306" i="3"/>
  <c r="P9305" i="3"/>
  <c r="O9305" i="3"/>
  <c r="P9304" i="3"/>
  <c r="O9304" i="3"/>
  <c r="P9303" i="3"/>
  <c r="O9303" i="3"/>
  <c r="P9302" i="3"/>
  <c r="O9302" i="3"/>
  <c r="P9301" i="3"/>
  <c r="O9301" i="3"/>
  <c r="P9300" i="3"/>
  <c r="O9300" i="3"/>
  <c r="P9299" i="3"/>
  <c r="O9299" i="3"/>
  <c r="P9298" i="3"/>
  <c r="O9298" i="3"/>
  <c r="P9297" i="3"/>
  <c r="O9297" i="3"/>
  <c r="P9296" i="3"/>
  <c r="O9296" i="3"/>
  <c r="P9295" i="3"/>
  <c r="O9295" i="3"/>
  <c r="P9294" i="3"/>
  <c r="O9294" i="3"/>
  <c r="P9293" i="3"/>
  <c r="O9293" i="3"/>
  <c r="P9292" i="3"/>
  <c r="O9292" i="3"/>
  <c r="P9291" i="3"/>
  <c r="O9291" i="3"/>
  <c r="P9290" i="3"/>
  <c r="O9290" i="3"/>
  <c r="P9289" i="3"/>
  <c r="O9289" i="3"/>
  <c r="P9288" i="3"/>
  <c r="O9288" i="3"/>
  <c r="P9287" i="3"/>
  <c r="O9287" i="3"/>
  <c r="P9286" i="3"/>
  <c r="O9286" i="3"/>
  <c r="P9285" i="3"/>
  <c r="O9285" i="3"/>
  <c r="P9284" i="3"/>
  <c r="O9284" i="3"/>
  <c r="P9283" i="3"/>
  <c r="O9283" i="3"/>
  <c r="P9282" i="3"/>
  <c r="O9282" i="3"/>
  <c r="P9281" i="3"/>
  <c r="O9281" i="3"/>
  <c r="P9280" i="3"/>
  <c r="O9280" i="3"/>
  <c r="P9279" i="3"/>
  <c r="O9279" i="3"/>
  <c r="P9278" i="3"/>
  <c r="O9278" i="3"/>
  <c r="P9277" i="3"/>
  <c r="O9277" i="3"/>
  <c r="P9276" i="3"/>
  <c r="O9276" i="3"/>
  <c r="P9275" i="3"/>
  <c r="O9275" i="3"/>
  <c r="P9274" i="3"/>
  <c r="O9274" i="3"/>
  <c r="P9273" i="3"/>
  <c r="O9273" i="3"/>
  <c r="P9272" i="3"/>
  <c r="O9272" i="3"/>
  <c r="P9271" i="3"/>
  <c r="O9271" i="3"/>
  <c r="P9270" i="3"/>
  <c r="O9270" i="3"/>
  <c r="P9269" i="3"/>
  <c r="O9269" i="3"/>
  <c r="P9268" i="3"/>
  <c r="O9268" i="3"/>
  <c r="P9267" i="3"/>
  <c r="O9267" i="3"/>
  <c r="P9266" i="3"/>
  <c r="O9266" i="3"/>
  <c r="P9265" i="3"/>
  <c r="O9265" i="3"/>
  <c r="P9264" i="3"/>
  <c r="O9264" i="3"/>
  <c r="P9263" i="3"/>
  <c r="O9263" i="3"/>
  <c r="P9262" i="3"/>
  <c r="O9262" i="3"/>
  <c r="P9261" i="3"/>
  <c r="O9261" i="3"/>
  <c r="P9260" i="3"/>
  <c r="O9260" i="3"/>
  <c r="P9259" i="3"/>
  <c r="O9259" i="3"/>
  <c r="P9258" i="3"/>
  <c r="O9258" i="3"/>
  <c r="P9257" i="3"/>
  <c r="O9257" i="3"/>
  <c r="P9256" i="3"/>
  <c r="O9256" i="3"/>
  <c r="P9255" i="3"/>
  <c r="O9255" i="3"/>
  <c r="P9254" i="3"/>
  <c r="O9254" i="3"/>
  <c r="P9253" i="3"/>
  <c r="O9253" i="3"/>
  <c r="P9252" i="3"/>
  <c r="O9252" i="3"/>
  <c r="P9251" i="3"/>
  <c r="O9251" i="3"/>
  <c r="P9250" i="3"/>
  <c r="O9250" i="3"/>
  <c r="P9249" i="3"/>
  <c r="O9249" i="3"/>
  <c r="P9248" i="3"/>
  <c r="O9248" i="3"/>
  <c r="P9247" i="3"/>
  <c r="O9247" i="3"/>
  <c r="P9246" i="3"/>
  <c r="O9246" i="3"/>
  <c r="P9245" i="3"/>
  <c r="O9245" i="3"/>
  <c r="P9244" i="3"/>
  <c r="O9244" i="3"/>
  <c r="P9243" i="3"/>
  <c r="O9243" i="3"/>
  <c r="P9242" i="3"/>
  <c r="O9242" i="3"/>
  <c r="P9241" i="3"/>
  <c r="O9241" i="3"/>
  <c r="P9240" i="3"/>
  <c r="O9240" i="3"/>
  <c r="P9239" i="3"/>
  <c r="O9239" i="3"/>
  <c r="P9238" i="3"/>
  <c r="O9238" i="3"/>
  <c r="P9237" i="3"/>
  <c r="O9237" i="3"/>
  <c r="P9236" i="3"/>
  <c r="O9236" i="3"/>
  <c r="P9235" i="3"/>
  <c r="O9235" i="3"/>
  <c r="P9234" i="3"/>
  <c r="O9234" i="3"/>
  <c r="P9233" i="3"/>
  <c r="O9233" i="3"/>
  <c r="P9232" i="3"/>
  <c r="O9232" i="3"/>
  <c r="P9231" i="3"/>
  <c r="O9231" i="3"/>
  <c r="P9230" i="3"/>
  <c r="O9230" i="3"/>
  <c r="P9229" i="3"/>
  <c r="O9229" i="3"/>
  <c r="P9228" i="3"/>
  <c r="O9228" i="3"/>
  <c r="P9227" i="3"/>
  <c r="O9227" i="3"/>
  <c r="P9226" i="3"/>
  <c r="O9226" i="3"/>
  <c r="P9225" i="3"/>
  <c r="O9225" i="3"/>
  <c r="P9224" i="3"/>
  <c r="O9224" i="3"/>
  <c r="P9223" i="3"/>
  <c r="O9223" i="3"/>
  <c r="P9222" i="3"/>
  <c r="O9222" i="3"/>
  <c r="P9221" i="3"/>
  <c r="O9221" i="3"/>
  <c r="P9220" i="3"/>
  <c r="O9220" i="3"/>
  <c r="P9219" i="3"/>
  <c r="O9219" i="3"/>
  <c r="P9218" i="3"/>
  <c r="O9218" i="3"/>
  <c r="P9217" i="3"/>
  <c r="O9217" i="3"/>
  <c r="P9216" i="3"/>
  <c r="O9216" i="3"/>
  <c r="P9215" i="3"/>
  <c r="O9215" i="3"/>
  <c r="P9214" i="3"/>
  <c r="O9214" i="3"/>
  <c r="P9213" i="3"/>
  <c r="O9213" i="3"/>
  <c r="P9212" i="3"/>
  <c r="O9212" i="3"/>
  <c r="P9211" i="3"/>
  <c r="O9211" i="3"/>
  <c r="P9210" i="3"/>
  <c r="O9210" i="3"/>
  <c r="P9209" i="3"/>
  <c r="O9209" i="3"/>
  <c r="P9208" i="3"/>
  <c r="O9208" i="3"/>
  <c r="P9207" i="3"/>
  <c r="O9207" i="3"/>
  <c r="P9206" i="3"/>
  <c r="O9206" i="3"/>
  <c r="P9205" i="3"/>
  <c r="O9205" i="3"/>
  <c r="P9204" i="3"/>
  <c r="O9204" i="3"/>
  <c r="P9203" i="3"/>
  <c r="O9203" i="3"/>
  <c r="P9202" i="3"/>
  <c r="O9202" i="3"/>
  <c r="P9201" i="3"/>
  <c r="O9201" i="3"/>
  <c r="P9200" i="3"/>
  <c r="O9200" i="3"/>
  <c r="P9199" i="3"/>
  <c r="O9199" i="3"/>
  <c r="P9198" i="3"/>
  <c r="O9198" i="3"/>
  <c r="P9197" i="3"/>
  <c r="O9197" i="3"/>
  <c r="P9196" i="3"/>
  <c r="O9196" i="3"/>
  <c r="P9195" i="3"/>
  <c r="O9195" i="3"/>
  <c r="P9194" i="3"/>
  <c r="O9194" i="3"/>
  <c r="P9193" i="3"/>
  <c r="O9193" i="3"/>
  <c r="P9192" i="3"/>
  <c r="O9192" i="3"/>
  <c r="P9191" i="3"/>
  <c r="O9191" i="3"/>
  <c r="P9190" i="3"/>
  <c r="O9190" i="3"/>
  <c r="P9189" i="3"/>
  <c r="O9189" i="3"/>
  <c r="P9188" i="3"/>
  <c r="O9188" i="3"/>
  <c r="P9187" i="3"/>
  <c r="O9187" i="3"/>
  <c r="P9186" i="3"/>
  <c r="O9186" i="3"/>
  <c r="P9185" i="3"/>
  <c r="O9185" i="3"/>
  <c r="P9184" i="3"/>
  <c r="O9184" i="3"/>
  <c r="P9183" i="3"/>
  <c r="O9183" i="3"/>
  <c r="P9182" i="3"/>
  <c r="O9182" i="3"/>
  <c r="P9181" i="3"/>
  <c r="O9181" i="3"/>
  <c r="P9180" i="3"/>
  <c r="O9180" i="3"/>
  <c r="P9179" i="3"/>
  <c r="O9179" i="3"/>
  <c r="P9178" i="3"/>
  <c r="O9178" i="3"/>
  <c r="P9177" i="3"/>
  <c r="O9177" i="3"/>
  <c r="P9176" i="3"/>
  <c r="O9176" i="3"/>
  <c r="P9175" i="3"/>
  <c r="O9175" i="3"/>
  <c r="P9174" i="3"/>
  <c r="O9174" i="3"/>
  <c r="P9173" i="3"/>
  <c r="O9173" i="3"/>
  <c r="P9172" i="3"/>
  <c r="O9172" i="3"/>
  <c r="P9171" i="3"/>
  <c r="O9171" i="3"/>
  <c r="P9170" i="3"/>
  <c r="O9170" i="3"/>
  <c r="P9169" i="3"/>
  <c r="O9169" i="3"/>
  <c r="P9168" i="3"/>
  <c r="O9168" i="3"/>
  <c r="P9167" i="3"/>
  <c r="O9167" i="3"/>
  <c r="P9166" i="3"/>
  <c r="O9166" i="3"/>
  <c r="P9165" i="3"/>
  <c r="O9165" i="3"/>
  <c r="P9164" i="3"/>
  <c r="O9164" i="3"/>
  <c r="P9163" i="3"/>
  <c r="O9163" i="3"/>
  <c r="P9162" i="3"/>
  <c r="O9162" i="3"/>
  <c r="P9161" i="3"/>
  <c r="O9161" i="3"/>
  <c r="P9160" i="3"/>
  <c r="O9160" i="3"/>
  <c r="P9159" i="3"/>
  <c r="O9159" i="3"/>
  <c r="P9158" i="3"/>
  <c r="O9158" i="3"/>
  <c r="P9157" i="3"/>
  <c r="O9157" i="3"/>
  <c r="P9156" i="3"/>
  <c r="O9156" i="3"/>
  <c r="P9155" i="3"/>
  <c r="O9155" i="3"/>
  <c r="P9154" i="3"/>
  <c r="O9154" i="3"/>
  <c r="P9153" i="3"/>
  <c r="O9153" i="3"/>
  <c r="P9152" i="3"/>
  <c r="O9152" i="3"/>
  <c r="P9151" i="3"/>
  <c r="O9151" i="3"/>
  <c r="P9150" i="3"/>
  <c r="O9150" i="3"/>
  <c r="P9149" i="3"/>
  <c r="O9149" i="3"/>
  <c r="P9148" i="3"/>
  <c r="O9148" i="3"/>
  <c r="P9147" i="3"/>
  <c r="O9147" i="3"/>
  <c r="P9146" i="3"/>
  <c r="O9146" i="3"/>
  <c r="P9145" i="3"/>
  <c r="O9145" i="3"/>
  <c r="P9144" i="3"/>
  <c r="O9144" i="3"/>
  <c r="P9143" i="3"/>
  <c r="O9143" i="3"/>
  <c r="P9142" i="3"/>
  <c r="O9142" i="3"/>
  <c r="P9141" i="3"/>
  <c r="O9141" i="3"/>
  <c r="P9140" i="3"/>
  <c r="O9140" i="3"/>
  <c r="P9139" i="3"/>
  <c r="O9139" i="3"/>
  <c r="P9138" i="3"/>
  <c r="O9138" i="3"/>
  <c r="P9137" i="3"/>
  <c r="O9137" i="3"/>
  <c r="P9136" i="3"/>
  <c r="O9136" i="3"/>
  <c r="P9135" i="3"/>
  <c r="O9135" i="3"/>
  <c r="P9134" i="3"/>
  <c r="O9134" i="3"/>
  <c r="P9133" i="3"/>
  <c r="O9133" i="3"/>
  <c r="P9132" i="3"/>
  <c r="O9132" i="3"/>
  <c r="P9131" i="3"/>
  <c r="O9131" i="3"/>
  <c r="P9130" i="3"/>
  <c r="O9130" i="3"/>
  <c r="P9129" i="3"/>
  <c r="O9129" i="3"/>
  <c r="P9128" i="3"/>
  <c r="O9128" i="3"/>
  <c r="P9127" i="3"/>
  <c r="O9127" i="3"/>
  <c r="P9126" i="3"/>
  <c r="O9126" i="3"/>
  <c r="P9125" i="3"/>
  <c r="O9125" i="3"/>
  <c r="P9124" i="3"/>
  <c r="O9124" i="3"/>
  <c r="P9123" i="3"/>
  <c r="O9123" i="3"/>
  <c r="P9122" i="3"/>
  <c r="O9122" i="3"/>
  <c r="P9121" i="3"/>
  <c r="O9121" i="3"/>
  <c r="P9120" i="3"/>
  <c r="O9120" i="3"/>
  <c r="P9119" i="3"/>
  <c r="O9119" i="3"/>
  <c r="P9118" i="3"/>
  <c r="O9118" i="3"/>
  <c r="P9117" i="3"/>
  <c r="O9117" i="3"/>
  <c r="P9116" i="3"/>
  <c r="O9116" i="3"/>
  <c r="P9115" i="3"/>
  <c r="O9115" i="3"/>
  <c r="P9114" i="3"/>
  <c r="O9114" i="3"/>
  <c r="P9113" i="3"/>
  <c r="O9113" i="3"/>
  <c r="P9112" i="3"/>
  <c r="O9112" i="3"/>
  <c r="P9111" i="3"/>
  <c r="O9111" i="3"/>
  <c r="P9110" i="3"/>
  <c r="O9110" i="3"/>
  <c r="P9109" i="3"/>
  <c r="O9109" i="3"/>
  <c r="P9108" i="3"/>
  <c r="O9108" i="3"/>
  <c r="P9107" i="3"/>
  <c r="O9107" i="3"/>
  <c r="P9106" i="3"/>
  <c r="O9106" i="3"/>
  <c r="P9105" i="3"/>
  <c r="O9105" i="3"/>
  <c r="P9104" i="3"/>
  <c r="O9104" i="3"/>
  <c r="P9103" i="3"/>
  <c r="O9103" i="3"/>
  <c r="P9102" i="3"/>
  <c r="O9102" i="3"/>
  <c r="P9101" i="3"/>
  <c r="O9101" i="3"/>
  <c r="P9100" i="3"/>
  <c r="O9100" i="3"/>
  <c r="P9099" i="3"/>
  <c r="O9099" i="3"/>
  <c r="P9098" i="3"/>
  <c r="O9098" i="3"/>
  <c r="P9097" i="3"/>
  <c r="O9097" i="3"/>
  <c r="P9096" i="3"/>
  <c r="O9096" i="3"/>
  <c r="P9095" i="3"/>
  <c r="O9095" i="3"/>
  <c r="P9094" i="3"/>
  <c r="O9094" i="3"/>
  <c r="P9093" i="3"/>
  <c r="O9093" i="3"/>
  <c r="P9092" i="3"/>
  <c r="O9092" i="3"/>
  <c r="P9091" i="3"/>
  <c r="O9091" i="3"/>
  <c r="P9090" i="3"/>
  <c r="O9090" i="3"/>
  <c r="P9089" i="3"/>
  <c r="O9089" i="3"/>
  <c r="P9088" i="3"/>
  <c r="O9088" i="3"/>
  <c r="P9087" i="3"/>
  <c r="O9087" i="3"/>
  <c r="P9086" i="3"/>
  <c r="O9086" i="3"/>
  <c r="P9085" i="3"/>
  <c r="O9085" i="3"/>
  <c r="P9084" i="3"/>
  <c r="O9084" i="3"/>
  <c r="P9083" i="3"/>
  <c r="O9083" i="3"/>
  <c r="P9082" i="3"/>
  <c r="O9082" i="3"/>
  <c r="P9081" i="3"/>
  <c r="O9081" i="3"/>
  <c r="P9080" i="3"/>
  <c r="O9080" i="3"/>
  <c r="P9079" i="3"/>
  <c r="O9079" i="3"/>
  <c r="P9078" i="3"/>
  <c r="O9078" i="3"/>
  <c r="P9077" i="3"/>
  <c r="O9077" i="3"/>
  <c r="P9076" i="3"/>
  <c r="O9076" i="3"/>
  <c r="P9075" i="3"/>
  <c r="O9075" i="3"/>
  <c r="P9074" i="3"/>
  <c r="O9074" i="3"/>
  <c r="P9073" i="3"/>
  <c r="O9073" i="3"/>
  <c r="P9072" i="3"/>
  <c r="O9072" i="3"/>
  <c r="P9071" i="3"/>
  <c r="O9071" i="3"/>
  <c r="P9070" i="3"/>
  <c r="O9070" i="3"/>
  <c r="P9069" i="3"/>
  <c r="O9069" i="3"/>
  <c r="P9068" i="3"/>
  <c r="O9068" i="3"/>
  <c r="P9067" i="3"/>
  <c r="O9067" i="3"/>
  <c r="P9066" i="3"/>
  <c r="O9066" i="3"/>
  <c r="P9065" i="3"/>
  <c r="O9065" i="3"/>
  <c r="P9064" i="3"/>
  <c r="O9064" i="3"/>
  <c r="P9063" i="3"/>
  <c r="O9063" i="3"/>
  <c r="P9062" i="3"/>
  <c r="O9062" i="3"/>
  <c r="P9061" i="3"/>
  <c r="O9061" i="3"/>
  <c r="P9060" i="3"/>
  <c r="O9060" i="3"/>
  <c r="P9059" i="3"/>
  <c r="O9059" i="3"/>
  <c r="P9058" i="3"/>
  <c r="O9058" i="3"/>
  <c r="P9057" i="3"/>
  <c r="O9057" i="3"/>
  <c r="P9056" i="3"/>
  <c r="O9056" i="3"/>
  <c r="P9055" i="3"/>
  <c r="O9055" i="3"/>
  <c r="P9054" i="3"/>
  <c r="O9054" i="3"/>
  <c r="P9053" i="3"/>
  <c r="O9053" i="3"/>
  <c r="P9052" i="3"/>
  <c r="O9052" i="3"/>
  <c r="P9051" i="3"/>
  <c r="O9051" i="3"/>
  <c r="P9050" i="3"/>
  <c r="O9050" i="3"/>
  <c r="P9049" i="3"/>
  <c r="O9049" i="3"/>
  <c r="P9048" i="3"/>
  <c r="O9048" i="3"/>
  <c r="P9047" i="3"/>
  <c r="O9047" i="3"/>
  <c r="P9046" i="3"/>
  <c r="O9046" i="3"/>
  <c r="P9045" i="3"/>
  <c r="O9045" i="3"/>
  <c r="P9044" i="3"/>
  <c r="O9044" i="3"/>
  <c r="P9043" i="3"/>
  <c r="O9043" i="3"/>
  <c r="P9042" i="3"/>
  <c r="O9042" i="3"/>
  <c r="P9041" i="3"/>
  <c r="O9041" i="3"/>
  <c r="P9040" i="3"/>
  <c r="O9040" i="3"/>
  <c r="P9039" i="3"/>
  <c r="O9039" i="3"/>
  <c r="P9038" i="3"/>
  <c r="O9038" i="3"/>
  <c r="P9037" i="3"/>
  <c r="O9037" i="3"/>
  <c r="P9036" i="3"/>
  <c r="O9036" i="3"/>
  <c r="P9035" i="3"/>
  <c r="O9035" i="3"/>
  <c r="P9034" i="3"/>
  <c r="O9034" i="3"/>
  <c r="P9033" i="3"/>
  <c r="O9033" i="3"/>
  <c r="P9032" i="3"/>
  <c r="O9032" i="3"/>
  <c r="P9031" i="3"/>
  <c r="O9031" i="3"/>
  <c r="P9030" i="3"/>
  <c r="O9030" i="3"/>
  <c r="P9029" i="3"/>
  <c r="O9029" i="3"/>
  <c r="P9028" i="3"/>
  <c r="O9028" i="3"/>
  <c r="P9027" i="3"/>
  <c r="O9027" i="3"/>
  <c r="P9026" i="3"/>
  <c r="O9026" i="3"/>
  <c r="P9025" i="3"/>
  <c r="O9025" i="3"/>
  <c r="P9024" i="3"/>
  <c r="O9024" i="3"/>
  <c r="P9023" i="3"/>
  <c r="O9023" i="3"/>
  <c r="P9022" i="3"/>
  <c r="O9022" i="3"/>
  <c r="P9021" i="3"/>
  <c r="O9021" i="3"/>
  <c r="P9020" i="3"/>
  <c r="O9020" i="3"/>
  <c r="P9019" i="3"/>
  <c r="O9019" i="3"/>
  <c r="P9018" i="3"/>
  <c r="O9018" i="3"/>
  <c r="P9017" i="3"/>
  <c r="O9017" i="3"/>
  <c r="P9016" i="3"/>
  <c r="O9016" i="3"/>
  <c r="P9015" i="3"/>
  <c r="O9015" i="3"/>
  <c r="P9014" i="3"/>
  <c r="O9014" i="3"/>
  <c r="P9013" i="3"/>
  <c r="O9013" i="3"/>
  <c r="P9012" i="3"/>
  <c r="O9012" i="3"/>
  <c r="P9011" i="3"/>
  <c r="O9011" i="3"/>
  <c r="P9010" i="3"/>
  <c r="O9010" i="3"/>
  <c r="P9009" i="3"/>
  <c r="O9009" i="3"/>
  <c r="P9008" i="3"/>
  <c r="O9008" i="3"/>
  <c r="P9007" i="3"/>
  <c r="O9007" i="3"/>
  <c r="P9006" i="3"/>
  <c r="O9006" i="3"/>
  <c r="P9005" i="3"/>
  <c r="O9005" i="3"/>
  <c r="P9004" i="3"/>
  <c r="O9004" i="3"/>
  <c r="P9003" i="3"/>
  <c r="O9003" i="3"/>
  <c r="P9002" i="3"/>
  <c r="O9002" i="3"/>
  <c r="P9001" i="3"/>
  <c r="O9001" i="3"/>
  <c r="P9000" i="3"/>
  <c r="O9000" i="3"/>
  <c r="P8999" i="3"/>
  <c r="O8999" i="3"/>
  <c r="P8998" i="3"/>
  <c r="O8998" i="3"/>
  <c r="P8997" i="3"/>
  <c r="O8997" i="3"/>
  <c r="P8996" i="3"/>
  <c r="O8996" i="3"/>
  <c r="P8995" i="3"/>
  <c r="O8995" i="3"/>
  <c r="P8994" i="3"/>
  <c r="O8994" i="3"/>
  <c r="P8993" i="3"/>
  <c r="O8993" i="3"/>
  <c r="P8992" i="3"/>
  <c r="O8992" i="3"/>
  <c r="P8991" i="3"/>
  <c r="O8991" i="3"/>
  <c r="P8990" i="3"/>
  <c r="O8990" i="3"/>
  <c r="P8989" i="3"/>
  <c r="O8989" i="3"/>
  <c r="P8988" i="3"/>
  <c r="O8988" i="3"/>
  <c r="P8987" i="3"/>
  <c r="O8987" i="3"/>
  <c r="P8986" i="3"/>
  <c r="O8986" i="3"/>
  <c r="P8985" i="3"/>
  <c r="O8985" i="3"/>
  <c r="P8984" i="3"/>
  <c r="O8984" i="3"/>
  <c r="P8983" i="3"/>
  <c r="O8983" i="3"/>
  <c r="P8982" i="3"/>
  <c r="O8982" i="3"/>
  <c r="P8981" i="3"/>
  <c r="O8981" i="3"/>
  <c r="P8980" i="3"/>
  <c r="O8980" i="3"/>
  <c r="P8979" i="3"/>
  <c r="O8979" i="3"/>
  <c r="P8978" i="3"/>
  <c r="O8978" i="3"/>
  <c r="P8977" i="3"/>
  <c r="O8977" i="3"/>
  <c r="P8976" i="3"/>
  <c r="O8976" i="3"/>
  <c r="P8975" i="3"/>
  <c r="O8975" i="3"/>
  <c r="P8974" i="3"/>
  <c r="O8974" i="3"/>
  <c r="P8973" i="3"/>
  <c r="O8973" i="3"/>
  <c r="P8972" i="3"/>
  <c r="O8972" i="3"/>
  <c r="P8971" i="3"/>
  <c r="O8971" i="3"/>
  <c r="P8970" i="3"/>
  <c r="O8970" i="3"/>
  <c r="P8969" i="3"/>
  <c r="O8969" i="3"/>
  <c r="P8968" i="3"/>
  <c r="O8968" i="3"/>
  <c r="P8967" i="3"/>
  <c r="O8967" i="3"/>
  <c r="P8966" i="3"/>
  <c r="O8966" i="3"/>
  <c r="P8965" i="3"/>
  <c r="O8965" i="3"/>
  <c r="P8964" i="3"/>
  <c r="O8964" i="3"/>
  <c r="P8963" i="3"/>
  <c r="O8963" i="3"/>
  <c r="P8962" i="3"/>
  <c r="O8962" i="3"/>
  <c r="P8961" i="3"/>
  <c r="O8961" i="3"/>
  <c r="P8960" i="3"/>
  <c r="O8960" i="3"/>
  <c r="P8959" i="3"/>
  <c r="O8959" i="3"/>
  <c r="P8958" i="3"/>
  <c r="O8958" i="3"/>
  <c r="P8957" i="3"/>
  <c r="O8957" i="3"/>
  <c r="P8956" i="3"/>
  <c r="O8956" i="3"/>
  <c r="P8955" i="3"/>
  <c r="O8955" i="3"/>
  <c r="P8954" i="3"/>
  <c r="O8954" i="3"/>
  <c r="P8953" i="3"/>
  <c r="O8953" i="3"/>
  <c r="P8952" i="3"/>
  <c r="O8952" i="3"/>
  <c r="P8951" i="3"/>
  <c r="O8951" i="3"/>
  <c r="P8950" i="3"/>
  <c r="O8950" i="3"/>
  <c r="P8949" i="3"/>
  <c r="O8949" i="3"/>
  <c r="P8948" i="3"/>
  <c r="O8948" i="3"/>
  <c r="P8947" i="3"/>
  <c r="O8947" i="3"/>
  <c r="P8946" i="3"/>
  <c r="O8946" i="3"/>
  <c r="P8945" i="3"/>
  <c r="O8945" i="3"/>
  <c r="P8944" i="3"/>
  <c r="O8944" i="3"/>
  <c r="P8943" i="3"/>
  <c r="O8943" i="3"/>
  <c r="P8942" i="3"/>
  <c r="O8942" i="3"/>
  <c r="P8941" i="3"/>
  <c r="O8941" i="3"/>
  <c r="P8940" i="3"/>
  <c r="O8940" i="3"/>
  <c r="P8939" i="3"/>
  <c r="O8939" i="3"/>
  <c r="P8938" i="3"/>
  <c r="O8938" i="3"/>
  <c r="P8937" i="3"/>
  <c r="O8937" i="3"/>
  <c r="P8936" i="3"/>
  <c r="O8936" i="3"/>
  <c r="P8935" i="3"/>
  <c r="O8935" i="3"/>
  <c r="P8934" i="3"/>
  <c r="O8934" i="3"/>
  <c r="P8933" i="3"/>
  <c r="O8933" i="3"/>
  <c r="P8932" i="3"/>
  <c r="O8932" i="3"/>
  <c r="P8931" i="3"/>
  <c r="O8931" i="3"/>
  <c r="P8930" i="3"/>
  <c r="O8930" i="3"/>
  <c r="P8929" i="3"/>
  <c r="O8929" i="3"/>
  <c r="P8928" i="3"/>
  <c r="O8928" i="3"/>
  <c r="P8927" i="3"/>
  <c r="O8927" i="3"/>
  <c r="P8926" i="3"/>
  <c r="O8926" i="3"/>
  <c r="P8925" i="3"/>
  <c r="O8925" i="3"/>
  <c r="P8924" i="3"/>
  <c r="O8924" i="3"/>
  <c r="P8923" i="3"/>
  <c r="O8923" i="3"/>
  <c r="P8922" i="3"/>
  <c r="O8922" i="3"/>
  <c r="P8921" i="3"/>
  <c r="O8921" i="3"/>
  <c r="P8920" i="3"/>
  <c r="O8920" i="3"/>
  <c r="P8919" i="3"/>
  <c r="O8919" i="3"/>
  <c r="P8918" i="3"/>
  <c r="O8918" i="3"/>
  <c r="P8917" i="3"/>
  <c r="O8917" i="3"/>
  <c r="P8916" i="3"/>
  <c r="O8916" i="3"/>
  <c r="P8915" i="3"/>
  <c r="O8915" i="3"/>
  <c r="P8914" i="3"/>
  <c r="O8914" i="3"/>
  <c r="P8913" i="3"/>
  <c r="O8913" i="3"/>
  <c r="P8912" i="3"/>
  <c r="O8912" i="3"/>
  <c r="P8911" i="3"/>
  <c r="O8911" i="3"/>
  <c r="P8910" i="3"/>
  <c r="O8910" i="3"/>
  <c r="P8909" i="3"/>
  <c r="O8909" i="3"/>
  <c r="P8908" i="3"/>
  <c r="O8908" i="3"/>
  <c r="P8907" i="3"/>
  <c r="O8907" i="3"/>
  <c r="P8906" i="3"/>
  <c r="O8906" i="3"/>
  <c r="P8905" i="3"/>
  <c r="O8905" i="3"/>
  <c r="P8904" i="3"/>
  <c r="O8904" i="3"/>
  <c r="P8903" i="3"/>
  <c r="O8903" i="3"/>
  <c r="P8902" i="3"/>
  <c r="O8902" i="3"/>
  <c r="P8901" i="3"/>
  <c r="O8901" i="3"/>
  <c r="P8900" i="3"/>
  <c r="O8900" i="3"/>
  <c r="P8899" i="3"/>
  <c r="O8899" i="3"/>
  <c r="P8898" i="3"/>
  <c r="O8898" i="3"/>
  <c r="P8897" i="3"/>
  <c r="O8897" i="3"/>
  <c r="P8896" i="3"/>
  <c r="O8896" i="3"/>
  <c r="P8895" i="3"/>
  <c r="O8895" i="3"/>
  <c r="P8894" i="3"/>
  <c r="O8894" i="3"/>
  <c r="P8893" i="3"/>
  <c r="O8893" i="3"/>
  <c r="P8892" i="3"/>
  <c r="O8892" i="3"/>
  <c r="P8891" i="3"/>
  <c r="O8891" i="3"/>
  <c r="P8890" i="3"/>
  <c r="O8890" i="3"/>
  <c r="P8889" i="3"/>
  <c r="O8889" i="3"/>
  <c r="P8888" i="3"/>
  <c r="O8888" i="3"/>
  <c r="P8887" i="3"/>
  <c r="O8887" i="3"/>
  <c r="P8886" i="3"/>
  <c r="O8886" i="3"/>
  <c r="P8885" i="3"/>
  <c r="O8885" i="3"/>
  <c r="P8884" i="3"/>
  <c r="O8884" i="3"/>
  <c r="P8883" i="3"/>
  <c r="O8883" i="3"/>
  <c r="P8882" i="3"/>
  <c r="O8882" i="3"/>
  <c r="P8881" i="3"/>
  <c r="O8881" i="3"/>
  <c r="P8880" i="3"/>
  <c r="O8880" i="3"/>
  <c r="P8879" i="3"/>
  <c r="O8879" i="3"/>
  <c r="P8878" i="3"/>
  <c r="O8878" i="3"/>
  <c r="P8877" i="3"/>
  <c r="O8877" i="3"/>
  <c r="P8876" i="3"/>
  <c r="O8876" i="3"/>
  <c r="P8875" i="3"/>
  <c r="O8875" i="3"/>
  <c r="P8874" i="3"/>
  <c r="O8874" i="3"/>
  <c r="P8873" i="3"/>
  <c r="O8873" i="3"/>
  <c r="P8872" i="3"/>
  <c r="O8872" i="3"/>
  <c r="P8871" i="3"/>
  <c r="O8871" i="3"/>
  <c r="P8870" i="3"/>
  <c r="O8870" i="3"/>
  <c r="P8869" i="3"/>
  <c r="O8869" i="3"/>
  <c r="P8868" i="3"/>
  <c r="O8868" i="3"/>
  <c r="P8867" i="3"/>
  <c r="O8867" i="3"/>
  <c r="P8866" i="3"/>
  <c r="O8866" i="3"/>
  <c r="P8865" i="3"/>
  <c r="O8865" i="3"/>
  <c r="P8864" i="3"/>
  <c r="O8864" i="3"/>
  <c r="P8863" i="3"/>
  <c r="O8863" i="3"/>
  <c r="P8862" i="3"/>
  <c r="O8862" i="3"/>
  <c r="P8861" i="3"/>
  <c r="O8861" i="3"/>
  <c r="P8860" i="3"/>
  <c r="O8860" i="3"/>
  <c r="P8859" i="3"/>
  <c r="O8859" i="3"/>
  <c r="P8858" i="3"/>
  <c r="O8858" i="3"/>
  <c r="P8857" i="3"/>
  <c r="O8857" i="3"/>
  <c r="P8856" i="3"/>
  <c r="O8856" i="3"/>
  <c r="P8855" i="3"/>
  <c r="O8855" i="3"/>
  <c r="P8854" i="3"/>
  <c r="O8854" i="3"/>
  <c r="P8853" i="3"/>
  <c r="O8853" i="3"/>
  <c r="P8852" i="3"/>
  <c r="O8852" i="3"/>
  <c r="P8851" i="3"/>
  <c r="O8851" i="3"/>
  <c r="P8850" i="3"/>
  <c r="O8850" i="3"/>
  <c r="P8849" i="3"/>
  <c r="O8849" i="3"/>
  <c r="P8848" i="3"/>
  <c r="O8848" i="3"/>
  <c r="P8847" i="3"/>
  <c r="O8847" i="3"/>
  <c r="P8846" i="3"/>
  <c r="O8846" i="3"/>
  <c r="P8845" i="3"/>
  <c r="O8845" i="3"/>
  <c r="P8844" i="3"/>
  <c r="O8844" i="3"/>
  <c r="P8843" i="3"/>
  <c r="O8843" i="3"/>
  <c r="P8842" i="3"/>
  <c r="O8842" i="3"/>
  <c r="P8841" i="3"/>
  <c r="O8841" i="3"/>
  <c r="P8840" i="3"/>
  <c r="O8840" i="3"/>
  <c r="P8839" i="3"/>
  <c r="O8839" i="3"/>
  <c r="P8838" i="3"/>
  <c r="O8838" i="3"/>
  <c r="P8837" i="3"/>
  <c r="O8837" i="3"/>
  <c r="P8836" i="3"/>
  <c r="O8836" i="3"/>
  <c r="P8835" i="3"/>
  <c r="O8835" i="3"/>
  <c r="P8834" i="3"/>
  <c r="O8834" i="3"/>
  <c r="P8833" i="3"/>
  <c r="O8833" i="3"/>
  <c r="P8832" i="3"/>
  <c r="O8832" i="3"/>
  <c r="P8831" i="3"/>
  <c r="O8831" i="3"/>
  <c r="P8830" i="3"/>
  <c r="O8830" i="3"/>
  <c r="P8829" i="3"/>
  <c r="O8829" i="3"/>
  <c r="P8828" i="3"/>
  <c r="O8828" i="3"/>
  <c r="P8827" i="3"/>
  <c r="O8827" i="3"/>
  <c r="P8826" i="3"/>
  <c r="O8826" i="3"/>
  <c r="P8825" i="3"/>
  <c r="O8825" i="3"/>
  <c r="P8824" i="3"/>
  <c r="O8824" i="3"/>
  <c r="P8823" i="3"/>
  <c r="O8823" i="3"/>
  <c r="P8822" i="3"/>
  <c r="O8822" i="3"/>
  <c r="P8821" i="3"/>
  <c r="O8821" i="3"/>
  <c r="P8820" i="3"/>
  <c r="O8820" i="3"/>
  <c r="P8819" i="3"/>
  <c r="O8819" i="3"/>
  <c r="P8818" i="3"/>
  <c r="O8818" i="3"/>
  <c r="P8817" i="3"/>
  <c r="O8817" i="3"/>
  <c r="P8816" i="3"/>
  <c r="O8816" i="3"/>
  <c r="P8815" i="3"/>
  <c r="O8815" i="3"/>
  <c r="P8814" i="3"/>
  <c r="O8814" i="3"/>
  <c r="P8813" i="3"/>
  <c r="O8813" i="3"/>
  <c r="P8812" i="3"/>
  <c r="O8812" i="3"/>
  <c r="P8811" i="3"/>
  <c r="O8811" i="3"/>
  <c r="P8810" i="3"/>
  <c r="O8810" i="3"/>
  <c r="P8809" i="3"/>
  <c r="O8809" i="3"/>
  <c r="P8808" i="3"/>
  <c r="O8808" i="3"/>
  <c r="P8807" i="3"/>
  <c r="O8807" i="3"/>
  <c r="P8806" i="3"/>
  <c r="O8806" i="3"/>
  <c r="P8805" i="3"/>
  <c r="O8805" i="3"/>
  <c r="P8804" i="3"/>
  <c r="O8804" i="3"/>
  <c r="P8803" i="3"/>
  <c r="O8803" i="3"/>
  <c r="P8802" i="3"/>
  <c r="O8802" i="3"/>
  <c r="P8801" i="3"/>
  <c r="O8801" i="3"/>
  <c r="P8800" i="3"/>
  <c r="O8800" i="3"/>
  <c r="P8799" i="3"/>
  <c r="O8799" i="3"/>
  <c r="P8798" i="3"/>
  <c r="O8798" i="3"/>
  <c r="P8797" i="3"/>
  <c r="O8797" i="3"/>
  <c r="P8796" i="3"/>
  <c r="O8796" i="3"/>
  <c r="P8795" i="3"/>
  <c r="O8795" i="3"/>
  <c r="P8794" i="3"/>
  <c r="O8794" i="3"/>
  <c r="P8793" i="3"/>
  <c r="O8793" i="3"/>
  <c r="P8792" i="3"/>
  <c r="O8792" i="3"/>
  <c r="P8791" i="3"/>
  <c r="O8791" i="3"/>
  <c r="P8790" i="3"/>
  <c r="O8790" i="3"/>
  <c r="P8789" i="3"/>
  <c r="O8789" i="3"/>
  <c r="P8788" i="3"/>
  <c r="O8788" i="3"/>
  <c r="P8787" i="3"/>
  <c r="O8787" i="3"/>
  <c r="P8786" i="3"/>
  <c r="O8786" i="3"/>
  <c r="P8785" i="3"/>
  <c r="O8785" i="3"/>
  <c r="P8784" i="3"/>
  <c r="O8784" i="3"/>
  <c r="P8783" i="3"/>
  <c r="O8783" i="3"/>
  <c r="P8782" i="3"/>
  <c r="O8782" i="3"/>
  <c r="P8781" i="3"/>
  <c r="O8781" i="3"/>
  <c r="P8780" i="3"/>
  <c r="O8780" i="3"/>
  <c r="P8779" i="3"/>
  <c r="O8779" i="3"/>
  <c r="P8778" i="3"/>
  <c r="O8778" i="3"/>
  <c r="P8777" i="3"/>
  <c r="O8777" i="3"/>
  <c r="P8776" i="3"/>
  <c r="O8776" i="3"/>
  <c r="P8775" i="3"/>
  <c r="O8775" i="3"/>
  <c r="P8774" i="3"/>
  <c r="O8774" i="3"/>
  <c r="P8773" i="3"/>
  <c r="O8773" i="3"/>
  <c r="P8772" i="3"/>
  <c r="O8772" i="3"/>
  <c r="P8771" i="3"/>
  <c r="O8771" i="3"/>
  <c r="P8770" i="3"/>
  <c r="O8770" i="3"/>
  <c r="P8769" i="3"/>
  <c r="O8769" i="3"/>
  <c r="P8768" i="3"/>
  <c r="O8768" i="3"/>
  <c r="P8767" i="3"/>
  <c r="O8767" i="3"/>
  <c r="P8766" i="3"/>
  <c r="O8766" i="3"/>
  <c r="P8765" i="3"/>
  <c r="O8765" i="3"/>
  <c r="P8764" i="3"/>
  <c r="O8764" i="3"/>
  <c r="P8763" i="3"/>
  <c r="O8763" i="3"/>
  <c r="P8762" i="3"/>
  <c r="O8762" i="3"/>
  <c r="P8761" i="3"/>
  <c r="O8761" i="3"/>
  <c r="P8760" i="3"/>
  <c r="O8760" i="3"/>
  <c r="P8759" i="3"/>
  <c r="O8759" i="3"/>
  <c r="P8758" i="3"/>
  <c r="O8758" i="3"/>
  <c r="P8757" i="3"/>
  <c r="O8757" i="3"/>
  <c r="P8756" i="3"/>
  <c r="O8756" i="3"/>
  <c r="P8755" i="3"/>
  <c r="O8755" i="3"/>
  <c r="P8754" i="3"/>
  <c r="O8754" i="3"/>
  <c r="P8753" i="3"/>
  <c r="O8753" i="3"/>
  <c r="P8752" i="3"/>
  <c r="O8752" i="3"/>
  <c r="P8751" i="3"/>
  <c r="O8751" i="3"/>
  <c r="P8750" i="3"/>
  <c r="O8750" i="3"/>
  <c r="P8749" i="3"/>
  <c r="O8749" i="3"/>
  <c r="P8748" i="3"/>
  <c r="O8748" i="3"/>
  <c r="P8747" i="3"/>
  <c r="O8747" i="3"/>
  <c r="P8746" i="3"/>
  <c r="O8746" i="3"/>
  <c r="P8745" i="3"/>
  <c r="O8745" i="3"/>
  <c r="P8744" i="3"/>
  <c r="O8744" i="3"/>
  <c r="P8743" i="3"/>
  <c r="O8743" i="3"/>
  <c r="P8742" i="3"/>
  <c r="O8742" i="3"/>
  <c r="P8741" i="3"/>
  <c r="O8741" i="3"/>
  <c r="P8740" i="3"/>
  <c r="O8740" i="3"/>
  <c r="P8739" i="3"/>
  <c r="O8739" i="3"/>
  <c r="P8738" i="3"/>
  <c r="O8738" i="3"/>
  <c r="P8737" i="3"/>
  <c r="O8737" i="3"/>
  <c r="P8736" i="3"/>
  <c r="O8736" i="3"/>
  <c r="P8735" i="3"/>
  <c r="O8735" i="3"/>
  <c r="P8734" i="3"/>
  <c r="O8734" i="3"/>
  <c r="P8733" i="3"/>
  <c r="O8733" i="3"/>
  <c r="P8732" i="3"/>
  <c r="O8732" i="3"/>
  <c r="P8731" i="3"/>
  <c r="O8731" i="3"/>
  <c r="P8730" i="3"/>
  <c r="O8730" i="3"/>
  <c r="P8729" i="3"/>
  <c r="O8729" i="3"/>
  <c r="P8728" i="3"/>
  <c r="O8728" i="3"/>
  <c r="P8727" i="3"/>
  <c r="O8727" i="3"/>
  <c r="P8726" i="3"/>
  <c r="O8726" i="3"/>
  <c r="P8725" i="3"/>
  <c r="O8725" i="3"/>
  <c r="P8724" i="3"/>
  <c r="O8724" i="3"/>
  <c r="P8723" i="3"/>
  <c r="O8723" i="3"/>
  <c r="P8722" i="3"/>
  <c r="O8722" i="3"/>
  <c r="P8721" i="3"/>
  <c r="O8721" i="3"/>
  <c r="P8720" i="3"/>
  <c r="O8720" i="3"/>
  <c r="P8719" i="3"/>
  <c r="O8719" i="3"/>
  <c r="P8718" i="3"/>
  <c r="O8718" i="3"/>
  <c r="P8717" i="3"/>
  <c r="O8717" i="3"/>
  <c r="P8716" i="3"/>
  <c r="O8716" i="3"/>
  <c r="P8715" i="3"/>
  <c r="O8715" i="3"/>
  <c r="P8714" i="3"/>
  <c r="O8714" i="3"/>
  <c r="P8713" i="3"/>
  <c r="O8713" i="3"/>
  <c r="P8712" i="3"/>
  <c r="O8712" i="3"/>
  <c r="P8711" i="3"/>
  <c r="O8711" i="3"/>
  <c r="P8710" i="3"/>
  <c r="O8710" i="3"/>
  <c r="P8709" i="3"/>
  <c r="O8709" i="3"/>
  <c r="P8708" i="3"/>
  <c r="O8708" i="3"/>
  <c r="P8707" i="3"/>
  <c r="O8707" i="3"/>
  <c r="P8706" i="3"/>
  <c r="O8706" i="3"/>
  <c r="P8705" i="3"/>
  <c r="O8705" i="3"/>
  <c r="P8704" i="3"/>
  <c r="O8704" i="3"/>
  <c r="P8703" i="3"/>
  <c r="O8703" i="3"/>
  <c r="P8702" i="3"/>
  <c r="O8702" i="3"/>
  <c r="P8701" i="3"/>
  <c r="O8701" i="3"/>
  <c r="P8700" i="3"/>
  <c r="O8700" i="3"/>
  <c r="P8699" i="3"/>
  <c r="O8699" i="3"/>
  <c r="P8698" i="3"/>
  <c r="O8698" i="3"/>
  <c r="P8697" i="3"/>
  <c r="O8697" i="3"/>
  <c r="P8696" i="3"/>
  <c r="O8696" i="3"/>
  <c r="P8695" i="3"/>
  <c r="O8695" i="3"/>
  <c r="P8694" i="3"/>
  <c r="O8694" i="3"/>
  <c r="P8693" i="3"/>
  <c r="O8693" i="3"/>
  <c r="P8692" i="3"/>
  <c r="O8692" i="3"/>
  <c r="P8691" i="3"/>
  <c r="O8691" i="3"/>
  <c r="P8690" i="3"/>
  <c r="O8690" i="3"/>
  <c r="P8689" i="3"/>
  <c r="O8689" i="3"/>
  <c r="P8688" i="3"/>
  <c r="O8688" i="3"/>
  <c r="P8687" i="3"/>
  <c r="O8687" i="3"/>
  <c r="P8686" i="3"/>
  <c r="O8686" i="3"/>
  <c r="P8685" i="3"/>
  <c r="O8685" i="3"/>
  <c r="P8684" i="3"/>
  <c r="O8684" i="3"/>
  <c r="P8683" i="3"/>
  <c r="O8683" i="3"/>
  <c r="P8682" i="3"/>
  <c r="O8682" i="3"/>
  <c r="P8681" i="3"/>
  <c r="O8681" i="3"/>
  <c r="P8680" i="3"/>
  <c r="O8680" i="3"/>
  <c r="P8679" i="3"/>
  <c r="O8679" i="3"/>
  <c r="P8678" i="3"/>
  <c r="O8678" i="3"/>
  <c r="P8677" i="3"/>
  <c r="O8677" i="3"/>
  <c r="P8676" i="3"/>
  <c r="O8676" i="3"/>
  <c r="P8675" i="3"/>
  <c r="O8675" i="3"/>
  <c r="P8674" i="3"/>
  <c r="O8674" i="3"/>
  <c r="P8673" i="3"/>
  <c r="O8673" i="3"/>
  <c r="P8672" i="3"/>
  <c r="O8672" i="3"/>
  <c r="P8671" i="3"/>
  <c r="O8671" i="3"/>
  <c r="P8670" i="3"/>
  <c r="O8670" i="3"/>
  <c r="P8669" i="3"/>
  <c r="O8669" i="3"/>
  <c r="P8668" i="3"/>
  <c r="O8668" i="3"/>
  <c r="P8667" i="3"/>
  <c r="O8667" i="3"/>
  <c r="P8666" i="3"/>
  <c r="O8666" i="3"/>
  <c r="P8665" i="3"/>
  <c r="O8665" i="3"/>
  <c r="P8664" i="3"/>
  <c r="O8664" i="3"/>
  <c r="P8663" i="3"/>
  <c r="O8663" i="3"/>
  <c r="P8662" i="3"/>
  <c r="O8662" i="3"/>
  <c r="P8661" i="3"/>
  <c r="O8661" i="3"/>
  <c r="P8660" i="3"/>
  <c r="O8660" i="3"/>
  <c r="P8659" i="3"/>
  <c r="O8659" i="3"/>
  <c r="P8658" i="3"/>
  <c r="O8658" i="3"/>
  <c r="P8657" i="3"/>
  <c r="O8657" i="3"/>
  <c r="P8656" i="3"/>
  <c r="O8656" i="3"/>
  <c r="P8655" i="3"/>
  <c r="O8655" i="3"/>
  <c r="P8654" i="3"/>
  <c r="O8654" i="3"/>
  <c r="P8653" i="3"/>
  <c r="O8653" i="3"/>
  <c r="P8652" i="3"/>
  <c r="O8652" i="3"/>
  <c r="P8651" i="3"/>
  <c r="O8651" i="3"/>
  <c r="P8650" i="3"/>
  <c r="O8650" i="3"/>
  <c r="P8649" i="3"/>
  <c r="O8649" i="3"/>
  <c r="P8648" i="3"/>
  <c r="O8648" i="3"/>
  <c r="P8647" i="3"/>
  <c r="O8647" i="3"/>
  <c r="P8646" i="3"/>
  <c r="O8646" i="3"/>
  <c r="P8645" i="3"/>
  <c r="O8645" i="3"/>
  <c r="P8644" i="3"/>
  <c r="O8644" i="3"/>
  <c r="P8643" i="3"/>
  <c r="O8643" i="3"/>
  <c r="P8642" i="3"/>
  <c r="O8642" i="3"/>
  <c r="P8641" i="3"/>
  <c r="O8641" i="3"/>
  <c r="P8640" i="3"/>
  <c r="O8640" i="3"/>
  <c r="P8639" i="3"/>
  <c r="O8639" i="3"/>
  <c r="P8638" i="3"/>
  <c r="O8638" i="3"/>
  <c r="P8637" i="3"/>
  <c r="O8637" i="3"/>
  <c r="P8636" i="3"/>
  <c r="O8636" i="3"/>
  <c r="P8635" i="3"/>
  <c r="O8635" i="3"/>
  <c r="P8634" i="3"/>
  <c r="O8634" i="3"/>
  <c r="P8633" i="3"/>
  <c r="O8633" i="3"/>
  <c r="P8632" i="3"/>
  <c r="O8632" i="3"/>
  <c r="P8631" i="3"/>
  <c r="O8631" i="3"/>
  <c r="P8630" i="3"/>
  <c r="O8630" i="3"/>
  <c r="P8629" i="3"/>
  <c r="O8629" i="3"/>
  <c r="P8628" i="3"/>
  <c r="O8628" i="3"/>
  <c r="P8627" i="3"/>
  <c r="O8627" i="3"/>
  <c r="P8626" i="3"/>
  <c r="O8626" i="3"/>
  <c r="P8625" i="3"/>
  <c r="O8625" i="3"/>
  <c r="P8624" i="3"/>
  <c r="O8624" i="3"/>
  <c r="P8623" i="3"/>
  <c r="O8623" i="3"/>
  <c r="P8622" i="3"/>
  <c r="O8622" i="3"/>
  <c r="P8621" i="3"/>
  <c r="O8621" i="3"/>
  <c r="P8620" i="3"/>
  <c r="O8620" i="3"/>
  <c r="P8619" i="3"/>
  <c r="O8619" i="3"/>
  <c r="P8618" i="3"/>
  <c r="O8618" i="3"/>
  <c r="P8617" i="3"/>
  <c r="O8617" i="3"/>
  <c r="P8616" i="3"/>
  <c r="O8616" i="3"/>
  <c r="P8615" i="3"/>
  <c r="O8615" i="3"/>
  <c r="P8614" i="3"/>
  <c r="O8614" i="3"/>
  <c r="P8613" i="3"/>
  <c r="O8613" i="3"/>
  <c r="P8612" i="3"/>
  <c r="O8612" i="3"/>
  <c r="P8611" i="3"/>
  <c r="O8611" i="3"/>
  <c r="P8610" i="3"/>
  <c r="O8610" i="3"/>
  <c r="P8609" i="3"/>
  <c r="O8609" i="3"/>
  <c r="P8608" i="3"/>
  <c r="O8608" i="3"/>
  <c r="P8607" i="3"/>
  <c r="O8607" i="3"/>
  <c r="P8606" i="3"/>
  <c r="O8606" i="3"/>
  <c r="P8605" i="3"/>
  <c r="O8605" i="3"/>
  <c r="P8604" i="3"/>
  <c r="O8604" i="3"/>
  <c r="P8603" i="3"/>
  <c r="O8603" i="3"/>
  <c r="P8602" i="3"/>
  <c r="O8602" i="3"/>
  <c r="P8601" i="3"/>
  <c r="O8601" i="3"/>
  <c r="P8600" i="3"/>
  <c r="O8600" i="3"/>
  <c r="P8599" i="3"/>
  <c r="O8599" i="3"/>
  <c r="P8598" i="3"/>
  <c r="O8598" i="3"/>
  <c r="P8597" i="3"/>
  <c r="O8597" i="3"/>
  <c r="P8596" i="3"/>
  <c r="O8596" i="3"/>
  <c r="P8595" i="3"/>
  <c r="O8595" i="3"/>
  <c r="P8594" i="3"/>
  <c r="O8594" i="3"/>
  <c r="P8593" i="3"/>
  <c r="O8593" i="3"/>
  <c r="P8592" i="3"/>
  <c r="O8592" i="3"/>
  <c r="P8591" i="3"/>
  <c r="O8591" i="3"/>
  <c r="P8590" i="3"/>
  <c r="O8590" i="3"/>
  <c r="P8589" i="3"/>
  <c r="O8589" i="3"/>
  <c r="P8588" i="3"/>
  <c r="O8588" i="3"/>
  <c r="P8587" i="3"/>
  <c r="O8587" i="3"/>
  <c r="P8586" i="3"/>
  <c r="O8586" i="3"/>
  <c r="P8585" i="3"/>
  <c r="O8585" i="3"/>
  <c r="P8584" i="3"/>
  <c r="O8584" i="3"/>
  <c r="P8583" i="3"/>
  <c r="O8583" i="3"/>
  <c r="P8582" i="3"/>
  <c r="O8582" i="3"/>
  <c r="P8581" i="3"/>
  <c r="O8581" i="3"/>
  <c r="P8580" i="3"/>
  <c r="O8580" i="3"/>
  <c r="P8579" i="3"/>
  <c r="O8579" i="3"/>
  <c r="P8578" i="3"/>
  <c r="O8578" i="3"/>
  <c r="P8577" i="3"/>
  <c r="O8577" i="3"/>
  <c r="P8576" i="3"/>
  <c r="O8576" i="3"/>
  <c r="P8575" i="3"/>
  <c r="O8575" i="3"/>
  <c r="P8574" i="3"/>
  <c r="O8574" i="3"/>
  <c r="P8573" i="3"/>
  <c r="O8573" i="3"/>
  <c r="P8572" i="3"/>
  <c r="O8572" i="3"/>
  <c r="P8571" i="3"/>
  <c r="O8571" i="3"/>
  <c r="P8570" i="3"/>
  <c r="O8570" i="3"/>
  <c r="P8569" i="3"/>
  <c r="O8569" i="3"/>
  <c r="P8568" i="3"/>
  <c r="O8568" i="3"/>
  <c r="P8567" i="3"/>
  <c r="O8567" i="3"/>
  <c r="P8566" i="3"/>
  <c r="O8566" i="3"/>
  <c r="P8565" i="3"/>
  <c r="O8565" i="3"/>
  <c r="P8564" i="3"/>
  <c r="O8564" i="3"/>
  <c r="P8563" i="3"/>
  <c r="O8563" i="3"/>
  <c r="P8562" i="3"/>
  <c r="O8562" i="3"/>
  <c r="P8561" i="3"/>
  <c r="O8561" i="3"/>
  <c r="P8560" i="3"/>
  <c r="O8560" i="3"/>
  <c r="P8559" i="3"/>
  <c r="O8559" i="3"/>
  <c r="P8558" i="3"/>
  <c r="O8558" i="3"/>
  <c r="P8557" i="3"/>
  <c r="O8557" i="3"/>
  <c r="P8556" i="3"/>
  <c r="O8556" i="3"/>
  <c r="P8555" i="3"/>
  <c r="O8555" i="3"/>
  <c r="P8554" i="3"/>
  <c r="O8554" i="3"/>
  <c r="P8553" i="3"/>
  <c r="O8553" i="3"/>
  <c r="P8552" i="3"/>
  <c r="O8552" i="3"/>
  <c r="P8551" i="3"/>
  <c r="O8551" i="3"/>
  <c r="P8550" i="3"/>
  <c r="O8550" i="3"/>
  <c r="P8549" i="3"/>
  <c r="O8549" i="3"/>
  <c r="P8548" i="3"/>
  <c r="O8548" i="3"/>
  <c r="P8547" i="3"/>
  <c r="O8547" i="3"/>
  <c r="P8546" i="3"/>
  <c r="O8546" i="3"/>
  <c r="P8545" i="3"/>
  <c r="O8545" i="3"/>
  <c r="P8544" i="3"/>
  <c r="O8544" i="3"/>
  <c r="P8543" i="3"/>
  <c r="O8543" i="3"/>
  <c r="P8542" i="3"/>
  <c r="O8542" i="3"/>
  <c r="P8541" i="3"/>
  <c r="O8541" i="3"/>
  <c r="P8540" i="3"/>
  <c r="O8540" i="3"/>
  <c r="P8539" i="3"/>
  <c r="O8539" i="3"/>
  <c r="P8538" i="3"/>
  <c r="O8538" i="3"/>
  <c r="P8537" i="3"/>
  <c r="O8537" i="3"/>
  <c r="P8536" i="3"/>
  <c r="O8536" i="3"/>
  <c r="P8535" i="3"/>
  <c r="O8535" i="3"/>
  <c r="P8534" i="3"/>
  <c r="O8534" i="3"/>
  <c r="P8533" i="3"/>
  <c r="O8533" i="3"/>
  <c r="P8532" i="3"/>
  <c r="O8532" i="3"/>
  <c r="P8531" i="3"/>
  <c r="O8531" i="3"/>
  <c r="P8530" i="3"/>
  <c r="O8530" i="3"/>
  <c r="P8529" i="3"/>
  <c r="O8529" i="3"/>
  <c r="P8528" i="3"/>
  <c r="O8528" i="3"/>
  <c r="P8527" i="3"/>
  <c r="O8527" i="3"/>
  <c r="P8526" i="3"/>
  <c r="O8526" i="3"/>
  <c r="P8525" i="3"/>
  <c r="O8525" i="3"/>
  <c r="P8524" i="3"/>
  <c r="O8524" i="3"/>
  <c r="P8523" i="3"/>
  <c r="O8523" i="3"/>
  <c r="P8522" i="3"/>
  <c r="O8522" i="3"/>
  <c r="P8521" i="3"/>
  <c r="O8521" i="3"/>
  <c r="P8520" i="3"/>
  <c r="O8520" i="3"/>
  <c r="P8519" i="3"/>
  <c r="O8519" i="3"/>
  <c r="P8518" i="3"/>
  <c r="O8518" i="3"/>
  <c r="P8517" i="3"/>
  <c r="O8517" i="3"/>
  <c r="P8516" i="3"/>
  <c r="O8516" i="3"/>
  <c r="P8515" i="3"/>
  <c r="O8515" i="3"/>
  <c r="P8514" i="3"/>
  <c r="O8514" i="3"/>
  <c r="P8513" i="3"/>
  <c r="O8513" i="3"/>
  <c r="P8512" i="3"/>
  <c r="O8512" i="3"/>
  <c r="P8511" i="3"/>
  <c r="O8511" i="3"/>
  <c r="P8510" i="3"/>
  <c r="O8510" i="3"/>
  <c r="P8509" i="3"/>
  <c r="O8509" i="3"/>
  <c r="P8508" i="3"/>
  <c r="O8508" i="3"/>
  <c r="P8507" i="3"/>
  <c r="O8507" i="3"/>
  <c r="P8506" i="3"/>
  <c r="O8506" i="3"/>
  <c r="P8505" i="3"/>
  <c r="O8505" i="3"/>
  <c r="P8504" i="3"/>
  <c r="O8504" i="3"/>
  <c r="P8503" i="3"/>
  <c r="O8503" i="3"/>
  <c r="P8502" i="3"/>
  <c r="O8502" i="3"/>
  <c r="P8501" i="3"/>
  <c r="O8501" i="3"/>
  <c r="P8500" i="3"/>
  <c r="O8500" i="3"/>
  <c r="P8499" i="3"/>
  <c r="O8499" i="3"/>
  <c r="P8498" i="3"/>
  <c r="O8498" i="3"/>
  <c r="P8497" i="3"/>
  <c r="O8497" i="3"/>
  <c r="P8496" i="3"/>
  <c r="O8496" i="3"/>
  <c r="P8495" i="3"/>
  <c r="O8495" i="3"/>
  <c r="P8494" i="3"/>
  <c r="O8494" i="3"/>
  <c r="P8493" i="3"/>
  <c r="O8493" i="3"/>
  <c r="P8492" i="3"/>
  <c r="O8492" i="3"/>
  <c r="P8491" i="3"/>
  <c r="O8491" i="3"/>
  <c r="P8490" i="3"/>
  <c r="O8490" i="3"/>
  <c r="P8489" i="3"/>
  <c r="O8489" i="3"/>
  <c r="P8488" i="3"/>
  <c r="O8488" i="3"/>
  <c r="P8487" i="3"/>
  <c r="O8487" i="3"/>
  <c r="P8486" i="3"/>
  <c r="O8486" i="3"/>
  <c r="P8485" i="3"/>
  <c r="O8485" i="3"/>
  <c r="P8484" i="3"/>
  <c r="O8484" i="3"/>
  <c r="P8483" i="3"/>
  <c r="O8483" i="3"/>
  <c r="P8482" i="3"/>
  <c r="O8482" i="3"/>
  <c r="P8481" i="3"/>
  <c r="O8481" i="3"/>
  <c r="P8480" i="3"/>
  <c r="O8480" i="3"/>
  <c r="P8479" i="3"/>
  <c r="O8479" i="3"/>
  <c r="P8478" i="3"/>
  <c r="O8478" i="3"/>
  <c r="P8477" i="3"/>
  <c r="O8477" i="3"/>
  <c r="P8476" i="3"/>
  <c r="O8476" i="3"/>
  <c r="P8475" i="3"/>
  <c r="O8475" i="3"/>
  <c r="P8474" i="3"/>
  <c r="O8474" i="3"/>
  <c r="P8473" i="3"/>
  <c r="O8473" i="3"/>
  <c r="P8472" i="3"/>
  <c r="O8472" i="3"/>
  <c r="P8471" i="3"/>
  <c r="O8471" i="3"/>
  <c r="P8470" i="3"/>
  <c r="O8470" i="3"/>
  <c r="P8469" i="3"/>
  <c r="O8469" i="3"/>
  <c r="P8468" i="3"/>
  <c r="O8468" i="3"/>
  <c r="P8467" i="3"/>
  <c r="O8467" i="3"/>
  <c r="P8466" i="3"/>
  <c r="O8466" i="3"/>
  <c r="P8465" i="3"/>
  <c r="O8465" i="3"/>
  <c r="P8464" i="3"/>
  <c r="O8464" i="3"/>
  <c r="P8463" i="3"/>
  <c r="O8463" i="3"/>
  <c r="P8462" i="3"/>
  <c r="O8462" i="3"/>
  <c r="P8461" i="3"/>
  <c r="O8461" i="3"/>
  <c r="P8460" i="3"/>
  <c r="O8460" i="3"/>
  <c r="P8459" i="3"/>
  <c r="O8459" i="3"/>
  <c r="P8458" i="3"/>
  <c r="O8458" i="3"/>
  <c r="P8457" i="3"/>
  <c r="O8457" i="3"/>
  <c r="P8456" i="3"/>
  <c r="O8456" i="3"/>
  <c r="P8455" i="3"/>
  <c r="O8455" i="3"/>
  <c r="P8454" i="3"/>
  <c r="O8454" i="3"/>
  <c r="P8453" i="3"/>
  <c r="O8453" i="3"/>
  <c r="P8452" i="3"/>
  <c r="O8452" i="3"/>
  <c r="P8451" i="3"/>
  <c r="O8451" i="3"/>
  <c r="P8450" i="3"/>
  <c r="O8450" i="3"/>
  <c r="P8449" i="3"/>
  <c r="O8449" i="3"/>
  <c r="P8448" i="3"/>
  <c r="O8448" i="3"/>
  <c r="P8447" i="3"/>
  <c r="O8447" i="3"/>
  <c r="P8446" i="3"/>
  <c r="O8446" i="3"/>
  <c r="P8445" i="3"/>
  <c r="O8445" i="3"/>
  <c r="P8444" i="3"/>
  <c r="O8444" i="3"/>
  <c r="P8443" i="3"/>
  <c r="O8443" i="3"/>
  <c r="P8442" i="3"/>
  <c r="O8442" i="3"/>
  <c r="P8441" i="3"/>
  <c r="O8441" i="3"/>
  <c r="P8440" i="3"/>
  <c r="O8440" i="3"/>
  <c r="P8439" i="3"/>
  <c r="O8439" i="3"/>
  <c r="P8438" i="3"/>
  <c r="O8438" i="3"/>
  <c r="P8437" i="3"/>
  <c r="O8437" i="3"/>
  <c r="P8436" i="3"/>
  <c r="O8436" i="3"/>
  <c r="P8435" i="3"/>
  <c r="O8435" i="3"/>
  <c r="P8434" i="3"/>
  <c r="O8434" i="3"/>
  <c r="P8433" i="3"/>
  <c r="O8433" i="3"/>
  <c r="P8432" i="3"/>
  <c r="O8432" i="3"/>
  <c r="P8431" i="3"/>
  <c r="O8431" i="3"/>
  <c r="P8430" i="3"/>
  <c r="O8430" i="3"/>
  <c r="P8429" i="3"/>
  <c r="O8429" i="3"/>
  <c r="P8428" i="3"/>
  <c r="O8428" i="3"/>
  <c r="P8427" i="3"/>
  <c r="O8427" i="3"/>
  <c r="P8426" i="3"/>
  <c r="O8426" i="3"/>
  <c r="P8425" i="3"/>
  <c r="O8425" i="3"/>
  <c r="P8424" i="3"/>
  <c r="O8424" i="3"/>
  <c r="P8423" i="3"/>
  <c r="O8423" i="3"/>
  <c r="P8422" i="3"/>
  <c r="O8422" i="3"/>
  <c r="P8421" i="3"/>
  <c r="O8421" i="3"/>
  <c r="P8420" i="3"/>
  <c r="O8420" i="3"/>
  <c r="P8419" i="3"/>
  <c r="O8419" i="3"/>
  <c r="P8418" i="3"/>
  <c r="O8418" i="3"/>
  <c r="P8417" i="3"/>
  <c r="O8417" i="3"/>
  <c r="P8416" i="3"/>
  <c r="O8416" i="3"/>
  <c r="P8415" i="3"/>
  <c r="O8415" i="3"/>
  <c r="P8414" i="3"/>
  <c r="O8414" i="3"/>
  <c r="P8413" i="3"/>
  <c r="O8413" i="3"/>
  <c r="P8412" i="3"/>
  <c r="O8412" i="3"/>
  <c r="P8411" i="3"/>
  <c r="O8411" i="3"/>
  <c r="P8410" i="3"/>
  <c r="O8410" i="3"/>
  <c r="P8409" i="3"/>
  <c r="O8409" i="3"/>
  <c r="P8408" i="3"/>
  <c r="O8408" i="3"/>
  <c r="P8407" i="3"/>
  <c r="O8407" i="3"/>
  <c r="P8406" i="3"/>
  <c r="O8406" i="3"/>
  <c r="P8405" i="3"/>
  <c r="O8405" i="3"/>
  <c r="P8404" i="3"/>
  <c r="O8404" i="3"/>
  <c r="P8403" i="3"/>
  <c r="O8403" i="3"/>
  <c r="P8402" i="3"/>
  <c r="O8402" i="3"/>
  <c r="P8401" i="3"/>
  <c r="O8401" i="3"/>
  <c r="P8400" i="3"/>
  <c r="O8400" i="3"/>
  <c r="P8399" i="3"/>
  <c r="O8399" i="3"/>
  <c r="P8398" i="3"/>
  <c r="O8398" i="3"/>
  <c r="P8397" i="3"/>
  <c r="O8397" i="3"/>
  <c r="P8396" i="3"/>
  <c r="O8396" i="3"/>
  <c r="P8395" i="3"/>
  <c r="O8395" i="3"/>
  <c r="P8394" i="3"/>
  <c r="O8394" i="3"/>
  <c r="P8393" i="3"/>
  <c r="O8393" i="3"/>
  <c r="P8392" i="3"/>
  <c r="O8392" i="3"/>
  <c r="P8391" i="3"/>
  <c r="O8391" i="3"/>
  <c r="P8390" i="3"/>
  <c r="O8390" i="3"/>
  <c r="P8389" i="3"/>
  <c r="O8389" i="3"/>
  <c r="P8388" i="3"/>
  <c r="O8388" i="3"/>
  <c r="P8387" i="3"/>
  <c r="O8387" i="3"/>
  <c r="P8386" i="3"/>
  <c r="O8386" i="3"/>
  <c r="P8385" i="3"/>
  <c r="O8385" i="3"/>
  <c r="P8384" i="3"/>
  <c r="O8384" i="3"/>
  <c r="P8383" i="3"/>
  <c r="O8383" i="3"/>
  <c r="P8382" i="3"/>
  <c r="O8382" i="3"/>
  <c r="P8381" i="3"/>
  <c r="O8381" i="3"/>
  <c r="P8380" i="3"/>
  <c r="O8380" i="3"/>
  <c r="P8379" i="3"/>
  <c r="O8379" i="3"/>
  <c r="P8378" i="3"/>
  <c r="O8378" i="3"/>
  <c r="P8377" i="3"/>
  <c r="O8377" i="3"/>
  <c r="P8376" i="3"/>
  <c r="O8376" i="3"/>
  <c r="P8375" i="3"/>
  <c r="O8375" i="3"/>
  <c r="P8374" i="3"/>
  <c r="O8374" i="3"/>
  <c r="P8373" i="3"/>
  <c r="O8373" i="3"/>
  <c r="P8372" i="3"/>
  <c r="O8372" i="3"/>
  <c r="P8371" i="3"/>
  <c r="O8371" i="3"/>
  <c r="P8370" i="3"/>
  <c r="O8370" i="3"/>
  <c r="P8369" i="3"/>
  <c r="O8369" i="3"/>
  <c r="P8368" i="3"/>
  <c r="O8368" i="3"/>
  <c r="P8367" i="3"/>
  <c r="O8367" i="3"/>
  <c r="P8366" i="3"/>
  <c r="O8366" i="3"/>
  <c r="P8365" i="3"/>
  <c r="O8365" i="3"/>
  <c r="P8364" i="3"/>
  <c r="O8364" i="3"/>
  <c r="P8363" i="3"/>
  <c r="O8363" i="3"/>
  <c r="P8362" i="3"/>
  <c r="O8362" i="3"/>
  <c r="P8361" i="3"/>
  <c r="O8361" i="3"/>
  <c r="P8360" i="3"/>
  <c r="O8360" i="3"/>
  <c r="P8359" i="3"/>
  <c r="O8359" i="3"/>
  <c r="P8358" i="3"/>
  <c r="O8358" i="3"/>
  <c r="P8357" i="3"/>
  <c r="O8357" i="3"/>
  <c r="P8356" i="3"/>
  <c r="O8356" i="3"/>
  <c r="P8355" i="3"/>
  <c r="O8355" i="3"/>
  <c r="P8354" i="3"/>
  <c r="O8354" i="3"/>
  <c r="P8353" i="3"/>
  <c r="O8353" i="3"/>
  <c r="P8352" i="3"/>
  <c r="O8352" i="3"/>
  <c r="P8351" i="3"/>
  <c r="O8351" i="3"/>
  <c r="P8350" i="3"/>
  <c r="O8350" i="3"/>
  <c r="P8349" i="3"/>
  <c r="O8349" i="3"/>
  <c r="P8348" i="3"/>
  <c r="O8348" i="3"/>
  <c r="P8347" i="3"/>
  <c r="O8347" i="3"/>
  <c r="P8346" i="3"/>
  <c r="O8346" i="3"/>
  <c r="P8345" i="3"/>
  <c r="O8345" i="3"/>
  <c r="P8344" i="3"/>
  <c r="O8344" i="3"/>
  <c r="P8343" i="3"/>
  <c r="O8343" i="3"/>
  <c r="P8342" i="3"/>
  <c r="O8342" i="3"/>
  <c r="P8341" i="3"/>
  <c r="O8341" i="3"/>
  <c r="P8340" i="3"/>
  <c r="O8340" i="3"/>
  <c r="P8339" i="3"/>
  <c r="O8339" i="3"/>
  <c r="P8338" i="3"/>
  <c r="O8338" i="3"/>
  <c r="P8337" i="3"/>
  <c r="O8337" i="3"/>
  <c r="P8336" i="3"/>
  <c r="O8336" i="3"/>
  <c r="P8335" i="3"/>
  <c r="O8335" i="3"/>
  <c r="P8334" i="3"/>
  <c r="O8334" i="3"/>
  <c r="P8333" i="3"/>
  <c r="O8333" i="3"/>
  <c r="P8332" i="3"/>
  <c r="O8332" i="3"/>
  <c r="P8331" i="3"/>
  <c r="O8331" i="3"/>
  <c r="P8330" i="3"/>
  <c r="O8330" i="3"/>
  <c r="P8329" i="3"/>
  <c r="O8329" i="3"/>
  <c r="P8328" i="3"/>
  <c r="O8328" i="3"/>
  <c r="P8327" i="3"/>
  <c r="O8327" i="3"/>
  <c r="P8326" i="3"/>
  <c r="O8326" i="3"/>
  <c r="P8325" i="3"/>
  <c r="O8325" i="3"/>
  <c r="P8324" i="3"/>
  <c r="O8324" i="3"/>
  <c r="P8323" i="3"/>
  <c r="O8323" i="3"/>
  <c r="P8322" i="3"/>
  <c r="O8322" i="3"/>
  <c r="P8321" i="3"/>
  <c r="O8321" i="3"/>
  <c r="P8320" i="3"/>
  <c r="O8320" i="3"/>
  <c r="P8319" i="3"/>
  <c r="O8319" i="3"/>
  <c r="P8318" i="3"/>
  <c r="O8318" i="3"/>
  <c r="P8317" i="3"/>
  <c r="O8317" i="3"/>
  <c r="P8316" i="3"/>
  <c r="O8316" i="3"/>
  <c r="P8315" i="3"/>
  <c r="O8315" i="3"/>
  <c r="P8314" i="3"/>
  <c r="O8314" i="3"/>
  <c r="P8313" i="3"/>
  <c r="O8313" i="3"/>
  <c r="P8312" i="3"/>
  <c r="O8312" i="3"/>
  <c r="P8311" i="3"/>
  <c r="O8311" i="3"/>
  <c r="P8310" i="3"/>
  <c r="O8310" i="3"/>
  <c r="P8309" i="3"/>
  <c r="O8309" i="3"/>
  <c r="P8308" i="3"/>
  <c r="O8308" i="3"/>
  <c r="P8307" i="3"/>
  <c r="O8307" i="3"/>
  <c r="P8306" i="3"/>
  <c r="O8306" i="3"/>
  <c r="P8305" i="3"/>
  <c r="O8305" i="3"/>
  <c r="P8304" i="3"/>
  <c r="O8304" i="3"/>
  <c r="P8303" i="3"/>
  <c r="O8303" i="3"/>
  <c r="P8302" i="3"/>
  <c r="O8302" i="3"/>
  <c r="P8301" i="3"/>
  <c r="O8301" i="3"/>
  <c r="P8300" i="3"/>
  <c r="O8300" i="3"/>
  <c r="P8299" i="3"/>
  <c r="O8299" i="3"/>
  <c r="P8298" i="3"/>
  <c r="O8298" i="3"/>
  <c r="P8297" i="3"/>
  <c r="O8297" i="3"/>
  <c r="P8296" i="3"/>
  <c r="O8296" i="3"/>
  <c r="P8295" i="3"/>
  <c r="O8295" i="3"/>
  <c r="P8294" i="3"/>
  <c r="O8294" i="3"/>
  <c r="P8293" i="3"/>
  <c r="O8293" i="3"/>
  <c r="P8292" i="3"/>
  <c r="O8292" i="3"/>
  <c r="P8291" i="3"/>
  <c r="O8291" i="3"/>
  <c r="P8290" i="3"/>
  <c r="O8290" i="3"/>
  <c r="P8289" i="3"/>
  <c r="O8289" i="3"/>
  <c r="P8288" i="3"/>
  <c r="O8288" i="3"/>
  <c r="P8287" i="3"/>
  <c r="O8287" i="3"/>
  <c r="P8286" i="3"/>
  <c r="O8286" i="3"/>
  <c r="P8285" i="3"/>
  <c r="O8285" i="3"/>
  <c r="P8284" i="3"/>
  <c r="O8284" i="3"/>
  <c r="P8283" i="3"/>
  <c r="O8283" i="3"/>
  <c r="P8282" i="3"/>
  <c r="O8282" i="3"/>
  <c r="P8281" i="3"/>
  <c r="O8281" i="3"/>
  <c r="P8280" i="3"/>
  <c r="O8280" i="3"/>
  <c r="P8279" i="3"/>
  <c r="O8279" i="3"/>
  <c r="P8278" i="3"/>
  <c r="O8278" i="3"/>
  <c r="P8277" i="3"/>
  <c r="O8277" i="3"/>
  <c r="P8276" i="3"/>
  <c r="O8276" i="3"/>
  <c r="P8275" i="3"/>
  <c r="O8275" i="3"/>
  <c r="P8274" i="3"/>
  <c r="O8274" i="3"/>
  <c r="P8273" i="3"/>
  <c r="O8273" i="3"/>
  <c r="P8272" i="3"/>
  <c r="O8272" i="3"/>
  <c r="P8271" i="3"/>
  <c r="O8271" i="3"/>
  <c r="P8270" i="3"/>
  <c r="O8270" i="3"/>
  <c r="P8269" i="3"/>
  <c r="O8269" i="3"/>
  <c r="P8268" i="3"/>
  <c r="O8268" i="3"/>
  <c r="P8267" i="3"/>
  <c r="O8267" i="3"/>
  <c r="P8266" i="3"/>
  <c r="O8266" i="3"/>
  <c r="P8265" i="3"/>
  <c r="O8265" i="3"/>
  <c r="P8264" i="3"/>
  <c r="O8264" i="3"/>
  <c r="P8263" i="3"/>
  <c r="O8263" i="3"/>
  <c r="P8262" i="3"/>
  <c r="O8262" i="3"/>
  <c r="P8261" i="3"/>
  <c r="O8261" i="3"/>
  <c r="P8260" i="3"/>
  <c r="O8260" i="3"/>
  <c r="P8259" i="3"/>
  <c r="O8259" i="3"/>
  <c r="P8258" i="3"/>
  <c r="O8258" i="3"/>
  <c r="P8257" i="3"/>
  <c r="O8257" i="3"/>
  <c r="P8256" i="3"/>
  <c r="O8256" i="3"/>
  <c r="P8255" i="3"/>
  <c r="O8255" i="3"/>
  <c r="P8254" i="3"/>
  <c r="O8254" i="3"/>
  <c r="P8253" i="3"/>
  <c r="O8253" i="3"/>
  <c r="P8252" i="3"/>
  <c r="O8252" i="3"/>
  <c r="P8251" i="3"/>
  <c r="O8251" i="3"/>
  <c r="P8250" i="3"/>
  <c r="O8250" i="3"/>
  <c r="P8249" i="3"/>
  <c r="O8249" i="3"/>
  <c r="P8248" i="3"/>
  <c r="O8248" i="3"/>
  <c r="P8247" i="3"/>
  <c r="O8247" i="3"/>
  <c r="P8246" i="3"/>
  <c r="O8246" i="3"/>
  <c r="P8245" i="3"/>
  <c r="O8245" i="3"/>
  <c r="P8244" i="3"/>
  <c r="O8244" i="3"/>
  <c r="P8243" i="3"/>
  <c r="O8243" i="3"/>
  <c r="P8242" i="3"/>
  <c r="O8242" i="3"/>
  <c r="P8241" i="3"/>
  <c r="O8241" i="3"/>
  <c r="P8240" i="3"/>
  <c r="O8240" i="3"/>
  <c r="P8239" i="3"/>
  <c r="O8239" i="3"/>
  <c r="P8238" i="3"/>
  <c r="O8238" i="3"/>
  <c r="P8237" i="3"/>
  <c r="O8237" i="3"/>
  <c r="P8236" i="3"/>
  <c r="O8236" i="3"/>
  <c r="P8235" i="3"/>
  <c r="O8235" i="3"/>
  <c r="P8234" i="3"/>
  <c r="O8234" i="3"/>
  <c r="P8233" i="3"/>
  <c r="O8233" i="3"/>
  <c r="P8232" i="3"/>
  <c r="O8232" i="3"/>
  <c r="P8231" i="3"/>
  <c r="O8231" i="3"/>
  <c r="P8230" i="3"/>
  <c r="O8230" i="3"/>
  <c r="P8229" i="3"/>
  <c r="O8229" i="3"/>
  <c r="P8228" i="3"/>
  <c r="O8228" i="3"/>
  <c r="P8227" i="3"/>
  <c r="O8227" i="3"/>
  <c r="P8226" i="3"/>
  <c r="O8226" i="3"/>
  <c r="P8225" i="3"/>
  <c r="O8225" i="3"/>
  <c r="P8224" i="3"/>
  <c r="O8224" i="3"/>
  <c r="P8223" i="3"/>
  <c r="O8223" i="3"/>
  <c r="P8222" i="3"/>
  <c r="O8222" i="3"/>
  <c r="P8221" i="3"/>
  <c r="O8221" i="3"/>
  <c r="P8220" i="3"/>
  <c r="O8220" i="3"/>
  <c r="P8219" i="3"/>
  <c r="O8219" i="3"/>
  <c r="P8218" i="3"/>
  <c r="O8218" i="3"/>
  <c r="P8217" i="3"/>
  <c r="O8217" i="3"/>
  <c r="P8216" i="3"/>
  <c r="O8216" i="3"/>
  <c r="P8215" i="3"/>
  <c r="O8215" i="3"/>
  <c r="P8214" i="3"/>
  <c r="O8214" i="3"/>
  <c r="P8213" i="3"/>
  <c r="O8213" i="3"/>
  <c r="P8212" i="3"/>
  <c r="O8212" i="3"/>
  <c r="P8211" i="3"/>
  <c r="O8211" i="3"/>
  <c r="P8210" i="3"/>
  <c r="O8210" i="3"/>
  <c r="P8209" i="3"/>
  <c r="O8209" i="3"/>
  <c r="P8208" i="3"/>
  <c r="O8208" i="3"/>
  <c r="P8207" i="3"/>
  <c r="O8207" i="3"/>
  <c r="P8206" i="3"/>
  <c r="O8206" i="3"/>
  <c r="P8205" i="3"/>
  <c r="O8205" i="3"/>
  <c r="P8204" i="3"/>
  <c r="O8204" i="3"/>
  <c r="P8203" i="3"/>
  <c r="O8203" i="3"/>
  <c r="P8202" i="3"/>
  <c r="O8202" i="3"/>
  <c r="P8201" i="3"/>
  <c r="O8201" i="3"/>
  <c r="P8200" i="3"/>
  <c r="O8200" i="3"/>
  <c r="P8199" i="3"/>
  <c r="O8199" i="3"/>
  <c r="P8198" i="3"/>
  <c r="O8198" i="3"/>
  <c r="P8197" i="3"/>
  <c r="O8197" i="3"/>
  <c r="P8196" i="3"/>
  <c r="O8196" i="3"/>
  <c r="P8195" i="3"/>
  <c r="O8195" i="3"/>
  <c r="P8194" i="3"/>
  <c r="O8194" i="3"/>
  <c r="P8193" i="3"/>
  <c r="O8193" i="3"/>
  <c r="P8192" i="3"/>
  <c r="O8192" i="3"/>
  <c r="P8191" i="3"/>
  <c r="O8191" i="3"/>
  <c r="P8190" i="3"/>
  <c r="O8190" i="3"/>
  <c r="P8189" i="3"/>
  <c r="O8189" i="3"/>
  <c r="P8188" i="3"/>
  <c r="O8188" i="3"/>
  <c r="P8187" i="3"/>
  <c r="O8187" i="3"/>
  <c r="P8186" i="3"/>
  <c r="O8186" i="3"/>
  <c r="P8185" i="3"/>
  <c r="O8185" i="3"/>
  <c r="P8184" i="3"/>
  <c r="O8184" i="3"/>
  <c r="P8183" i="3"/>
  <c r="O8183" i="3"/>
  <c r="P8182" i="3"/>
  <c r="O8182" i="3"/>
  <c r="P8181" i="3"/>
  <c r="O8181" i="3"/>
  <c r="P8180" i="3"/>
  <c r="O8180" i="3"/>
  <c r="P8179" i="3"/>
  <c r="O8179" i="3"/>
  <c r="P8178" i="3"/>
  <c r="O8178" i="3"/>
  <c r="P8177" i="3"/>
  <c r="O8177" i="3"/>
  <c r="P8176" i="3"/>
  <c r="O8176" i="3"/>
  <c r="P8175" i="3"/>
  <c r="O8175" i="3"/>
  <c r="P8174" i="3"/>
  <c r="O8174" i="3"/>
  <c r="P8173" i="3"/>
  <c r="O8173" i="3"/>
  <c r="P8172" i="3"/>
  <c r="O8172" i="3"/>
  <c r="P8171" i="3"/>
  <c r="O8171" i="3"/>
  <c r="P8170" i="3"/>
  <c r="O8170" i="3"/>
  <c r="P8169" i="3"/>
  <c r="O8169" i="3"/>
  <c r="P8168" i="3"/>
  <c r="O8168" i="3"/>
  <c r="P8167" i="3"/>
  <c r="O8167" i="3"/>
  <c r="P8166" i="3"/>
  <c r="O8166" i="3"/>
  <c r="P8165" i="3"/>
  <c r="O8165" i="3"/>
  <c r="P8164" i="3"/>
  <c r="O8164" i="3"/>
  <c r="P8163" i="3"/>
  <c r="O8163" i="3"/>
  <c r="P8162" i="3"/>
  <c r="O8162" i="3"/>
  <c r="P8161" i="3"/>
  <c r="O8161" i="3"/>
  <c r="P8160" i="3"/>
  <c r="O8160" i="3"/>
  <c r="P8159" i="3"/>
  <c r="O8159" i="3"/>
  <c r="P8158" i="3"/>
  <c r="O8158" i="3"/>
  <c r="P8157" i="3"/>
  <c r="O8157" i="3"/>
  <c r="P8156" i="3"/>
  <c r="O8156" i="3"/>
  <c r="P8155" i="3"/>
  <c r="O8155" i="3"/>
  <c r="P8154" i="3"/>
  <c r="O8154" i="3"/>
  <c r="P8153" i="3"/>
  <c r="O8153" i="3"/>
  <c r="P8152" i="3"/>
  <c r="O8152" i="3"/>
  <c r="P8151" i="3"/>
  <c r="O8151" i="3"/>
  <c r="P8150" i="3"/>
  <c r="O8150" i="3"/>
  <c r="P8149" i="3"/>
  <c r="O8149" i="3"/>
  <c r="P8148" i="3"/>
  <c r="O8148" i="3"/>
  <c r="P8147" i="3"/>
  <c r="O8147" i="3"/>
  <c r="P8146" i="3"/>
  <c r="O8146" i="3"/>
  <c r="P8145" i="3"/>
  <c r="O8145" i="3"/>
  <c r="P8144" i="3"/>
  <c r="O8144" i="3"/>
  <c r="P8143" i="3"/>
  <c r="O8143" i="3"/>
  <c r="P8142" i="3"/>
  <c r="O8142" i="3"/>
  <c r="P8141" i="3"/>
  <c r="O8141" i="3"/>
  <c r="P8140" i="3"/>
  <c r="O8140" i="3"/>
  <c r="P8139" i="3"/>
  <c r="O8139" i="3"/>
  <c r="P8138" i="3"/>
  <c r="O8138" i="3"/>
  <c r="P8137" i="3"/>
  <c r="O8137" i="3"/>
  <c r="P8136" i="3"/>
  <c r="O8136" i="3"/>
  <c r="P8135" i="3"/>
  <c r="O8135" i="3"/>
  <c r="P8134" i="3"/>
  <c r="O8134" i="3"/>
  <c r="P8133" i="3"/>
  <c r="O8133" i="3"/>
  <c r="P8132" i="3"/>
  <c r="O8132" i="3"/>
  <c r="P8131" i="3"/>
  <c r="O8131" i="3"/>
  <c r="P8130" i="3"/>
  <c r="O8130" i="3"/>
  <c r="P8129" i="3"/>
  <c r="O8129" i="3"/>
  <c r="P8128" i="3"/>
  <c r="O8128" i="3"/>
  <c r="P8127" i="3"/>
  <c r="O8127" i="3"/>
  <c r="P8126" i="3"/>
  <c r="O8126" i="3"/>
  <c r="P8125" i="3"/>
  <c r="O8125" i="3"/>
  <c r="P8124" i="3"/>
  <c r="O8124" i="3"/>
  <c r="P8123" i="3"/>
  <c r="O8123" i="3"/>
  <c r="P8122" i="3"/>
  <c r="O8122" i="3"/>
  <c r="P8121" i="3"/>
  <c r="O8121" i="3"/>
  <c r="P8120" i="3"/>
  <c r="O8120" i="3"/>
  <c r="P8119" i="3"/>
  <c r="O8119" i="3"/>
  <c r="P8118" i="3"/>
  <c r="O8118" i="3"/>
  <c r="P8117" i="3"/>
  <c r="O8117" i="3"/>
  <c r="P8116" i="3"/>
  <c r="O8116" i="3"/>
  <c r="P8115" i="3"/>
  <c r="O8115" i="3"/>
  <c r="P8114" i="3"/>
  <c r="O8114" i="3"/>
  <c r="P8113" i="3"/>
  <c r="O8113" i="3"/>
  <c r="P8112" i="3"/>
  <c r="O8112" i="3"/>
  <c r="P8111" i="3"/>
  <c r="O8111" i="3"/>
  <c r="P8110" i="3"/>
  <c r="O8110" i="3"/>
  <c r="P8109" i="3"/>
  <c r="O8109" i="3"/>
  <c r="P8108" i="3"/>
  <c r="O8108" i="3"/>
  <c r="P8107" i="3"/>
  <c r="O8107" i="3"/>
  <c r="P8106" i="3"/>
  <c r="O8106" i="3"/>
  <c r="P8105" i="3"/>
  <c r="O8105" i="3"/>
  <c r="P8104" i="3"/>
  <c r="O8104" i="3"/>
  <c r="P8103" i="3"/>
  <c r="O8103" i="3"/>
  <c r="P8102" i="3"/>
  <c r="O8102" i="3"/>
  <c r="P8101" i="3"/>
  <c r="O8101" i="3"/>
  <c r="P8100" i="3"/>
  <c r="O8100" i="3"/>
  <c r="P8099" i="3"/>
  <c r="O8099" i="3"/>
  <c r="P8098" i="3"/>
  <c r="O8098" i="3"/>
  <c r="P8097" i="3"/>
  <c r="O8097" i="3"/>
  <c r="P8096" i="3"/>
  <c r="O8096" i="3"/>
  <c r="P8095" i="3"/>
  <c r="O8095" i="3"/>
  <c r="P8094" i="3"/>
  <c r="O8094" i="3"/>
  <c r="P8093" i="3"/>
  <c r="O8093" i="3"/>
  <c r="P8092" i="3"/>
  <c r="O8092" i="3"/>
  <c r="P8091" i="3"/>
  <c r="O8091" i="3"/>
  <c r="P8090" i="3"/>
  <c r="O8090" i="3"/>
  <c r="P8089" i="3"/>
  <c r="O8089" i="3"/>
  <c r="P8088" i="3"/>
  <c r="O8088" i="3"/>
  <c r="P8087" i="3"/>
  <c r="O8087" i="3"/>
  <c r="P8086" i="3"/>
  <c r="O8086" i="3"/>
  <c r="P8085" i="3"/>
  <c r="O8085" i="3"/>
  <c r="P8084" i="3"/>
  <c r="O8084" i="3"/>
  <c r="P8083" i="3"/>
  <c r="O8083" i="3"/>
  <c r="P8082" i="3"/>
  <c r="O8082" i="3"/>
  <c r="P8081" i="3"/>
  <c r="O8081" i="3"/>
  <c r="P8080" i="3"/>
  <c r="O8080" i="3"/>
  <c r="P8079" i="3"/>
  <c r="O8079" i="3"/>
  <c r="P8078" i="3"/>
  <c r="O8078" i="3"/>
  <c r="P8077" i="3"/>
  <c r="O8077" i="3"/>
  <c r="P8076" i="3"/>
  <c r="O8076" i="3"/>
  <c r="P8075" i="3"/>
  <c r="O8075" i="3"/>
  <c r="P8074" i="3"/>
  <c r="O8074" i="3"/>
  <c r="P8073" i="3"/>
  <c r="O8073" i="3"/>
  <c r="P8072" i="3"/>
  <c r="O8072" i="3"/>
  <c r="P8071" i="3"/>
  <c r="O8071" i="3"/>
  <c r="P8070" i="3"/>
  <c r="O8070" i="3"/>
  <c r="P8069" i="3"/>
  <c r="O8069" i="3"/>
  <c r="P8068" i="3"/>
  <c r="O8068" i="3"/>
  <c r="P8067" i="3"/>
  <c r="O8067" i="3"/>
  <c r="P8066" i="3"/>
  <c r="O8066" i="3"/>
  <c r="P8065" i="3"/>
  <c r="O8065" i="3"/>
  <c r="P8064" i="3"/>
  <c r="O8064" i="3"/>
  <c r="P8063" i="3"/>
  <c r="O8063" i="3"/>
  <c r="P8062" i="3"/>
  <c r="O8062" i="3"/>
  <c r="P8061" i="3"/>
  <c r="O8061" i="3"/>
  <c r="P8060" i="3"/>
  <c r="O8060" i="3"/>
  <c r="P8059" i="3"/>
  <c r="O8059" i="3"/>
  <c r="P8058" i="3"/>
  <c r="O8058" i="3"/>
  <c r="P8057" i="3"/>
  <c r="O8057" i="3"/>
  <c r="P8056" i="3"/>
  <c r="O8056" i="3"/>
  <c r="P8055" i="3"/>
  <c r="O8055" i="3"/>
  <c r="P8054" i="3"/>
  <c r="O8054" i="3"/>
  <c r="P8053" i="3"/>
  <c r="O8053" i="3"/>
  <c r="P8052" i="3"/>
  <c r="O8052" i="3"/>
  <c r="P8051" i="3"/>
  <c r="O8051" i="3"/>
  <c r="P8050" i="3"/>
  <c r="O8050" i="3"/>
  <c r="P8049" i="3"/>
  <c r="O8049" i="3"/>
  <c r="P8048" i="3"/>
  <c r="O8048" i="3"/>
  <c r="P8047" i="3"/>
  <c r="O8047" i="3"/>
  <c r="P8046" i="3"/>
  <c r="O8046" i="3"/>
  <c r="P8045" i="3"/>
  <c r="O8045" i="3"/>
  <c r="P8044" i="3"/>
  <c r="O8044" i="3"/>
  <c r="P8043" i="3"/>
  <c r="O8043" i="3"/>
  <c r="P8042" i="3"/>
  <c r="O8042" i="3"/>
  <c r="P8041" i="3"/>
  <c r="O8041" i="3"/>
  <c r="P8040" i="3"/>
  <c r="O8040" i="3"/>
  <c r="P8039" i="3"/>
  <c r="O8039" i="3"/>
  <c r="P8038" i="3"/>
  <c r="O8038" i="3"/>
  <c r="P8037" i="3"/>
  <c r="O8037" i="3"/>
  <c r="P8036" i="3"/>
  <c r="O8036" i="3"/>
  <c r="P8035" i="3"/>
  <c r="O8035" i="3"/>
  <c r="P8034" i="3"/>
  <c r="O8034" i="3"/>
  <c r="P8033" i="3"/>
  <c r="O8033" i="3"/>
  <c r="P8032" i="3"/>
  <c r="O8032" i="3"/>
  <c r="P8031" i="3"/>
  <c r="O8031" i="3"/>
  <c r="P8030" i="3"/>
  <c r="O8030" i="3"/>
  <c r="P8029" i="3"/>
  <c r="O8029" i="3"/>
  <c r="P8028" i="3"/>
  <c r="O8028" i="3"/>
  <c r="P8027" i="3"/>
  <c r="O8027" i="3"/>
  <c r="P8026" i="3"/>
  <c r="O8026" i="3"/>
  <c r="P8025" i="3"/>
  <c r="O8025" i="3"/>
  <c r="P8024" i="3"/>
  <c r="O8024" i="3"/>
  <c r="P8023" i="3"/>
  <c r="O8023" i="3"/>
  <c r="P8022" i="3"/>
  <c r="O8022" i="3"/>
  <c r="P8021" i="3"/>
  <c r="O8021" i="3"/>
  <c r="P8020" i="3"/>
  <c r="O8020" i="3"/>
  <c r="P8019" i="3"/>
  <c r="O8019" i="3"/>
  <c r="P8018" i="3"/>
  <c r="O8018" i="3"/>
  <c r="P8017" i="3"/>
  <c r="O8017" i="3"/>
  <c r="P8016" i="3"/>
  <c r="O8016" i="3"/>
  <c r="P8015" i="3"/>
  <c r="O8015" i="3"/>
  <c r="P8014" i="3"/>
  <c r="O8014" i="3"/>
  <c r="P8013" i="3"/>
  <c r="O8013" i="3"/>
  <c r="P8012" i="3"/>
  <c r="O8012" i="3"/>
  <c r="P8011" i="3"/>
  <c r="O8011" i="3"/>
  <c r="P8010" i="3"/>
  <c r="O8010" i="3"/>
  <c r="P8009" i="3"/>
  <c r="O8009" i="3"/>
  <c r="P8008" i="3"/>
  <c r="O8008" i="3"/>
  <c r="P8007" i="3"/>
  <c r="O8007" i="3"/>
  <c r="P8006" i="3"/>
  <c r="O8006" i="3"/>
  <c r="P8005" i="3"/>
  <c r="O8005" i="3"/>
  <c r="P8004" i="3"/>
  <c r="O8004" i="3"/>
  <c r="P8003" i="3"/>
  <c r="O8003" i="3"/>
  <c r="P8002" i="3"/>
  <c r="O8002" i="3"/>
  <c r="P8001" i="3"/>
  <c r="O8001" i="3"/>
  <c r="P8000" i="3"/>
  <c r="O8000" i="3"/>
  <c r="P7999" i="3"/>
  <c r="O7999" i="3"/>
  <c r="P7998" i="3"/>
  <c r="O7998" i="3"/>
  <c r="P7997" i="3"/>
  <c r="O7997" i="3"/>
  <c r="P7996" i="3"/>
  <c r="O7996" i="3"/>
  <c r="P7995" i="3"/>
  <c r="O7995" i="3"/>
  <c r="P7994" i="3"/>
  <c r="O7994" i="3"/>
  <c r="P7993" i="3"/>
  <c r="O7993" i="3"/>
  <c r="P7992" i="3"/>
  <c r="O7992" i="3"/>
  <c r="P7991" i="3"/>
  <c r="O7991" i="3"/>
  <c r="P7990" i="3"/>
  <c r="O7990" i="3"/>
  <c r="P7989" i="3"/>
  <c r="O7989" i="3"/>
  <c r="P7988" i="3"/>
  <c r="O7988" i="3"/>
  <c r="P7987" i="3"/>
  <c r="O7987" i="3"/>
  <c r="P7986" i="3"/>
  <c r="O7986" i="3"/>
  <c r="P7985" i="3"/>
  <c r="O7985" i="3"/>
  <c r="P7984" i="3"/>
  <c r="O7984" i="3"/>
  <c r="P7983" i="3"/>
  <c r="O7983" i="3"/>
  <c r="P7982" i="3"/>
  <c r="O7982" i="3"/>
  <c r="P7981" i="3"/>
  <c r="O7981" i="3"/>
  <c r="P7980" i="3"/>
  <c r="O7980" i="3"/>
  <c r="P7979" i="3"/>
  <c r="O7979" i="3"/>
  <c r="P7978" i="3"/>
  <c r="O7978" i="3"/>
  <c r="P7977" i="3"/>
  <c r="O7977" i="3"/>
  <c r="P7976" i="3"/>
  <c r="O7976" i="3"/>
  <c r="P7975" i="3"/>
  <c r="O7975" i="3"/>
  <c r="P7974" i="3"/>
  <c r="O7974" i="3"/>
  <c r="P7973" i="3"/>
  <c r="O7973" i="3"/>
  <c r="P7972" i="3"/>
  <c r="O7972" i="3"/>
  <c r="P7971" i="3"/>
  <c r="O7971" i="3"/>
  <c r="P7970" i="3"/>
  <c r="O7970" i="3"/>
  <c r="P7969" i="3"/>
  <c r="O7969" i="3"/>
  <c r="P7968" i="3"/>
  <c r="O7968" i="3"/>
  <c r="P7967" i="3"/>
  <c r="O7967" i="3"/>
  <c r="P7966" i="3"/>
  <c r="O7966" i="3"/>
  <c r="P7965" i="3"/>
  <c r="O7965" i="3"/>
  <c r="P7964" i="3"/>
  <c r="O7964" i="3"/>
  <c r="P7963" i="3"/>
  <c r="O7963" i="3"/>
  <c r="P7962" i="3"/>
  <c r="O7962" i="3"/>
  <c r="P7961" i="3"/>
  <c r="O7961" i="3"/>
  <c r="P7960" i="3"/>
  <c r="O7960" i="3"/>
  <c r="P7959" i="3"/>
  <c r="O7959" i="3"/>
  <c r="P7958" i="3"/>
  <c r="O7958" i="3"/>
  <c r="P7957" i="3"/>
  <c r="O7957" i="3"/>
  <c r="P7956" i="3"/>
  <c r="O7956" i="3"/>
  <c r="P7955" i="3"/>
  <c r="O7955" i="3"/>
  <c r="P7954" i="3"/>
  <c r="O7954" i="3"/>
  <c r="P7953" i="3"/>
  <c r="O7953" i="3"/>
  <c r="P7952" i="3"/>
  <c r="O7952" i="3"/>
  <c r="P7951" i="3"/>
  <c r="O7951" i="3"/>
  <c r="P7950" i="3"/>
  <c r="O7950" i="3"/>
  <c r="P7949" i="3"/>
  <c r="O7949" i="3"/>
  <c r="P7948" i="3"/>
  <c r="O7948" i="3"/>
  <c r="P7947" i="3"/>
  <c r="O7947" i="3"/>
  <c r="P7946" i="3"/>
  <c r="O7946" i="3"/>
  <c r="P7945" i="3"/>
  <c r="O7945" i="3"/>
  <c r="P7944" i="3"/>
  <c r="O7944" i="3"/>
  <c r="P7943" i="3"/>
  <c r="O7943" i="3"/>
  <c r="P7942" i="3"/>
  <c r="O7942" i="3"/>
  <c r="P7941" i="3"/>
  <c r="O7941" i="3"/>
  <c r="P7940" i="3"/>
  <c r="O7940" i="3"/>
  <c r="P7939" i="3"/>
  <c r="O7939" i="3"/>
  <c r="P7938" i="3"/>
  <c r="O7938" i="3"/>
  <c r="P7937" i="3"/>
  <c r="O7937" i="3"/>
  <c r="P7936" i="3"/>
  <c r="O7936" i="3"/>
  <c r="P7935" i="3"/>
  <c r="O7935" i="3"/>
  <c r="P7934" i="3"/>
  <c r="O7934" i="3"/>
  <c r="P7933" i="3"/>
  <c r="O7933" i="3"/>
  <c r="P7932" i="3"/>
  <c r="O7932" i="3"/>
  <c r="P7931" i="3"/>
  <c r="O7931" i="3"/>
  <c r="P7930" i="3"/>
  <c r="O7930" i="3"/>
  <c r="P7929" i="3"/>
  <c r="O7929" i="3"/>
  <c r="P7928" i="3"/>
  <c r="O7928" i="3"/>
  <c r="P7927" i="3"/>
  <c r="O7927" i="3"/>
  <c r="P7926" i="3"/>
  <c r="O7926" i="3"/>
  <c r="P7925" i="3"/>
  <c r="O7925" i="3"/>
  <c r="P7924" i="3"/>
  <c r="O7924" i="3"/>
  <c r="P7923" i="3"/>
  <c r="O7923" i="3"/>
  <c r="P7922" i="3"/>
  <c r="O7922" i="3"/>
  <c r="P7921" i="3"/>
  <c r="O7921" i="3"/>
  <c r="P7920" i="3"/>
  <c r="O7920" i="3"/>
  <c r="P7919" i="3"/>
  <c r="O7919" i="3"/>
  <c r="P7918" i="3"/>
  <c r="O7918" i="3"/>
  <c r="P7917" i="3"/>
  <c r="O7917" i="3"/>
  <c r="P7916" i="3"/>
  <c r="O7916" i="3"/>
  <c r="P7915" i="3"/>
  <c r="O7915" i="3"/>
  <c r="P7914" i="3"/>
  <c r="O7914" i="3"/>
  <c r="P7913" i="3"/>
  <c r="O7913" i="3"/>
  <c r="P7912" i="3"/>
  <c r="O7912" i="3"/>
  <c r="P7911" i="3"/>
  <c r="O7911" i="3"/>
  <c r="P7910" i="3"/>
  <c r="O7910" i="3"/>
  <c r="P7909" i="3"/>
  <c r="O7909" i="3"/>
  <c r="P7908" i="3"/>
  <c r="O7908" i="3"/>
  <c r="P7907" i="3"/>
  <c r="O7907" i="3"/>
  <c r="P7906" i="3"/>
  <c r="O7906" i="3"/>
  <c r="P7905" i="3"/>
  <c r="O7905" i="3"/>
  <c r="P7904" i="3"/>
  <c r="O7904" i="3"/>
  <c r="P7903" i="3"/>
  <c r="O7903" i="3"/>
  <c r="P7902" i="3"/>
  <c r="O7902" i="3"/>
  <c r="P7901" i="3"/>
  <c r="O7901" i="3"/>
  <c r="P7900" i="3"/>
  <c r="O7900" i="3"/>
  <c r="P7899" i="3"/>
  <c r="O7899" i="3"/>
  <c r="P7898" i="3"/>
  <c r="O7898" i="3"/>
  <c r="P7897" i="3"/>
  <c r="O7897" i="3"/>
  <c r="P7896" i="3"/>
  <c r="O7896" i="3"/>
  <c r="P7895" i="3"/>
  <c r="O7895" i="3"/>
  <c r="P7894" i="3"/>
  <c r="O7894" i="3"/>
  <c r="P7893" i="3"/>
  <c r="O7893" i="3"/>
  <c r="P7892" i="3"/>
  <c r="O7892" i="3"/>
  <c r="P7891" i="3"/>
  <c r="O7891" i="3"/>
  <c r="P7890" i="3"/>
  <c r="O7890" i="3"/>
  <c r="P7889" i="3"/>
  <c r="O7889" i="3"/>
  <c r="P7888" i="3"/>
  <c r="O7888" i="3"/>
  <c r="P7887" i="3"/>
  <c r="O7887" i="3"/>
  <c r="P7886" i="3"/>
  <c r="O7886" i="3"/>
  <c r="P7885" i="3"/>
  <c r="O7885" i="3"/>
  <c r="P7884" i="3"/>
  <c r="O7884" i="3"/>
  <c r="P7883" i="3"/>
  <c r="O7883" i="3"/>
  <c r="P7882" i="3"/>
  <c r="O7882" i="3"/>
  <c r="P7881" i="3"/>
  <c r="O7881" i="3"/>
  <c r="P7880" i="3"/>
  <c r="O7880" i="3"/>
  <c r="P7879" i="3"/>
  <c r="O7879" i="3"/>
  <c r="P7878" i="3"/>
  <c r="O7878" i="3"/>
  <c r="P7877" i="3"/>
  <c r="O7877" i="3"/>
  <c r="P7876" i="3"/>
  <c r="O7876" i="3"/>
  <c r="P7875" i="3"/>
  <c r="O7875" i="3"/>
  <c r="P7874" i="3"/>
  <c r="O7874" i="3"/>
  <c r="P7873" i="3"/>
  <c r="O7873" i="3"/>
  <c r="P7872" i="3"/>
  <c r="O7872" i="3"/>
  <c r="P7871" i="3"/>
  <c r="O7871" i="3"/>
  <c r="P7870" i="3"/>
  <c r="O7870" i="3"/>
  <c r="P7869" i="3"/>
  <c r="O7869" i="3"/>
  <c r="P7868" i="3"/>
  <c r="O7868" i="3"/>
  <c r="P7867" i="3"/>
  <c r="O7867" i="3"/>
  <c r="P7866" i="3"/>
  <c r="O7866" i="3"/>
  <c r="P7865" i="3"/>
  <c r="O7865" i="3"/>
  <c r="P7864" i="3"/>
  <c r="O7864" i="3"/>
  <c r="P7863" i="3"/>
  <c r="O7863" i="3"/>
  <c r="P7862" i="3"/>
  <c r="O7862" i="3"/>
  <c r="P7861" i="3"/>
  <c r="O7861" i="3"/>
  <c r="P7860" i="3"/>
  <c r="O7860" i="3"/>
  <c r="P7859" i="3"/>
  <c r="O7859" i="3"/>
  <c r="P7858" i="3"/>
  <c r="O7858" i="3"/>
  <c r="P7857" i="3"/>
  <c r="O7857" i="3"/>
  <c r="P7856" i="3"/>
  <c r="O7856" i="3"/>
  <c r="P7855" i="3"/>
  <c r="O7855" i="3"/>
  <c r="P7854" i="3"/>
  <c r="O7854" i="3"/>
  <c r="P7853" i="3"/>
  <c r="O7853" i="3"/>
  <c r="P7852" i="3"/>
  <c r="O7852" i="3"/>
  <c r="P7851" i="3"/>
  <c r="O7851" i="3"/>
  <c r="P7850" i="3"/>
  <c r="O7850" i="3"/>
  <c r="P7849" i="3"/>
  <c r="O7849" i="3"/>
  <c r="P7848" i="3"/>
  <c r="O7848" i="3"/>
  <c r="P7847" i="3"/>
  <c r="O7847" i="3"/>
  <c r="P7846" i="3"/>
  <c r="O7846" i="3"/>
  <c r="P7845" i="3"/>
  <c r="O7845" i="3"/>
  <c r="P7844" i="3"/>
  <c r="O7844" i="3"/>
  <c r="P7843" i="3"/>
  <c r="O7843" i="3"/>
  <c r="P7842" i="3"/>
  <c r="O7842" i="3"/>
  <c r="P7841" i="3"/>
  <c r="O7841" i="3"/>
  <c r="P7840" i="3"/>
  <c r="O7840" i="3"/>
  <c r="P7839" i="3"/>
  <c r="O7839" i="3"/>
  <c r="P7838" i="3"/>
  <c r="O7838" i="3"/>
  <c r="P7837" i="3"/>
  <c r="O7837" i="3"/>
  <c r="P7836" i="3"/>
  <c r="O7836" i="3"/>
  <c r="P7835" i="3"/>
  <c r="O7835" i="3"/>
  <c r="P7834" i="3"/>
  <c r="O7834" i="3"/>
  <c r="P7833" i="3"/>
  <c r="O7833" i="3"/>
  <c r="P7832" i="3"/>
  <c r="O7832" i="3"/>
  <c r="P7831" i="3"/>
  <c r="O7831" i="3"/>
  <c r="P7830" i="3"/>
  <c r="O7830" i="3"/>
  <c r="P7829" i="3"/>
  <c r="O7829" i="3"/>
  <c r="P7828" i="3"/>
  <c r="O7828" i="3"/>
  <c r="P7827" i="3"/>
  <c r="O7827" i="3"/>
  <c r="P7826" i="3"/>
  <c r="O7826" i="3"/>
  <c r="P7825" i="3"/>
  <c r="O7825" i="3"/>
  <c r="P7824" i="3"/>
  <c r="O7824" i="3"/>
  <c r="P7823" i="3"/>
  <c r="O7823" i="3"/>
  <c r="P7822" i="3"/>
  <c r="O7822" i="3"/>
  <c r="P7821" i="3"/>
  <c r="O7821" i="3"/>
  <c r="P7820" i="3"/>
  <c r="O7820" i="3"/>
  <c r="P7819" i="3"/>
  <c r="O7819" i="3"/>
  <c r="P7818" i="3"/>
  <c r="O7818" i="3"/>
  <c r="P7817" i="3"/>
  <c r="O7817" i="3"/>
  <c r="P7816" i="3"/>
  <c r="O7816" i="3"/>
  <c r="P7815" i="3"/>
  <c r="O7815" i="3"/>
  <c r="P7814" i="3"/>
  <c r="O7814" i="3"/>
  <c r="P7813" i="3"/>
  <c r="O7813" i="3"/>
  <c r="P7812" i="3"/>
  <c r="O7812" i="3"/>
  <c r="P7811" i="3"/>
  <c r="O7811" i="3"/>
  <c r="P7810" i="3"/>
  <c r="O7810" i="3"/>
  <c r="P7809" i="3"/>
  <c r="O7809" i="3"/>
  <c r="P7808" i="3"/>
  <c r="O7808" i="3"/>
  <c r="P7807" i="3"/>
  <c r="O7807" i="3"/>
  <c r="P7806" i="3"/>
  <c r="O7806" i="3"/>
  <c r="P7805" i="3"/>
  <c r="O7805" i="3"/>
  <c r="P7804" i="3"/>
  <c r="O7804" i="3"/>
  <c r="P7803" i="3"/>
  <c r="O7803" i="3"/>
  <c r="P7802" i="3"/>
  <c r="O7802" i="3"/>
  <c r="P7801" i="3"/>
  <c r="O7801" i="3"/>
  <c r="P7800" i="3"/>
  <c r="O7800" i="3"/>
  <c r="P7799" i="3"/>
  <c r="O7799" i="3"/>
  <c r="P7798" i="3"/>
  <c r="O7798" i="3"/>
  <c r="P7797" i="3"/>
  <c r="O7797" i="3"/>
  <c r="P7796" i="3"/>
  <c r="O7796" i="3"/>
  <c r="P7795" i="3"/>
  <c r="O7795" i="3"/>
  <c r="P7794" i="3"/>
  <c r="O7794" i="3"/>
  <c r="P7793" i="3"/>
  <c r="O7793" i="3"/>
  <c r="P7792" i="3"/>
  <c r="O7792" i="3"/>
  <c r="P7791" i="3"/>
  <c r="O7791" i="3"/>
  <c r="P7790" i="3"/>
  <c r="O7790" i="3"/>
  <c r="P7789" i="3"/>
  <c r="O7789" i="3"/>
  <c r="P7788" i="3"/>
  <c r="O7788" i="3"/>
  <c r="P7787" i="3"/>
  <c r="O7787" i="3"/>
  <c r="P7786" i="3"/>
  <c r="O7786" i="3"/>
  <c r="P7785" i="3"/>
  <c r="O7785" i="3"/>
  <c r="P7784" i="3"/>
  <c r="O7784" i="3"/>
  <c r="P7783" i="3"/>
  <c r="O7783" i="3"/>
  <c r="P7782" i="3"/>
  <c r="O7782" i="3"/>
  <c r="P7781" i="3"/>
  <c r="O7781" i="3"/>
  <c r="P7780" i="3"/>
  <c r="O7780" i="3"/>
  <c r="P7779" i="3"/>
  <c r="O7779" i="3"/>
  <c r="P7778" i="3"/>
  <c r="O7778" i="3"/>
  <c r="P7777" i="3"/>
  <c r="O7777" i="3"/>
  <c r="P7776" i="3"/>
  <c r="O7776" i="3"/>
  <c r="P7775" i="3"/>
  <c r="O7775" i="3"/>
  <c r="P7774" i="3"/>
  <c r="O7774" i="3"/>
  <c r="P7773" i="3"/>
  <c r="O7773" i="3"/>
  <c r="P7772" i="3"/>
  <c r="O7772" i="3"/>
  <c r="P7771" i="3"/>
  <c r="O7771" i="3"/>
  <c r="P7770" i="3"/>
  <c r="O7770" i="3"/>
  <c r="P7769" i="3"/>
  <c r="O7769" i="3"/>
  <c r="P7768" i="3"/>
  <c r="O7768" i="3"/>
  <c r="P7767" i="3"/>
  <c r="O7767" i="3"/>
  <c r="P7766" i="3"/>
  <c r="O7766" i="3"/>
  <c r="P7765" i="3"/>
  <c r="O7765" i="3"/>
  <c r="P7764" i="3"/>
  <c r="O7764" i="3"/>
  <c r="P7763" i="3"/>
  <c r="O7763" i="3"/>
  <c r="P7762" i="3"/>
  <c r="O7762" i="3"/>
  <c r="P7761" i="3"/>
  <c r="O7761" i="3"/>
  <c r="P7760" i="3"/>
  <c r="O7760" i="3"/>
  <c r="P7759" i="3"/>
  <c r="O7759" i="3"/>
  <c r="P7758" i="3"/>
  <c r="O7758" i="3"/>
  <c r="P7757" i="3"/>
  <c r="O7757" i="3"/>
  <c r="P7756" i="3"/>
  <c r="O7756" i="3"/>
  <c r="P7755" i="3"/>
  <c r="O7755" i="3"/>
  <c r="P7754" i="3"/>
  <c r="O7754" i="3"/>
  <c r="P7753" i="3"/>
  <c r="O7753" i="3"/>
  <c r="P7752" i="3"/>
  <c r="O7752" i="3"/>
  <c r="P7751" i="3"/>
  <c r="O7751" i="3"/>
  <c r="P7750" i="3"/>
  <c r="O7750" i="3"/>
  <c r="P7749" i="3"/>
  <c r="O7749" i="3"/>
  <c r="P7748" i="3"/>
  <c r="O7748" i="3"/>
  <c r="P7747" i="3"/>
  <c r="O7747" i="3"/>
  <c r="P7746" i="3"/>
  <c r="O7746" i="3"/>
  <c r="P7745" i="3"/>
  <c r="O7745" i="3"/>
  <c r="P7744" i="3"/>
  <c r="O7744" i="3"/>
  <c r="P7743" i="3"/>
  <c r="O7743" i="3"/>
  <c r="P7742" i="3"/>
  <c r="O7742" i="3"/>
  <c r="P7741" i="3"/>
  <c r="O7741" i="3"/>
  <c r="P7740" i="3"/>
  <c r="O7740" i="3"/>
  <c r="P7739" i="3"/>
  <c r="O7739" i="3"/>
  <c r="P7738" i="3"/>
  <c r="O7738" i="3"/>
  <c r="P7737" i="3"/>
  <c r="O7737" i="3"/>
  <c r="P7736" i="3"/>
  <c r="O7736" i="3"/>
  <c r="P7735" i="3"/>
  <c r="O7735" i="3"/>
  <c r="P7734" i="3"/>
  <c r="O7734" i="3"/>
  <c r="P7733" i="3"/>
  <c r="O7733" i="3"/>
  <c r="P7732" i="3"/>
  <c r="O7732" i="3"/>
  <c r="P7731" i="3"/>
  <c r="O7731" i="3"/>
  <c r="P7730" i="3"/>
  <c r="O7730" i="3"/>
  <c r="P7729" i="3"/>
  <c r="O7729" i="3"/>
  <c r="P7728" i="3"/>
  <c r="O7728" i="3"/>
  <c r="P7727" i="3"/>
  <c r="O7727" i="3"/>
  <c r="P7726" i="3"/>
  <c r="O7726" i="3"/>
  <c r="P7725" i="3"/>
  <c r="O7725" i="3"/>
  <c r="P7724" i="3"/>
  <c r="O7724" i="3"/>
  <c r="P7723" i="3"/>
  <c r="O7723" i="3"/>
  <c r="P7722" i="3"/>
  <c r="O7722" i="3"/>
  <c r="P7721" i="3"/>
  <c r="O7721" i="3"/>
  <c r="P7720" i="3"/>
  <c r="O7720" i="3"/>
  <c r="P7719" i="3"/>
  <c r="O7719" i="3"/>
  <c r="P7718" i="3"/>
  <c r="O7718" i="3"/>
  <c r="P7717" i="3"/>
  <c r="O7717" i="3"/>
  <c r="P7716" i="3"/>
  <c r="O7716" i="3"/>
  <c r="P7715" i="3"/>
  <c r="O7715" i="3"/>
  <c r="P7714" i="3"/>
  <c r="O7714" i="3"/>
  <c r="P7713" i="3"/>
  <c r="O7713" i="3"/>
  <c r="P7712" i="3"/>
  <c r="O7712" i="3"/>
  <c r="P7711" i="3"/>
  <c r="O7711" i="3"/>
  <c r="P7710" i="3"/>
  <c r="O7710" i="3"/>
  <c r="P7709" i="3"/>
  <c r="O7709" i="3"/>
  <c r="P7708" i="3"/>
  <c r="O7708" i="3"/>
  <c r="P7707" i="3"/>
  <c r="O7707" i="3"/>
  <c r="P7706" i="3"/>
  <c r="O7706" i="3"/>
  <c r="P7705" i="3"/>
  <c r="O7705" i="3"/>
  <c r="P7704" i="3"/>
  <c r="O7704" i="3"/>
  <c r="P7703" i="3"/>
  <c r="O7703" i="3"/>
  <c r="P7702" i="3"/>
  <c r="O7702" i="3"/>
  <c r="P7701" i="3"/>
  <c r="O7701" i="3"/>
  <c r="P7700" i="3"/>
  <c r="O7700" i="3"/>
  <c r="P7699" i="3"/>
  <c r="O7699" i="3"/>
  <c r="P7698" i="3"/>
  <c r="O7698" i="3"/>
  <c r="P7697" i="3"/>
  <c r="O7697" i="3"/>
  <c r="P7696" i="3"/>
  <c r="O7696" i="3"/>
  <c r="P7695" i="3"/>
  <c r="O7695" i="3"/>
  <c r="P7694" i="3"/>
  <c r="O7694" i="3"/>
  <c r="P7693" i="3"/>
  <c r="O7693" i="3"/>
  <c r="P7692" i="3"/>
  <c r="O7692" i="3"/>
  <c r="P7691" i="3"/>
  <c r="O7691" i="3"/>
  <c r="P7690" i="3"/>
  <c r="O7690" i="3"/>
  <c r="P7689" i="3"/>
  <c r="O7689" i="3"/>
  <c r="P7688" i="3"/>
  <c r="O7688" i="3"/>
  <c r="P7687" i="3"/>
  <c r="O7687" i="3"/>
  <c r="P7686" i="3"/>
  <c r="O7686" i="3"/>
  <c r="P7685" i="3"/>
  <c r="O7685" i="3"/>
  <c r="P7684" i="3"/>
  <c r="O7684" i="3"/>
  <c r="P7683" i="3"/>
  <c r="O7683" i="3"/>
  <c r="P7682" i="3"/>
  <c r="O7682" i="3"/>
  <c r="P7681" i="3"/>
  <c r="O7681" i="3"/>
  <c r="P7680" i="3"/>
  <c r="O7680" i="3"/>
  <c r="P7679" i="3"/>
  <c r="O7679" i="3"/>
  <c r="P7678" i="3"/>
  <c r="O7678" i="3"/>
  <c r="P7677" i="3"/>
  <c r="O7677" i="3"/>
  <c r="P7676" i="3"/>
  <c r="O7676" i="3"/>
  <c r="P7675" i="3"/>
  <c r="O7675" i="3"/>
  <c r="P7674" i="3"/>
  <c r="O7674" i="3"/>
  <c r="P7673" i="3"/>
  <c r="O7673" i="3"/>
  <c r="P7672" i="3"/>
  <c r="O7672" i="3"/>
  <c r="P7671" i="3"/>
  <c r="O7671" i="3"/>
  <c r="P7670" i="3"/>
  <c r="O7670" i="3"/>
  <c r="P7669" i="3"/>
  <c r="O7669" i="3"/>
  <c r="P7668" i="3"/>
  <c r="O7668" i="3"/>
  <c r="P7667" i="3"/>
  <c r="O7667" i="3"/>
  <c r="P7666" i="3"/>
  <c r="O7666" i="3"/>
  <c r="P7665" i="3"/>
  <c r="O7665" i="3"/>
  <c r="P7664" i="3"/>
  <c r="O7664" i="3"/>
  <c r="P7663" i="3"/>
  <c r="O7663" i="3"/>
  <c r="P7662" i="3"/>
  <c r="O7662" i="3"/>
  <c r="P7661" i="3"/>
  <c r="O7661" i="3"/>
  <c r="P7660" i="3"/>
  <c r="O7660" i="3"/>
  <c r="P7659" i="3"/>
  <c r="O7659" i="3"/>
  <c r="P7658" i="3"/>
  <c r="O7658" i="3"/>
  <c r="P7657" i="3"/>
  <c r="O7657" i="3"/>
  <c r="P7656" i="3"/>
  <c r="O7656" i="3"/>
  <c r="P7655" i="3"/>
  <c r="O7655" i="3"/>
  <c r="P7654" i="3"/>
  <c r="O7654" i="3"/>
  <c r="P7653" i="3"/>
  <c r="O7653" i="3"/>
  <c r="P7652" i="3"/>
  <c r="O7652" i="3"/>
  <c r="P7651" i="3"/>
  <c r="O7651" i="3"/>
  <c r="P7650" i="3"/>
  <c r="O7650" i="3"/>
  <c r="P7649" i="3"/>
  <c r="O7649" i="3"/>
  <c r="P7648" i="3"/>
  <c r="O7648" i="3"/>
  <c r="P7647" i="3"/>
  <c r="O7647" i="3"/>
  <c r="P7646" i="3"/>
  <c r="O7646" i="3"/>
  <c r="P7645" i="3"/>
  <c r="O7645" i="3"/>
  <c r="P7644" i="3"/>
  <c r="O7644" i="3"/>
  <c r="P7643" i="3"/>
  <c r="O7643" i="3"/>
  <c r="P7642" i="3"/>
  <c r="O7642" i="3"/>
  <c r="P7641" i="3"/>
  <c r="O7641" i="3"/>
  <c r="P7640" i="3"/>
  <c r="O7640" i="3"/>
  <c r="P7639" i="3"/>
  <c r="O7639" i="3"/>
  <c r="P7638" i="3"/>
  <c r="O7638" i="3"/>
  <c r="P7637" i="3"/>
  <c r="O7637" i="3"/>
  <c r="P7636" i="3"/>
  <c r="O7636" i="3"/>
  <c r="P7635" i="3"/>
  <c r="O7635" i="3"/>
  <c r="P7634" i="3"/>
  <c r="O7634" i="3"/>
  <c r="P7633" i="3"/>
  <c r="O7633" i="3"/>
  <c r="P7632" i="3"/>
  <c r="O7632" i="3"/>
  <c r="P7631" i="3"/>
  <c r="O7631" i="3"/>
  <c r="P7630" i="3"/>
  <c r="O7630" i="3"/>
  <c r="P7629" i="3"/>
  <c r="O7629" i="3"/>
  <c r="P7628" i="3"/>
  <c r="O7628" i="3"/>
  <c r="P7627" i="3"/>
  <c r="O7627" i="3"/>
  <c r="P7626" i="3"/>
  <c r="O7626" i="3"/>
  <c r="P7625" i="3"/>
  <c r="O7625" i="3"/>
  <c r="P7624" i="3"/>
  <c r="O7624" i="3"/>
  <c r="P7623" i="3"/>
  <c r="O7623" i="3"/>
  <c r="P7622" i="3"/>
  <c r="O7622" i="3"/>
  <c r="P7621" i="3"/>
  <c r="O7621" i="3"/>
  <c r="P7620" i="3"/>
  <c r="O7620" i="3"/>
  <c r="P7619" i="3"/>
  <c r="O7619" i="3"/>
  <c r="P7618" i="3"/>
  <c r="O7618" i="3"/>
  <c r="P7617" i="3"/>
  <c r="O7617" i="3"/>
  <c r="P7616" i="3"/>
  <c r="O7616" i="3"/>
  <c r="P7615" i="3"/>
  <c r="O7615" i="3"/>
  <c r="P7614" i="3"/>
  <c r="O7614" i="3"/>
  <c r="P7613" i="3"/>
  <c r="O7613" i="3"/>
  <c r="P7612" i="3"/>
  <c r="O7612" i="3"/>
  <c r="P7611" i="3"/>
  <c r="O7611" i="3"/>
  <c r="P7610" i="3"/>
  <c r="O7610" i="3"/>
  <c r="P7609" i="3"/>
  <c r="O7609" i="3"/>
  <c r="P7608" i="3"/>
  <c r="O7608" i="3"/>
  <c r="P7607" i="3"/>
  <c r="O7607" i="3"/>
  <c r="P7606" i="3"/>
  <c r="O7606" i="3"/>
  <c r="P7605" i="3"/>
  <c r="O7605" i="3"/>
  <c r="P7604" i="3"/>
  <c r="O7604" i="3"/>
  <c r="P7603" i="3"/>
  <c r="O7603" i="3"/>
  <c r="P7602" i="3"/>
  <c r="O7602" i="3"/>
  <c r="P7601" i="3"/>
  <c r="O7601" i="3"/>
  <c r="P7600" i="3"/>
  <c r="O7600" i="3"/>
  <c r="P7599" i="3"/>
  <c r="O7599" i="3"/>
  <c r="P7598" i="3"/>
  <c r="O7598" i="3"/>
  <c r="P7597" i="3"/>
  <c r="O7597" i="3"/>
  <c r="P7596" i="3"/>
  <c r="O7596" i="3"/>
  <c r="P7595" i="3"/>
  <c r="O7595" i="3"/>
  <c r="P7594" i="3"/>
  <c r="O7594" i="3"/>
  <c r="P7593" i="3"/>
  <c r="O7593" i="3"/>
  <c r="P7592" i="3"/>
  <c r="O7592" i="3"/>
  <c r="P7591" i="3"/>
  <c r="O7591" i="3"/>
  <c r="P7590" i="3"/>
  <c r="O7590" i="3"/>
  <c r="P7589" i="3"/>
  <c r="O7589" i="3"/>
  <c r="P7588" i="3"/>
  <c r="O7588" i="3"/>
  <c r="P7587" i="3"/>
  <c r="O7587" i="3"/>
  <c r="P7586" i="3"/>
  <c r="O7586" i="3"/>
  <c r="P7585" i="3"/>
  <c r="O7585" i="3"/>
  <c r="P7584" i="3"/>
  <c r="O7584" i="3"/>
  <c r="P7583" i="3"/>
  <c r="O7583" i="3"/>
  <c r="P7582" i="3"/>
  <c r="O7582" i="3"/>
  <c r="P7581" i="3"/>
  <c r="O7581" i="3"/>
  <c r="P7580" i="3"/>
  <c r="O7580" i="3"/>
  <c r="P7579" i="3"/>
  <c r="O7579" i="3"/>
  <c r="P7578" i="3"/>
  <c r="O7578" i="3"/>
  <c r="P7577" i="3"/>
  <c r="O7577" i="3"/>
  <c r="P7576" i="3"/>
  <c r="O7576" i="3"/>
  <c r="P7575" i="3"/>
  <c r="O7575" i="3"/>
  <c r="P7574" i="3"/>
  <c r="O7574" i="3"/>
  <c r="P7573" i="3"/>
  <c r="O7573" i="3"/>
  <c r="P7572" i="3"/>
  <c r="O7572" i="3"/>
  <c r="P7571" i="3"/>
  <c r="O7571" i="3"/>
  <c r="P7570" i="3"/>
  <c r="O7570" i="3"/>
  <c r="P7569" i="3"/>
  <c r="O7569" i="3"/>
  <c r="P7568" i="3"/>
  <c r="O7568" i="3"/>
  <c r="P7567" i="3"/>
  <c r="O7567" i="3"/>
  <c r="P7566" i="3"/>
  <c r="O7566" i="3"/>
  <c r="P7565" i="3"/>
  <c r="O7565" i="3"/>
  <c r="P7564" i="3"/>
  <c r="O7564" i="3"/>
  <c r="P7563" i="3"/>
  <c r="O7563" i="3"/>
  <c r="P7562" i="3"/>
  <c r="O7562" i="3"/>
  <c r="P7561" i="3"/>
  <c r="O7561" i="3"/>
  <c r="P7560" i="3"/>
  <c r="O7560" i="3"/>
  <c r="P7559" i="3"/>
  <c r="O7559" i="3"/>
  <c r="P7558" i="3"/>
  <c r="O7558" i="3"/>
  <c r="P7557" i="3"/>
  <c r="O7557" i="3"/>
  <c r="P7556" i="3"/>
  <c r="O7556" i="3"/>
  <c r="P7555" i="3"/>
  <c r="O7555" i="3"/>
  <c r="P7554" i="3"/>
  <c r="O7554" i="3"/>
  <c r="P7553" i="3"/>
  <c r="O7553" i="3"/>
  <c r="P7552" i="3"/>
  <c r="O7552" i="3"/>
  <c r="P7551" i="3"/>
  <c r="O7551" i="3"/>
  <c r="P7550" i="3"/>
  <c r="O7550" i="3"/>
  <c r="P7549" i="3"/>
  <c r="O7549" i="3"/>
  <c r="P7548" i="3"/>
  <c r="O7548" i="3"/>
  <c r="P7547" i="3"/>
  <c r="O7547" i="3"/>
  <c r="P7546" i="3"/>
  <c r="O7546" i="3"/>
  <c r="P7545" i="3"/>
  <c r="O7545" i="3"/>
  <c r="P7544" i="3"/>
  <c r="O7544" i="3"/>
  <c r="P7543" i="3"/>
  <c r="O7543" i="3"/>
  <c r="P7542" i="3"/>
  <c r="O7542" i="3"/>
  <c r="P7541" i="3"/>
  <c r="O7541" i="3"/>
  <c r="P7540" i="3"/>
  <c r="O7540" i="3"/>
  <c r="P7539" i="3"/>
  <c r="O7539" i="3"/>
  <c r="P7538" i="3"/>
  <c r="O7538" i="3"/>
  <c r="P7537" i="3"/>
  <c r="O7537" i="3"/>
  <c r="P7536" i="3"/>
  <c r="O7536" i="3"/>
  <c r="P7535" i="3"/>
  <c r="O7535" i="3"/>
  <c r="P7534" i="3"/>
  <c r="O7534" i="3"/>
  <c r="P7533" i="3"/>
  <c r="O7533" i="3"/>
  <c r="P7532" i="3"/>
  <c r="O7532" i="3"/>
  <c r="P7531" i="3"/>
  <c r="O7531" i="3"/>
  <c r="P7530" i="3"/>
  <c r="O7530" i="3"/>
  <c r="P7529" i="3"/>
  <c r="O7529" i="3"/>
  <c r="P7528" i="3"/>
  <c r="O7528" i="3"/>
  <c r="P7527" i="3"/>
  <c r="O7527" i="3"/>
  <c r="P7526" i="3"/>
  <c r="O7526" i="3"/>
  <c r="P7525" i="3"/>
  <c r="O7525" i="3"/>
  <c r="P7524" i="3"/>
  <c r="O7524" i="3"/>
  <c r="P7523" i="3"/>
  <c r="O7523" i="3"/>
  <c r="P7522" i="3"/>
  <c r="O7522" i="3"/>
  <c r="P7521" i="3"/>
  <c r="O7521" i="3"/>
  <c r="P7520" i="3"/>
  <c r="O7520" i="3"/>
  <c r="P7519" i="3"/>
  <c r="O7519" i="3"/>
  <c r="P7518" i="3"/>
  <c r="O7518" i="3"/>
  <c r="P7517" i="3"/>
  <c r="O7517" i="3"/>
  <c r="P7516" i="3"/>
  <c r="O7516" i="3"/>
  <c r="P7515" i="3"/>
  <c r="O7515" i="3"/>
  <c r="P7514" i="3"/>
  <c r="O7514" i="3"/>
  <c r="P7513" i="3"/>
  <c r="O7513" i="3"/>
  <c r="P7512" i="3"/>
  <c r="O7512" i="3"/>
  <c r="P7511" i="3"/>
  <c r="O7511" i="3"/>
  <c r="P7510" i="3"/>
  <c r="O7510" i="3"/>
  <c r="P7509" i="3"/>
  <c r="O7509" i="3"/>
  <c r="P7508" i="3"/>
  <c r="O7508" i="3"/>
  <c r="P7507" i="3"/>
  <c r="O7507" i="3"/>
  <c r="P7506" i="3"/>
  <c r="O7506" i="3"/>
  <c r="P7505" i="3"/>
  <c r="O7505" i="3"/>
  <c r="P7504" i="3"/>
  <c r="O7504" i="3"/>
  <c r="P7503" i="3"/>
  <c r="O7503" i="3"/>
  <c r="P7502" i="3"/>
  <c r="O7502" i="3"/>
  <c r="P7501" i="3"/>
  <c r="O7501" i="3"/>
  <c r="P7500" i="3"/>
  <c r="O7500" i="3"/>
  <c r="P7499" i="3"/>
  <c r="O7499" i="3"/>
  <c r="P7498" i="3"/>
  <c r="O7498" i="3"/>
  <c r="P7497" i="3"/>
  <c r="O7497" i="3"/>
  <c r="P7496" i="3"/>
  <c r="O7496" i="3"/>
  <c r="P7495" i="3"/>
  <c r="O7495" i="3"/>
  <c r="P7494" i="3"/>
  <c r="O7494" i="3"/>
  <c r="P7493" i="3"/>
  <c r="O7493" i="3"/>
  <c r="P7492" i="3"/>
  <c r="O7492" i="3"/>
  <c r="P7491" i="3"/>
  <c r="O7491" i="3"/>
  <c r="P7490" i="3"/>
  <c r="O7490" i="3"/>
  <c r="P7489" i="3"/>
  <c r="O7489" i="3"/>
  <c r="P7488" i="3"/>
  <c r="O7488" i="3"/>
  <c r="P7487" i="3"/>
  <c r="O7487" i="3"/>
  <c r="P7486" i="3"/>
  <c r="O7486" i="3"/>
  <c r="P7485" i="3"/>
  <c r="O7485" i="3"/>
  <c r="P7484" i="3"/>
  <c r="O7484" i="3"/>
  <c r="P7483" i="3"/>
  <c r="O7483" i="3"/>
  <c r="P7482" i="3"/>
  <c r="O7482" i="3"/>
  <c r="P7481" i="3"/>
  <c r="O7481" i="3"/>
  <c r="P7480" i="3"/>
  <c r="O7480" i="3"/>
  <c r="P7479" i="3"/>
  <c r="O7479" i="3"/>
  <c r="P7478" i="3"/>
  <c r="O7478" i="3"/>
  <c r="P7477" i="3"/>
  <c r="O7477" i="3"/>
  <c r="P7476" i="3"/>
  <c r="O7476" i="3"/>
  <c r="P7475" i="3"/>
  <c r="O7475" i="3"/>
  <c r="P7474" i="3"/>
  <c r="O7474" i="3"/>
  <c r="P7473" i="3"/>
  <c r="O7473" i="3"/>
  <c r="P7472" i="3"/>
  <c r="O7472" i="3"/>
  <c r="P7471" i="3"/>
  <c r="O7471" i="3"/>
  <c r="P7470" i="3"/>
  <c r="O7470" i="3"/>
  <c r="P7469" i="3"/>
  <c r="O7469" i="3"/>
  <c r="P7468" i="3"/>
  <c r="O7468" i="3"/>
  <c r="P7467" i="3"/>
  <c r="O7467" i="3"/>
  <c r="P7466" i="3"/>
  <c r="O7466" i="3"/>
  <c r="P7465" i="3"/>
  <c r="O7465" i="3"/>
  <c r="P7464" i="3"/>
  <c r="O7464" i="3"/>
  <c r="P7463" i="3"/>
  <c r="O7463" i="3"/>
  <c r="P7462" i="3"/>
  <c r="O7462" i="3"/>
  <c r="P7461" i="3"/>
  <c r="O7461" i="3"/>
  <c r="P7460" i="3"/>
  <c r="O7460" i="3"/>
  <c r="P7459" i="3"/>
  <c r="O7459" i="3"/>
  <c r="P7458" i="3"/>
  <c r="O7458" i="3"/>
  <c r="P7457" i="3"/>
  <c r="O7457" i="3"/>
  <c r="P7456" i="3"/>
  <c r="O7456" i="3"/>
  <c r="P7455" i="3"/>
  <c r="O7455" i="3"/>
  <c r="P7454" i="3"/>
  <c r="O7454" i="3"/>
  <c r="P7453" i="3"/>
  <c r="O7453" i="3"/>
  <c r="P7452" i="3"/>
  <c r="O7452" i="3"/>
  <c r="P7451" i="3"/>
  <c r="O7451" i="3"/>
  <c r="P7450" i="3"/>
  <c r="O7450" i="3"/>
  <c r="P7449" i="3"/>
  <c r="O7449" i="3"/>
  <c r="P7448" i="3"/>
  <c r="O7448" i="3"/>
  <c r="P7447" i="3"/>
  <c r="O7447" i="3"/>
  <c r="P7446" i="3"/>
  <c r="O7446" i="3"/>
  <c r="P7445" i="3"/>
  <c r="O7445" i="3"/>
  <c r="P7444" i="3"/>
  <c r="O7444" i="3"/>
  <c r="P7443" i="3"/>
  <c r="O7443" i="3"/>
  <c r="P7442" i="3"/>
  <c r="O7442" i="3"/>
  <c r="P7441" i="3"/>
  <c r="O7441" i="3"/>
  <c r="P7440" i="3"/>
  <c r="O7440" i="3"/>
  <c r="P7439" i="3"/>
  <c r="O7439" i="3"/>
  <c r="P7438" i="3"/>
  <c r="O7438" i="3"/>
  <c r="P7437" i="3"/>
  <c r="O7437" i="3"/>
  <c r="P7436" i="3"/>
  <c r="O7436" i="3"/>
  <c r="P7435" i="3"/>
  <c r="O7435" i="3"/>
  <c r="P7434" i="3"/>
  <c r="O7434" i="3"/>
  <c r="P7433" i="3"/>
  <c r="O7433" i="3"/>
  <c r="P7432" i="3"/>
  <c r="O7432" i="3"/>
  <c r="P7431" i="3"/>
  <c r="O7431" i="3"/>
  <c r="P7430" i="3"/>
  <c r="O7430" i="3"/>
  <c r="P7429" i="3"/>
  <c r="O7429" i="3"/>
  <c r="P7428" i="3"/>
  <c r="O7428" i="3"/>
  <c r="P7427" i="3"/>
  <c r="O7427" i="3"/>
  <c r="P7426" i="3"/>
  <c r="O7426" i="3"/>
  <c r="P7425" i="3"/>
  <c r="O7425" i="3"/>
  <c r="P7424" i="3"/>
  <c r="O7424" i="3"/>
  <c r="P7423" i="3"/>
  <c r="O7423" i="3"/>
  <c r="P7422" i="3"/>
  <c r="O7422" i="3"/>
  <c r="P7421" i="3"/>
  <c r="O7421" i="3"/>
  <c r="P7420" i="3"/>
  <c r="O7420" i="3"/>
  <c r="P7419" i="3"/>
  <c r="O7419" i="3"/>
  <c r="P7418" i="3"/>
  <c r="O7418" i="3"/>
  <c r="P7417" i="3"/>
  <c r="O7417" i="3"/>
  <c r="P7416" i="3"/>
  <c r="O7416" i="3"/>
  <c r="P7415" i="3"/>
  <c r="O7415" i="3"/>
  <c r="P7414" i="3"/>
  <c r="O7414" i="3"/>
  <c r="P7413" i="3"/>
  <c r="O7413" i="3"/>
  <c r="P7412" i="3"/>
  <c r="O7412" i="3"/>
  <c r="P7411" i="3"/>
  <c r="O7411" i="3"/>
  <c r="P7410" i="3"/>
  <c r="O7410" i="3"/>
  <c r="P7409" i="3"/>
  <c r="O7409" i="3"/>
  <c r="P7408" i="3"/>
  <c r="O7408" i="3"/>
  <c r="P7407" i="3"/>
  <c r="O7407" i="3"/>
  <c r="P7406" i="3"/>
  <c r="O7406" i="3"/>
  <c r="P7405" i="3"/>
  <c r="O7405" i="3"/>
  <c r="P7404" i="3"/>
  <c r="O7404" i="3"/>
  <c r="P7403" i="3"/>
  <c r="O7403" i="3"/>
  <c r="P7402" i="3"/>
  <c r="O7402" i="3"/>
  <c r="P7401" i="3"/>
  <c r="O7401" i="3"/>
  <c r="P7400" i="3"/>
  <c r="O7400" i="3"/>
  <c r="P7399" i="3"/>
  <c r="O7399" i="3"/>
  <c r="P7398" i="3"/>
  <c r="O7398" i="3"/>
  <c r="P7397" i="3"/>
  <c r="O7397" i="3"/>
  <c r="P7396" i="3"/>
  <c r="O7396" i="3"/>
  <c r="P7395" i="3"/>
  <c r="O7395" i="3"/>
  <c r="P7394" i="3"/>
  <c r="O7394" i="3"/>
  <c r="P7393" i="3"/>
  <c r="O7393" i="3"/>
  <c r="P7392" i="3"/>
  <c r="O7392" i="3"/>
  <c r="P7391" i="3"/>
  <c r="O7391" i="3"/>
  <c r="P7390" i="3"/>
  <c r="O7390" i="3"/>
  <c r="P7389" i="3"/>
  <c r="O7389" i="3"/>
  <c r="P7388" i="3"/>
  <c r="O7388" i="3"/>
  <c r="P7387" i="3"/>
  <c r="O7387" i="3"/>
  <c r="P7386" i="3"/>
  <c r="O7386" i="3"/>
  <c r="P7385" i="3"/>
  <c r="O7385" i="3"/>
  <c r="P7384" i="3"/>
  <c r="O7384" i="3"/>
  <c r="P7383" i="3"/>
  <c r="O7383" i="3"/>
  <c r="P7382" i="3"/>
  <c r="O7382" i="3"/>
  <c r="P7381" i="3"/>
  <c r="O7381" i="3"/>
  <c r="P7380" i="3"/>
  <c r="O7380" i="3"/>
  <c r="P7379" i="3"/>
  <c r="O7379" i="3"/>
  <c r="P7378" i="3"/>
  <c r="O7378" i="3"/>
  <c r="P7377" i="3"/>
  <c r="O7377" i="3"/>
  <c r="P7376" i="3"/>
  <c r="O7376" i="3"/>
  <c r="P7375" i="3"/>
  <c r="O7375" i="3"/>
  <c r="P7374" i="3"/>
  <c r="O7374" i="3"/>
  <c r="P7373" i="3"/>
  <c r="O7373" i="3"/>
  <c r="P7372" i="3"/>
  <c r="O7372" i="3"/>
  <c r="P7371" i="3"/>
  <c r="O7371" i="3"/>
  <c r="P7370" i="3"/>
  <c r="O7370" i="3"/>
  <c r="P7369" i="3"/>
  <c r="O7369" i="3"/>
  <c r="P7368" i="3"/>
  <c r="O7368" i="3"/>
  <c r="P7367" i="3"/>
  <c r="O7367" i="3"/>
  <c r="P7366" i="3"/>
  <c r="O7366" i="3"/>
  <c r="P7365" i="3"/>
  <c r="O7365" i="3"/>
  <c r="P7364" i="3"/>
  <c r="O7364" i="3"/>
  <c r="P7363" i="3"/>
  <c r="O7363" i="3"/>
  <c r="P7362" i="3"/>
  <c r="O7362" i="3"/>
  <c r="P7361" i="3"/>
  <c r="O7361" i="3"/>
  <c r="P7360" i="3"/>
  <c r="O7360" i="3"/>
  <c r="P7359" i="3"/>
  <c r="O7359" i="3"/>
  <c r="P7358" i="3"/>
  <c r="O7358" i="3"/>
  <c r="P7357" i="3"/>
  <c r="O7357" i="3"/>
  <c r="P7356" i="3"/>
  <c r="O7356" i="3"/>
  <c r="P7355" i="3"/>
  <c r="O7355" i="3"/>
  <c r="P7354" i="3"/>
  <c r="O7354" i="3"/>
  <c r="P7353" i="3"/>
  <c r="O7353" i="3"/>
  <c r="P7352" i="3"/>
  <c r="O7352" i="3"/>
  <c r="P7351" i="3"/>
  <c r="O7351" i="3"/>
  <c r="P7350" i="3"/>
  <c r="O7350" i="3"/>
  <c r="P7349" i="3"/>
  <c r="O7349" i="3"/>
  <c r="P7348" i="3"/>
  <c r="O7348" i="3"/>
  <c r="P7347" i="3"/>
  <c r="O7347" i="3"/>
  <c r="P7346" i="3"/>
  <c r="O7346" i="3"/>
  <c r="P7345" i="3"/>
  <c r="O7345" i="3"/>
  <c r="P7344" i="3"/>
  <c r="O7344" i="3"/>
  <c r="P7343" i="3"/>
  <c r="O7343" i="3"/>
  <c r="P7342" i="3"/>
  <c r="O7342" i="3"/>
  <c r="P7341" i="3"/>
  <c r="O7341" i="3"/>
  <c r="P7340" i="3"/>
  <c r="O7340" i="3"/>
  <c r="P7339" i="3"/>
  <c r="O7339" i="3"/>
  <c r="P7338" i="3"/>
  <c r="O7338" i="3"/>
  <c r="P7337" i="3"/>
  <c r="O7337" i="3"/>
  <c r="P7336" i="3"/>
  <c r="O7336" i="3"/>
  <c r="P7335" i="3"/>
  <c r="O7335" i="3"/>
  <c r="P7334" i="3"/>
  <c r="O7334" i="3"/>
  <c r="P7333" i="3"/>
  <c r="O7333" i="3"/>
  <c r="P7332" i="3"/>
  <c r="O7332" i="3"/>
  <c r="P7331" i="3"/>
  <c r="O7331" i="3"/>
  <c r="P7330" i="3"/>
  <c r="O7330" i="3"/>
  <c r="P7329" i="3"/>
  <c r="O7329" i="3"/>
  <c r="P7328" i="3"/>
  <c r="O7328" i="3"/>
  <c r="P7327" i="3"/>
  <c r="O7327" i="3"/>
  <c r="P7326" i="3"/>
  <c r="O7326" i="3"/>
  <c r="P7325" i="3"/>
  <c r="O7325" i="3"/>
  <c r="P7324" i="3"/>
  <c r="O7324" i="3"/>
  <c r="P7323" i="3"/>
  <c r="O7323" i="3"/>
  <c r="P7322" i="3"/>
  <c r="O7322" i="3"/>
  <c r="P7321" i="3"/>
  <c r="O7321" i="3"/>
  <c r="P7320" i="3"/>
  <c r="O7320" i="3"/>
  <c r="P7319" i="3"/>
  <c r="O7319" i="3"/>
  <c r="P7318" i="3"/>
  <c r="O7318" i="3"/>
  <c r="P7317" i="3"/>
  <c r="O7317" i="3"/>
  <c r="P7316" i="3"/>
  <c r="O7316" i="3"/>
  <c r="P7315" i="3"/>
  <c r="O7315" i="3"/>
  <c r="P7314" i="3"/>
  <c r="O7314" i="3"/>
  <c r="P7313" i="3"/>
  <c r="O7313" i="3"/>
  <c r="P7312" i="3"/>
  <c r="O7312" i="3"/>
  <c r="P7311" i="3"/>
  <c r="O7311" i="3"/>
  <c r="P7310" i="3"/>
  <c r="O7310" i="3"/>
  <c r="P7309" i="3"/>
  <c r="O7309" i="3"/>
  <c r="P7308" i="3"/>
  <c r="O7308" i="3"/>
  <c r="P7307" i="3"/>
  <c r="O7307" i="3"/>
  <c r="P7306" i="3"/>
  <c r="O7306" i="3"/>
  <c r="P7305" i="3"/>
  <c r="O7305" i="3"/>
  <c r="P7304" i="3"/>
  <c r="O7304" i="3"/>
  <c r="P7303" i="3"/>
  <c r="O7303" i="3"/>
  <c r="P7302" i="3"/>
  <c r="O7302" i="3"/>
  <c r="P7301" i="3"/>
  <c r="O7301" i="3"/>
  <c r="P7300" i="3"/>
  <c r="O7300" i="3"/>
  <c r="P7299" i="3"/>
  <c r="O7299" i="3"/>
  <c r="P7298" i="3"/>
  <c r="O7298" i="3"/>
  <c r="P7297" i="3"/>
  <c r="O7297" i="3"/>
  <c r="P7296" i="3"/>
  <c r="O7296" i="3"/>
  <c r="P7295" i="3"/>
  <c r="O7295" i="3"/>
  <c r="P7294" i="3"/>
  <c r="O7294" i="3"/>
  <c r="P7293" i="3"/>
  <c r="O7293" i="3"/>
  <c r="P7292" i="3"/>
  <c r="O7292" i="3"/>
  <c r="P7291" i="3"/>
  <c r="O7291" i="3"/>
  <c r="P7290" i="3"/>
  <c r="O7290" i="3"/>
  <c r="P7289" i="3"/>
  <c r="O7289" i="3"/>
  <c r="P7288" i="3"/>
  <c r="O7288" i="3"/>
  <c r="P7287" i="3"/>
  <c r="O7287" i="3"/>
  <c r="P7286" i="3"/>
  <c r="O7286" i="3"/>
  <c r="P7285" i="3"/>
  <c r="O7285" i="3"/>
  <c r="P7284" i="3"/>
  <c r="O7284" i="3"/>
  <c r="P7283" i="3"/>
  <c r="O7283" i="3"/>
  <c r="P7282" i="3"/>
  <c r="O7282" i="3"/>
  <c r="P7281" i="3"/>
  <c r="O7281" i="3"/>
  <c r="P7280" i="3"/>
  <c r="O7280" i="3"/>
  <c r="P7279" i="3"/>
  <c r="O7279" i="3"/>
  <c r="P7278" i="3"/>
  <c r="O7278" i="3"/>
  <c r="P7277" i="3"/>
  <c r="O7277" i="3"/>
  <c r="P7276" i="3"/>
  <c r="O7276" i="3"/>
  <c r="P7275" i="3"/>
  <c r="O7275" i="3"/>
  <c r="P7274" i="3"/>
  <c r="O7274" i="3"/>
  <c r="P7273" i="3"/>
  <c r="O7273" i="3"/>
  <c r="P7272" i="3"/>
  <c r="O7272" i="3"/>
  <c r="P7271" i="3"/>
  <c r="O7271" i="3"/>
  <c r="P7270" i="3"/>
  <c r="O7270" i="3"/>
  <c r="P7269" i="3"/>
  <c r="O7269" i="3"/>
  <c r="P7268" i="3"/>
  <c r="O7268" i="3"/>
  <c r="P7267" i="3"/>
  <c r="O7267" i="3"/>
  <c r="P7266" i="3"/>
  <c r="O7266" i="3"/>
  <c r="P7265" i="3"/>
  <c r="O7265" i="3"/>
  <c r="P7264" i="3"/>
  <c r="O7264" i="3"/>
  <c r="P7263" i="3"/>
  <c r="O7263" i="3"/>
  <c r="P7262" i="3"/>
  <c r="O7262" i="3"/>
  <c r="P7261" i="3"/>
  <c r="O7261" i="3"/>
  <c r="P7260" i="3"/>
  <c r="O7260" i="3"/>
  <c r="P7259" i="3"/>
  <c r="O7259" i="3"/>
  <c r="P7258" i="3"/>
  <c r="O7258" i="3"/>
  <c r="P7257" i="3"/>
  <c r="O7257" i="3"/>
  <c r="P7256" i="3"/>
  <c r="O7256" i="3"/>
  <c r="P7255" i="3"/>
  <c r="O7255" i="3"/>
  <c r="P7254" i="3"/>
  <c r="O7254" i="3"/>
  <c r="P7253" i="3"/>
  <c r="O7253" i="3"/>
  <c r="P7252" i="3"/>
  <c r="O7252" i="3"/>
  <c r="P7251" i="3"/>
  <c r="O7251" i="3"/>
  <c r="P7250" i="3"/>
  <c r="O7250" i="3"/>
  <c r="P7249" i="3"/>
  <c r="O7249" i="3"/>
  <c r="P7248" i="3"/>
  <c r="O7248" i="3"/>
  <c r="P7247" i="3"/>
  <c r="O7247" i="3"/>
  <c r="P7246" i="3"/>
  <c r="O7246" i="3"/>
  <c r="P7245" i="3"/>
  <c r="O7245" i="3"/>
  <c r="P7244" i="3"/>
  <c r="O7244" i="3"/>
  <c r="P7243" i="3"/>
  <c r="O7243" i="3"/>
  <c r="P7242" i="3"/>
  <c r="O7242" i="3"/>
  <c r="P7241" i="3"/>
  <c r="O7241" i="3"/>
  <c r="P7240" i="3"/>
  <c r="O7240" i="3"/>
  <c r="P7239" i="3"/>
  <c r="O7239" i="3"/>
  <c r="P7238" i="3"/>
  <c r="O7238" i="3"/>
  <c r="P7237" i="3"/>
  <c r="O7237" i="3"/>
  <c r="P7236" i="3"/>
  <c r="O7236" i="3"/>
  <c r="P7235" i="3"/>
  <c r="O7235" i="3"/>
  <c r="P7234" i="3"/>
  <c r="O7234" i="3"/>
  <c r="P7233" i="3"/>
  <c r="O7233" i="3"/>
  <c r="P7232" i="3"/>
  <c r="O7232" i="3"/>
  <c r="P7231" i="3"/>
  <c r="O7231" i="3"/>
  <c r="P7230" i="3"/>
  <c r="O7230" i="3"/>
  <c r="P7229" i="3"/>
  <c r="O7229" i="3"/>
  <c r="P7228" i="3"/>
  <c r="O7228" i="3"/>
  <c r="P7227" i="3"/>
  <c r="O7227" i="3"/>
  <c r="P7226" i="3"/>
  <c r="O7226" i="3"/>
  <c r="P7225" i="3"/>
  <c r="O7225" i="3"/>
  <c r="P7224" i="3"/>
  <c r="O7224" i="3"/>
  <c r="P7223" i="3"/>
  <c r="O7223" i="3"/>
  <c r="P7222" i="3"/>
  <c r="O7222" i="3"/>
  <c r="P7221" i="3"/>
  <c r="O7221" i="3"/>
  <c r="P7220" i="3"/>
  <c r="O7220" i="3"/>
  <c r="P7219" i="3"/>
  <c r="O7219" i="3"/>
  <c r="P7218" i="3"/>
  <c r="O7218" i="3"/>
  <c r="P7217" i="3"/>
  <c r="O7217" i="3"/>
  <c r="P7216" i="3"/>
  <c r="O7216" i="3"/>
  <c r="P7215" i="3"/>
  <c r="O7215" i="3"/>
  <c r="P7214" i="3"/>
  <c r="O7214" i="3"/>
  <c r="P7213" i="3"/>
  <c r="O7213" i="3"/>
  <c r="P7212" i="3"/>
  <c r="O7212" i="3"/>
  <c r="P7211" i="3"/>
  <c r="O7211" i="3"/>
  <c r="P7210" i="3"/>
  <c r="O7210" i="3"/>
  <c r="P7209" i="3"/>
  <c r="O7209" i="3"/>
  <c r="P7208" i="3"/>
  <c r="O7208" i="3"/>
  <c r="P7207" i="3"/>
  <c r="O7207" i="3"/>
  <c r="P7206" i="3"/>
  <c r="O7206" i="3"/>
  <c r="P7205" i="3"/>
  <c r="O7205" i="3"/>
  <c r="P7204" i="3"/>
  <c r="O7204" i="3"/>
  <c r="P7203" i="3"/>
  <c r="O7203" i="3"/>
  <c r="P7202" i="3"/>
  <c r="O7202" i="3"/>
  <c r="P7201" i="3"/>
  <c r="O7201" i="3"/>
  <c r="P7200" i="3"/>
  <c r="O7200" i="3"/>
  <c r="P7199" i="3"/>
  <c r="O7199" i="3"/>
  <c r="P7198" i="3"/>
  <c r="O7198" i="3"/>
  <c r="P7197" i="3"/>
  <c r="O7197" i="3"/>
  <c r="P7196" i="3"/>
  <c r="O7196" i="3"/>
  <c r="P7195" i="3"/>
  <c r="O7195" i="3"/>
  <c r="P7194" i="3"/>
  <c r="O7194" i="3"/>
  <c r="P7193" i="3"/>
  <c r="O7193" i="3"/>
  <c r="P7192" i="3"/>
  <c r="O7192" i="3"/>
  <c r="P7191" i="3"/>
  <c r="O7191" i="3"/>
  <c r="P7190" i="3"/>
  <c r="O7190" i="3"/>
  <c r="P7189" i="3"/>
  <c r="O7189" i="3"/>
  <c r="P7188" i="3"/>
  <c r="O7188" i="3"/>
  <c r="P7187" i="3"/>
  <c r="O7187" i="3"/>
  <c r="P7186" i="3"/>
  <c r="O7186" i="3"/>
  <c r="P7185" i="3"/>
  <c r="O7185" i="3"/>
  <c r="P7184" i="3"/>
  <c r="O7184" i="3"/>
  <c r="P7183" i="3"/>
  <c r="O7183" i="3"/>
  <c r="P7182" i="3"/>
  <c r="O7182" i="3"/>
  <c r="P7181" i="3"/>
  <c r="O7181" i="3"/>
  <c r="P7180" i="3"/>
  <c r="O7180" i="3"/>
  <c r="P7179" i="3"/>
  <c r="O7179" i="3"/>
  <c r="P7178" i="3"/>
  <c r="O7178" i="3"/>
  <c r="P7177" i="3"/>
  <c r="O7177" i="3"/>
  <c r="P7176" i="3"/>
  <c r="O7176" i="3"/>
  <c r="P7175" i="3"/>
  <c r="O7175" i="3"/>
  <c r="P7174" i="3"/>
  <c r="O7174" i="3"/>
  <c r="P7173" i="3"/>
  <c r="O7173" i="3"/>
  <c r="P7172" i="3"/>
  <c r="O7172" i="3"/>
  <c r="P7171" i="3"/>
  <c r="O7171" i="3"/>
  <c r="P7170" i="3"/>
  <c r="O7170" i="3"/>
  <c r="P7169" i="3"/>
  <c r="O7169" i="3"/>
  <c r="P7168" i="3"/>
  <c r="O7168" i="3"/>
  <c r="P7167" i="3"/>
  <c r="O7167" i="3"/>
  <c r="P7166" i="3"/>
  <c r="O7166" i="3"/>
  <c r="P7165" i="3"/>
  <c r="O7165" i="3"/>
  <c r="P7164" i="3"/>
  <c r="O7164" i="3"/>
  <c r="P7163" i="3"/>
  <c r="O7163" i="3"/>
  <c r="P7162" i="3"/>
  <c r="O7162" i="3"/>
  <c r="P7161" i="3"/>
  <c r="O7161" i="3"/>
  <c r="P7160" i="3"/>
  <c r="O7160" i="3"/>
  <c r="P7159" i="3"/>
  <c r="O7159" i="3"/>
  <c r="P7158" i="3"/>
  <c r="O7158" i="3"/>
  <c r="P7157" i="3"/>
  <c r="O7157" i="3"/>
  <c r="P7156" i="3"/>
  <c r="O7156" i="3"/>
  <c r="P7155" i="3"/>
  <c r="O7155" i="3"/>
  <c r="P7154" i="3"/>
  <c r="O7154" i="3"/>
  <c r="P7153" i="3"/>
  <c r="O7153" i="3"/>
  <c r="P7152" i="3"/>
  <c r="O7152" i="3"/>
  <c r="P7151" i="3"/>
  <c r="O7151" i="3"/>
  <c r="P7150" i="3"/>
  <c r="O7150" i="3"/>
  <c r="P7149" i="3"/>
  <c r="O7149" i="3"/>
  <c r="P7148" i="3"/>
  <c r="O7148" i="3"/>
  <c r="P7147" i="3"/>
  <c r="O7147" i="3"/>
  <c r="P7146" i="3"/>
  <c r="O7146" i="3"/>
  <c r="P7145" i="3"/>
  <c r="O7145" i="3"/>
  <c r="P7144" i="3"/>
  <c r="O7144" i="3"/>
  <c r="P7143" i="3"/>
  <c r="O7143" i="3"/>
  <c r="P7142" i="3"/>
  <c r="O7142" i="3"/>
  <c r="P7141" i="3"/>
  <c r="O7141" i="3"/>
  <c r="P7140" i="3"/>
  <c r="O7140" i="3"/>
  <c r="P7139" i="3"/>
  <c r="O7139" i="3"/>
  <c r="P7138" i="3"/>
  <c r="O7138" i="3"/>
  <c r="P7137" i="3"/>
  <c r="O7137" i="3"/>
  <c r="P7136" i="3"/>
  <c r="O7136" i="3"/>
  <c r="P7135" i="3"/>
  <c r="O7135" i="3"/>
  <c r="P7134" i="3"/>
  <c r="O7134" i="3"/>
  <c r="P7133" i="3"/>
  <c r="O7133" i="3"/>
  <c r="P7132" i="3"/>
  <c r="O7132" i="3"/>
  <c r="P7131" i="3"/>
  <c r="O7131" i="3"/>
  <c r="P7130" i="3"/>
  <c r="O7130" i="3"/>
  <c r="P7129" i="3"/>
  <c r="O7129" i="3"/>
  <c r="P7128" i="3"/>
  <c r="O7128" i="3"/>
  <c r="P7127" i="3"/>
  <c r="O7127" i="3"/>
  <c r="P7126" i="3"/>
  <c r="O7126" i="3"/>
  <c r="P7125" i="3"/>
  <c r="O7125" i="3"/>
  <c r="P7124" i="3"/>
  <c r="O7124" i="3"/>
  <c r="P7123" i="3"/>
  <c r="O7123" i="3"/>
  <c r="P7122" i="3"/>
  <c r="O7122" i="3"/>
  <c r="P7121" i="3"/>
  <c r="O7121" i="3"/>
  <c r="P7120" i="3"/>
  <c r="O7120" i="3"/>
  <c r="P7119" i="3"/>
  <c r="O7119" i="3"/>
  <c r="P7118" i="3"/>
  <c r="O7118" i="3"/>
  <c r="P7117" i="3"/>
  <c r="O7117" i="3"/>
  <c r="P7116" i="3"/>
  <c r="O7116" i="3"/>
  <c r="P7115" i="3"/>
  <c r="O7115" i="3"/>
  <c r="P7114" i="3"/>
  <c r="O7114" i="3"/>
  <c r="P7113" i="3"/>
  <c r="O7113" i="3"/>
  <c r="P7112" i="3"/>
  <c r="O7112" i="3"/>
  <c r="P7111" i="3"/>
  <c r="O7111" i="3"/>
  <c r="P7110" i="3"/>
  <c r="O7110" i="3"/>
  <c r="P7109" i="3"/>
  <c r="O7109" i="3"/>
  <c r="P7108" i="3"/>
  <c r="O7108" i="3"/>
  <c r="P7107" i="3"/>
  <c r="O7107" i="3"/>
  <c r="P7106" i="3"/>
  <c r="O7106" i="3"/>
  <c r="P7105" i="3"/>
  <c r="O7105" i="3"/>
  <c r="P7104" i="3"/>
  <c r="O7104" i="3"/>
  <c r="P7103" i="3"/>
  <c r="O7103" i="3"/>
  <c r="P7102" i="3"/>
  <c r="O7102" i="3"/>
  <c r="P7101" i="3"/>
  <c r="O7101" i="3"/>
  <c r="P7100" i="3"/>
  <c r="O7100" i="3"/>
  <c r="P7099" i="3"/>
  <c r="O7099" i="3"/>
  <c r="P7098" i="3"/>
  <c r="O7098" i="3"/>
  <c r="P7097" i="3"/>
  <c r="O7097" i="3"/>
  <c r="P7096" i="3"/>
  <c r="O7096" i="3"/>
  <c r="P7095" i="3"/>
  <c r="O7095" i="3"/>
  <c r="P7094" i="3"/>
  <c r="O7094" i="3"/>
  <c r="P7093" i="3"/>
  <c r="O7093" i="3"/>
  <c r="P7092" i="3"/>
  <c r="O7092" i="3"/>
  <c r="P7091" i="3"/>
  <c r="O7091" i="3"/>
  <c r="P7090" i="3"/>
  <c r="O7090" i="3"/>
  <c r="P7089" i="3"/>
  <c r="O7089" i="3"/>
  <c r="P7088" i="3"/>
  <c r="O7088" i="3"/>
  <c r="P7087" i="3"/>
  <c r="O7087" i="3"/>
  <c r="P7086" i="3"/>
  <c r="O7086" i="3"/>
  <c r="P7085" i="3"/>
  <c r="O7085" i="3"/>
  <c r="P7084" i="3"/>
  <c r="O7084" i="3"/>
  <c r="P7083" i="3"/>
  <c r="O7083" i="3"/>
  <c r="P7082" i="3"/>
  <c r="O7082" i="3"/>
  <c r="P7081" i="3"/>
  <c r="O7081" i="3"/>
  <c r="P7080" i="3"/>
  <c r="O7080" i="3"/>
  <c r="P7079" i="3"/>
  <c r="O7079" i="3"/>
  <c r="P7078" i="3"/>
  <c r="O7078" i="3"/>
  <c r="P7077" i="3"/>
  <c r="O7077" i="3"/>
  <c r="P7076" i="3"/>
  <c r="O7076" i="3"/>
  <c r="P7075" i="3"/>
  <c r="O7075" i="3"/>
  <c r="P7074" i="3"/>
  <c r="O7074" i="3"/>
  <c r="P7073" i="3"/>
  <c r="O7073" i="3"/>
  <c r="P7072" i="3"/>
  <c r="O7072" i="3"/>
  <c r="P7071" i="3"/>
  <c r="O7071" i="3"/>
  <c r="P7070" i="3"/>
  <c r="O7070" i="3"/>
  <c r="P7069" i="3"/>
  <c r="O7069" i="3"/>
  <c r="P7068" i="3"/>
  <c r="O7068" i="3"/>
  <c r="P7067" i="3"/>
  <c r="O7067" i="3"/>
  <c r="P7066" i="3"/>
  <c r="O7066" i="3"/>
  <c r="P7065" i="3"/>
  <c r="O7065" i="3"/>
  <c r="P7064" i="3"/>
  <c r="O7064" i="3"/>
  <c r="P7063" i="3"/>
  <c r="O7063" i="3"/>
  <c r="P7062" i="3"/>
  <c r="O7062" i="3"/>
  <c r="P7061" i="3"/>
  <c r="O7061" i="3"/>
  <c r="P7060" i="3"/>
  <c r="O7060" i="3"/>
  <c r="P7059" i="3"/>
  <c r="O7059" i="3"/>
  <c r="P7058" i="3"/>
  <c r="O7058" i="3"/>
  <c r="P7057" i="3"/>
  <c r="O7057" i="3"/>
  <c r="P7056" i="3"/>
  <c r="O7056" i="3"/>
  <c r="P7055" i="3"/>
  <c r="O7055" i="3"/>
  <c r="P7054" i="3"/>
  <c r="O7054" i="3"/>
  <c r="P7053" i="3"/>
  <c r="O7053" i="3"/>
  <c r="P7052" i="3"/>
  <c r="O7052" i="3"/>
  <c r="P7051" i="3"/>
  <c r="O7051" i="3"/>
  <c r="P7050" i="3"/>
  <c r="O7050" i="3"/>
  <c r="P7049" i="3"/>
  <c r="O7049" i="3"/>
  <c r="P7048" i="3"/>
  <c r="O7048" i="3"/>
  <c r="P7047" i="3"/>
  <c r="O7047" i="3"/>
  <c r="P7046" i="3"/>
  <c r="O7046" i="3"/>
  <c r="P7045" i="3"/>
  <c r="O7045" i="3"/>
  <c r="P7044" i="3"/>
  <c r="O7044" i="3"/>
  <c r="P7043" i="3"/>
  <c r="O7043" i="3"/>
  <c r="P7042" i="3"/>
  <c r="O7042" i="3"/>
  <c r="P7041" i="3"/>
  <c r="O7041" i="3"/>
  <c r="P7040" i="3"/>
  <c r="O7040" i="3"/>
  <c r="P7039" i="3"/>
  <c r="O7039" i="3"/>
  <c r="P7038" i="3"/>
  <c r="O7038" i="3"/>
  <c r="P7037" i="3"/>
  <c r="O7037" i="3"/>
  <c r="P7036" i="3"/>
  <c r="O7036" i="3"/>
  <c r="P7035" i="3"/>
  <c r="O7035" i="3"/>
  <c r="P7034" i="3"/>
  <c r="O7034" i="3"/>
  <c r="P7033" i="3"/>
  <c r="O7033" i="3"/>
  <c r="P7032" i="3"/>
  <c r="O7032" i="3"/>
  <c r="P7031" i="3"/>
  <c r="O7031" i="3"/>
  <c r="P7030" i="3"/>
  <c r="O7030" i="3"/>
  <c r="P7029" i="3"/>
  <c r="O7029" i="3"/>
  <c r="P7028" i="3"/>
  <c r="O7028" i="3"/>
  <c r="P7027" i="3"/>
  <c r="O7027" i="3"/>
  <c r="P7026" i="3"/>
  <c r="O7026" i="3"/>
  <c r="P7025" i="3"/>
  <c r="O7025" i="3"/>
  <c r="P7024" i="3"/>
  <c r="O7024" i="3"/>
  <c r="P7023" i="3"/>
  <c r="O7023" i="3"/>
  <c r="P7022" i="3"/>
  <c r="O7022" i="3"/>
  <c r="P7021" i="3"/>
  <c r="O7021" i="3"/>
  <c r="P7020" i="3"/>
  <c r="O7020" i="3"/>
  <c r="P7019" i="3"/>
  <c r="O7019" i="3"/>
  <c r="P7018" i="3"/>
  <c r="O7018" i="3"/>
  <c r="P7017" i="3"/>
  <c r="O7017" i="3"/>
  <c r="P7016" i="3"/>
  <c r="O7016" i="3"/>
  <c r="P7015" i="3"/>
  <c r="O7015" i="3"/>
  <c r="P7014" i="3"/>
  <c r="O7014" i="3"/>
  <c r="P7013" i="3"/>
  <c r="O7013" i="3"/>
  <c r="P7012" i="3"/>
  <c r="O7012" i="3"/>
  <c r="P7011" i="3"/>
  <c r="O7011" i="3"/>
  <c r="P7010" i="3"/>
  <c r="O7010" i="3"/>
  <c r="P7009" i="3"/>
  <c r="O7009" i="3"/>
  <c r="P7008" i="3"/>
  <c r="O7008" i="3"/>
  <c r="P7007" i="3"/>
  <c r="O7007" i="3"/>
  <c r="P7006" i="3"/>
  <c r="O7006" i="3"/>
  <c r="P7005" i="3"/>
  <c r="O7005" i="3"/>
  <c r="P7004" i="3"/>
  <c r="O7004" i="3"/>
  <c r="P7003" i="3"/>
  <c r="O7003" i="3"/>
  <c r="P7002" i="3"/>
  <c r="O7002" i="3"/>
  <c r="P7001" i="3"/>
  <c r="O7001" i="3"/>
  <c r="P7000" i="3"/>
  <c r="O7000" i="3"/>
  <c r="P6999" i="3"/>
  <c r="O6999" i="3"/>
  <c r="P6998" i="3"/>
  <c r="O6998" i="3"/>
  <c r="P6997" i="3"/>
  <c r="O6997" i="3"/>
  <c r="P6996" i="3"/>
  <c r="O6996" i="3"/>
  <c r="P6995" i="3"/>
  <c r="O6995" i="3"/>
  <c r="P6994" i="3"/>
  <c r="O6994" i="3"/>
  <c r="P6993" i="3"/>
  <c r="O6993" i="3"/>
  <c r="P6992" i="3"/>
  <c r="O6992" i="3"/>
  <c r="P6991" i="3"/>
  <c r="O6991" i="3"/>
  <c r="P6990" i="3"/>
  <c r="O6990" i="3"/>
  <c r="P6989" i="3"/>
  <c r="O6989" i="3"/>
  <c r="P6988" i="3"/>
  <c r="O6988" i="3"/>
  <c r="P6987" i="3"/>
  <c r="O6987" i="3"/>
  <c r="P6986" i="3"/>
  <c r="O6986" i="3"/>
  <c r="P6985" i="3"/>
  <c r="O6985" i="3"/>
  <c r="P6984" i="3"/>
  <c r="O6984" i="3"/>
  <c r="P6983" i="3"/>
  <c r="O6983" i="3"/>
  <c r="P6982" i="3"/>
  <c r="O6982" i="3"/>
  <c r="P6981" i="3"/>
  <c r="O6981" i="3"/>
  <c r="P6980" i="3"/>
  <c r="O6980" i="3"/>
  <c r="P6979" i="3"/>
  <c r="O6979" i="3"/>
  <c r="P6978" i="3"/>
  <c r="O6978" i="3"/>
  <c r="P6977" i="3"/>
  <c r="O6977" i="3"/>
  <c r="P6976" i="3"/>
  <c r="O6976" i="3"/>
  <c r="P6975" i="3"/>
  <c r="O6975" i="3"/>
  <c r="P6974" i="3"/>
  <c r="O6974" i="3"/>
  <c r="P6973" i="3"/>
  <c r="O6973" i="3"/>
  <c r="P6972" i="3"/>
  <c r="O6972" i="3"/>
  <c r="P6971" i="3"/>
  <c r="O6971" i="3"/>
  <c r="P6970" i="3"/>
  <c r="O6970" i="3"/>
  <c r="P6969" i="3"/>
  <c r="O6969" i="3"/>
  <c r="P6968" i="3"/>
  <c r="O6968" i="3"/>
  <c r="P6967" i="3"/>
  <c r="O6967" i="3"/>
  <c r="P6966" i="3"/>
  <c r="O6966" i="3"/>
  <c r="P6965" i="3"/>
  <c r="O6965" i="3"/>
  <c r="P6964" i="3"/>
  <c r="O6964" i="3"/>
  <c r="P6963" i="3"/>
  <c r="O6963" i="3"/>
  <c r="P6962" i="3"/>
  <c r="O6962" i="3"/>
  <c r="P6961" i="3"/>
  <c r="O6961" i="3"/>
  <c r="P6960" i="3"/>
  <c r="O6960" i="3"/>
  <c r="P6959" i="3"/>
  <c r="O6959" i="3"/>
  <c r="P6958" i="3"/>
  <c r="O6958" i="3"/>
  <c r="P6957" i="3"/>
  <c r="O6957" i="3"/>
  <c r="P6956" i="3"/>
  <c r="O6956" i="3"/>
  <c r="P6955" i="3"/>
  <c r="O6955" i="3"/>
  <c r="P6954" i="3"/>
  <c r="O6954" i="3"/>
  <c r="P6953" i="3"/>
  <c r="O6953" i="3"/>
  <c r="P6952" i="3"/>
  <c r="O6952" i="3"/>
  <c r="P6951" i="3"/>
  <c r="O6951" i="3"/>
  <c r="P6950" i="3"/>
  <c r="O6950" i="3"/>
  <c r="P6949" i="3"/>
  <c r="O6949" i="3"/>
  <c r="P6948" i="3"/>
  <c r="O6948" i="3"/>
  <c r="P6947" i="3"/>
  <c r="O6947" i="3"/>
  <c r="P6946" i="3"/>
  <c r="O6946" i="3"/>
  <c r="P6945" i="3"/>
  <c r="O6945" i="3"/>
  <c r="P6944" i="3"/>
  <c r="O6944" i="3"/>
  <c r="P6943" i="3"/>
  <c r="O6943" i="3"/>
  <c r="P6942" i="3"/>
  <c r="O6942" i="3"/>
  <c r="P6941" i="3"/>
  <c r="O6941" i="3"/>
  <c r="P6940" i="3"/>
  <c r="O6940" i="3"/>
  <c r="P6939" i="3"/>
  <c r="O6939" i="3"/>
  <c r="P6938" i="3"/>
  <c r="O6938" i="3"/>
  <c r="P6937" i="3"/>
  <c r="O6937" i="3"/>
  <c r="P6936" i="3"/>
  <c r="O6936" i="3"/>
  <c r="P6935" i="3"/>
  <c r="O6935" i="3"/>
  <c r="P6934" i="3"/>
  <c r="O6934" i="3"/>
  <c r="P6933" i="3"/>
  <c r="O6933" i="3"/>
  <c r="P6932" i="3"/>
  <c r="O6932" i="3"/>
  <c r="P6931" i="3"/>
  <c r="O6931" i="3"/>
  <c r="P6930" i="3"/>
  <c r="O6930" i="3"/>
  <c r="P6929" i="3"/>
  <c r="O6929" i="3"/>
  <c r="P6928" i="3"/>
  <c r="O6928" i="3"/>
  <c r="P6927" i="3"/>
  <c r="O6927" i="3"/>
  <c r="P6926" i="3"/>
  <c r="O6926" i="3"/>
  <c r="P6925" i="3"/>
  <c r="O6925" i="3"/>
  <c r="P6924" i="3"/>
  <c r="O6924" i="3"/>
  <c r="P6923" i="3"/>
  <c r="O6923" i="3"/>
  <c r="P6922" i="3"/>
  <c r="O6922" i="3"/>
  <c r="P6921" i="3"/>
  <c r="O6921" i="3"/>
  <c r="P6920" i="3"/>
  <c r="O6920" i="3"/>
  <c r="P6919" i="3"/>
  <c r="O6919" i="3"/>
  <c r="P6918" i="3"/>
  <c r="O6918" i="3"/>
  <c r="P6917" i="3"/>
  <c r="O6917" i="3"/>
  <c r="P6916" i="3"/>
  <c r="O6916" i="3"/>
  <c r="P6915" i="3"/>
  <c r="O6915" i="3"/>
  <c r="P6914" i="3"/>
  <c r="O6914" i="3"/>
  <c r="P6913" i="3"/>
  <c r="O6913" i="3"/>
  <c r="P6912" i="3"/>
  <c r="O6912" i="3"/>
  <c r="P6911" i="3"/>
  <c r="O6911" i="3"/>
  <c r="P6910" i="3"/>
  <c r="O6910" i="3"/>
  <c r="P6909" i="3"/>
  <c r="O6909" i="3"/>
  <c r="P6908" i="3"/>
  <c r="O6908" i="3"/>
  <c r="P6907" i="3"/>
  <c r="O6907" i="3"/>
  <c r="P6906" i="3"/>
  <c r="O6906" i="3"/>
  <c r="P6905" i="3"/>
  <c r="O6905" i="3"/>
  <c r="P6904" i="3"/>
  <c r="O6904" i="3"/>
  <c r="P6903" i="3"/>
  <c r="O6903" i="3"/>
  <c r="P6902" i="3"/>
  <c r="O6902" i="3"/>
  <c r="P6901" i="3"/>
  <c r="O6901" i="3"/>
  <c r="P6900" i="3"/>
  <c r="O6900" i="3"/>
  <c r="P6899" i="3"/>
  <c r="O6899" i="3"/>
  <c r="P6898" i="3"/>
  <c r="O6898" i="3"/>
  <c r="P6897" i="3"/>
  <c r="O6897" i="3"/>
  <c r="P6896" i="3"/>
  <c r="O6896" i="3"/>
  <c r="P6895" i="3"/>
  <c r="O6895" i="3"/>
  <c r="P6894" i="3"/>
  <c r="O6894" i="3"/>
  <c r="P6893" i="3"/>
  <c r="O6893" i="3"/>
  <c r="P6892" i="3"/>
  <c r="O6892" i="3"/>
  <c r="P6891" i="3"/>
  <c r="O6891" i="3"/>
  <c r="P6890" i="3"/>
  <c r="O6890" i="3"/>
  <c r="P6889" i="3"/>
  <c r="O6889" i="3"/>
  <c r="P6888" i="3"/>
  <c r="O6888" i="3"/>
  <c r="P6887" i="3"/>
  <c r="O6887" i="3"/>
  <c r="P6886" i="3"/>
  <c r="O6886" i="3"/>
  <c r="P6885" i="3"/>
  <c r="O6885" i="3"/>
  <c r="P6884" i="3"/>
  <c r="O6884" i="3"/>
  <c r="P6883" i="3"/>
  <c r="O6883" i="3"/>
  <c r="P6882" i="3"/>
  <c r="O6882" i="3"/>
  <c r="P6881" i="3"/>
  <c r="O6881" i="3"/>
  <c r="P6880" i="3"/>
  <c r="O6880" i="3"/>
  <c r="P6879" i="3"/>
  <c r="O6879" i="3"/>
  <c r="P6878" i="3"/>
  <c r="O6878" i="3"/>
  <c r="P6877" i="3"/>
  <c r="O6877" i="3"/>
  <c r="P6876" i="3"/>
  <c r="O6876" i="3"/>
  <c r="P6875" i="3"/>
  <c r="O6875" i="3"/>
  <c r="P6874" i="3"/>
  <c r="O6874" i="3"/>
  <c r="P6873" i="3"/>
  <c r="O6873" i="3"/>
  <c r="P6872" i="3"/>
  <c r="O6872" i="3"/>
  <c r="P6871" i="3"/>
  <c r="O6871" i="3"/>
  <c r="P6870" i="3"/>
  <c r="O6870" i="3"/>
  <c r="P6869" i="3"/>
  <c r="O6869" i="3"/>
  <c r="P6868" i="3"/>
  <c r="O6868" i="3"/>
  <c r="P6867" i="3"/>
  <c r="O6867" i="3"/>
  <c r="P6866" i="3"/>
  <c r="O6866" i="3"/>
  <c r="P6865" i="3"/>
  <c r="O6865" i="3"/>
  <c r="P6864" i="3"/>
  <c r="O6864" i="3"/>
  <c r="P6863" i="3"/>
  <c r="O6863" i="3"/>
  <c r="P6862" i="3"/>
  <c r="O6862" i="3"/>
  <c r="P6861" i="3"/>
  <c r="O6861" i="3"/>
  <c r="P6860" i="3"/>
  <c r="O6860" i="3"/>
  <c r="P6859" i="3"/>
  <c r="O6859" i="3"/>
  <c r="P6858" i="3"/>
  <c r="O6858" i="3"/>
  <c r="P6857" i="3"/>
  <c r="O6857" i="3"/>
  <c r="P6856" i="3"/>
  <c r="O6856" i="3"/>
  <c r="P6855" i="3"/>
  <c r="O6855" i="3"/>
  <c r="P6854" i="3"/>
  <c r="O6854" i="3"/>
  <c r="P6853" i="3"/>
  <c r="O6853" i="3"/>
  <c r="P6852" i="3"/>
  <c r="O6852" i="3"/>
  <c r="P6851" i="3"/>
  <c r="O6851" i="3"/>
  <c r="P6850" i="3"/>
  <c r="O6850" i="3"/>
  <c r="P6849" i="3"/>
  <c r="O6849" i="3"/>
  <c r="P6848" i="3"/>
  <c r="O6848" i="3"/>
  <c r="P6847" i="3"/>
  <c r="O6847" i="3"/>
  <c r="P6846" i="3"/>
  <c r="O6846" i="3"/>
  <c r="P6845" i="3"/>
  <c r="O6845" i="3"/>
  <c r="P6844" i="3"/>
  <c r="O6844" i="3"/>
  <c r="P6843" i="3"/>
  <c r="O6843" i="3"/>
  <c r="P6842" i="3"/>
  <c r="O6842" i="3"/>
  <c r="P6841" i="3"/>
  <c r="O6841" i="3"/>
  <c r="P6840" i="3"/>
  <c r="O6840" i="3"/>
  <c r="P6839" i="3"/>
  <c r="O6839" i="3"/>
  <c r="P6838" i="3"/>
  <c r="O6838" i="3"/>
  <c r="P6837" i="3"/>
  <c r="O6837" i="3"/>
  <c r="P6836" i="3"/>
  <c r="O6836" i="3"/>
  <c r="P6835" i="3"/>
  <c r="O6835" i="3"/>
  <c r="P6834" i="3"/>
  <c r="O6834" i="3"/>
  <c r="P6833" i="3"/>
  <c r="O6833" i="3"/>
  <c r="P6832" i="3"/>
  <c r="O6832" i="3"/>
  <c r="P6831" i="3"/>
  <c r="O6831" i="3"/>
  <c r="P6830" i="3"/>
  <c r="O6830" i="3"/>
  <c r="P6829" i="3"/>
  <c r="O6829" i="3"/>
  <c r="P6828" i="3"/>
  <c r="O6828" i="3"/>
  <c r="P6827" i="3"/>
  <c r="O6827" i="3"/>
  <c r="P6826" i="3"/>
  <c r="O6826" i="3"/>
  <c r="P6825" i="3"/>
  <c r="O6825" i="3"/>
  <c r="P6824" i="3"/>
  <c r="O6824" i="3"/>
  <c r="P6823" i="3"/>
  <c r="O6823" i="3"/>
  <c r="P6822" i="3"/>
  <c r="O6822" i="3"/>
  <c r="P6821" i="3"/>
  <c r="O6821" i="3"/>
  <c r="P6820" i="3"/>
  <c r="O6820" i="3"/>
  <c r="P6819" i="3"/>
  <c r="O6819" i="3"/>
  <c r="P6818" i="3"/>
  <c r="O6818" i="3"/>
  <c r="P6817" i="3"/>
  <c r="O6817" i="3"/>
  <c r="P6816" i="3"/>
  <c r="O6816" i="3"/>
  <c r="P6815" i="3"/>
  <c r="O6815" i="3"/>
  <c r="P6814" i="3"/>
  <c r="O6814" i="3"/>
  <c r="P6813" i="3"/>
  <c r="O6813" i="3"/>
  <c r="P6812" i="3"/>
  <c r="O6812" i="3"/>
  <c r="P6811" i="3"/>
  <c r="O6811" i="3"/>
  <c r="P6810" i="3"/>
  <c r="O6810" i="3"/>
  <c r="P6809" i="3"/>
  <c r="O6809" i="3"/>
  <c r="P6808" i="3"/>
  <c r="O6808" i="3"/>
  <c r="P6807" i="3"/>
  <c r="O6807" i="3"/>
  <c r="P6806" i="3"/>
  <c r="O6806" i="3"/>
  <c r="P6805" i="3"/>
  <c r="O6805" i="3"/>
  <c r="P6804" i="3"/>
  <c r="O6804" i="3"/>
  <c r="P6803" i="3"/>
  <c r="O6803" i="3"/>
  <c r="P6802" i="3"/>
  <c r="O6802" i="3"/>
  <c r="P6801" i="3"/>
  <c r="O6801" i="3"/>
  <c r="P6800" i="3"/>
  <c r="O6800" i="3"/>
  <c r="P6799" i="3"/>
  <c r="O6799" i="3"/>
  <c r="P6798" i="3"/>
  <c r="O6798" i="3"/>
  <c r="P6797" i="3"/>
  <c r="O6797" i="3"/>
  <c r="P6796" i="3"/>
  <c r="O6796" i="3"/>
  <c r="P6795" i="3"/>
  <c r="O6795" i="3"/>
  <c r="P6794" i="3"/>
  <c r="O6794" i="3"/>
  <c r="P6793" i="3"/>
  <c r="O6793" i="3"/>
  <c r="P6792" i="3"/>
  <c r="O6792" i="3"/>
  <c r="P6791" i="3"/>
  <c r="O6791" i="3"/>
  <c r="P6790" i="3"/>
  <c r="O6790" i="3"/>
  <c r="P6789" i="3"/>
  <c r="O6789" i="3"/>
  <c r="P6788" i="3"/>
  <c r="O6788" i="3"/>
  <c r="P6787" i="3"/>
  <c r="O6787" i="3"/>
  <c r="P6786" i="3"/>
  <c r="O6786" i="3"/>
  <c r="P6785" i="3"/>
  <c r="O6785" i="3"/>
  <c r="P6784" i="3"/>
  <c r="O6784" i="3"/>
  <c r="P6783" i="3"/>
  <c r="O6783" i="3"/>
  <c r="P6782" i="3"/>
  <c r="O6782" i="3"/>
  <c r="P6781" i="3"/>
  <c r="O6781" i="3"/>
  <c r="P6780" i="3"/>
  <c r="O6780" i="3"/>
  <c r="P6779" i="3"/>
  <c r="O6779" i="3"/>
  <c r="P6778" i="3"/>
  <c r="O6778" i="3"/>
  <c r="P6777" i="3"/>
  <c r="O6777" i="3"/>
  <c r="P6776" i="3"/>
  <c r="O6776" i="3"/>
  <c r="P6775" i="3"/>
  <c r="O6775" i="3"/>
  <c r="P6774" i="3"/>
  <c r="O6774" i="3"/>
  <c r="P6773" i="3"/>
  <c r="O6773" i="3"/>
  <c r="P6772" i="3"/>
  <c r="O6772" i="3"/>
  <c r="P6771" i="3"/>
  <c r="O6771" i="3"/>
  <c r="P6770" i="3"/>
  <c r="O6770" i="3"/>
  <c r="P6769" i="3"/>
  <c r="O6769" i="3"/>
  <c r="P6768" i="3"/>
  <c r="O6768" i="3"/>
  <c r="P6767" i="3"/>
  <c r="O6767" i="3"/>
  <c r="P6766" i="3"/>
  <c r="O6766" i="3"/>
  <c r="P6765" i="3"/>
  <c r="O6765" i="3"/>
  <c r="P6764" i="3"/>
  <c r="O6764" i="3"/>
  <c r="P6763" i="3"/>
  <c r="O6763" i="3"/>
  <c r="P6762" i="3"/>
  <c r="O6762" i="3"/>
  <c r="P6761" i="3"/>
  <c r="O6761" i="3"/>
  <c r="P6760" i="3"/>
  <c r="O6760" i="3"/>
  <c r="P6759" i="3"/>
  <c r="O6759" i="3"/>
  <c r="P6758" i="3"/>
  <c r="O6758" i="3"/>
  <c r="P6757" i="3"/>
  <c r="O6757" i="3"/>
  <c r="P6756" i="3"/>
  <c r="O6756" i="3"/>
  <c r="P6755" i="3"/>
  <c r="O6755" i="3"/>
  <c r="P6754" i="3"/>
  <c r="O6754" i="3"/>
  <c r="P6753" i="3"/>
  <c r="O6753" i="3"/>
  <c r="P6752" i="3"/>
  <c r="O6752" i="3"/>
  <c r="P6751" i="3"/>
  <c r="O6751" i="3"/>
  <c r="P6750" i="3"/>
  <c r="O6750" i="3"/>
  <c r="P6749" i="3"/>
  <c r="O6749" i="3"/>
  <c r="P6748" i="3"/>
  <c r="O6748" i="3"/>
  <c r="P6747" i="3"/>
  <c r="O6747" i="3"/>
  <c r="P6746" i="3"/>
  <c r="O6746" i="3"/>
  <c r="P6745" i="3"/>
  <c r="O6745" i="3"/>
  <c r="P6744" i="3"/>
  <c r="O6744" i="3"/>
  <c r="P6743" i="3"/>
  <c r="O6743" i="3"/>
  <c r="P6742" i="3"/>
  <c r="O6742" i="3"/>
  <c r="P6741" i="3"/>
  <c r="O6741" i="3"/>
  <c r="P6740" i="3"/>
  <c r="O6740" i="3"/>
  <c r="P6739" i="3"/>
  <c r="O6739" i="3"/>
  <c r="P6738" i="3"/>
  <c r="O6738" i="3"/>
  <c r="P6737" i="3"/>
  <c r="O6737" i="3"/>
  <c r="P6736" i="3"/>
  <c r="O6736" i="3"/>
  <c r="P6735" i="3"/>
  <c r="O6735" i="3"/>
  <c r="P6734" i="3"/>
  <c r="O6734" i="3"/>
  <c r="P6733" i="3"/>
  <c r="O6733" i="3"/>
  <c r="P6732" i="3"/>
  <c r="O6732" i="3"/>
  <c r="P6731" i="3"/>
  <c r="O6731" i="3"/>
  <c r="P6730" i="3"/>
  <c r="O6730" i="3"/>
  <c r="P6729" i="3"/>
  <c r="O6729" i="3"/>
  <c r="P6728" i="3"/>
  <c r="O6728" i="3"/>
  <c r="P6727" i="3"/>
  <c r="O6727" i="3"/>
  <c r="P6726" i="3"/>
  <c r="O6726" i="3"/>
  <c r="P6725" i="3"/>
  <c r="O6725" i="3"/>
  <c r="P6724" i="3"/>
  <c r="O6724" i="3"/>
  <c r="P6723" i="3"/>
  <c r="O6723" i="3"/>
  <c r="P6722" i="3"/>
  <c r="O6722" i="3"/>
  <c r="P6721" i="3"/>
  <c r="O6721" i="3"/>
  <c r="P6720" i="3"/>
  <c r="O6720" i="3"/>
  <c r="P6719" i="3"/>
  <c r="O6719" i="3"/>
  <c r="P6718" i="3"/>
  <c r="O6718" i="3"/>
  <c r="P6717" i="3"/>
  <c r="O6717" i="3"/>
  <c r="P6716" i="3"/>
  <c r="O6716" i="3"/>
  <c r="P6715" i="3"/>
  <c r="O6715" i="3"/>
  <c r="P6714" i="3"/>
  <c r="O6714" i="3"/>
  <c r="P6713" i="3"/>
  <c r="O6713" i="3"/>
  <c r="P6712" i="3"/>
  <c r="O6712" i="3"/>
  <c r="P6711" i="3"/>
  <c r="O6711" i="3"/>
  <c r="P6710" i="3"/>
  <c r="O6710" i="3"/>
  <c r="P6709" i="3"/>
  <c r="O6709" i="3"/>
  <c r="P6708" i="3"/>
  <c r="O6708" i="3"/>
  <c r="P6707" i="3"/>
  <c r="O6707" i="3"/>
  <c r="P6706" i="3"/>
  <c r="O6706" i="3"/>
  <c r="P6705" i="3"/>
  <c r="O6705" i="3"/>
  <c r="P6704" i="3"/>
  <c r="O6704" i="3"/>
  <c r="P6703" i="3"/>
  <c r="O6703" i="3"/>
  <c r="P6702" i="3"/>
  <c r="O6702" i="3"/>
  <c r="P6701" i="3"/>
  <c r="O6701" i="3"/>
  <c r="P6700" i="3"/>
  <c r="O6700" i="3"/>
  <c r="P6699" i="3"/>
  <c r="O6699" i="3"/>
  <c r="P6698" i="3"/>
  <c r="O6698" i="3"/>
  <c r="P6697" i="3"/>
  <c r="O6697" i="3"/>
  <c r="P6696" i="3"/>
  <c r="O6696" i="3"/>
  <c r="P6695" i="3"/>
  <c r="O6695" i="3"/>
  <c r="P6694" i="3"/>
  <c r="O6694" i="3"/>
  <c r="P6693" i="3"/>
  <c r="O6693" i="3"/>
  <c r="P6692" i="3"/>
  <c r="O6692" i="3"/>
  <c r="P6691" i="3"/>
  <c r="O6691" i="3"/>
  <c r="P6690" i="3"/>
  <c r="O6690" i="3"/>
  <c r="P6689" i="3"/>
  <c r="O6689" i="3"/>
  <c r="P6688" i="3"/>
  <c r="O6688" i="3"/>
  <c r="P6687" i="3"/>
  <c r="O6687" i="3"/>
  <c r="P6686" i="3"/>
  <c r="O6686" i="3"/>
  <c r="P6685" i="3"/>
  <c r="O6685" i="3"/>
  <c r="P6684" i="3"/>
  <c r="O6684" i="3"/>
  <c r="P6683" i="3"/>
  <c r="O6683" i="3"/>
  <c r="P6682" i="3"/>
  <c r="O6682" i="3"/>
  <c r="P6681" i="3"/>
  <c r="O6681" i="3"/>
  <c r="P6680" i="3"/>
  <c r="O6680" i="3"/>
  <c r="P6679" i="3"/>
  <c r="O6679" i="3"/>
  <c r="P6678" i="3"/>
  <c r="O6678" i="3"/>
  <c r="P6677" i="3"/>
  <c r="O6677" i="3"/>
  <c r="P6676" i="3"/>
  <c r="O6676" i="3"/>
  <c r="P6675" i="3"/>
  <c r="O6675" i="3"/>
  <c r="P6674" i="3"/>
  <c r="O6674" i="3"/>
  <c r="P6673" i="3"/>
  <c r="O6673" i="3"/>
  <c r="P6672" i="3"/>
  <c r="O6672" i="3"/>
  <c r="P6671" i="3"/>
  <c r="O6671" i="3"/>
  <c r="P6670" i="3"/>
  <c r="O6670" i="3"/>
  <c r="P6669" i="3"/>
  <c r="O6669" i="3"/>
  <c r="P6668" i="3"/>
  <c r="O6668" i="3"/>
  <c r="P6667" i="3"/>
  <c r="O6667" i="3"/>
  <c r="P6666" i="3"/>
  <c r="O6666" i="3"/>
  <c r="P6665" i="3"/>
  <c r="O6665" i="3"/>
  <c r="P6664" i="3"/>
  <c r="O6664" i="3"/>
  <c r="P6663" i="3"/>
  <c r="O6663" i="3"/>
  <c r="P6662" i="3"/>
  <c r="O6662" i="3"/>
  <c r="P6661" i="3"/>
  <c r="O6661" i="3"/>
  <c r="P6660" i="3"/>
  <c r="O6660" i="3"/>
  <c r="P6659" i="3"/>
  <c r="O6659" i="3"/>
  <c r="P6658" i="3"/>
  <c r="O6658" i="3"/>
  <c r="P6657" i="3"/>
  <c r="O6657" i="3"/>
  <c r="P6656" i="3"/>
  <c r="O6656" i="3"/>
  <c r="P6655" i="3"/>
  <c r="O6655" i="3"/>
  <c r="P6654" i="3"/>
  <c r="O6654" i="3"/>
  <c r="P6653" i="3"/>
  <c r="O6653" i="3"/>
  <c r="P6652" i="3"/>
  <c r="O6652" i="3"/>
  <c r="P6651" i="3"/>
  <c r="O6651" i="3"/>
  <c r="P6650" i="3"/>
  <c r="O6650" i="3"/>
  <c r="P6649" i="3"/>
  <c r="O6649" i="3"/>
  <c r="P6648" i="3"/>
  <c r="O6648" i="3"/>
  <c r="P6647" i="3"/>
  <c r="O6647" i="3"/>
  <c r="P6646" i="3"/>
  <c r="O6646" i="3"/>
  <c r="P6645" i="3"/>
  <c r="O6645" i="3"/>
  <c r="P6644" i="3"/>
  <c r="O6644" i="3"/>
  <c r="P6643" i="3"/>
  <c r="O6643" i="3"/>
  <c r="P6642" i="3"/>
  <c r="O6642" i="3"/>
  <c r="P6641" i="3"/>
  <c r="O6641" i="3"/>
  <c r="P6640" i="3"/>
  <c r="O6640" i="3"/>
  <c r="P6639" i="3"/>
  <c r="O6639" i="3"/>
  <c r="P6638" i="3"/>
  <c r="O6638" i="3"/>
  <c r="P6637" i="3"/>
  <c r="O6637" i="3"/>
  <c r="P6636" i="3"/>
  <c r="O6636" i="3"/>
  <c r="P6635" i="3"/>
  <c r="O6635" i="3"/>
  <c r="P6634" i="3"/>
  <c r="O6634" i="3"/>
  <c r="P6633" i="3"/>
  <c r="O6633" i="3"/>
  <c r="P6632" i="3"/>
  <c r="O6632" i="3"/>
  <c r="P6631" i="3"/>
  <c r="O6631" i="3"/>
  <c r="P6630" i="3"/>
  <c r="O6630" i="3"/>
  <c r="P6629" i="3"/>
  <c r="O6629" i="3"/>
  <c r="P6628" i="3"/>
  <c r="O6628" i="3"/>
  <c r="P6627" i="3"/>
  <c r="O6627" i="3"/>
  <c r="P6626" i="3"/>
  <c r="O6626" i="3"/>
  <c r="P6625" i="3"/>
  <c r="O6625" i="3"/>
  <c r="P6624" i="3"/>
  <c r="O6624" i="3"/>
  <c r="P6623" i="3"/>
  <c r="O6623" i="3"/>
  <c r="P6622" i="3"/>
  <c r="O6622" i="3"/>
  <c r="P6621" i="3"/>
  <c r="O6621" i="3"/>
  <c r="P6620" i="3"/>
  <c r="O6620" i="3"/>
  <c r="P6619" i="3"/>
  <c r="O6619" i="3"/>
  <c r="P6618" i="3"/>
  <c r="O6618" i="3"/>
  <c r="P6617" i="3"/>
  <c r="O6617" i="3"/>
  <c r="P6616" i="3"/>
  <c r="O6616" i="3"/>
  <c r="P6615" i="3"/>
  <c r="O6615" i="3"/>
  <c r="P6614" i="3"/>
  <c r="O6614" i="3"/>
  <c r="P6613" i="3"/>
  <c r="O6613" i="3"/>
  <c r="P6612" i="3"/>
  <c r="O6612" i="3"/>
  <c r="P6611" i="3"/>
  <c r="O6611" i="3"/>
  <c r="P6610" i="3"/>
  <c r="O6610" i="3"/>
  <c r="P6609" i="3"/>
  <c r="O6609" i="3"/>
  <c r="P6608" i="3"/>
  <c r="O6608" i="3"/>
  <c r="P6607" i="3"/>
  <c r="O6607" i="3"/>
  <c r="P6606" i="3"/>
  <c r="O6606" i="3"/>
  <c r="P6605" i="3"/>
  <c r="O6605" i="3"/>
  <c r="P6604" i="3"/>
  <c r="O6604" i="3"/>
  <c r="P6603" i="3"/>
  <c r="O6603" i="3"/>
  <c r="P6602" i="3"/>
  <c r="O6602" i="3"/>
  <c r="P6601" i="3"/>
  <c r="O6601" i="3"/>
  <c r="P6600" i="3"/>
  <c r="O6600" i="3"/>
  <c r="P6599" i="3"/>
  <c r="O6599" i="3"/>
  <c r="P6598" i="3"/>
  <c r="O6598" i="3"/>
  <c r="P6597" i="3"/>
  <c r="O6597" i="3"/>
  <c r="P6596" i="3"/>
  <c r="O6596" i="3"/>
  <c r="P6595" i="3"/>
  <c r="O6595" i="3"/>
  <c r="P6594" i="3"/>
  <c r="O6594" i="3"/>
  <c r="P6593" i="3"/>
  <c r="O6593" i="3"/>
  <c r="P6592" i="3"/>
  <c r="O6592" i="3"/>
  <c r="P6591" i="3"/>
  <c r="O6591" i="3"/>
  <c r="P6590" i="3"/>
  <c r="O6590" i="3"/>
  <c r="P6589" i="3"/>
  <c r="O6589" i="3"/>
  <c r="P6588" i="3"/>
  <c r="O6588" i="3"/>
  <c r="P6587" i="3"/>
  <c r="O6587" i="3"/>
  <c r="P6586" i="3"/>
  <c r="O6586" i="3"/>
  <c r="P6585" i="3"/>
  <c r="O6585" i="3"/>
  <c r="P6584" i="3"/>
  <c r="O6584" i="3"/>
  <c r="P6583" i="3"/>
  <c r="O6583" i="3"/>
  <c r="P6582" i="3"/>
  <c r="O6582" i="3"/>
  <c r="P6581" i="3"/>
  <c r="O6581" i="3"/>
  <c r="P6580" i="3"/>
  <c r="O6580" i="3"/>
  <c r="P6579" i="3"/>
  <c r="O6579" i="3"/>
  <c r="P6578" i="3"/>
  <c r="O6578" i="3"/>
  <c r="P6577" i="3"/>
  <c r="O6577" i="3"/>
  <c r="P6576" i="3"/>
  <c r="O6576" i="3"/>
  <c r="P6575" i="3"/>
  <c r="O6575" i="3"/>
  <c r="P6574" i="3"/>
  <c r="O6574" i="3"/>
  <c r="P6573" i="3"/>
  <c r="O6573" i="3"/>
  <c r="P6572" i="3"/>
  <c r="O6572" i="3"/>
  <c r="P6571" i="3"/>
  <c r="O6571" i="3"/>
  <c r="P6570" i="3"/>
  <c r="O6570" i="3"/>
  <c r="P6569" i="3"/>
  <c r="O6569" i="3"/>
  <c r="P6568" i="3"/>
  <c r="O6568" i="3"/>
  <c r="P6567" i="3"/>
  <c r="O6567" i="3"/>
  <c r="P6566" i="3"/>
  <c r="O6566" i="3"/>
  <c r="P6565" i="3"/>
  <c r="O6565" i="3"/>
  <c r="P6564" i="3"/>
  <c r="O6564" i="3"/>
  <c r="P6563" i="3"/>
  <c r="O6563" i="3"/>
  <c r="P6562" i="3"/>
  <c r="O6562" i="3"/>
  <c r="P6561" i="3"/>
  <c r="O6561" i="3"/>
  <c r="P6560" i="3"/>
  <c r="O6560" i="3"/>
  <c r="P6559" i="3"/>
  <c r="O6559" i="3"/>
  <c r="P6558" i="3"/>
  <c r="O6558" i="3"/>
  <c r="P6557" i="3"/>
  <c r="O6557" i="3"/>
  <c r="P6556" i="3"/>
  <c r="O6556" i="3"/>
  <c r="P6555" i="3"/>
  <c r="O6555" i="3"/>
  <c r="P6554" i="3"/>
  <c r="O6554" i="3"/>
  <c r="P6553" i="3"/>
  <c r="O6553" i="3"/>
  <c r="P6552" i="3"/>
  <c r="O6552" i="3"/>
  <c r="P6551" i="3"/>
  <c r="O6551" i="3"/>
  <c r="P6550" i="3"/>
  <c r="O6550" i="3"/>
  <c r="P6549" i="3"/>
  <c r="O6549" i="3"/>
  <c r="P6548" i="3"/>
  <c r="O6548" i="3"/>
  <c r="P6547" i="3"/>
  <c r="O6547" i="3"/>
  <c r="P6546" i="3"/>
  <c r="O6546" i="3"/>
  <c r="P6545" i="3"/>
  <c r="O6545" i="3"/>
  <c r="P6544" i="3"/>
  <c r="O6544" i="3"/>
  <c r="P6543" i="3"/>
  <c r="O6543" i="3"/>
  <c r="P6542" i="3"/>
  <c r="O6542" i="3"/>
  <c r="P6541" i="3"/>
  <c r="O6541" i="3"/>
  <c r="P6540" i="3"/>
  <c r="O6540" i="3"/>
  <c r="P6539" i="3"/>
  <c r="O6539" i="3"/>
  <c r="P6538" i="3"/>
  <c r="O6538" i="3"/>
  <c r="P6537" i="3"/>
  <c r="O6537" i="3"/>
  <c r="P6536" i="3"/>
  <c r="O6536" i="3"/>
  <c r="P6535" i="3"/>
  <c r="O6535" i="3"/>
  <c r="P6534" i="3"/>
  <c r="O6534" i="3"/>
  <c r="P6533" i="3"/>
  <c r="O6533" i="3"/>
  <c r="P6532" i="3"/>
  <c r="O6532" i="3"/>
  <c r="P6531" i="3"/>
  <c r="O6531" i="3"/>
  <c r="P6530" i="3"/>
  <c r="O6530" i="3"/>
  <c r="P6529" i="3"/>
  <c r="O6529" i="3"/>
  <c r="P6528" i="3"/>
  <c r="O6528" i="3"/>
  <c r="P6527" i="3"/>
  <c r="O6527" i="3"/>
  <c r="P6526" i="3"/>
  <c r="O6526" i="3"/>
  <c r="P6525" i="3"/>
  <c r="O6525" i="3"/>
  <c r="P6524" i="3"/>
  <c r="O6524" i="3"/>
  <c r="P6523" i="3"/>
  <c r="O6523" i="3"/>
  <c r="P6522" i="3"/>
  <c r="O6522" i="3"/>
  <c r="P6521" i="3"/>
  <c r="O6521" i="3"/>
  <c r="P6520" i="3"/>
  <c r="O6520" i="3"/>
  <c r="P6519" i="3"/>
  <c r="O6519" i="3"/>
  <c r="P6518" i="3"/>
  <c r="O6518" i="3"/>
  <c r="P6517" i="3"/>
  <c r="O6517" i="3"/>
  <c r="P6516" i="3"/>
  <c r="O6516" i="3"/>
  <c r="P6515" i="3"/>
  <c r="O6515" i="3"/>
  <c r="P6514" i="3"/>
  <c r="O6514" i="3"/>
  <c r="P6513" i="3"/>
  <c r="O6513" i="3"/>
  <c r="P6512" i="3"/>
  <c r="O6512" i="3"/>
  <c r="P6511" i="3"/>
  <c r="O6511" i="3"/>
  <c r="P6510" i="3"/>
  <c r="O6510" i="3"/>
  <c r="P6509" i="3"/>
  <c r="O6509" i="3"/>
  <c r="P6508" i="3"/>
  <c r="O6508" i="3"/>
  <c r="P6507" i="3"/>
  <c r="O6507" i="3"/>
  <c r="P6506" i="3"/>
  <c r="O6506" i="3"/>
  <c r="P6505" i="3"/>
  <c r="O6505" i="3"/>
  <c r="P6504" i="3"/>
  <c r="O6504" i="3"/>
  <c r="P6503" i="3"/>
  <c r="O6503" i="3"/>
  <c r="P6502" i="3"/>
  <c r="O6502" i="3"/>
  <c r="P6501" i="3"/>
  <c r="O6501" i="3"/>
  <c r="P6500" i="3"/>
  <c r="O6500" i="3"/>
  <c r="P6499" i="3"/>
  <c r="O6499" i="3"/>
  <c r="P6498" i="3"/>
  <c r="O6498" i="3"/>
  <c r="P6497" i="3"/>
  <c r="O6497" i="3"/>
  <c r="P6496" i="3"/>
  <c r="O6496" i="3"/>
  <c r="P6495" i="3"/>
  <c r="O6495" i="3"/>
  <c r="P6494" i="3"/>
  <c r="O6494" i="3"/>
  <c r="P6493" i="3"/>
  <c r="O6493" i="3"/>
  <c r="P6492" i="3"/>
  <c r="O6492" i="3"/>
  <c r="P6491" i="3"/>
  <c r="O6491" i="3"/>
  <c r="P6490" i="3"/>
  <c r="O6490" i="3"/>
  <c r="P6489" i="3"/>
  <c r="O6489" i="3"/>
  <c r="P6488" i="3"/>
  <c r="O6488" i="3"/>
  <c r="P6487" i="3"/>
  <c r="O6487" i="3"/>
  <c r="P6486" i="3"/>
  <c r="O6486" i="3"/>
  <c r="P6485" i="3"/>
  <c r="O6485" i="3"/>
  <c r="P6484" i="3"/>
  <c r="O6484" i="3"/>
  <c r="P6483" i="3"/>
  <c r="O6483" i="3"/>
  <c r="P6482" i="3"/>
  <c r="O6482" i="3"/>
  <c r="P6481" i="3"/>
  <c r="O6481" i="3"/>
  <c r="P6480" i="3"/>
  <c r="O6480" i="3"/>
  <c r="P6479" i="3"/>
  <c r="O6479" i="3"/>
  <c r="P6478" i="3"/>
  <c r="O6478" i="3"/>
  <c r="P6477" i="3"/>
  <c r="O6477" i="3"/>
  <c r="P6476" i="3"/>
  <c r="O6476" i="3"/>
  <c r="P6475" i="3"/>
  <c r="O6475" i="3"/>
  <c r="P6474" i="3"/>
  <c r="O6474" i="3"/>
  <c r="P6473" i="3"/>
  <c r="O6473" i="3"/>
  <c r="P6472" i="3"/>
  <c r="O6472" i="3"/>
  <c r="P6471" i="3"/>
  <c r="O6471" i="3"/>
  <c r="P6470" i="3"/>
  <c r="O6470" i="3"/>
  <c r="P6469" i="3"/>
  <c r="O6469" i="3"/>
  <c r="P6468" i="3"/>
  <c r="O6468" i="3"/>
  <c r="P6467" i="3"/>
  <c r="O6467" i="3"/>
  <c r="P6466" i="3"/>
  <c r="O6466" i="3"/>
  <c r="P6465" i="3"/>
  <c r="O6465" i="3"/>
  <c r="P6464" i="3"/>
  <c r="O6464" i="3"/>
  <c r="P6463" i="3"/>
  <c r="O6463" i="3"/>
  <c r="P6462" i="3"/>
  <c r="O6462" i="3"/>
  <c r="P6461" i="3"/>
  <c r="O6461" i="3"/>
  <c r="P6460" i="3"/>
  <c r="O6460" i="3"/>
  <c r="P6459" i="3"/>
  <c r="O6459" i="3"/>
  <c r="P6458" i="3"/>
  <c r="O6458" i="3"/>
  <c r="P6457" i="3"/>
  <c r="O6457" i="3"/>
  <c r="P6456" i="3"/>
  <c r="O6456" i="3"/>
  <c r="P6455" i="3"/>
  <c r="O6455" i="3"/>
  <c r="P6454" i="3"/>
  <c r="O6454" i="3"/>
  <c r="P6453" i="3"/>
  <c r="O6453" i="3"/>
  <c r="P6452" i="3"/>
  <c r="O6452" i="3"/>
  <c r="P6451" i="3"/>
  <c r="O6451" i="3"/>
  <c r="P6450" i="3"/>
  <c r="O6450" i="3"/>
  <c r="P6449" i="3"/>
  <c r="O6449" i="3"/>
  <c r="P6448" i="3"/>
  <c r="O6448" i="3"/>
  <c r="P6447" i="3"/>
  <c r="O6447" i="3"/>
  <c r="P6446" i="3"/>
  <c r="O6446" i="3"/>
  <c r="P6445" i="3"/>
  <c r="O6445" i="3"/>
  <c r="P6444" i="3"/>
  <c r="O6444" i="3"/>
  <c r="P6443" i="3"/>
  <c r="O6443" i="3"/>
  <c r="P6442" i="3"/>
  <c r="O6442" i="3"/>
  <c r="P6441" i="3"/>
  <c r="O6441" i="3"/>
  <c r="P6440" i="3"/>
  <c r="O6440" i="3"/>
  <c r="P6439" i="3"/>
  <c r="O6439" i="3"/>
  <c r="P6438" i="3"/>
  <c r="O6438" i="3"/>
  <c r="P6437" i="3"/>
  <c r="O6437" i="3"/>
  <c r="P6436" i="3"/>
  <c r="O6436" i="3"/>
  <c r="P6435" i="3"/>
  <c r="O6435" i="3"/>
  <c r="P6434" i="3"/>
  <c r="O6434" i="3"/>
  <c r="P6433" i="3"/>
  <c r="O6433" i="3"/>
  <c r="P6432" i="3"/>
  <c r="O6432" i="3"/>
  <c r="P6431" i="3"/>
  <c r="O6431" i="3"/>
  <c r="P6430" i="3"/>
  <c r="O6430" i="3"/>
  <c r="P6429" i="3"/>
  <c r="O6429" i="3"/>
  <c r="P6428" i="3"/>
  <c r="O6428" i="3"/>
  <c r="P6427" i="3"/>
  <c r="O6427" i="3"/>
  <c r="P6426" i="3"/>
  <c r="O6426" i="3"/>
  <c r="P6425" i="3"/>
  <c r="O6425" i="3"/>
  <c r="P6424" i="3"/>
  <c r="O6424" i="3"/>
  <c r="P6423" i="3"/>
  <c r="O6423" i="3"/>
  <c r="P6422" i="3"/>
  <c r="O6422" i="3"/>
  <c r="P6421" i="3"/>
  <c r="O6421" i="3"/>
  <c r="P6420" i="3"/>
  <c r="O6420" i="3"/>
  <c r="P6419" i="3"/>
  <c r="O6419" i="3"/>
  <c r="P6418" i="3"/>
  <c r="O6418" i="3"/>
  <c r="P6417" i="3"/>
  <c r="O6417" i="3"/>
  <c r="P6416" i="3"/>
  <c r="O6416" i="3"/>
  <c r="P6415" i="3"/>
  <c r="O6415" i="3"/>
  <c r="P6414" i="3"/>
  <c r="O6414" i="3"/>
  <c r="P6413" i="3"/>
  <c r="O6413" i="3"/>
  <c r="P6412" i="3"/>
  <c r="O6412" i="3"/>
  <c r="P6411" i="3"/>
  <c r="O6411" i="3"/>
  <c r="P6410" i="3"/>
  <c r="O6410" i="3"/>
  <c r="P6409" i="3"/>
  <c r="O6409" i="3"/>
  <c r="P6408" i="3"/>
  <c r="O6408" i="3"/>
  <c r="P6407" i="3"/>
  <c r="O6407" i="3"/>
  <c r="P6406" i="3"/>
  <c r="O6406" i="3"/>
  <c r="P6405" i="3"/>
  <c r="O6405" i="3"/>
  <c r="P6404" i="3"/>
  <c r="O6404" i="3"/>
  <c r="P6403" i="3"/>
  <c r="O6403" i="3"/>
  <c r="P6402" i="3"/>
  <c r="O6402" i="3"/>
  <c r="P6401" i="3"/>
  <c r="O6401" i="3"/>
  <c r="P6400" i="3"/>
  <c r="O6400" i="3"/>
  <c r="P6399" i="3"/>
  <c r="O6399" i="3"/>
  <c r="P6398" i="3"/>
  <c r="O6398" i="3"/>
  <c r="P6397" i="3"/>
  <c r="O6397" i="3"/>
  <c r="P6396" i="3"/>
  <c r="O6396" i="3"/>
  <c r="P6395" i="3"/>
  <c r="O6395" i="3"/>
  <c r="P6394" i="3"/>
  <c r="O6394" i="3"/>
  <c r="P6393" i="3"/>
  <c r="O6393" i="3"/>
  <c r="P6392" i="3"/>
  <c r="O6392" i="3"/>
  <c r="P6391" i="3"/>
  <c r="O6391" i="3"/>
  <c r="P6390" i="3"/>
  <c r="O6390" i="3"/>
  <c r="P6389" i="3"/>
  <c r="O6389" i="3"/>
  <c r="P6388" i="3"/>
  <c r="O6388" i="3"/>
  <c r="P6387" i="3"/>
  <c r="O6387" i="3"/>
  <c r="P6386" i="3"/>
  <c r="O6386" i="3"/>
  <c r="P6385" i="3"/>
  <c r="O6385" i="3"/>
  <c r="P6384" i="3"/>
  <c r="O6384" i="3"/>
  <c r="P6383" i="3"/>
  <c r="O6383" i="3"/>
  <c r="P6382" i="3"/>
  <c r="O6382" i="3"/>
  <c r="P6381" i="3"/>
  <c r="O6381" i="3"/>
  <c r="P6380" i="3"/>
  <c r="O6380" i="3"/>
  <c r="P6379" i="3"/>
  <c r="O6379" i="3"/>
  <c r="P6378" i="3"/>
  <c r="O6378" i="3"/>
  <c r="P6377" i="3"/>
  <c r="O6377" i="3"/>
  <c r="P6376" i="3"/>
  <c r="O6376" i="3"/>
  <c r="P6375" i="3"/>
  <c r="O6375" i="3"/>
  <c r="P6374" i="3"/>
  <c r="O6374" i="3"/>
  <c r="P6373" i="3"/>
  <c r="O6373" i="3"/>
  <c r="P6372" i="3"/>
  <c r="O6372" i="3"/>
  <c r="P6371" i="3"/>
  <c r="O6371" i="3"/>
  <c r="P6370" i="3"/>
  <c r="O6370" i="3"/>
  <c r="P6369" i="3"/>
  <c r="O6369" i="3"/>
  <c r="P6368" i="3"/>
  <c r="O6368" i="3"/>
  <c r="P6367" i="3"/>
  <c r="O6367" i="3"/>
  <c r="P6366" i="3"/>
  <c r="O6366" i="3"/>
  <c r="P6365" i="3"/>
  <c r="O6365" i="3"/>
  <c r="P6364" i="3"/>
  <c r="O6364" i="3"/>
  <c r="P6363" i="3"/>
  <c r="O6363" i="3"/>
  <c r="P6362" i="3"/>
  <c r="O6362" i="3"/>
  <c r="P6361" i="3"/>
  <c r="O6361" i="3"/>
  <c r="P6360" i="3"/>
  <c r="O6360" i="3"/>
  <c r="P6359" i="3"/>
  <c r="O6359" i="3"/>
  <c r="P6358" i="3"/>
  <c r="O6358" i="3"/>
  <c r="P6357" i="3"/>
  <c r="O6357" i="3"/>
  <c r="P6356" i="3"/>
  <c r="O6356" i="3"/>
  <c r="P6355" i="3"/>
  <c r="O6355" i="3"/>
  <c r="P6354" i="3"/>
  <c r="O6354" i="3"/>
  <c r="P6353" i="3"/>
  <c r="O6353" i="3"/>
  <c r="P6352" i="3"/>
  <c r="O6352" i="3"/>
  <c r="P6351" i="3"/>
  <c r="O6351" i="3"/>
  <c r="P6350" i="3"/>
  <c r="O6350" i="3"/>
  <c r="P6349" i="3"/>
  <c r="O6349" i="3"/>
  <c r="P6348" i="3"/>
  <c r="O6348" i="3"/>
  <c r="P6347" i="3"/>
  <c r="O6347" i="3"/>
  <c r="P6346" i="3"/>
  <c r="O6346" i="3"/>
  <c r="P6345" i="3"/>
  <c r="O6345" i="3"/>
  <c r="P6344" i="3"/>
  <c r="O6344" i="3"/>
  <c r="P6343" i="3"/>
  <c r="O6343" i="3"/>
  <c r="P6342" i="3"/>
  <c r="O6342" i="3"/>
  <c r="P6341" i="3"/>
  <c r="O6341" i="3"/>
  <c r="P6340" i="3"/>
  <c r="O6340" i="3"/>
  <c r="P6339" i="3"/>
  <c r="O6339" i="3"/>
  <c r="P6338" i="3"/>
  <c r="O6338" i="3"/>
  <c r="P6337" i="3"/>
  <c r="O6337" i="3"/>
  <c r="P6336" i="3"/>
  <c r="O6336" i="3"/>
  <c r="P6335" i="3"/>
  <c r="O6335" i="3"/>
  <c r="P6334" i="3"/>
  <c r="O6334" i="3"/>
  <c r="P6333" i="3"/>
  <c r="O6333" i="3"/>
  <c r="P6332" i="3"/>
  <c r="O6332" i="3"/>
  <c r="P6331" i="3"/>
  <c r="O6331" i="3"/>
  <c r="P6330" i="3"/>
  <c r="O6330" i="3"/>
  <c r="P6329" i="3"/>
  <c r="O6329" i="3"/>
  <c r="P6328" i="3"/>
  <c r="O6328" i="3"/>
  <c r="P6327" i="3"/>
  <c r="O6327" i="3"/>
  <c r="P6326" i="3"/>
  <c r="O6326" i="3"/>
  <c r="P6325" i="3"/>
  <c r="O6325" i="3"/>
  <c r="P6324" i="3"/>
  <c r="O6324" i="3"/>
  <c r="P6323" i="3"/>
  <c r="O6323" i="3"/>
  <c r="P6322" i="3"/>
  <c r="O6322" i="3"/>
  <c r="P6321" i="3"/>
  <c r="O6321" i="3"/>
  <c r="P6320" i="3"/>
  <c r="O6320" i="3"/>
  <c r="P6319" i="3"/>
  <c r="O6319" i="3"/>
  <c r="P6318" i="3"/>
  <c r="O6318" i="3"/>
  <c r="P6317" i="3"/>
  <c r="O6317" i="3"/>
  <c r="P6316" i="3"/>
  <c r="O6316" i="3"/>
  <c r="P6315" i="3"/>
  <c r="O6315" i="3"/>
  <c r="P6314" i="3"/>
  <c r="O6314" i="3"/>
  <c r="P6313" i="3"/>
  <c r="O6313" i="3"/>
  <c r="P6312" i="3"/>
  <c r="O6312" i="3"/>
  <c r="P6311" i="3"/>
  <c r="O6311" i="3"/>
  <c r="P6310" i="3"/>
  <c r="O6310" i="3"/>
  <c r="P6309" i="3"/>
  <c r="O6309" i="3"/>
  <c r="P6308" i="3"/>
  <c r="O6308" i="3"/>
  <c r="P6307" i="3"/>
  <c r="O6307" i="3"/>
  <c r="P6306" i="3"/>
  <c r="O6306" i="3"/>
  <c r="P6305" i="3"/>
  <c r="O6305" i="3"/>
  <c r="P6304" i="3"/>
  <c r="O6304" i="3"/>
  <c r="P6303" i="3"/>
  <c r="O6303" i="3"/>
  <c r="P6302" i="3"/>
  <c r="O6302" i="3"/>
  <c r="P6301" i="3"/>
  <c r="O6301" i="3"/>
  <c r="P6300" i="3"/>
  <c r="O6300" i="3"/>
  <c r="P6299" i="3"/>
  <c r="O6299" i="3"/>
  <c r="P6298" i="3"/>
  <c r="O6298" i="3"/>
  <c r="P6297" i="3"/>
  <c r="O6297" i="3"/>
  <c r="P6296" i="3"/>
  <c r="O6296" i="3"/>
  <c r="P6295" i="3"/>
  <c r="O6295" i="3"/>
  <c r="P6294" i="3"/>
  <c r="O6294" i="3"/>
  <c r="P6293" i="3"/>
  <c r="O6293" i="3"/>
  <c r="P6292" i="3"/>
  <c r="O6292" i="3"/>
  <c r="P6291" i="3"/>
  <c r="O6291" i="3"/>
  <c r="P6290" i="3"/>
  <c r="O6290" i="3"/>
  <c r="P6289" i="3"/>
  <c r="O6289" i="3"/>
  <c r="P6288" i="3"/>
  <c r="O6288" i="3"/>
  <c r="P6287" i="3"/>
  <c r="O6287" i="3"/>
  <c r="P6286" i="3"/>
  <c r="O6286" i="3"/>
  <c r="P6285" i="3"/>
  <c r="O6285" i="3"/>
  <c r="P6284" i="3"/>
  <c r="O6284" i="3"/>
  <c r="P6283" i="3"/>
  <c r="O6283" i="3"/>
  <c r="P6282" i="3"/>
  <c r="O6282" i="3"/>
  <c r="P6281" i="3"/>
  <c r="O6281" i="3"/>
  <c r="P6280" i="3"/>
  <c r="O6280" i="3"/>
  <c r="P6279" i="3"/>
  <c r="O6279" i="3"/>
  <c r="P6278" i="3"/>
  <c r="O6278" i="3"/>
  <c r="P6277" i="3"/>
  <c r="O6277" i="3"/>
  <c r="P6276" i="3"/>
  <c r="O6276" i="3"/>
  <c r="P6275" i="3"/>
  <c r="O6275" i="3"/>
  <c r="P6274" i="3"/>
  <c r="O6274" i="3"/>
  <c r="P6273" i="3"/>
  <c r="O6273" i="3"/>
  <c r="P6272" i="3"/>
  <c r="O6272" i="3"/>
  <c r="P6271" i="3"/>
  <c r="O6271" i="3"/>
  <c r="P6270" i="3"/>
  <c r="O6270" i="3"/>
  <c r="P6269" i="3"/>
  <c r="O6269" i="3"/>
  <c r="P6268" i="3"/>
  <c r="O6268" i="3"/>
  <c r="P6267" i="3"/>
  <c r="O6267" i="3"/>
  <c r="P6266" i="3"/>
  <c r="O6266" i="3"/>
  <c r="P6265" i="3"/>
  <c r="O6265" i="3"/>
  <c r="P6264" i="3"/>
  <c r="O6264" i="3"/>
  <c r="P6263" i="3"/>
  <c r="O6263" i="3"/>
  <c r="P6262" i="3"/>
  <c r="O6262" i="3"/>
  <c r="P6261" i="3"/>
  <c r="O6261" i="3"/>
  <c r="P6260" i="3"/>
  <c r="O6260" i="3"/>
  <c r="P6259" i="3"/>
  <c r="O6259" i="3"/>
  <c r="P6258" i="3"/>
  <c r="O6258" i="3"/>
  <c r="P6257" i="3"/>
  <c r="O6257" i="3"/>
  <c r="P6256" i="3"/>
  <c r="O6256" i="3"/>
  <c r="P6255" i="3"/>
  <c r="O6255" i="3"/>
  <c r="P6254" i="3"/>
  <c r="O6254" i="3"/>
  <c r="P6253" i="3"/>
  <c r="O6253" i="3"/>
  <c r="P6252" i="3"/>
  <c r="O6252" i="3"/>
  <c r="P6251" i="3"/>
  <c r="O6251" i="3"/>
  <c r="P6250" i="3"/>
  <c r="O6250" i="3"/>
  <c r="P6249" i="3"/>
  <c r="O6249" i="3"/>
  <c r="P6248" i="3"/>
  <c r="O6248" i="3"/>
  <c r="P6247" i="3"/>
  <c r="O6247" i="3"/>
  <c r="P6246" i="3"/>
  <c r="O6246" i="3"/>
  <c r="P6245" i="3"/>
  <c r="O6245" i="3"/>
  <c r="P6244" i="3"/>
  <c r="O6244" i="3"/>
  <c r="P6243" i="3"/>
  <c r="O6243" i="3"/>
  <c r="P6242" i="3"/>
  <c r="O6242" i="3"/>
  <c r="P6241" i="3"/>
  <c r="O6241" i="3"/>
  <c r="P6240" i="3"/>
  <c r="O6240" i="3"/>
  <c r="P6239" i="3"/>
  <c r="O6239" i="3"/>
  <c r="P6238" i="3"/>
  <c r="O6238" i="3"/>
  <c r="P6237" i="3"/>
  <c r="O6237" i="3"/>
  <c r="P6236" i="3"/>
  <c r="O6236" i="3"/>
  <c r="P6235" i="3"/>
  <c r="O6235" i="3"/>
  <c r="P6234" i="3"/>
  <c r="O6234" i="3"/>
  <c r="P6233" i="3"/>
  <c r="O6233" i="3"/>
  <c r="P6232" i="3"/>
  <c r="O6232" i="3"/>
  <c r="P6231" i="3"/>
  <c r="O6231" i="3"/>
  <c r="P6230" i="3"/>
  <c r="O6230" i="3"/>
  <c r="P6229" i="3"/>
  <c r="O6229" i="3"/>
  <c r="P6228" i="3"/>
  <c r="O6228" i="3"/>
  <c r="P6227" i="3"/>
  <c r="O6227" i="3"/>
  <c r="P6226" i="3"/>
  <c r="O6226" i="3"/>
  <c r="P6225" i="3"/>
  <c r="O6225" i="3"/>
  <c r="P6224" i="3"/>
  <c r="O6224" i="3"/>
  <c r="P6223" i="3"/>
  <c r="O6223" i="3"/>
  <c r="P6222" i="3"/>
  <c r="O6222" i="3"/>
  <c r="P6221" i="3"/>
  <c r="O6221" i="3"/>
  <c r="P6220" i="3"/>
  <c r="O6220" i="3"/>
  <c r="P6219" i="3"/>
  <c r="O6219" i="3"/>
  <c r="P6218" i="3"/>
  <c r="O6218" i="3"/>
  <c r="P6217" i="3"/>
  <c r="O6217" i="3"/>
  <c r="P6216" i="3"/>
  <c r="O6216" i="3"/>
  <c r="P6215" i="3"/>
  <c r="O6215" i="3"/>
  <c r="P6214" i="3"/>
  <c r="O6214" i="3"/>
  <c r="P6213" i="3"/>
  <c r="O6213" i="3"/>
  <c r="P6212" i="3"/>
  <c r="O6212" i="3"/>
  <c r="P6211" i="3"/>
  <c r="O6211" i="3"/>
  <c r="P6210" i="3"/>
  <c r="O6210" i="3"/>
  <c r="P6209" i="3"/>
  <c r="O6209" i="3"/>
  <c r="P6208" i="3"/>
  <c r="O6208" i="3"/>
  <c r="P6207" i="3"/>
  <c r="O6207" i="3"/>
  <c r="P6206" i="3"/>
  <c r="O6206" i="3"/>
  <c r="P6205" i="3"/>
  <c r="O6205" i="3"/>
  <c r="P6204" i="3"/>
  <c r="O6204" i="3"/>
  <c r="P6203" i="3"/>
  <c r="O6203" i="3"/>
  <c r="P6202" i="3"/>
  <c r="O6202" i="3"/>
  <c r="P6201" i="3"/>
  <c r="O6201" i="3"/>
  <c r="P6200" i="3"/>
  <c r="O6200" i="3"/>
  <c r="P6199" i="3"/>
  <c r="O6199" i="3"/>
  <c r="P6198" i="3"/>
  <c r="O6198" i="3"/>
  <c r="P6197" i="3"/>
  <c r="O6197" i="3"/>
  <c r="P6196" i="3"/>
  <c r="O6196" i="3"/>
  <c r="P6195" i="3"/>
  <c r="O6195" i="3"/>
  <c r="P6194" i="3"/>
  <c r="O6194" i="3"/>
  <c r="P6193" i="3"/>
  <c r="O6193" i="3"/>
  <c r="P6192" i="3"/>
  <c r="O6192" i="3"/>
  <c r="P6191" i="3"/>
  <c r="O6191" i="3"/>
  <c r="P6190" i="3"/>
  <c r="O6190" i="3"/>
  <c r="P6189" i="3"/>
  <c r="O6189" i="3"/>
  <c r="P6188" i="3"/>
  <c r="O6188" i="3"/>
  <c r="P6187" i="3"/>
  <c r="O6187" i="3"/>
  <c r="P6186" i="3"/>
  <c r="O6186" i="3"/>
  <c r="P6185" i="3"/>
  <c r="O6185" i="3"/>
  <c r="P6184" i="3"/>
  <c r="O6184" i="3"/>
  <c r="P6183" i="3"/>
  <c r="O6183" i="3"/>
  <c r="P6182" i="3"/>
  <c r="O6182" i="3"/>
  <c r="P6181" i="3"/>
  <c r="O6181" i="3"/>
  <c r="P6180" i="3"/>
  <c r="O6180" i="3"/>
  <c r="P6179" i="3"/>
  <c r="O6179" i="3"/>
  <c r="P6178" i="3"/>
  <c r="O6178" i="3"/>
  <c r="P6177" i="3"/>
  <c r="O6177" i="3"/>
  <c r="P6176" i="3"/>
  <c r="O6176" i="3"/>
  <c r="P6175" i="3"/>
  <c r="O6175" i="3"/>
  <c r="P6174" i="3"/>
  <c r="O6174" i="3"/>
  <c r="P6173" i="3"/>
  <c r="O6173" i="3"/>
  <c r="P6172" i="3"/>
  <c r="O6172" i="3"/>
  <c r="P6171" i="3"/>
  <c r="O6171" i="3"/>
  <c r="P6170" i="3"/>
  <c r="O6170" i="3"/>
  <c r="P6169" i="3"/>
  <c r="O6169" i="3"/>
  <c r="P6168" i="3"/>
  <c r="O6168" i="3"/>
  <c r="P6167" i="3"/>
  <c r="O6167" i="3"/>
  <c r="P6166" i="3"/>
  <c r="O6166" i="3"/>
  <c r="P6165" i="3"/>
  <c r="O6165" i="3"/>
  <c r="P6164" i="3"/>
  <c r="O6164" i="3"/>
  <c r="P6163" i="3"/>
  <c r="O6163" i="3"/>
  <c r="P6162" i="3"/>
  <c r="O6162" i="3"/>
  <c r="P6161" i="3"/>
  <c r="O6161" i="3"/>
  <c r="P6160" i="3"/>
  <c r="O6160" i="3"/>
  <c r="P6159" i="3"/>
  <c r="O6159" i="3"/>
  <c r="P6158" i="3"/>
  <c r="O6158" i="3"/>
  <c r="P6157" i="3"/>
  <c r="O6157" i="3"/>
  <c r="P6156" i="3"/>
  <c r="O6156" i="3"/>
  <c r="P6155" i="3"/>
  <c r="O6155" i="3"/>
  <c r="P6154" i="3"/>
  <c r="O6154" i="3"/>
  <c r="P6153" i="3"/>
  <c r="O6153" i="3"/>
  <c r="P6152" i="3"/>
  <c r="O6152" i="3"/>
  <c r="P6151" i="3"/>
  <c r="O6151" i="3"/>
  <c r="P6150" i="3"/>
  <c r="O6150" i="3"/>
  <c r="P6149" i="3"/>
  <c r="O6149" i="3"/>
  <c r="P6148" i="3"/>
  <c r="O6148" i="3"/>
  <c r="P6147" i="3"/>
  <c r="O6147" i="3"/>
  <c r="P6146" i="3"/>
  <c r="O6146" i="3"/>
  <c r="P6145" i="3"/>
  <c r="O6145" i="3"/>
  <c r="P6144" i="3"/>
  <c r="O6144" i="3"/>
  <c r="P6143" i="3"/>
  <c r="O6143" i="3"/>
  <c r="P6142" i="3"/>
  <c r="O6142" i="3"/>
  <c r="P6141" i="3"/>
  <c r="O6141" i="3"/>
  <c r="P6140" i="3"/>
  <c r="O6140" i="3"/>
  <c r="P6139" i="3"/>
  <c r="O6139" i="3"/>
  <c r="P6138" i="3"/>
  <c r="O6138" i="3"/>
  <c r="P6137" i="3"/>
  <c r="O6137" i="3"/>
  <c r="P6136" i="3"/>
  <c r="O6136" i="3"/>
  <c r="P6135" i="3"/>
  <c r="O6135" i="3"/>
  <c r="P6134" i="3"/>
  <c r="O6134" i="3"/>
  <c r="P6133" i="3"/>
  <c r="O6133" i="3"/>
  <c r="P6132" i="3"/>
  <c r="O6132" i="3"/>
  <c r="P6131" i="3"/>
  <c r="O6131" i="3"/>
  <c r="P6130" i="3"/>
  <c r="O6130" i="3"/>
  <c r="P6129" i="3"/>
  <c r="O6129" i="3"/>
  <c r="P6128" i="3"/>
  <c r="O6128" i="3"/>
  <c r="P6127" i="3"/>
  <c r="O6127" i="3"/>
  <c r="P6126" i="3"/>
  <c r="O6126" i="3"/>
  <c r="P6125" i="3"/>
  <c r="O6125" i="3"/>
  <c r="P6124" i="3"/>
  <c r="O6124" i="3"/>
  <c r="P6123" i="3"/>
  <c r="O6123" i="3"/>
  <c r="P6122" i="3"/>
  <c r="O6122" i="3"/>
  <c r="P6121" i="3"/>
  <c r="O6121" i="3"/>
  <c r="P6120" i="3"/>
  <c r="O6120" i="3"/>
  <c r="P6119" i="3"/>
  <c r="O6119" i="3"/>
  <c r="P6118" i="3"/>
  <c r="O6118" i="3"/>
  <c r="P6117" i="3"/>
  <c r="O6117" i="3"/>
  <c r="P6116" i="3"/>
  <c r="O6116" i="3"/>
  <c r="P6115" i="3"/>
  <c r="O6115" i="3"/>
  <c r="P6114" i="3"/>
  <c r="O6114" i="3"/>
  <c r="P6113" i="3"/>
  <c r="O6113" i="3"/>
  <c r="P6112" i="3"/>
  <c r="O6112" i="3"/>
  <c r="P6111" i="3"/>
  <c r="O6111" i="3"/>
  <c r="P6110" i="3"/>
  <c r="O6110" i="3"/>
  <c r="P6109" i="3"/>
  <c r="O6109" i="3"/>
  <c r="P6108" i="3"/>
  <c r="O6108" i="3"/>
  <c r="P6107" i="3"/>
  <c r="O6107" i="3"/>
  <c r="P6106" i="3"/>
  <c r="O6106" i="3"/>
  <c r="P6105" i="3"/>
  <c r="O6105" i="3"/>
  <c r="P6104" i="3"/>
  <c r="O6104" i="3"/>
  <c r="P6103" i="3"/>
  <c r="O6103" i="3"/>
  <c r="P6102" i="3"/>
  <c r="O6102" i="3"/>
  <c r="P6101" i="3"/>
  <c r="O6101" i="3"/>
  <c r="P6100" i="3"/>
  <c r="O6100" i="3"/>
  <c r="P6099" i="3"/>
  <c r="O6099" i="3"/>
  <c r="P6098" i="3"/>
  <c r="O6098" i="3"/>
  <c r="P6097" i="3"/>
  <c r="O6097" i="3"/>
  <c r="P6096" i="3"/>
  <c r="O6096" i="3"/>
  <c r="P6095" i="3"/>
  <c r="O6095" i="3"/>
  <c r="P6094" i="3"/>
  <c r="O6094" i="3"/>
  <c r="P6093" i="3"/>
  <c r="O6093" i="3"/>
  <c r="P6092" i="3"/>
  <c r="O6092" i="3"/>
  <c r="P6091" i="3"/>
  <c r="O6091" i="3"/>
  <c r="P6090" i="3"/>
  <c r="O6090" i="3"/>
  <c r="P6089" i="3"/>
  <c r="O6089" i="3"/>
  <c r="P6088" i="3"/>
  <c r="O6088" i="3"/>
  <c r="P6087" i="3"/>
  <c r="O6087" i="3"/>
  <c r="P6086" i="3"/>
  <c r="O6086" i="3"/>
  <c r="P6085" i="3"/>
  <c r="O6085" i="3"/>
  <c r="P6084" i="3"/>
  <c r="O6084" i="3"/>
  <c r="P6083" i="3"/>
  <c r="O6083" i="3"/>
  <c r="P6082" i="3"/>
  <c r="O6082" i="3"/>
  <c r="P6081" i="3"/>
  <c r="O6081" i="3"/>
  <c r="P6080" i="3"/>
  <c r="O6080" i="3"/>
  <c r="P6079" i="3"/>
  <c r="O6079" i="3"/>
  <c r="P6078" i="3"/>
  <c r="O6078" i="3"/>
  <c r="P6077" i="3"/>
  <c r="O6077" i="3"/>
  <c r="P6076" i="3"/>
  <c r="O6076" i="3"/>
  <c r="P6075" i="3"/>
  <c r="O6075" i="3"/>
  <c r="P6074" i="3"/>
  <c r="O6074" i="3"/>
  <c r="P6073" i="3"/>
  <c r="O6073" i="3"/>
  <c r="P6072" i="3"/>
  <c r="O6072" i="3"/>
  <c r="P6071" i="3"/>
  <c r="O6071" i="3"/>
  <c r="P6070" i="3"/>
  <c r="O6070" i="3"/>
  <c r="P6069" i="3"/>
  <c r="O6069" i="3"/>
  <c r="P6068" i="3"/>
  <c r="O6068" i="3"/>
  <c r="P6067" i="3"/>
  <c r="O6067" i="3"/>
  <c r="P6066" i="3"/>
  <c r="O6066" i="3"/>
  <c r="P6065" i="3"/>
  <c r="O6065" i="3"/>
  <c r="P6064" i="3"/>
  <c r="O6064" i="3"/>
  <c r="P6063" i="3"/>
  <c r="O6063" i="3"/>
  <c r="P6062" i="3"/>
  <c r="O6062" i="3"/>
  <c r="P6061" i="3"/>
  <c r="O6061" i="3"/>
  <c r="P6060" i="3"/>
  <c r="O6060" i="3"/>
  <c r="P6059" i="3"/>
  <c r="O6059" i="3"/>
  <c r="P6058" i="3"/>
  <c r="O6058" i="3"/>
  <c r="P6057" i="3"/>
  <c r="O6057" i="3"/>
  <c r="P6056" i="3"/>
  <c r="O6056" i="3"/>
  <c r="P6055" i="3"/>
  <c r="O6055" i="3"/>
  <c r="P6054" i="3"/>
  <c r="O6054" i="3"/>
  <c r="P6053" i="3"/>
  <c r="O6053" i="3"/>
  <c r="P6052" i="3"/>
  <c r="O6052" i="3"/>
  <c r="P6051" i="3"/>
  <c r="O6051" i="3"/>
  <c r="P6050" i="3"/>
  <c r="O6050" i="3"/>
  <c r="P6049" i="3"/>
  <c r="O6049" i="3"/>
  <c r="P6048" i="3"/>
  <c r="O6048" i="3"/>
  <c r="P6047" i="3"/>
  <c r="O6047" i="3"/>
  <c r="P6046" i="3"/>
  <c r="O6046" i="3"/>
  <c r="P6045" i="3"/>
  <c r="O6045" i="3"/>
  <c r="P6044" i="3"/>
  <c r="O6044" i="3"/>
  <c r="P6043" i="3"/>
  <c r="O6043" i="3"/>
  <c r="P6042" i="3"/>
  <c r="O6042" i="3"/>
  <c r="P6041" i="3"/>
  <c r="O6041" i="3"/>
  <c r="P6040" i="3"/>
  <c r="O6040" i="3"/>
  <c r="P6039" i="3"/>
  <c r="O6039" i="3"/>
  <c r="P6038" i="3"/>
  <c r="O6038" i="3"/>
  <c r="P6037" i="3"/>
  <c r="O6037" i="3"/>
  <c r="P6036" i="3"/>
  <c r="O6036" i="3"/>
  <c r="P6035" i="3"/>
  <c r="O6035" i="3"/>
  <c r="P6034" i="3"/>
  <c r="O6034" i="3"/>
  <c r="P6033" i="3"/>
  <c r="O6033" i="3"/>
  <c r="P6032" i="3"/>
  <c r="O6032" i="3"/>
  <c r="P6031" i="3"/>
  <c r="O6031" i="3"/>
  <c r="P6030" i="3"/>
  <c r="O6030" i="3"/>
  <c r="P6029" i="3"/>
  <c r="O6029" i="3"/>
  <c r="P6028" i="3"/>
  <c r="O6028" i="3"/>
  <c r="P6027" i="3"/>
  <c r="O6027" i="3"/>
  <c r="P6026" i="3"/>
  <c r="O6026" i="3"/>
  <c r="P6025" i="3"/>
  <c r="O6025" i="3"/>
  <c r="P6024" i="3"/>
  <c r="O6024" i="3"/>
  <c r="P6023" i="3"/>
  <c r="O6023" i="3"/>
  <c r="P6022" i="3"/>
  <c r="O6022" i="3"/>
  <c r="P6021" i="3"/>
  <c r="O6021" i="3"/>
  <c r="P6020" i="3"/>
  <c r="O6020" i="3"/>
  <c r="P6019" i="3"/>
  <c r="O6019" i="3"/>
  <c r="P6018" i="3"/>
  <c r="O6018" i="3"/>
  <c r="P6017" i="3"/>
  <c r="O6017" i="3"/>
  <c r="P6016" i="3"/>
  <c r="O6016" i="3"/>
  <c r="P6015" i="3"/>
  <c r="O6015" i="3"/>
  <c r="P6014" i="3"/>
  <c r="O6014" i="3"/>
  <c r="P6013" i="3"/>
  <c r="O6013" i="3"/>
  <c r="P6012" i="3"/>
  <c r="O6012" i="3"/>
  <c r="P6011" i="3"/>
  <c r="O6011" i="3"/>
  <c r="P6010" i="3"/>
  <c r="O6010" i="3"/>
  <c r="P6009" i="3"/>
  <c r="O6009" i="3"/>
  <c r="P6008" i="3"/>
  <c r="O6008" i="3"/>
  <c r="P6007" i="3"/>
  <c r="O6007" i="3"/>
  <c r="P6006" i="3"/>
  <c r="O6006" i="3"/>
  <c r="P6005" i="3"/>
  <c r="O6005" i="3"/>
  <c r="P6004" i="3"/>
  <c r="O6004" i="3"/>
  <c r="P6003" i="3"/>
  <c r="O6003" i="3"/>
  <c r="P6002" i="3"/>
  <c r="O6002" i="3"/>
  <c r="P6001" i="3"/>
  <c r="O6001" i="3"/>
  <c r="P6000" i="3"/>
  <c r="O6000" i="3"/>
  <c r="P5999" i="3"/>
  <c r="O5999" i="3"/>
  <c r="P5998" i="3"/>
  <c r="O5998" i="3"/>
  <c r="P5997" i="3"/>
  <c r="O5997" i="3"/>
  <c r="P5996" i="3"/>
  <c r="O5996" i="3"/>
  <c r="P5995" i="3"/>
  <c r="O5995" i="3"/>
  <c r="P5994" i="3"/>
  <c r="O5994" i="3"/>
  <c r="P5993" i="3"/>
  <c r="O5993" i="3"/>
  <c r="P5992" i="3"/>
  <c r="O5992" i="3"/>
  <c r="P5991" i="3"/>
  <c r="O5991" i="3"/>
  <c r="P5990" i="3"/>
  <c r="O5990" i="3"/>
  <c r="P5989" i="3"/>
  <c r="O5989" i="3"/>
  <c r="P5988" i="3"/>
  <c r="O5988" i="3"/>
  <c r="P5987" i="3"/>
  <c r="O5987" i="3"/>
  <c r="P5986" i="3"/>
  <c r="O5986" i="3"/>
  <c r="P5985" i="3"/>
  <c r="O5985" i="3"/>
  <c r="P5984" i="3"/>
  <c r="O5984" i="3"/>
  <c r="P5983" i="3"/>
  <c r="O5983" i="3"/>
  <c r="P5982" i="3"/>
  <c r="O5982" i="3"/>
  <c r="P5981" i="3"/>
  <c r="O5981" i="3"/>
  <c r="P5980" i="3"/>
  <c r="O5980" i="3"/>
  <c r="P5979" i="3"/>
  <c r="O5979" i="3"/>
  <c r="P5978" i="3"/>
  <c r="O5978" i="3"/>
  <c r="P5977" i="3"/>
  <c r="O5977" i="3"/>
  <c r="P5976" i="3"/>
  <c r="O5976" i="3"/>
  <c r="P5975" i="3"/>
  <c r="O5975" i="3"/>
  <c r="P5974" i="3"/>
  <c r="O5974" i="3"/>
  <c r="P5973" i="3"/>
  <c r="O5973" i="3"/>
  <c r="P5972" i="3"/>
  <c r="O5972" i="3"/>
  <c r="P5971" i="3"/>
  <c r="O5971" i="3"/>
  <c r="P5970" i="3"/>
  <c r="O5970" i="3"/>
  <c r="P5969" i="3"/>
  <c r="O5969" i="3"/>
  <c r="P5968" i="3"/>
  <c r="O5968" i="3"/>
  <c r="P5967" i="3"/>
  <c r="O5967" i="3"/>
  <c r="P5966" i="3"/>
  <c r="O5966" i="3"/>
  <c r="P5965" i="3"/>
  <c r="O5965" i="3"/>
  <c r="P5964" i="3"/>
  <c r="O5964" i="3"/>
  <c r="P5963" i="3"/>
  <c r="O5963" i="3"/>
  <c r="P5962" i="3"/>
  <c r="O5962" i="3"/>
  <c r="P5961" i="3"/>
  <c r="O5961" i="3"/>
  <c r="P5960" i="3"/>
  <c r="O5960" i="3"/>
  <c r="P5959" i="3"/>
  <c r="O5959" i="3"/>
  <c r="P5958" i="3"/>
  <c r="O5958" i="3"/>
  <c r="P5957" i="3"/>
  <c r="O5957" i="3"/>
  <c r="P5956" i="3"/>
  <c r="O5956" i="3"/>
  <c r="P5955" i="3"/>
  <c r="O5955" i="3"/>
  <c r="P5954" i="3"/>
  <c r="O5954" i="3"/>
  <c r="P5953" i="3"/>
  <c r="O5953" i="3"/>
  <c r="P5952" i="3"/>
  <c r="O5952" i="3"/>
  <c r="P5951" i="3"/>
  <c r="O5951" i="3"/>
  <c r="P5950" i="3"/>
  <c r="O5950" i="3"/>
  <c r="P5949" i="3"/>
  <c r="O5949" i="3"/>
  <c r="P5948" i="3"/>
  <c r="O5948" i="3"/>
  <c r="P5947" i="3"/>
  <c r="O5947" i="3"/>
  <c r="P5946" i="3"/>
  <c r="O5946" i="3"/>
  <c r="P5945" i="3"/>
  <c r="O5945" i="3"/>
  <c r="P5944" i="3"/>
  <c r="O5944" i="3"/>
  <c r="P5943" i="3"/>
  <c r="O5943" i="3"/>
  <c r="P5942" i="3"/>
  <c r="O5942" i="3"/>
  <c r="P5941" i="3"/>
  <c r="O5941" i="3"/>
  <c r="P5940" i="3"/>
  <c r="O5940" i="3"/>
  <c r="P5939" i="3"/>
  <c r="O5939" i="3"/>
  <c r="P5938" i="3"/>
  <c r="O5938" i="3"/>
  <c r="P5937" i="3"/>
  <c r="O5937" i="3"/>
  <c r="P5936" i="3"/>
  <c r="O5936" i="3"/>
  <c r="P5935" i="3"/>
  <c r="O5935" i="3"/>
  <c r="P5934" i="3"/>
  <c r="O5934" i="3"/>
  <c r="P5933" i="3"/>
  <c r="O5933" i="3"/>
  <c r="P5932" i="3"/>
  <c r="O5932" i="3"/>
  <c r="P5931" i="3"/>
  <c r="O5931" i="3"/>
  <c r="P5930" i="3"/>
  <c r="O5930" i="3"/>
  <c r="P5929" i="3"/>
  <c r="O5929" i="3"/>
  <c r="P5928" i="3"/>
  <c r="O5928" i="3"/>
  <c r="P5927" i="3"/>
  <c r="O5927" i="3"/>
  <c r="P5926" i="3"/>
  <c r="O5926" i="3"/>
  <c r="P5925" i="3"/>
  <c r="O5925" i="3"/>
  <c r="P5924" i="3"/>
  <c r="O5924" i="3"/>
  <c r="P5923" i="3"/>
  <c r="O5923" i="3"/>
  <c r="P5922" i="3"/>
  <c r="O5922" i="3"/>
  <c r="P5921" i="3"/>
  <c r="O5921" i="3"/>
  <c r="P5920" i="3"/>
  <c r="O5920" i="3"/>
  <c r="P5919" i="3"/>
  <c r="O5919" i="3"/>
  <c r="P5918" i="3"/>
  <c r="O5918" i="3"/>
  <c r="P5917" i="3"/>
  <c r="O5917" i="3"/>
  <c r="P5916" i="3"/>
  <c r="O5916" i="3"/>
  <c r="P5915" i="3"/>
  <c r="O5915" i="3"/>
  <c r="P5914" i="3"/>
  <c r="O5914" i="3"/>
  <c r="P5913" i="3"/>
  <c r="O5913" i="3"/>
  <c r="P5912" i="3"/>
  <c r="O5912" i="3"/>
  <c r="P5911" i="3"/>
  <c r="O5911" i="3"/>
  <c r="P5910" i="3"/>
  <c r="O5910" i="3"/>
  <c r="P5909" i="3"/>
  <c r="O5909" i="3"/>
  <c r="P5908" i="3"/>
  <c r="O5908" i="3"/>
  <c r="P5907" i="3"/>
  <c r="O5907" i="3"/>
  <c r="P5906" i="3"/>
  <c r="O5906" i="3"/>
  <c r="P5905" i="3"/>
  <c r="O5905" i="3"/>
  <c r="P5904" i="3"/>
  <c r="O5904" i="3"/>
  <c r="P5903" i="3"/>
  <c r="O5903" i="3"/>
  <c r="P5902" i="3"/>
  <c r="O5902" i="3"/>
  <c r="P5901" i="3"/>
  <c r="O5901" i="3"/>
  <c r="P5900" i="3"/>
  <c r="O5900" i="3"/>
  <c r="P5899" i="3"/>
  <c r="O5899" i="3"/>
  <c r="P5898" i="3"/>
  <c r="O5898" i="3"/>
  <c r="P5897" i="3"/>
  <c r="O5897" i="3"/>
  <c r="P5896" i="3"/>
  <c r="O5896" i="3"/>
  <c r="P5895" i="3"/>
  <c r="O5895" i="3"/>
  <c r="P5894" i="3"/>
  <c r="O5894" i="3"/>
  <c r="P5893" i="3"/>
  <c r="O5893" i="3"/>
  <c r="P5892" i="3"/>
  <c r="O5892" i="3"/>
  <c r="P5891" i="3"/>
  <c r="O5891" i="3"/>
  <c r="P5890" i="3"/>
  <c r="O5890" i="3"/>
  <c r="P5889" i="3"/>
  <c r="O5889" i="3"/>
  <c r="P5888" i="3"/>
  <c r="O5888" i="3"/>
  <c r="P5887" i="3"/>
  <c r="O5887" i="3"/>
  <c r="P5886" i="3"/>
  <c r="O5886" i="3"/>
  <c r="P5885" i="3"/>
  <c r="O5885" i="3"/>
  <c r="P5884" i="3"/>
  <c r="O5884" i="3"/>
  <c r="P5883" i="3"/>
  <c r="O5883" i="3"/>
  <c r="P5882" i="3"/>
  <c r="O5882" i="3"/>
  <c r="P5881" i="3"/>
  <c r="O5881" i="3"/>
  <c r="P5880" i="3"/>
  <c r="O5880" i="3"/>
  <c r="P5879" i="3"/>
  <c r="O5879" i="3"/>
  <c r="P5878" i="3"/>
  <c r="O5878" i="3"/>
  <c r="P5877" i="3"/>
  <c r="O5877" i="3"/>
  <c r="P5876" i="3"/>
  <c r="O5876" i="3"/>
  <c r="P5875" i="3"/>
  <c r="O5875" i="3"/>
  <c r="P5874" i="3"/>
  <c r="O5874" i="3"/>
  <c r="P5873" i="3"/>
  <c r="O5873" i="3"/>
  <c r="P5872" i="3"/>
  <c r="O5872" i="3"/>
  <c r="P5871" i="3"/>
  <c r="O5871" i="3"/>
  <c r="P5870" i="3"/>
  <c r="O5870" i="3"/>
  <c r="P5869" i="3"/>
  <c r="O5869" i="3"/>
  <c r="P5868" i="3"/>
  <c r="O5868" i="3"/>
  <c r="P5867" i="3"/>
  <c r="O5867" i="3"/>
  <c r="P5866" i="3"/>
  <c r="O5866" i="3"/>
  <c r="P5865" i="3"/>
  <c r="O5865" i="3"/>
  <c r="P5864" i="3"/>
  <c r="O5864" i="3"/>
  <c r="P5863" i="3"/>
  <c r="O5863" i="3"/>
  <c r="P5862" i="3"/>
  <c r="O5862" i="3"/>
  <c r="P5861" i="3"/>
  <c r="O5861" i="3"/>
  <c r="P5860" i="3"/>
  <c r="O5860" i="3"/>
  <c r="P5859" i="3"/>
  <c r="O5859" i="3"/>
  <c r="P5858" i="3"/>
  <c r="O5858" i="3"/>
  <c r="P5857" i="3"/>
  <c r="O5857" i="3"/>
  <c r="P5856" i="3"/>
  <c r="O5856" i="3"/>
  <c r="P5855" i="3"/>
  <c r="O5855" i="3"/>
  <c r="P5854" i="3"/>
  <c r="O5854" i="3"/>
  <c r="P5853" i="3"/>
  <c r="O5853" i="3"/>
  <c r="P5852" i="3"/>
  <c r="O5852" i="3"/>
  <c r="P5851" i="3"/>
  <c r="O5851" i="3"/>
  <c r="P5850" i="3"/>
  <c r="O5850" i="3"/>
  <c r="P5849" i="3"/>
  <c r="O5849" i="3"/>
  <c r="P5848" i="3"/>
  <c r="O5848" i="3"/>
  <c r="P5847" i="3"/>
  <c r="O5847" i="3"/>
  <c r="P5846" i="3"/>
  <c r="O5846" i="3"/>
  <c r="P5845" i="3"/>
  <c r="O5845" i="3"/>
  <c r="P5844" i="3"/>
  <c r="O5844" i="3"/>
  <c r="P5843" i="3"/>
  <c r="O5843" i="3"/>
  <c r="P5842" i="3"/>
  <c r="O5842" i="3"/>
  <c r="P5841" i="3"/>
  <c r="O5841" i="3"/>
  <c r="P5840" i="3"/>
  <c r="O5840" i="3"/>
  <c r="P5839" i="3"/>
  <c r="O5839" i="3"/>
  <c r="P5838" i="3"/>
  <c r="O5838" i="3"/>
  <c r="P5837" i="3"/>
  <c r="O5837" i="3"/>
  <c r="P5836" i="3"/>
  <c r="O5836" i="3"/>
  <c r="P5835" i="3"/>
  <c r="O5835" i="3"/>
  <c r="P5834" i="3"/>
  <c r="O5834" i="3"/>
  <c r="P5833" i="3"/>
  <c r="O5833" i="3"/>
  <c r="P5832" i="3"/>
  <c r="O5832" i="3"/>
  <c r="P5831" i="3"/>
  <c r="O5831" i="3"/>
  <c r="P5830" i="3"/>
  <c r="O5830" i="3"/>
  <c r="P5829" i="3"/>
  <c r="O5829" i="3"/>
  <c r="P5828" i="3"/>
  <c r="O5828" i="3"/>
  <c r="P5827" i="3"/>
  <c r="O5827" i="3"/>
  <c r="P5826" i="3"/>
  <c r="O5826" i="3"/>
  <c r="P5825" i="3"/>
  <c r="O5825" i="3"/>
  <c r="P5824" i="3"/>
  <c r="O5824" i="3"/>
  <c r="P5823" i="3"/>
  <c r="O5823" i="3"/>
  <c r="P5822" i="3"/>
  <c r="O5822" i="3"/>
  <c r="P5821" i="3"/>
  <c r="O5821" i="3"/>
  <c r="P5820" i="3"/>
  <c r="O5820" i="3"/>
  <c r="P5819" i="3"/>
  <c r="O5819" i="3"/>
  <c r="P5818" i="3"/>
  <c r="O5818" i="3"/>
  <c r="P5817" i="3"/>
  <c r="O5817" i="3"/>
  <c r="P5816" i="3"/>
  <c r="O5816" i="3"/>
  <c r="P5815" i="3"/>
  <c r="O5815" i="3"/>
  <c r="P5814" i="3"/>
  <c r="O5814" i="3"/>
  <c r="P5813" i="3"/>
  <c r="O5813" i="3"/>
  <c r="P5812" i="3"/>
  <c r="O5812" i="3"/>
  <c r="P5811" i="3"/>
  <c r="O5811" i="3"/>
  <c r="P5810" i="3"/>
  <c r="O5810" i="3"/>
  <c r="P5809" i="3"/>
  <c r="O5809" i="3"/>
  <c r="P5808" i="3"/>
  <c r="O5808" i="3"/>
  <c r="P5807" i="3"/>
  <c r="O5807" i="3"/>
  <c r="P5806" i="3"/>
  <c r="O5806" i="3"/>
  <c r="P5805" i="3"/>
  <c r="O5805" i="3"/>
  <c r="P5804" i="3"/>
  <c r="O5804" i="3"/>
  <c r="P5803" i="3"/>
  <c r="O5803" i="3"/>
  <c r="P5802" i="3"/>
  <c r="O5802" i="3"/>
  <c r="P5801" i="3"/>
  <c r="O5801" i="3"/>
  <c r="P5800" i="3"/>
  <c r="O5800" i="3"/>
  <c r="P5799" i="3"/>
  <c r="O5799" i="3"/>
  <c r="P5798" i="3"/>
  <c r="O5798" i="3"/>
  <c r="P5797" i="3"/>
  <c r="O5797" i="3"/>
  <c r="P5796" i="3"/>
  <c r="O5796" i="3"/>
  <c r="P5795" i="3"/>
  <c r="O5795" i="3"/>
  <c r="P5794" i="3"/>
  <c r="O5794" i="3"/>
  <c r="P5793" i="3"/>
  <c r="O5793" i="3"/>
  <c r="P5792" i="3"/>
  <c r="O5792" i="3"/>
  <c r="P5791" i="3"/>
  <c r="O5791" i="3"/>
  <c r="P5790" i="3"/>
  <c r="O5790" i="3"/>
  <c r="P5789" i="3"/>
  <c r="O5789" i="3"/>
  <c r="P5788" i="3"/>
  <c r="O5788" i="3"/>
  <c r="P5787" i="3"/>
  <c r="O5787" i="3"/>
  <c r="P5786" i="3"/>
  <c r="O5786" i="3"/>
  <c r="P5785" i="3"/>
  <c r="O5785" i="3"/>
  <c r="P5784" i="3"/>
  <c r="O5784" i="3"/>
  <c r="P5783" i="3"/>
  <c r="O5783" i="3"/>
  <c r="P5782" i="3"/>
  <c r="O5782" i="3"/>
  <c r="P5781" i="3"/>
  <c r="O5781" i="3"/>
  <c r="P5780" i="3"/>
  <c r="O5780" i="3"/>
  <c r="P5779" i="3"/>
  <c r="O5779" i="3"/>
  <c r="P5778" i="3"/>
  <c r="O5778" i="3"/>
  <c r="P5777" i="3"/>
  <c r="O5777" i="3"/>
  <c r="P5776" i="3"/>
  <c r="O5776" i="3"/>
  <c r="P5775" i="3"/>
  <c r="O5775" i="3"/>
  <c r="P5774" i="3"/>
  <c r="O5774" i="3"/>
  <c r="P5773" i="3"/>
  <c r="O5773" i="3"/>
  <c r="P5772" i="3"/>
  <c r="O5772" i="3"/>
  <c r="P5771" i="3"/>
  <c r="O5771" i="3"/>
  <c r="P5770" i="3"/>
  <c r="O5770" i="3"/>
  <c r="P5769" i="3"/>
  <c r="O5769" i="3"/>
  <c r="P5768" i="3"/>
  <c r="O5768" i="3"/>
  <c r="P5767" i="3"/>
  <c r="O5767" i="3"/>
  <c r="P5766" i="3"/>
  <c r="O5766" i="3"/>
  <c r="P5765" i="3"/>
  <c r="O5765" i="3"/>
  <c r="P5764" i="3"/>
  <c r="O5764" i="3"/>
  <c r="P5763" i="3"/>
  <c r="O5763" i="3"/>
  <c r="P5762" i="3"/>
  <c r="O5762" i="3"/>
  <c r="P5761" i="3"/>
  <c r="O5761" i="3"/>
  <c r="P5760" i="3"/>
  <c r="O5760" i="3"/>
  <c r="P5759" i="3"/>
  <c r="O5759" i="3"/>
  <c r="P5758" i="3"/>
  <c r="O5758" i="3"/>
  <c r="P5757" i="3"/>
  <c r="O5757" i="3"/>
  <c r="P5756" i="3"/>
  <c r="O5756" i="3"/>
  <c r="P5755" i="3"/>
  <c r="O5755" i="3"/>
  <c r="P5754" i="3"/>
  <c r="O5754" i="3"/>
  <c r="P5753" i="3"/>
  <c r="O5753" i="3"/>
  <c r="P5752" i="3"/>
  <c r="O5752" i="3"/>
  <c r="P5751" i="3"/>
  <c r="O5751" i="3"/>
  <c r="P5750" i="3"/>
  <c r="O5750" i="3"/>
  <c r="P5749" i="3"/>
  <c r="O5749" i="3"/>
  <c r="P5748" i="3"/>
  <c r="O5748" i="3"/>
  <c r="P5747" i="3"/>
  <c r="O5747" i="3"/>
  <c r="P5746" i="3"/>
  <c r="O5746" i="3"/>
  <c r="P5745" i="3"/>
  <c r="O5745" i="3"/>
  <c r="P5744" i="3"/>
  <c r="O5744" i="3"/>
  <c r="P5743" i="3"/>
  <c r="O5743" i="3"/>
  <c r="P5742" i="3"/>
  <c r="O5742" i="3"/>
  <c r="P5741" i="3"/>
  <c r="O5741" i="3"/>
  <c r="P5740" i="3"/>
  <c r="O5740" i="3"/>
  <c r="P5739" i="3"/>
  <c r="O5739" i="3"/>
  <c r="P5738" i="3"/>
  <c r="O5738" i="3"/>
  <c r="P5737" i="3"/>
  <c r="O5737" i="3"/>
  <c r="P5736" i="3"/>
  <c r="O5736" i="3"/>
  <c r="P5735" i="3"/>
  <c r="O5735" i="3"/>
  <c r="P5734" i="3"/>
  <c r="O5734" i="3"/>
  <c r="P5733" i="3"/>
  <c r="O5733" i="3"/>
  <c r="P5732" i="3"/>
  <c r="O5732" i="3"/>
  <c r="P5731" i="3"/>
  <c r="O5731" i="3"/>
  <c r="P5730" i="3"/>
  <c r="O5730" i="3"/>
  <c r="P5729" i="3"/>
  <c r="O5729" i="3"/>
  <c r="P5728" i="3"/>
  <c r="O5728" i="3"/>
  <c r="P5727" i="3"/>
  <c r="O5727" i="3"/>
  <c r="P5726" i="3"/>
  <c r="O5726" i="3"/>
  <c r="P5725" i="3"/>
  <c r="O5725" i="3"/>
  <c r="P5724" i="3"/>
  <c r="O5724" i="3"/>
  <c r="P5723" i="3"/>
  <c r="O5723" i="3"/>
  <c r="P5722" i="3"/>
  <c r="O5722" i="3"/>
  <c r="P5721" i="3"/>
  <c r="O5721" i="3"/>
  <c r="P5720" i="3"/>
  <c r="O5720" i="3"/>
  <c r="P5719" i="3"/>
  <c r="O5719" i="3"/>
  <c r="P5718" i="3"/>
  <c r="O5718" i="3"/>
  <c r="P5717" i="3"/>
  <c r="O5717" i="3"/>
  <c r="P5716" i="3"/>
  <c r="O5716" i="3"/>
  <c r="P5715" i="3"/>
  <c r="O5715" i="3"/>
  <c r="P5714" i="3"/>
  <c r="O5714" i="3"/>
  <c r="P5713" i="3"/>
  <c r="O5713" i="3"/>
  <c r="P5712" i="3"/>
  <c r="O5712" i="3"/>
  <c r="P5711" i="3"/>
  <c r="O5711" i="3"/>
  <c r="P5710" i="3"/>
  <c r="O5710" i="3"/>
  <c r="P5709" i="3"/>
  <c r="O5709" i="3"/>
  <c r="P5708" i="3"/>
  <c r="O5708" i="3"/>
  <c r="P5707" i="3"/>
  <c r="O5707" i="3"/>
  <c r="P5706" i="3"/>
  <c r="O5706" i="3"/>
  <c r="P5705" i="3"/>
  <c r="O5705" i="3"/>
  <c r="P5704" i="3"/>
  <c r="O5704" i="3"/>
  <c r="P5703" i="3"/>
  <c r="O5703" i="3"/>
  <c r="P5702" i="3"/>
  <c r="O5702" i="3"/>
  <c r="P5701" i="3"/>
  <c r="O5701" i="3"/>
  <c r="P5700" i="3"/>
  <c r="O5700" i="3"/>
  <c r="P5699" i="3"/>
  <c r="O5699" i="3"/>
  <c r="P5698" i="3"/>
  <c r="O5698" i="3"/>
  <c r="P5697" i="3"/>
  <c r="O5697" i="3"/>
  <c r="P5696" i="3"/>
  <c r="O5696" i="3"/>
  <c r="P5695" i="3"/>
  <c r="O5695" i="3"/>
  <c r="P5694" i="3"/>
  <c r="O5694" i="3"/>
  <c r="P5693" i="3"/>
  <c r="O5693" i="3"/>
  <c r="P5692" i="3"/>
  <c r="O5692" i="3"/>
  <c r="P5691" i="3"/>
  <c r="O5691" i="3"/>
  <c r="P5690" i="3"/>
  <c r="O5690" i="3"/>
  <c r="P5689" i="3"/>
  <c r="O5689" i="3"/>
  <c r="P5688" i="3"/>
  <c r="O5688" i="3"/>
  <c r="P5687" i="3"/>
  <c r="O5687" i="3"/>
  <c r="P5686" i="3"/>
  <c r="O5686" i="3"/>
  <c r="P5685" i="3"/>
  <c r="O5685" i="3"/>
  <c r="P5684" i="3"/>
  <c r="O5684" i="3"/>
  <c r="P5683" i="3"/>
  <c r="O5683" i="3"/>
  <c r="P5682" i="3"/>
  <c r="O5682" i="3"/>
  <c r="P5681" i="3"/>
  <c r="O5681" i="3"/>
  <c r="P5680" i="3"/>
  <c r="O5680" i="3"/>
  <c r="P5679" i="3"/>
  <c r="O5679" i="3"/>
  <c r="P5678" i="3"/>
  <c r="O5678" i="3"/>
  <c r="P5677" i="3"/>
  <c r="O5677" i="3"/>
  <c r="P5676" i="3"/>
  <c r="O5676" i="3"/>
  <c r="P5675" i="3"/>
  <c r="O5675" i="3"/>
  <c r="P5674" i="3"/>
  <c r="O5674" i="3"/>
  <c r="P5673" i="3"/>
  <c r="O5673" i="3"/>
  <c r="P5672" i="3"/>
  <c r="O5672" i="3"/>
  <c r="P5671" i="3"/>
  <c r="O5671" i="3"/>
  <c r="P5670" i="3"/>
  <c r="O5670" i="3"/>
  <c r="P5669" i="3"/>
  <c r="O5669" i="3"/>
  <c r="P5668" i="3"/>
  <c r="O5668" i="3"/>
  <c r="P5667" i="3"/>
  <c r="O5667" i="3"/>
  <c r="P5666" i="3"/>
  <c r="O5666" i="3"/>
  <c r="P5665" i="3"/>
  <c r="O5665" i="3"/>
  <c r="P5664" i="3"/>
  <c r="O5664" i="3"/>
  <c r="P5663" i="3"/>
  <c r="O5663" i="3"/>
  <c r="P5662" i="3"/>
  <c r="O5662" i="3"/>
  <c r="P5661" i="3"/>
  <c r="O5661" i="3"/>
  <c r="P5660" i="3"/>
  <c r="O5660" i="3"/>
  <c r="P5659" i="3"/>
  <c r="O5659" i="3"/>
  <c r="P5658" i="3"/>
  <c r="O5658" i="3"/>
  <c r="P5657" i="3"/>
  <c r="O5657" i="3"/>
  <c r="P5656" i="3"/>
  <c r="O5656" i="3"/>
  <c r="P5655" i="3"/>
  <c r="O5655" i="3"/>
  <c r="P5654" i="3"/>
  <c r="O5654" i="3"/>
  <c r="P5653" i="3"/>
  <c r="O5653" i="3"/>
  <c r="P5652" i="3"/>
  <c r="O5652" i="3"/>
  <c r="P5651" i="3"/>
  <c r="O5651" i="3"/>
  <c r="P5650" i="3"/>
  <c r="O5650" i="3"/>
  <c r="P5649" i="3"/>
  <c r="O5649" i="3"/>
  <c r="P5648" i="3"/>
  <c r="O5648" i="3"/>
  <c r="P5647" i="3"/>
  <c r="O5647" i="3"/>
  <c r="P5646" i="3"/>
  <c r="O5646" i="3"/>
  <c r="P5645" i="3"/>
  <c r="O5645" i="3"/>
  <c r="P5644" i="3"/>
  <c r="O5644" i="3"/>
  <c r="P5643" i="3"/>
  <c r="O5643" i="3"/>
  <c r="P5642" i="3"/>
  <c r="O5642" i="3"/>
  <c r="P5641" i="3"/>
  <c r="O5641" i="3"/>
  <c r="P5640" i="3"/>
  <c r="O5640" i="3"/>
  <c r="P5639" i="3"/>
  <c r="O5639" i="3"/>
  <c r="P5638" i="3"/>
  <c r="O5638" i="3"/>
  <c r="P5637" i="3"/>
  <c r="O5637" i="3"/>
  <c r="P5636" i="3"/>
  <c r="O5636" i="3"/>
  <c r="P5635" i="3"/>
  <c r="O5635" i="3"/>
  <c r="P5634" i="3"/>
  <c r="O5634" i="3"/>
  <c r="P5633" i="3"/>
  <c r="O5633" i="3"/>
  <c r="P5632" i="3"/>
  <c r="O5632" i="3"/>
  <c r="P5631" i="3"/>
  <c r="O5631" i="3"/>
  <c r="P5630" i="3"/>
  <c r="O5630" i="3"/>
  <c r="P5629" i="3"/>
  <c r="O5629" i="3"/>
  <c r="P5628" i="3"/>
  <c r="O5628" i="3"/>
  <c r="P5627" i="3"/>
  <c r="O5627" i="3"/>
  <c r="P5626" i="3"/>
  <c r="O5626" i="3"/>
  <c r="P5625" i="3"/>
  <c r="O5625" i="3"/>
  <c r="P5624" i="3"/>
  <c r="O5624" i="3"/>
  <c r="P5623" i="3"/>
  <c r="O5623" i="3"/>
  <c r="P5622" i="3"/>
  <c r="O5622" i="3"/>
  <c r="P5621" i="3"/>
  <c r="O5621" i="3"/>
  <c r="P5620" i="3"/>
  <c r="O5620" i="3"/>
  <c r="P5619" i="3"/>
  <c r="O5619" i="3"/>
  <c r="P5618" i="3"/>
  <c r="O5618" i="3"/>
  <c r="P5617" i="3"/>
  <c r="O5617" i="3"/>
  <c r="P5616" i="3"/>
  <c r="O5616" i="3"/>
  <c r="P5615" i="3"/>
  <c r="O5615" i="3"/>
  <c r="P5614" i="3"/>
  <c r="O5614" i="3"/>
  <c r="P5613" i="3"/>
  <c r="O5613" i="3"/>
  <c r="P5612" i="3"/>
  <c r="O5612" i="3"/>
  <c r="P5611" i="3"/>
  <c r="O5611" i="3"/>
  <c r="P5610" i="3"/>
  <c r="O5610" i="3"/>
  <c r="P5609" i="3"/>
  <c r="O5609" i="3"/>
  <c r="P5608" i="3"/>
  <c r="O5608" i="3"/>
  <c r="P5607" i="3"/>
  <c r="O5607" i="3"/>
  <c r="P5606" i="3"/>
  <c r="O5606" i="3"/>
  <c r="P5605" i="3"/>
  <c r="O5605" i="3"/>
  <c r="P5604" i="3"/>
  <c r="O5604" i="3"/>
  <c r="P5603" i="3"/>
  <c r="O5603" i="3"/>
  <c r="P5602" i="3"/>
  <c r="O5602" i="3"/>
  <c r="P5601" i="3"/>
  <c r="O5601" i="3"/>
  <c r="P5600" i="3"/>
  <c r="O5600" i="3"/>
  <c r="P5599" i="3"/>
  <c r="O5599" i="3"/>
  <c r="P5598" i="3"/>
  <c r="O5598" i="3"/>
  <c r="P5597" i="3"/>
  <c r="O5597" i="3"/>
  <c r="P5596" i="3"/>
  <c r="O5596" i="3"/>
  <c r="P5595" i="3"/>
  <c r="O5595" i="3"/>
  <c r="P5594" i="3"/>
  <c r="O5594" i="3"/>
  <c r="P5593" i="3"/>
  <c r="O5593" i="3"/>
  <c r="P5592" i="3"/>
  <c r="O5592" i="3"/>
  <c r="P5591" i="3"/>
  <c r="O5591" i="3"/>
  <c r="P5590" i="3"/>
  <c r="O5590" i="3"/>
  <c r="P5589" i="3"/>
  <c r="O5589" i="3"/>
  <c r="P5588" i="3"/>
  <c r="O5588" i="3"/>
  <c r="P5587" i="3"/>
  <c r="O5587" i="3"/>
  <c r="P5586" i="3"/>
  <c r="O5586" i="3"/>
  <c r="P5585" i="3"/>
  <c r="O5585" i="3"/>
  <c r="P5584" i="3"/>
  <c r="O5584" i="3"/>
  <c r="P5583" i="3"/>
  <c r="O5583" i="3"/>
  <c r="P5582" i="3"/>
  <c r="O5582" i="3"/>
  <c r="P5581" i="3"/>
  <c r="O5581" i="3"/>
  <c r="P5580" i="3"/>
  <c r="O5580" i="3"/>
  <c r="P5579" i="3"/>
  <c r="O5579" i="3"/>
  <c r="P5578" i="3"/>
  <c r="O5578" i="3"/>
  <c r="P5577" i="3"/>
  <c r="O5577" i="3"/>
  <c r="P5576" i="3"/>
  <c r="O5576" i="3"/>
  <c r="P5575" i="3"/>
  <c r="O5575" i="3"/>
  <c r="P5574" i="3"/>
  <c r="O5574" i="3"/>
  <c r="P5573" i="3"/>
  <c r="O5573" i="3"/>
  <c r="P5572" i="3"/>
  <c r="O5572" i="3"/>
  <c r="P5571" i="3"/>
  <c r="O5571" i="3"/>
  <c r="P5570" i="3"/>
  <c r="O5570" i="3"/>
  <c r="P5569" i="3"/>
  <c r="O5569" i="3"/>
  <c r="P5568" i="3"/>
  <c r="O5568" i="3"/>
  <c r="P5567" i="3"/>
  <c r="O5567" i="3"/>
  <c r="P5566" i="3"/>
  <c r="O5566" i="3"/>
  <c r="P5565" i="3"/>
  <c r="O5565" i="3"/>
  <c r="P5564" i="3"/>
  <c r="O5564" i="3"/>
  <c r="P5563" i="3"/>
  <c r="O5563" i="3"/>
  <c r="P5562" i="3"/>
  <c r="O5562" i="3"/>
  <c r="P5561" i="3"/>
  <c r="O5561" i="3"/>
  <c r="P5560" i="3"/>
  <c r="O5560" i="3"/>
  <c r="P5559" i="3"/>
  <c r="O5559" i="3"/>
  <c r="P5558" i="3"/>
  <c r="O5558" i="3"/>
  <c r="P5557" i="3"/>
  <c r="O5557" i="3"/>
  <c r="P5556" i="3"/>
  <c r="O5556" i="3"/>
  <c r="P5555" i="3"/>
  <c r="O5555" i="3"/>
  <c r="P5554" i="3"/>
  <c r="O5554" i="3"/>
  <c r="P5553" i="3"/>
  <c r="O5553" i="3"/>
  <c r="P5552" i="3"/>
  <c r="O5552" i="3"/>
  <c r="P5551" i="3"/>
  <c r="O5551" i="3"/>
  <c r="P5550" i="3"/>
  <c r="O5550" i="3"/>
  <c r="P5549" i="3"/>
  <c r="O5549" i="3"/>
  <c r="P5548" i="3"/>
  <c r="O5548" i="3"/>
  <c r="P5547" i="3"/>
  <c r="O5547" i="3"/>
  <c r="P5546" i="3"/>
  <c r="O5546" i="3"/>
  <c r="P5545" i="3"/>
  <c r="O5545" i="3"/>
  <c r="P5544" i="3"/>
  <c r="O5544" i="3"/>
  <c r="P5543" i="3"/>
  <c r="O5543" i="3"/>
  <c r="P5542" i="3"/>
  <c r="O5542" i="3"/>
  <c r="P5541" i="3"/>
  <c r="O5541" i="3"/>
  <c r="P5540" i="3"/>
  <c r="O5540" i="3"/>
  <c r="P5539" i="3"/>
  <c r="O5539" i="3"/>
  <c r="P5538" i="3"/>
  <c r="O5538" i="3"/>
  <c r="P5537" i="3"/>
  <c r="O5537" i="3"/>
  <c r="P5536" i="3"/>
  <c r="O5536" i="3"/>
  <c r="P5535" i="3"/>
  <c r="O5535" i="3"/>
  <c r="P5534" i="3"/>
  <c r="O5534" i="3"/>
  <c r="P5533" i="3"/>
  <c r="O5533" i="3"/>
  <c r="P5532" i="3"/>
  <c r="O5532" i="3"/>
  <c r="P5531" i="3"/>
  <c r="O5531" i="3"/>
  <c r="P5530" i="3"/>
  <c r="O5530" i="3"/>
  <c r="P5529" i="3"/>
  <c r="O5529" i="3"/>
  <c r="P5528" i="3"/>
  <c r="O5528" i="3"/>
  <c r="P5527" i="3"/>
  <c r="O5527" i="3"/>
  <c r="P5526" i="3"/>
  <c r="O5526" i="3"/>
  <c r="P5525" i="3"/>
  <c r="O5525" i="3"/>
  <c r="P5524" i="3"/>
  <c r="O5524" i="3"/>
  <c r="P5523" i="3"/>
  <c r="O5523" i="3"/>
  <c r="P5522" i="3"/>
  <c r="O5522" i="3"/>
  <c r="P5521" i="3"/>
  <c r="O5521" i="3"/>
  <c r="P5520" i="3"/>
  <c r="O5520" i="3"/>
  <c r="P5519" i="3"/>
  <c r="O5519" i="3"/>
  <c r="P5518" i="3"/>
  <c r="O5518" i="3"/>
  <c r="P5517" i="3"/>
  <c r="O5517" i="3"/>
  <c r="P5516" i="3"/>
  <c r="O5516" i="3"/>
  <c r="P5515" i="3"/>
  <c r="O5515" i="3"/>
  <c r="P5514" i="3"/>
  <c r="O5514" i="3"/>
  <c r="P5513" i="3"/>
  <c r="O5513" i="3"/>
  <c r="P5512" i="3"/>
  <c r="O5512" i="3"/>
  <c r="P5511" i="3"/>
  <c r="O5511" i="3"/>
  <c r="P5510" i="3"/>
  <c r="O5510" i="3"/>
  <c r="P5509" i="3"/>
  <c r="O5509" i="3"/>
  <c r="P5508" i="3"/>
  <c r="O5508" i="3"/>
  <c r="P5507" i="3"/>
  <c r="O5507" i="3"/>
  <c r="P5506" i="3"/>
  <c r="O5506" i="3"/>
  <c r="P5505" i="3"/>
  <c r="O5505" i="3"/>
  <c r="P5504" i="3"/>
  <c r="O5504" i="3"/>
  <c r="P5503" i="3"/>
  <c r="O5503" i="3"/>
  <c r="P5502" i="3"/>
  <c r="O5502" i="3"/>
  <c r="P5501" i="3"/>
  <c r="O5501" i="3"/>
  <c r="P5500" i="3"/>
  <c r="O5500" i="3"/>
  <c r="P5499" i="3"/>
  <c r="O5499" i="3"/>
  <c r="P5498" i="3"/>
  <c r="O5498" i="3"/>
  <c r="P5497" i="3"/>
  <c r="O5497" i="3"/>
  <c r="P5496" i="3"/>
  <c r="O5496" i="3"/>
  <c r="P5495" i="3"/>
  <c r="O5495" i="3"/>
  <c r="P5494" i="3"/>
  <c r="O5494" i="3"/>
  <c r="P5493" i="3"/>
  <c r="O5493" i="3"/>
  <c r="P5492" i="3"/>
  <c r="O5492" i="3"/>
  <c r="P5491" i="3"/>
  <c r="O5491" i="3"/>
  <c r="P5490" i="3"/>
  <c r="O5490" i="3"/>
  <c r="P5489" i="3"/>
  <c r="O5489" i="3"/>
  <c r="P5488" i="3"/>
  <c r="O5488" i="3"/>
  <c r="P5487" i="3"/>
  <c r="O5487" i="3"/>
  <c r="P5486" i="3"/>
  <c r="O5486" i="3"/>
  <c r="P5485" i="3"/>
  <c r="O5485" i="3"/>
  <c r="P5484" i="3"/>
  <c r="O5484" i="3"/>
  <c r="P5483" i="3"/>
  <c r="O5483" i="3"/>
  <c r="P5482" i="3"/>
  <c r="O5482" i="3"/>
  <c r="P5481" i="3"/>
  <c r="O5481" i="3"/>
  <c r="P5480" i="3"/>
  <c r="O5480" i="3"/>
  <c r="P5479" i="3"/>
  <c r="O5479" i="3"/>
  <c r="P5478" i="3"/>
  <c r="O5478" i="3"/>
  <c r="P5477" i="3"/>
  <c r="O5477" i="3"/>
  <c r="P5476" i="3"/>
  <c r="O5476" i="3"/>
  <c r="P5475" i="3"/>
  <c r="O5475" i="3"/>
  <c r="P5474" i="3"/>
  <c r="O5474" i="3"/>
  <c r="P5473" i="3"/>
  <c r="O5473" i="3"/>
  <c r="P5472" i="3"/>
  <c r="O5472" i="3"/>
  <c r="P5471" i="3"/>
  <c r="O5471" i="3"/>
  <c r="P5470" i="3"/>
  <c r="O5470" i="3"/>
  <c r="P5469" i="3"/>
  <c r="O5469" i="3"/>
  <c r="P5468" i="3"/>
  <c r="O5468" i="3"/>
  <c r="P5467" i="3"/>
  <c r="O5467" i="3"/>
  <c r="P5466" i="3"/>
  <c r="O5466" i="3"/>
  <c r="P5465" i="3"/>
  <c r="O5465" i="3"/>
  <c r="P5464" i="3"/>
  <c r="O5464" i="3"/>
  <c r="P5463" i="3"/>
  <c r="O5463" i="3"/>
  <c r="P5462" i="3"/>
  <c r="O5462" i="3"/>
  <c r="P5461" i="3"/>
  <c r="O5461" i="3"/>
  <c r="P5460" i="3"/>
  <c r="O5460" i="3"/>
  <c r="P5459" i="3"/>
  <c r="O5459" i="3"/>
  <c r="P5458" i="3"/>
  <c r="O5458" i="3"/>
  <c r="P5457" i="3"/>
  <c r="O5457" i="3"/>
  <c r="P5456" i="3"/>
  <c r="O5456" i="3"/>
  <c r="P5455" i="3"/>
  <c r="O5455" i="3"/>
  <c r="P5454" i="3"/>
  <c r="O5454" i="3"/>
  <c r="P5453" i="3"/>
  <c r="O5453" i="3"/>
  <c r="P5452" i="3"/>
  <c r="O5452" i="3"/>
  <c r="P5451" i="3"/>
  <c r="O5451" i="3"/>
  <c r="P5450" i="3"/>
  <c r="O5450" i="3"/>
  <c r="P5449" i="3"/>
  <c r="O5449" i="3"/>
  <c r="P5448" i="3"/>
  <c r="O5448" i="3"/>
  <c r="P5447" i="3"/>
  <c r="O5447" i="3"/>
  <c r="P5446" i="3"/>
  <c r="O5446" i="3"/>
  <c r="P5445" i="3"/>
  <c r="O5445" i="3"/>
  <c r="P5444" i="3"/>
  <c r="O5444" i="3"/>
  <c r="P5443" i="3"/>
  <c r="O5443" i="3"/>
  <c r="P5442" i="3"/>
  <c r="O5442" i="3"/>
  <c r="P5441" i="3"/>
  <c r="O5441" i="3"/>
  <c r="P5440" i="3"/>
  <c r="O5440" i="3"/>
  <c r="P5439" i="3"/>
  <c r="O5439" i="3"/>
  <c r="P5438" i="3"/>
  <c r="O5438" i="3"/>
  <c r="P5437" i="3"/>
  <c r="O5437" i="3"/>
  <c r="P5436" i="3"/>
  <c r="O5436" i="3"/>
  <c r="P5435" i="3"/>
  <c r="O5435" i="3"/>
  <c r="P5434" i="3"/>
  <c r="O5434" i="3"/>
  <c r="P5433" i="3"/>
  <c r="O5433" i="3"/>
  <c r="P5432" i="3"/>
  <c r="O5432" i="3"/>
  <c r="P5431" i="3"/>
  <c r="O5431" i="3"/>
  <c r="P5430" i="3"/>
  <c r="O5430" i="3"/>
  <c r="P5429" i="3"/>
  <c r="O5429" i="3"/>
  <c r="P5428" i="3"/>
  <c r="O5428" i="3"/>
  <c r="P5427" i="3"/>
  <c r="O5427" i="3"/>
  <c r="P5426" i="3"/>
  <c r="O5426" i="3"/>
  <c r="P5425" i="3"/>
  <c r="O5425" i="3"/>
  <c r="P5424" i="3"/>
  <c r="O5424" i="3"/>
  <c r="P5423" i="3"/>
  <c r="O5423" i="3"/>
  <c r="P5422" i="3"/>
  <c r="O5422" i="3"/>
  <c r="P5421" i="3"/>
  <c r="O5421" i="3"/>
  <c r="P5420" i="3"/>
  <c r="O5420" i="3"/>
  <c r="P5419" i="3"/>
  <c r="O5419" i="3"/>
  <c r="P5418" i="3"/>
  <c r="O5418" i="3"/>
  <c r="P5417" i="3"/>
  <c r="O5417" i="3"/>
  <c r="P5416" i="3"/>
  <c r="O5416" i="3"/>
  <c r="P5415" i="3"/>
  <c r="O5415" i="3"/>
  <c r="P5414" i="3"/>
  <c r="O5414" i="3"/>
  <c r="P5413" i="3"/>
  <c r="O5413" i="3"/>
  <c r="P5412" i="3"/>
  <c r="O5412" i="3"/>
  <c r="P5411" i="3"/>
  <c r="O5411" i="3"/>
  <c r="P5410" i="3"/>
  <c r="O5410" i="3"/>
  <c r="P5409" i="3"/>
  <c r="O5409" i="3"/>
  <c r="P5408" i="3"/>
  <c r="O5408" i="3"/>
  <c r="P5407" i="3"/>
  <c r="O5407" i="3"/>
  <c r="P5406" i="3"/>
  <c r="O5406" i="3"/>
  <c r="P5405" i="3"/>
  <c r="O5405" i="3"/>
  <c r="P5404" i="3"/>
  <c r="O5404" i="3"/>
  <c r="P5403" i="3"/>
  <c r="O5403" i="3"/>
  <c r="P5402" i="3"/>
  <c r="O5402" i="3"/>
  <c r="P5401" i="3"/>
  <c r="O5401" i="3"/>
  <c r="P5400" i="3"/>
  <c r="O5400" i="3"/>
  <c r="P5399" i="3"/>
  <c r="O5399" i="3"/>
  <c r="P5398" i="3"/>
  <c r="O5398" i="3"/>
  <c r="P5397" i="3"/>
  <c r="O5397" i="3"/>
  <c r="P5396" i="3"/>
  <c r="O5396" i="3"/>
  <c r="P5395" i="3"/>
  <c r="O5395" i="3"/>
  <c r="P5394" i="3"/>
  <c r="O5394" i="3"/>
  <c r="P5393" i="3"/>
  <c r="O5393" i="3"/>
  <c r="P5392" i="3"/>
  <c r="O5392" i="3"/>
  <c r="P5391" i="3"/>
  <c r="O5391" i="3"/>
  <c r="P5390" i="3"/>
  <c r="O5390" i="3"/>
  <c r="P5389" i="3"/>
  <c r="O5389" i="3"/>
  <c r="P5388" i="3"/>
  <c r="O5388" i="3"/>
  <c r="P5387" i="3"/>
  <c r="O5387" i="3"/>
  <c r="P5386" i="3"/>
  <c r="O5386" i="3"/>
  <c r="P5385" i="3"/>
  <c r="O5385" i="3"/>
  <c r="P5384" i="3"/>
  <c r="O5384" i="3"/>
  <c r="P5383" i="3"/>
  <c r="O5383" i="3"/>
  <c r="P5382" i="3"/>
  <c r="O5382" i="3"/>
  <c r="P5381" i="3"/>
  <c r="O5381" i="3"/>
  <c r="P5380" i="3"/>
  <c r="O5380" i="3"/>
  <c r="P5379" i="3"/>
  <c r="O5379" i="3"/>
  <c r="P5378" i="3"/>
  <c r="O5378" i="3"/>
  <c r="P5377" i="3"/>
  <c r="O5377" i="3"/>
  <c r="P5376" i="3"/>
  <c r="O5376" i="3"/>
  <c r="P5375" i="3"/>
  <c r="O5375" i="3"/>
  <c r="P5374" i="3"/>
  <c r="O5374" i="3"/>
  <c r="P5373" i="3"/>
  <c r="O5373" i="3"/>
  <c r="P5372" i="3"/>
  <c r="O5372" i="3"/>
  <c r="P5371" i="3"/>
  <c r="O5371" i="3"/>
  <c r="P5370" i="3"/>
  <c r="O5370" i="3"/>
  <c r="P5369" i="3"/>
  <c r="O5369" i="3"/>
  <c r="P5368" i="3"/>
  <c r="O5368" i="3"/>
  <c r="P5367" i="3"/>
  <c r="O5367" i="3"/>
  <c r="P5366" i="3"/>
  <c r="O5366" i="3"/>
  <c r="P5365" i="3"/>
  <c r="O5365" i="3"/>
  <c r="P5364" i="3"/>
  <c r="O5364" i="3"/>
  <c r="P5363" i="3"/>
  <c r="O5363" i="3"/>
  <c r="P5362" i="3"/>
  <c r="O5362" i="3"/>
  <c r="P5361" i="3"/>
  <c r="O5361" i="3"/>
  <c r="P5360" i="3"/>
  <c r="O5360" i="3"/>
  <c r="P5359" i="3"/>
  <c r="O5359" i="3"/>
  <c r="P5358" i="3"/>
  <c r="O5358" i="3"/>
  <c r="P5357" i="3"/>
  <c r="O5357" i="3"/>
  <c r="P5356" i="3"/>
  <c r="O5356" i="3"/>
  <c r="P5355" i="3"/>
  <c r="O5355" i="3"/>
  <c r="P5354" i="3"/>
  <c r="O5354" i="3"/>
  <c r="P5353" i="3"/>
  <c r="O5353" i="3"/>
  <c r="P5352" i="3"/>
  <c r="O5352" i="3"/>
  <c r="P5351" i="3"/>
  <c r="O5351" i="3"/>
  <c r="P5350" i="3"/>
  <c r="O5350" i="3"/>
  <c r="P5349" i="3"/>
  <c r="O5349" i="3"/>
  <c r="P5348" i="3"/>
  <c r="O5348" i="3"/>
  <c r="P5347" i="3"/>
  <c r="O5347" i="3"/>
  <c r="P5346" i="3"/>
  <c r="O5346" i="3"/>
  <c r="P5345" i="3"/>
  <c r="O5345" i="3"/>
  <c r="P5344" i="3"/>
  <c r="O5344" i="3"/>
  <c r="P5343" i="3"/>
  <c r="O5343" i="3"/>
  <c r="P5342" i="3"/>
  <c r="O5342" i="3"/>
  <c r="P5341" i="3"/>
  <c r="O5341" i="3"/>
  <c r="P5340" i="3"/>
  <c r="O5340" i="3"/>
  <c r="P5339" i="3"/>
  <c r="O5339" i="3"/>
  <c r="P5338" i="3"/>
  <c r="O5338" i="3"/>
  <c r="P5337" i="3"/>
  <c r="O5337" i="3"/>
  <c r="P5336" i="3"/>
  <c r="O5336" i="3"/>
  <c r="P5335" i="3"/>
  <c r="O5335" i="3"/>
  <c r="P5334" i="3"/>
  <c r="O5334" i="3"/>
  <c r="P5333" i="3"/>
  <c r="O5333" i="3"/>
  <c r="P5332" i="3"/>
  <c r="O5332" i="3"/>
  <c r="P5331" i="3"/>
  <c r="O5331" i="3"/>
  <c r="P5330" i="3"/>
  <c r="O5330" i="3"/>
  <c r="P5329" i="3"/>
  <c r="O5329" i="3"/>
  <c r="P5328" i="3"/>
  <c r="O5328" i="3"/>
  <c r="P5327" i="3"/>
  <c r="O5327" i="3"/>
  <c r="P5326" i="3"/>
  <c r="O5326" i="3"/>
  <c r="P5325" i="3"/>
  <c r="O5325" i="3"/>
  <c r="P5324" i="3"/>
  <c r="O5324" i="3"/>
  <c r="P5323" i="3"/>
  <c r="O5323" i="3"/>
  <c r="P5322" i="3"/>
  <c r="O5322" i="3"/>
  <c r="P5321" i="3"/>
  <c r="O5321" i="3"/>
  <c r="P5320" i="3"/>
  <c r="O5320" i="3"/>
  <c r="P5319" i="3"/>
  <c r="O5319" i="3"/>
  <c r="P5318" i="3"/>
  <c r="O5318" i="3"/>
  <c r="P5317" i="3"/>
  <c r="O5317" i="3"/>
  <c r="P5316" i="3"/>
  <c r="O5316" i="3"/>
  <c r="P5315" i="3"/>
  <c r="O5315" i="3"/>
  <c r="P5314" i="3"/>
  <c r="O5314" i="3"/>
  <c r="P5313" i="3"/>
  <c r="O5313" i="3"/>
  <c r="P5312" i="3"/>
  <c r="O5312" i="3"/>
  <c r="P5311" i="3"/>
  <c r="O5311" i="3"/>
  <c r="P5310" i="3"/>
  <c r="O5310" i="3"/>
  <c r="P5309" i="3"/>
  <c r="O5309" i="3"/>
  <c r="P5308" i="3"/>
  <c r="O5308" i="3"/>
  <c r="P5307" i="3"/>
  <c r="O5307" i="3"/>
  <c r="P5306" i="3"/>
  <c r="O5306" i="3"/>
  <c r="P5305" i="3"/>
  <c r="O5305" i="3"/>
  <c r="P5304" i="3"/>
  <c r="O5304" i="3"/>
  <c r="P5303" i="3"/>
  <c r="O5303" i="3"/>
  <c r="P5302" i="3"/>
  <c r="O5302" i="3"/>
  <c r="P5301" i="3"/>
  <c r="O5301" i="3"/>
  <c r="P5300" i="3"/>
  <c r="O5300" i="3"/>
  <c r="P5299" i="3"/>
  <c r="O5299" i="3"/>
  <c r="P5298" i="3"/>
  <c r="O5298" i="3"/>
  <c r="P5297" i="3"/>
  <c r="O5297" i="3"/>
  <c r="P5296" i="3"/>
  <c r="O5296" i="3"/>
  <c r="P5295" i="3"/>
  <c r="O5295" i="3"/>
  <c r="P5294" i="3"/>
  <c r="O5294" i="3"/>
  <c r="P5293" i="3"/>
  <c r="O5293" i="3"/>
  <c r="P5292" i="3"/>
  <c r="O5292" i="3"/>
  <c r="P5291" i="3"/>
  <c r="O5291" i="3"/>
  <c r="P5290" i="3"/>
  <c r="O5290" i="3"/>
  <c r="P5289" i="3"/>
  <c r="O5289" i="3"/>
  <c r="P5288" i="3"/>
  <c r="O5288" i="3"/>
  <c r="P5287" i="3"/>
  <c r="O5287" i="3"/>
  <c r="P5286" i="3"/>
  <c r="O5286" i="3"/>
  <c r="P5285" i="3"/>
  <c r="O5285" i="3"/>
  <c r="P5284" i="3"/>
  <c r="O5284" i="3"/>
  <c r="P5283" i="3"/>
  <c r="O5283" i="3"/>
  <c r="P5282" i="3"/>
  <c r="O5282" i="3"/>
  <c r="P5281" i="3"/>
  <c r="O5281" i="3"/>
  <c r="P5280" i="3"/>
  <c r="O5280" i="3"/>
  <c r="P5279" i="3"/>
  <c r="O5279" i="3"/>
  <c r="P5278" i="3"/>
  <c r="O5278" i="3"/>
  <c r="P5277" i="3"/>
  <c r="O5277" i="3"/>
  <c r="P5276" i="3"/>
  <c r="O5276" i="3"/>
  <c r="P5275" i="3"/>
  <c r="O5275" i="3"/>
  <c r="P5274" i="3"/>
  <c r="O5274" i="3"/>
  <c r="P5273" i="3"/>
  <c r="O5273" i="3"/>
  <c r="P5272" i="3"/>
  <c r="O5272" i="3"/>
  <c r="P5271" i="3"/>
  <c r="O5271" i="3"/>
  <c r="P5270" i="3"/>
  <c r="O5270" i="3"/>
  <c r="P5269" i="3"/>
  <c r="O5269" i="3"/>
  <c r="P5268" i="3"/>
  <c r="O5268" i="3"/>
  <c r="P5267" i="3"/>
  <c r="O5267" i="3"/>
  <c r="P5266" i="3"/>
  <c r="O5266" i="3"/>
  <c r="P5265" i="3"/>
  <c r="O5265" i="3"/>
  <c r="P5264" i="3"/>
  <c r="O5264" i="3"/>
  <c r="P5263" i="3"/>
  <c r="O5263" i="3"/>
  <c r="P5262" i="3"/>
  <c r="O5262" i="3"/>
  <c r="P5261" i="3"/>
  <c r="O5261" i="3"/>
  <c r="P5260" i="3"/>
  <c r="O5260" i="3"/>
  <c r="P5259" i="3"/>
  <c r="O5259" i="3"/>
  <c r="P5258" i="3"/>
  <c r="O5258" i="3"/>
  <c r="P5257" i="3"/>
  <c r="O5257" i="3"/>
  <c r="P5256" i="3"/>
  <c r="O5256" i="3"/>
  <c r="P5255" i="3"/>
  <c r="O5255" i="3"/>
  <c r="P5254" i="3"/>
  <c r="O5254" i="3"/>
  <c r="P5253" i="3"/>
  <c r="O5253" i="3"/>
  <c r="P5252" i="3"/>
  <c r="O5252" i="3"/>
  <c r="P5251" i="3"/>
  <c r="O5251" i="3"/>
  <c r="P5250" i="3"/>
  <c r="O5250" i="3"/>
  <c r="P5249" i="3"/>
  <c r="O5249" i="3"/>
  <c r="P5248" i="3"/>
  <c r="O5248" i="3"/>
  <c r="P5247" i="3"/>
  <c r="O5247" i="3"/>
  <c r="P5246" i="3"/>
  <c r="O5246" i="3"/>
  <c r="P5245" i="3"/>
  <c r="O5245" i="3"/>
  <c r="P5244" i="3"/>
  <c r="O5244" i="3"/>
  <c r="P5243" i="3"/>
  <c r="O5243" i="3"/>
  <c r="P5242" i="3"/>
  <c r="O5242" i="3"/>
  <c r="P5241" i="3"/>
  <c r="O5241" i="3"/>
  <c r="P5240" i="3"/>
  <c r="O5240" i="3"/>
  <c r="P5239" i="3"/>
  <c r="O5239" i="3"/>
  <c r="P5238" i="3"/>
  <c r="O5238" i="3"/>
  <c r="P5237" i="3"/>
  <c r="O5237" i="3"/>
  <c r="P5236" i="3"/>
  <c r="O5236" i="3"/>
  <c r="P5235" i="3"/>
  <c r="O5235" i="3"/>
  <c r="P5234" i="3"/>
  <c r="O5234" i="3"/>
  <c r="P5233" i="3"/>
  <c r="O5233" i="3"/>
  <c r="P5232" i="3"/>
  <c r="O5232" i="3"/>
  <c r="P5231" i="3"/>
  <c r="O5231" i="3"/>
  <c r="P5230" i="3"/>
  <c r="O5230" i="3"/>
  <c r="P5229" i="3"/>
  <c r="O5229" i="3"/>
  <c r="P5228" i="3"/>
  <c r="O5228" i="3"/>
  <c r="P5227" i="3"/>
  <c r="O5227" i="3"/>
  <c r="P5226" i="3"/>
  <c r="O5226" i="3"/>
  <c r="P5225" i="3"/>
  <c r="O5225" i="3"/>
  <c r="P5224" i="3"/>
  <c r="O5224" i="3"/>
  <c r="P5223" i="3"/>
  <c r="O5223" i="3"/>
  <c r="P5222" i="3"/>
  <c r="O5222" i="3"/>
  <c r="P5221" i="3"/>
  <c r="O5221" i="3"/>
  <c r="P5220" i="3"/>
  <c r="O5220" i="3"/>
  <c r="P5219" i="3"/>
  <c r="O5219" i="3"/>
  <c r="P5218" i="3"/>
  <c r="O5218" i="3"/>
  <c r="P5217" i="3"/>
  <c r="O5217" i="3"/>
  <c r="P5216" i="3"/>
  <c r="O5216" i="3"/>
  <c r="P5215" i="3"/>
  <c r="O5215" i="3"/>
  <c r="P5214" i="3"/>
  <c r="O5214" i="3"/>
  <c r="P5213" i="3"/>
  <c r="O5213" i="3"/>
  <c r="P5212" i="3"/>
  <c r="O5212" i="3"/>
  <c r="P5211" i="3"/>
  <c r="O5211" i="3"/>
  <c r="P5210" i="3"/>
  <c r="O5210" i="3"/>
  <c r="P5209" i="3"/>
  <c r="O5209" i="3"/>
  <c r="P5208" i="3"/>
  <c r="O5208" i="3"/>
  <c r="P5207" i="3"/>
  <c r="O5207" i="3"/>
  <c r="P5206" i="3"/>
  <c r="O5206" i="3"/>
  <c r="P5205" i="3"/>
  <c r="O5205" i="3"/>
  <c r="P5204" i="3"/>
  <c r="O5204" i="3"/>
  <c r="P5203" i="3"/>
  <c r="O5203" i="3"/>
  <c r="P5202" i="3"/>
  <c r="O5202" i="3"/>
  <c r="P5201" i="3"/>
  <c r="O5201" i="3"/>
  <c r="P5200" i="3"/>
  <c r="O5200" i="3"/>
  <c r="P5199" i="3"/>
  <c r="O5199" i="3"/>
  <c r="P5198" i="3"/>
  <c r="O5198" i="3"/>
  <c r="P5197" i="3"/>
  <c r="O5197" i="3"/>
  <c r="P5196" i="3"/>
  <c r="O5196" i="3"/>
  <c r="P5195" i="3"/>
  <c r="O5195" i="3"/>
  <c r="P5194" i="3"/>
  <c r="O5194" i="3"/>
  <c r="P5193" i="3"/>
  <c r="O5193" i="3"/>
  <c r="P5192" i="3"/>
  <c r="O5192" i="3"/>
  <c r="P5191" i="3"/>
  <c r="O5191" i="3"/>
  <c r="P5190" i="3"/>
  <c r="O5190" i="3"/>
  <c r="P5189" i="3"/>
  <c r="O5189" i="3"/>
  <c r="P5188" i="3"/>
  <c r="O5188" i="3"/>
  <c r="P5187" i="3"/>
  <c r="O5187" i="3"/>
  <c r="P5186" i="3"/>
  <c r="O5186" i="3"/>
  <c r="P5185" i="3"/>
  <c r="O5185" i="3"/>
  <c r="P5184" i="3"/>
  <c r="O5184" i="3"/>
  <c r="P5183" i="3"/>
  <c r="O5183" i="3"/>
  <c r="P5182" i="3"/>
  <c r="O5182" i="3"/>
  <c r="P5181" i="3"/>
  <c r="O5181" i="3"/>
  <c r="P5180" i="3"/>
  <c r="O5180" i="3"/>
  <c r="P5179" i="3"/>
  <c r="O5179" i="3"/>
  <c r="P5178" i="3"/>
  <c r="O5178" i="3"/>
  <c r="P5177" i="3"/>
  <c r="O5177" i="3"/>
  <c r="P5176" i="3"/>
  <c r="O5176" i="3"/>
  <c r="P5175" i="3"/>
  <c r="O5175" i="3"/>
  <c r="P5174" i="3"/>
  <c r="O5174" i="3"/>
  <c r="P5173" i="3"/>
  <c r="O5173" i="3"/>
  <c r="P5172" i="3"/>
  <c r="O5172" i="3"/>
  <c r="P5171" i="3"/>
  <c r="O5171" i="3"/>
  <c r="P5170" i="3"/>
  <c r="O5170" i="3"/>
  <c r="P5169" i="3"/>
  <c r="O5169" i="3"/>
  <c r="P5168" i="3"/>
  <c r="O5168" i="3"/>
  <c r="P5167" i="3"/>
  <c r="O5167" i="3"/>
  <c r="P5166" i="3"/>
  <c r="O5166" i="3"/>
  <c r="P5165" i="3"/>
  <c r="O5165" i="3"/>
  <c r="P5164" i="3"/>
  <c r="O5164" i="3"/>
  <c r="P5163" i="3"/>
  <c r="O5163" i="3"/>
  <c r="P5162" i="3"/>
  <c r="O5162" i="3"/>
  <c r="P5161" i="3"/>
  <c r="O5161" i="3"/>
  <c r="P5160" i="3"/>
  <c r="O5160" i="3"/>
  <c r="P5159" i="3"/>
  <c r="O5159" i="3"/>
  <c r="P5158" i="3"/>
  <c r="O5158" i="3"/>
  <c r="P5157" i="3"/>
  <c r="O5157" i="3"/>
  <c r="P5156" i="3"/>
  <c r="O5156" i="3"/>
  <c r="P5155" i="3"/>
  <c r="O5155" i="3"/>
  <c r="P5154" i="3"/>
  <c r="O5154" i="3"/>
  <c r="P5153" i="3"/>
  <c r="O5153" i="3"/>
  <c r="P5152" i="3"/>
  <c r="O5152" i="3"/>
  <c r="P5151" i="3"/>
  <c r="O5151" i="3"/>
  <c r="P5150" i="3"/>
  <c r="O5150" i="3"/>
  <c r="P5149" i="3"/>
  <c r="O5149" i="3"/>
  <c r="P5148" i="3"/>
  <c r="O5148" i="3"/>
  <c r="P5147" i="3"/>
  <c r="O5147" i="3"/>
  <c r="P5146" i="3"/>
  <c r="O5146" i="3"/>
  <c r="P5145" i="3"/>
  <c r="O5145" i="3"/>
  <c r="P5144" i="3"/>
  <c r="O5144" i="3"/>
  <c r="P5143" i="3"/>
  <c r="O5143" i="3"/>
  <c r="P5142" i="3"/>
  <c r="O5142" i="3"/>
  <c r="P5141" i="3"/>
  <c r="O5141" i="3"/>
  <c r="P5140" i="3"/>
  <c r="O5140" i="3"/>
  <c r="P5139" i="3"/>
  <c r="O5139" i="3"/>
  <c r="P5138" i="3"/>
  <c r="O5138" i="3"/>
  <c r="P5137" i="3"/>
  <c r="O5137" i="3"/>
  <c r="P5136" i="3"/>
  <c r="O5136" i="3"/>
  <c r="P5135" i="3"/>
  <c r="O5135" i="3"/>
  <c r="P5134" i="3"/>
  <c r="O5134" i="3"/>
  <c r="P5133" i="3"/>
  <c r="O5133" i="3"/>
  <c r="P5132" i="3"/>
  <c r="O5132" i="3"/>
  <c r="P5131" i="3"/>
  <c r="O5131" i="3"/>
  <c r="P5130" i="3"/>
  <c r="O5130" i="3"/>
  <c r="P5129" i="3"/>
  <c r="O5129" i="3"/>
  <c r="P5128" i="3"/>
  <c r="O5128" i="3"/>
  <c r="P5127" i="3"/>
  <c r="O5127" i="3"/>
  <c r="P5126" i="3"/>
  <c r="O5126" i="3"/>
  <c r="P5125" i="3"/>
  <c r="O5125" i="3"/>
  <c r="P5124" i="3"/>
  <c r="O5124" i="3"/>
  <c r="P5123" i="3"/>
  <c r="O5123" i="3"/>
  <c r="P5122" i="3"/>
  <c r="O5122" i="3"/>
  <c r="P5121" i="3"/>
  <c r="O5121" i="3"/>
  <c r="P5120" i="3"/>
  <c r="O5120" i="3"/>
  <c r="P5119" i="3"/>
  <c r="O5119" i="3"/>
  <c r="P5118" i="3"/>
  <c r="O5118" i="3"/>
  <c r="P5117" i="3"/>
  <c r="O5117" i="3"/>
  <c r="P5116" i="3"/>
  <c r="O5116" i="3"/>
  <c r="P5115" i="3"/>
  <c r="O5115" i="3"/>
  <c r="P5114" i="3"/>
  <c r="O5114" i="3"/>
  <c r="P5113" i="3"/>
  <c r="O5113" i="3"/>
  <c r="P5112" i="3"/>
  <c r="O5112" i="3"/>
  <c r="P5111" i="3"/>
  <c r="O5111" i="3"/>
  <c r="P5110" i="3"/>
  <c r="O5110" i="3"/>
  <c r="P5109" i="3"/>
  <c r="O5109" i="3"/>
  <c r="P5108" i="3"/>
  <c r="O5108" i="3"/>
  <c r="P5107" i="3"/>
  <c r="O5107" i="3"/>
  <c r="P5106" i="3"/>
  <c r="O5106" i="3"/>
  <c r="P5105" i="3"/>
  <c r="O5105" i="3"/>
  <c r="P5104" i="3"/>
  <c r="O5104" i="3"/>
  <c r="P5103" i="3"/>
  <c r="O5103" i="3"/>
  <c r="P5102" i="3"/>
  <c r="O5102" i="3"/>
  <c r="P5101" i="3"/>
  <c r="O5101" i="3"/>
  <c r="P5100" i="3"/>
  <c r="O5100" i="3"/>
  <c r="P5099" i="3"/>
  <c r="O5099" i="3"/>
  <c r="P5098" i="3"/>
  <c r="O5098" i="3"/>
  <c r="P5097" i="3"/>
  <c r="O5097" i="3"/>
  <c r="P5096" i="3"/>
  <c r="O5096" i="3"/>
  <c r="P5095" i="3"/>
  <c r="O5095" i="3"/>
  <c r="P5094" i="3"/>
  <c r="O5094" i="3"/>
  <c r="P5093" i="3"/>
  <c r="O5093" i="3"/>
  <c r="P5092" i="3"/>
  <c r="O5092" i="3"/>
  <c r="P5091" i="3"/>
  <c r="O5091" i="3"/>
  <c r="P5090" i="3"/>
  <c r="O5090" i="3"/>
  <c r="P5089" i="3"/>
  <c r="O5089" i="3"/>
  <c r="P5088" i="3"/>
  <c r="O5088" i="3"/>
  <c r="P5087" i="3"/>
  <c r="O5087" i="3"/>
  <c r="P5086" i="3"/>
  <c r="O5086" i="3"/>
  <c r="P5085" i="3"/>
  <c r="O5085" i="3"/>
  <c r="P5084" i="3"/>
  <c r="O5084" i="3"/>
  <c r="P5083" i="3"/>
  <c r="O5083" i="3"/>
  <c r="P5082" i="3"/>
  <c r="O5082" i="3"/>
  <c r="P5081" i="3"/>
  <c r="O5081" i="3"/>
  <c r="P5080" i="3"/>
  <c r="O5080" i="3"/>
  <c r="P5079" i="3"/>
  <c r="O5079" i="3"/>
  <c r="P5078" i="3"/>
  <c r="O5078" i="3"/>
  <c r="P5077" i="3"/>
  <c r="O5077" i="3"/>
  <c r="P5076" i="3"/>
  <c r="O5076" i="3"/>
  <c r="P5075" i="3"/>
  <c r="O5075" i="3"/>
  <c r="P5074" i="3"/>
  <c r="O5074" i="3"/>
  <c r="P5073" i="3"/>
  <c r="O5073" i="3"/>
  <c r="P5072" i="3"/>
  <c r="O5072" i="3"/>
  <c r="P5071" i="3"/>
  <c r="O5071" i="3"/>
  <c r="P5070" i="3"/>
  <c r="O5070" i="3"/>
  <c r="P5069" i="3"/>
  <c r="O5069" i="3"/>
  <c r="P5068" i="3"/>
  <c r="O5068" i="3"/>
  <c r="P5067" i="3"/>
  <c r="O5067" i="3"/>
  <c r="P5066" i="3"/>
  <c r="O5066" i="3"/>
  <c r="P5065" i="3"/>
  <c r="O5065" i="3"/>
  <c r="P5064" i="3"/>
  <c r="O5064" i="3"/>
  <c r="P5063" i="3"/>
  <c r="O5063" i="3"/>
  <c r="P5062" i="3"/>
  <c r="O5062" i="3"/>
  <c r="P5061" i="3"/>
  <c r="O5061" i="3"/>
  <c r="P5060" i="3"/>
  <c r="O5060" i="3"/>
  <c r="P5059" i="3"/>
  <c r="O5059" i="3"/>
  <c r="P5058" i="3"/>
  <c r="O5058" i="3"/>
  <c r="P5057" i="3"/>
  <c r="O5057" i="3"/>
  <c r="P5056" i="3"/>
  <c r="O5056" i="3"/>
  <c r="P5055" i="3"/>
  <c r="O5055" i="3"/>
  <c r="P5054" i="3"/>
  <c r="O5054" i="3"/>
  <c r="P5053" i="3"/>
  <c r="O5053" i="3"/>
  <c r="P5052" i="3"/>
  <c r="O5052" i="3"/>
  <c r="P5051" i="3"/>
  <c r="O5051" i="3"/>
  <c r="P5050" i="3"/>
  <c r="O5050" i="3"/>
  <c r="P5049" i="3"/>
  <c r="O5049" i="3"/>
  <c r="P5048" i="3"/>
  <c r="O5048" i="3"/>
  <c r="P5047" i="3"/>
  <c r="O5047" i="3"/>
  <c r="P5046" i="3"/>
  <c r="O5046" i="3"/>
  <c r="P5045" i="3"/>
  <c r="O5045" i="3"/>
  <c r="P5044" i="3"/>
  <c r="O5044" i="3"/>
  <c r="P5043" i="3"/>
  <c r="O5043" i="3"/>
  <c r="P5042" i="3"/>
  <c r="O5042" i="3"/>
  <c r="P5041" i="3"/>
  <c r="O5041" i="3"/>
  <c r="P5040" i="3"/>
  <c r="O5040" i="3"/>
  <c r="P5039" i="3"/>
  <c r="O5039" i="3"/>
  <c r="P5038" i="3"/>
  <c r="O5038" i="3"/>
  <c r="P5037" i="3"/>
  <c r="O5037" i="3"/>
  <c r="P5036" i="3"/>
  <c r="O5036" i="3"/>
  <c r="P5035" i="3"/>
  <c r="O5035" i="3"/>
  <c r="P5034" i="3"/>
  <c r="O5034" i="3"/>
  <c r="P5033" i="3"/>
  <c r="O5033" i="3"/>
  <c r="P5032" i="3"/>
  <c r="O5032" i="3"/>
  <c r="P5031" i="3"/>
  <c r="O5031" i="3"/>
  <c r="P5030" i="3"/>
  <c r="O5030" i="3"/>
  <c r="P5029" i="3"/>
  <c r="O5029" i="3"/>
  <c r="P5028" i="3"/>
  <c r="O5028" i="3"/>
  <c r="P5027" i="3"/>
  <c r="O5027" i="3"/>
  <c r="P5026" i="3"/>
  <c r="O5026" i="3"/>
  <c r="P5025" i="3"/>
  <c r="O5025" i="3"/>
  <c r="P5024" i="3"/>
  <c r="O5024" i="3"/>
  <c r="P5023" i="3"/>
  <c r="O5023" i="3"/>
  <c r="P5022" i="3"/>
  <c r="O5022" i="3"/>
  <c r="P5021" i="3"/>
  <c r="O5021" i="3"/>
  <c r="P5020" i="3"/>
  <c r="O5020" i="3"/>
  <c r="P5019" i="3"/>
  <c r="O5019" i="3"/>
  <c r="P5018" i="3"/>
  <c r="O5018" i="3"/>
  <c r="P5017" i="3"/>
  <c r="O5017" i="3"/>
  <c r="P5016" i="3"/>
  <c r="O5016" i="3"/>
  <c r="P5015" i="3"/>
  <c r="O5015" i="3"/>
  <c r="P5014" i="3"/>
  <c r="O5014" i="3"/>
  <c r="P5013" i="3"/>
  <c r="O5013" i="3"/>
  <c r="P5012" i="3"/>
  <c r="O5012" i="3"/>
  <c r="P5011" i="3"/>
  <c r="O5011" i="3"/>
  <c r="P5010" i="3"/>
  <c r="O5010" i="3"/>
  <c r="P5009" i="3"/>
  <c r="O5009" i="3"/>
  <c r="P5008" i="3"/>
  <c r="O5008" i="3"/>
  <c r="P5007" i="3"/>
  <c r="O5007" i="3"/>
  <c r="P5006" i="3"/>
  <c r="O5006" i="3"/>
  <c r="P5005" i="3"/>
  <c r="O5005" i="3"/>
  <c r="P5004" i="3"/>
  <c r="O5004" i="3"/>
  <c r="P5003" i="3"/>
  <c r="O5003" i="3"/>
  <c r="P5002" i="3"/>
  <c r="O5002" i="3"/>
  <c r="P5001" i="3"/>
  <c r="O5001" i="3"/>
  <c r="P5000" i="3"/>
  <c r="O5000" i="3"/>
  <c r="P4999" i="3"/>
  <c r="O4999" i="3"/>
  <c r="P4998" i="3"/>
  <c r="O4998" i="3"/>
  <c r="P4997" i="3"/>
  <c r="O4997" i="3"/>
  <c r="P4996" i="3"/>
  <c r="O4996" i="3"/>
  <c r="P4995" i="3"/>
  <c r="O4995" i="3"/>
  <c r="P4994" i="3"/>
  <c r="O4994" i="3"/>
  <c r="P4993" i="3"/>
  <c r="O4993" i="3"/>
  <c r="P4992" i="3"/>
  <c r="O4992" i="3"/>
  <c r="P4991" i="3"/>
  <c r="O4991" i="3"/>
  <c r="P4990" i="3"/>
  <c r="O4990" i="3"/>
  <c r="P4989" i="3"/>
  <c r="O4989" i="3"/>
  <c r="P4988" i="3"/>
  <c r="O4988" i="3"/>
  <c r="P4987" i="3"/>
  <c r="O4987" i="3"/>
  <c r="P4986" i="3"/>
  <c r="O4986" i="3"/>
  <c r="P4985" i="3"/>
  <c r="O4985" i="3"/>
  <c r="P4984" i="3"/>
  <c r="O4984" i="3"/>
  <c r="P4983" i="3"/>
  <c r="O4983" i="3"/>
  <c r="P4982" i="3"/>
  <c r="O4982" i="3"/>
  <c r="P4981" i="3"/>
  <c r="O4981" i="3"/>
  <c r="P4980" i="3"/>
  <c r="O4980" i="3"/>
  <c r="P4979" i="3"/>
  <c r="O4979" i="3"/>
  <c r="P4978" i="3"/>
  <c r="O4978" i="3"/>
  <c r="P4977" i="3"/>
  <c r="O4977" i="3"/>
  <c r="P4976" i="3"/>
  <c r="O4976" i="3"/>
  <c r="P4975" i="3"/>
  <c r="O4975" i="3"/>
  <c r="P4974" i="3"/>
  <c r="O4974" i="3"/>
  <c r="P4973" i="3"/>
  <c r="O4973" i="3"/>
  <c r="P4972" i="3"/>
  <c r="O4972" i="3"/>
  <c r="P4971" i="3"/>
  <c r="O4971" i="3"/>
  <c r="P4970" i="3"/>
  <c r="O4970" i="3"/>
  <c r="P4969" i="3"/>
  <c r="O4969" i="3"/>
  <c r="P4968" i="3"/>
  <c r="O4968" i="3"/>
  <c r="P4967" i="3"/>
  <c r="O4967" i="3"/>
  <c r="P4966" i="3"/>
  <c r="O4966" i="3"/>
  <c r="P4965" i="3"/>
  <c r="O4965" i="3"/>
  <c r="P4964" i="3"/>
  <c r="O4964" i="3"/>
  <c r="P4963" i="3"/>
  <c r="O4963" i="3"/>
  <c r="P4962" i="3"/>
  <c r="O4962" i="3"/>
  <c r="P4961" i="3"/>
  <c r="O4961" i="3"/>
  <c r="P4960" i="3"/>
  <c r="O4960" i="3"/>
  <c r="P4959" i="3"/>
  <c r="O4959" i="3"/>
  <c r="P4958" i="3"/>
  <c r="O4958" i="3"/>
  <c r="P4957" i="3"/>
  <c r="O4957" i="3"/>
  <c r="P4956" i="3"/>
  <c r="O4956" i="3"/>
  <c r="P4955" i="3"/>
  <c r="O4955" i="3"/>
  <c r="P4954" i="3"/>
  <c r="O4954" i="3"/>
  <c r="P4953" i="3"/>
  <c r="O4953" i="3"/>
  <c r="P4952" i="3"/>
  <c r="O4952" i="3"/>
  <c r="P4951" i="3"/>
  <c r="O4951" i="3"/>
  <c r="P4950" i="3"/>
  <c r="O4950" i="3"/>
  <c r="P4949" i="3"/>
  <c r="O4949" i="3"/>
  <c r="P4948" i="3"/>
  <c r="O4948" i="3"/>
  <c r="P4947" i="3"/>
  <c r="O4947" i="3"/>
  <c r="P4946" i="3"/>
  <c r="O4946" i="3"/>
  <c r="P4945" i="3"/>
  <c r="O4945" i="3"/>
  <c r="P4944" i="3"/>
  <c r="O4944" i="3"/>
  <c r="P4943" i="3"/>
  <c r="O4943" i="3"/>
  <c r="P4942" i="3"/>
  <c r="O4942" i="3"/>
  <c r="P4941" i="3"/>
  <c r="O4941" i="3"/>
  <c r="P4940" i="3"/>
  <c r="O4940" i="3"/>
  <c r="P4939" i="3"/>
  <c r="O4939" i="3"/>
  <c r="P4938" i="3"/>
  <c r="O4938" i="3"/>
  <c r="P4937" i="3"/>
  <c r="O4937" i="3"/>
  <c r="P4936" i="3"/>
  <c r="O4936" i="3"/>
  <c r="P4935" i="3"/>
  <c r="O4935" i="3"/>
  <c r="P4934" i="3"/>
  <c r="O4934" i="3"/>
  <c r="P4933" i="3"/>
  <c r="O4933" i="3"/>
  <c r="P4932" i="3"/>
  <c r="O4932" i="3"/>
  <c r="P4931" i="3"/>
  <c r="O4931" i="3"/>
  <c r="P4930" i="3"/>
  <c r="O4930" i="3"/>
  <c r="P4929" i="3"/>
  <c r="O4929" i="3"/>
  <c r="P4928" i="3"/>
  <c r="O4928" i="3"/>
  <c r="P4927" i="3"/>
  <c r="O4927" i="3"/>
  <c r="P4926" i="3"/>
  <c r="O4926" i="3"/>
  <c r="P4925" i="3"/>
  <c r="O4925" i="3"/>
  <c r="P4924" i="3"/>
  <c r="O4924" i="3"/>
  <c r="P4923" i="3"/>
  <c r="O4923" i="3"/>
  <c r="P4922" i="3"/>
  <c r="O4922" i="3"/>
  <c r="P4921" i="3"/>
  <c r="O4921" i="3"/>
  <c r="P4920" i="3"/>
  <c r="O4920" i="3"/>
  <c r="P4919" i="3"/>
  <c r="O4919" i="3"/>
  <c r="P4918" i="3"/>
  <c r="O4918" i="3"/>
  <c r="P4917" i="3"/>
  <c r="O4917" i="3"/>
  <c r="P4916" i="3"/>
  <c r="O4916" i="3"/>
  <c r="P4915" i="3"/>
  <c r="O4915" i="3"/>
  <c r="P4914" i="3"/>
  <c r="O4914" i="3"/>
  <c r="P4913" i="3"/>
  <c r="O4913" i="3"/>
  <c r="P4912" i="3"/>
  <c r="O4912" i="3"/>
  <c r="P4911" i="3"/>
  <c r="O4911" i="3"/>
  <c r="P4910" i="3"/>
  <c r="O4910" i="3"/>
  <c r="P4909" i="3"/>
  <c r="O4909" i="3"/>
  <c r="P4908" i="3"/>
  <c r="O4908" i="3"/>
  <c r="P4907" i="3"/>
  <c r="O4907" i="3"/>
  <c r="P4906" i="3"/>
  <c r="O4906" i="3"/>
  <c r="P4905" i="3"/>
  <c r="O4905" i="3"/>
  <c r="P4904" i="3"/>
  <c r="O4904" i="3"/>
  <c r="P4903" i="3"/>
  <c r="O4903" i="3"/>
  <c r="P4902" i="3"/>
  <c r="O4902" i="3"/>
  <c r="P4901" i="3"/>
  <c r="O4901" i="3"/>
  <c r="P4900" i="3"/>
  <c r="O4900" i="3"/>
  <c r="P4899" i="3"/>
  <c r="O4899" i="3"/>
  <c r="P4898" i="3"/>
  <c r="O4898" i="3"/>
  <c r="P4897" i="3"/>
  <c r="O4897" i="3"/>
  <c r="P4896" i="3"/>
  <c r="O4896" i="3"/>
  <c r="P4895" i="3"/>
  <c r="O4895" i="3"/>
  <c r="P4894" i="3"/>
  <c r="O4894" i="3"/>
  <c r="P4893" i="3"/>
  <c r="O4893" i="3"/>
  <c r="P4892" i="3"/>
  <c r="O4892" i="3"/>
  <c r="P4891" i="3"/>
  <c r="O4891" i="3"/>
  <c r="P4890" i="3"/>
  <c r="O4890" i="3"/>
  <c r="P4889" i="3"/>
  <c r="O4889" i="3"/>
  <c r="P4888" i="3"/>
  <c r="O4888" i="3"/>
  <c r="P4887" i="3"/>
  <c r="O4887" i="3"/>
  <c r="P4886" i="3"/>
  <c r="O4886" i="3"/>
  <c r="P4885" i="3"/>
  <c r="O4885" i="3"/>
  <c r="P4884" i="3"/>
  <c r="O4884" i="3"/>
  <c r="P4883" i="3"/>
  <c r="O4883" i="3"/>
  <c r="P4882" i="3"/>
  <c r="O4882" i="3"/>
  <c r="P4881" i="3"/>
  <c r="O4881" i="3"/>
  <c r="P4880" i="3"/>
  <c r="O4880" i="3"/>
  <c r="P4879" i="3"/>
  <c r="O4879" i="3"/>
  <c r="P4878" i="3"/>
  <c r="O4878" i="3"/>
  <c r="P4877" i="3"/>
  <c r="O4877" i="3"/>
  <c r="P4876" i="3"/>
  <c r="O4876" i="3"/>
  <c r="P4875" i="3"/>
  <c r="O4875" i="3"/>
  <c r="P4874" i="3"/>
  <c r="O4874" i="3"/>
  <c r="P4873" i="3"/>
  <c r="O4873" i="3"/>
  <c r="P4872" i="3"/>
  <c r="O4872" i="3"/>
  <c r="P4871" i="3"/>
  <c r="O4871" i="3"/>
  <c r="P4870" i="3"/>
  <c r="O4870" i="3"/>
  <c r="P4869" i="3"/>
  <c r="O4869" i="3"/>
  <c r="P4868" i="3"/>
  <c r="O4868" i="3"/>
  <c r="P4867" i="3"/>
  <c r="O4867" i="3"/>
  <c r="P4866" i="3"/>
  <c r="O4866" i="3"/>
  <c r="P4865" i="3"/>
  <c r="O4865" i="3"/>
  <c r="P4864" i="3"/>
  <c r="O4864" i="3"/>
  <c r="P4863" i="3"/>
  <c r="O4863" i="3"/>
  <c r="P4862" i="3"/>
  <c r="O4862" i="3"/>
  <c r="P4861" i="3"/>
  <c r="O4861" i="3"/>
  <c r="P4860" i="3"/>
  <c r="O4860" i="3"/>
  <c r="P4859" i="3"/>
  <c r="O4859" i="3"/>
  <c r="P4858" i="3"/>
  <c r="O4858" i="3"/>
  <c r="P4857" i="3"/>
  <c r="O4857" i="3"/>
  <c r="P4856" i="3"/>
  <c r="O4856" i="3"/>
  <c r="P4855" i="3"/>
  <c r="O4855" i="3"/>
  <c r="P4854" i="3"/>
  <c r="O4854" i="3"/>
  <c r="P4853" i="3"/>
  <c r="O4853" i="3"/>
  <c r="P4852" i="3"/>
  <c r="O4852" i="3"/>
  <c r="P4851" i="3"/>
  <c r="O4851" i="3"/>
  <c r="P4850" i="3"/>
  <c r="O4850" i="3"/>
  <c r="P4849" i="3"/>
  <c r="O4849" i="3"/>
  <c r="P4848" i="3"/>
  <c r="O4848" i="3"/>
  <c r="P4847" i="3"/>
  <c r="O4847" i="3"/>
  <c r="P4846" i="3"/>
  <c r="O4846" i="3"/>
  <c r="P4845" i="3"/>
  <c r="O4845" i="3"/>
  <c r="P4844" i="3"/>
  <c r="O4844" i="3"/>
  <c r="P4843" i="3"/>
  <c r="O4843" i="3"/>
  <c r="P4842" i="3"/>
  <c r="O4842" i="3"/>
  <c r="P4841" i="3"/>
  <c r="O4841" i="3"/>
  <c r="P4840" i="3"/>
  <c r="O4840" i="3"/>
  <c r="P4839" i="3"/>
  <c r="O4839" i="3"/>
  <c r="P4838" i="3"/>
  <c r="O4838" i="3"/>
  <c r="P4837" i="3"/>
  <c r="O4837" i="3"/>
  <c r="P4836" i="3"/>
  <c r="O4836" i="3"/>
  <c r="P4835" i="3"/>
  <c r="O4835" i="3"/>
  <c r="P4834" i="3"/>
  <c r="O4834" i="3"/>
  <c r="P4833" i="3"/>
  <c r="O4833" i="3"/>
  <c r="P4832" i="3"/>
  <c r="O4832" i="3"/>
  <c r="P4831" i="3"/>
  <c r="O4831" i="3"/>
  <c r="P4830" i="3"/>
  <c r="O4830" i="3"/>
  <c r="P4829" i="3"/>
  <c r="O4829" i="3"/>
  <c r="P4828" i="3"/>
  <c r="O4828" i="3"/>
  <c r="P4827" i="3"/>
  <c r="O4827" i="3"/>
  <c r="P4826" i="3"/>
  <c r="O4826" i="3"/>
  <c r="P4825" i="3"/>
  <c r="O4825" i="3"/>
  <c r="P4824" i="3"/>
  <c r="O4824" i="3"/>
  <c r="P4823" i="3"/>
  <c r="O4823" i="3"/>
  <c r="P4822" i="3"/>
  <c r="O4822" i="3"/>
  <c r="P4821" i="3"/>
  <c r="O4821" i="3"/>
  <c r="P4820" i="3"/>
  <c r="O4820" i="3"/>
  <c r="P4819" i="3"/>
  <c r="O4819" i="3"/>
  <c r="P4818" i="3"/>
  <c r="O4818" i="3"/>
  <c r="P4817" i="3"/>
  <c r="O4817" i="3"/>
  <c r="P4816" i="3"/>
  <c r="O4816" i="3"/>
  <c r="P4815" i="3"/>
  <c r="O4815" i="3"/>
  <c r="P4814" i="3"/>
  <c r="O4814" i="3"/>
  <c r="P4813" i="3"/>
  <c r="O4813" i="3"/>
  <c r="P4812" i="3"/>
  <c r="O4812" i="3"/>
  <c r="P4811" i="3"/>
  <c r="O4811" i="3"/>
  <c r="P4810" i="3"/>
  <c r="O4810" i="3"/>
  <c r="P4809" i="3"/>
  <c r="O4809" i="3"/>
  <c r="P4808" i="3"/>
  <c r="O4808" i="3"/>
  <c r="P4807" i="3"/>
  <c r="O4807" i="3"/>
  <c r="P4806" i="3"/>
  <c r="O4806" i="3"/>
  <c r="P4805" i="3"/>
  <c r="O4805" i="3"/>
  <c r="P4804" i="3"/>
  <c r="O4804" i="3"/>
  <c r="P4803" i="3"/>
  <c r="O4803" i="3"/>
  <c r="P4802" i="3"/>
  <c r="O4802" i="3"/>
  <c r="P4801" i="3"/>
  <c r="O4801" i="3"/>
  <c r="P4800" i="3"/>
  <c r="O4800" i="3"/>
  <c r="P4799" i="3"/>
  <c r="O4799" i="3"/>
  <c r="P4798" i="3"/>
  <c r="O4798" i="3"/>
  <c r="P4797" i="3"/>
  <c r="O4797" i="3"/>
  <c r="P4796" i="3"/>
  <c r="O4796" i="3"/>
  <c r="P4795" i="3"/>
  <c r="O4795" i="3"/>
  <c r="P4794" i="3"/>
  <c r="O4794" i="3"/>
  <c r="P4793" i="3"/>
  <c r="O4793" i="3"/>
  <c r="P4792" i="3"/>
  <c r="O4792" i="3"/>
  <c r="P4791" i="3"/>
  <c r="O4791" i="3"/>
  <c r="P4790" i="3"/>
  <c r="O4790" i="3"/>
  <c r="P4789" i="3"/>
  <c r="O4789" i="3"/>
  <c r="P4788" i="3"/>
  <c r="O4788" i="3"/>
  <c r="P4787" i="3"/>
  <c r="O4787" i="3"/>
  <c r="P4786" i="3"/>
  <c r="O4786" i="3"/>
  <c r="P4785" i="3"/>
  <c r="O4785" i="3"/>
  <c r="P4784" i="3"/>
  <c r="O4784" i="3"/>
  <c r="P4783" i="3"/>
  <c r="O4783" i="3"/>
  <c r="P4782" i="3"/>
  <c r="O4782" i="3"/>
  <c r="P4781" i="3"/>
  <c r="O4781" i="3"/>
  <c r="P4780" i="3"/>
  <c r="O4780" i="3"/>
  <c r="P4779" i="3"/>
  <c r="O4779" i="3"/>
  <c r="P4778" i="3"/>
  <c r="O4778" i="3"/>
  <c r="P4777" i="3"/>
  <c r="O4777" i="3"/>
  <c r="P4776" i="3"/>
  <c r="O4776" i="3"/>
  <c r="P4775" i="3"/>
  <c r="O4775" i="3"/>
  <c r="P4774" i="3"/>
  <c r="O4774" i="3"/>
  <c r="P4773" i="3"/>
  <c r="O4773" i="3"/>
  <c r="P4772" i="3"/>
  <c r="O4772" i="3"/>
  <c r="P4771" i="3"/>
  <c r="O4771" i="3"/>
  <c r="P4770" i="3"/>
  <c r="O4770" i="3"/>
  <c r="P4769" i="3"/>
  <c r="O4769" i="3"/>
  <c r="P4768" i="3"/>
  <c r="O4768" i="3"/>
  <c r="P4767" i="3"/>
  <c r="O4767" i="3"/>
  <c r="P4766" i="3"/>
  <c r="O4766" i="3"/>
  <c r="P4765" i="3"/>
  <c r="O4765" i="3"/>
  <c r="P4764" i="3"/>
  <c r="O4764" i="3"/>
  <c r="P4763" i="3"/>
  <c r="O4763" i="3"/>
  <c r="P4762" i="3"/>
  <c r="O4762" i="3"/>
  <c r="P4761" i="3"/>
  <c r="O4761" i="3"/>
  <c r="P4760" i="3"/>
  <c r="O4760" i="3"/>
  <c r="P4759" i="3"/>
  <c r="O4759" i="3"/>
  <c r="P4758" i="3"/>
  <c r="O4758" i="3"/>
  <c r="P4757" i="3"/>
  <c r="O4757" i="3"/>
  <c r="P4756" i="3"/>
  <c r="O4756" i="3"/>
  <c r="P4755" i="3"/>
  <c r="O4755" i="3"/>
  <c r="P4754" i="3"/>
  <c r="O4754" i="3"/>
  <c r="P4753" i="3"/>
  <c r="O4753" i="3"/>
  <c r="P4752" i="3"/>
  <c r="O4752" i="3"/>
  <c r="P4751" i="3"/>
  <c r="O4751" i="3"/>
  <c r="P4750" i="3"/>
  <c r="O4750" i="3"/>
  <c r="P4749" i="3"/>
  <c r="O4749" i="3"/>
  <c r="P4748" i="3"/>
  <c r="O4748" i="3"/>
  <c r="P4747" i="3"/>
  <c r="O4747" i="3"/>
  <c r="P4746" i="3"/>
  <c r="O4746" i="3"/>
  <c r="P4745" i="3"/>
  <c r="O4745" i="3"/>
  <c r="P4744" i="3"/>
  <c r="O4744" i="3"/>
  <c r="P4743" i="3"/>
  <c r="O4743" i="3"/>
  <c r="P4742" i="3"/>
  <c r="O4742" i="3"/>
  <c r="P4741" i="3"/>
  <c r="O4741" i="3"/>
  <c r="P4740" i="3"/>
  <c r="O4740" i="3"/>
  <c r="P4739" i="3"/>
  <c r="O4739" i="3"/>
  <c r="P4738" i="3"/>
  <c r="O4738" i="3"/>
  <c r="P4737" i="3"/>
  <c r="O4737" i="3"/>
  <c r="P4736" i="3"/>
  <c r="O4736" i="3"/>
  <c r="P4735" i="3"/>
  <c r="O4735" i="3"/>
  <c r="P4734" i="3"/>
  <c r="O4734" i="3"/>
  <c r="P4733" i="3"/>
  <c r="O4733" i="3"/>
  <c r="P4732" i="3"/>
  <c r="O4732" i="3"/>
  <c r="P4731" i="3"/>
  <c r="O4731" i="3"/>
  <c r="P4730" i="3"/>
  <c r="O4730" i="3"/>
  <c r="P4729" i="3"/>
  <c r="O4729" i="3"/>
  <c r="P4728" i="3"/>
  <c r="O4728" i="3"/>
  <c r="P4727" i="3"/>
  <c r="O4727" i="3"/>
  <c r="P4726" i="3"/>
  <c r="O4726" i="3"/>
  <c r="P4725" i="3"/>
  <c r="O4725" i="3"/>
  <c r="P4724" i="3"/>
  <c r="O4724" i="3"/>
  <c r="P4723" i="3"/>
  <c r="O4723" i="3"/>
  <c r="P4722" i="3"/>
  <c r="O4722" i="3"/>
  <c r="P4721" i="3"/>
  <c r="O4721" i="3"/>
  <c r="P4720" i="3"/>
  <c r="O4720" i="3"/>
  <c r="P4719" i="3"/>
  <c r="O4719" i="3"/>
  <c r="P4718" i="3"/>
  <c r="O4718" i="3"/>
  <c r="P4717" i="3"/>
  <c r="O4717" i="3"/>
  <c r="P4716" i="3"/>
  <c r="O4716" i="3"/>
  <c r="P4715" i="3"/>
  <c r="O4715" i="3"/>
  <c r="P4714" i="3"/>
  <c r="O4714" i="3"/>
  <c r="P4713" i="3"/>
  <c r="O4713" i="3"/>
  <c r="P4712" i="3"/>
  <c r="O4712" i="3"/>
  <c r="P4711" i="3"/>
  <c r="O4711" i="3"/>
  <c r="P4710" i="3"/>
  <c r="O4710" i="3"/>
  <c r="P4709" i="3"/>
  <c r="O4709" i="3"/>
  <c r="P4708" i="3"/>
  <c r="O4708" i="3"/>
  <c r="P4707" i="3"/>
  <c r="O4707" i="3"/>
  <c r="P4706" i="3"/>
  <c r="O4706" i="3"/>
  <c r="P4705" i="3"/>
  <c r="O4705" i="3"/>
  <c r="P4704" i="3"/>
  <c r="O4704" i="3"/>
  <c r="P4703" i="3"/>
  <c r="O4703" i="3"/>
  <c r="P4702" i="3"/>
  <c r="O4702" i="3"/>
  <c r="P4701" i="3"/>
  <c r="O4701" i="3"/>
  <c r="P4700" i="3"/>
  <c r="O4700" i="3"/>
  <c r="P4699" i="3"/>
  <c r="O4699" i="3"/>
  <c r="P4698" i="3"/>
  <c r="O4698" i="3"/>
  <c r="P4697" i="3"/>
  <c r="O4697" i="3"/>
  <c r="P4696" i="3"/>
  <c r="O4696" i="3"/>
  <c r="P4695" i="3"/>
  <c r="O4695" i="3"/>
  <c r="P4694" i="3"/>
  <c r="O4694" i="3"/>
  <c r="P4693" i="3"/>
  <c r="O4693" i="3"/>
  <c r="P4692" i="3"/>
  <c r="O4692" i="3"/>
  <c r="P4691" i="3"/>
  <c r="O4691" i="3"/>
  <c r="P4690" i="3"/>
  <c r="O4690" i="3"/>
  <c r="P4689" i="3"/>
  <c r="O4689" i="3"/>
  <c r="P4688" i="3"/>
  <c r="O4688" i="3"/>
  <c r="P4687" i="3"/>
  <c r="O4687" i="3"/>
  <c r="P4686" i="3"/>
  <c r="O4686" i="3"/>
  <c r="P4685" i="3"/>
  <c r="O4685" i="3"/>
  <c r="P4684" i="3"/>
  <c r="O4684" i="3"/>
  <c r="P4683" i="3"/>
  <c r="O4683" i="3"/>
  <c r="P4682" i="3"/>
  <c r="O4682" i="3"/>
  <c r="P4681" i="3"/>
  <c r="O4681" i="3"/>
  <c r="P4680" i="3"/>
  <c r="O4680" i="3"/>
  <c r="P4679" i="3"/>
  <c r="O4679" i="3"/>
  <c r="P4678" i="3"/>
  <c r="O4678" i="3"/>
  <c r="P4677" i="3"/>
  <c r="O4677" i="3"/>
  <c r="P4676" i="3"/>
  <c r="O4676" i="3"/>
  <c r="P4675" i="3"/>
  <c r="O4675" i="3"/>
  <c r="P4674" i="3"/>
  <c r="O4674" i="3"/>
  <c r="P4673" i="3"/>
  <c r="O4673" i="3"/>
  <c r="P4672" i="3"/>
  <c r="O4672" i="3"/>
  <c r="P4671" i="3"/>
  <c r="O4671" i="3"/>
  <c r="P4670" i="3"/>
  <c r="O4670" i="3"/>
  <c r="P4669" i="3"/>
  <c r="O4669" i="3"/>
  <c r="P4668" i="3"/>
  <c r="O4668" i="3"/>
  <c r="P4667" i="3"/>
  <c r="O4667" i="3"/>
  <c r="P4666" i="3"/>
  <c r="O4666" i="3"/>
  <c r="P4665" i="3"/>
  <c r="O4665" i="3"/>
  <c r="P4664" i="3"/>
  <c r="O4664" i="3"/>
  <c r="P4663" i="3"/>
  <c r="O4663" i="3"/>
  <c r="P4662" i="3"/>
  <c r="O4662" i="3"/>
  <c r="P4661" i="3"/>
  <c r="O4661" i="3"/>
  <c r="P4660" i="3"/>
  <c r="O4660" i="3"/>
  <c r="P4659" i="3"/>
  <c r="O4659" i="3"/>
  <c r="P4658" i="3"/>
  <c r="O4658" i="3"/>
  <c r="P4657" i="3"/>
  <c r="O4657" i="3"/>
  <c r="P4656" i="3"/>
  <c r="O4656" i="3"/>
  <c r="P4655" i="3"/>
  <c r="O4655" i="3"/>
  <c r="P4654" i="3"/>
  <c r="O4654" i="3"/>
  <c r="P4653" i="3"/>
  <c r="O4653" i="3"/>
  <c r="P4652" i="3"/>
  <c r="O4652" i="3"/>
  <c r="P4651" i="3"/>
  <c r="O4651" i="3"/>
  <c r="P4650" i="3"/>
  <c r="O4650" i="3"/>
  <c r="P4649" i="3"/>
  <c r="O4649" i="3"/>
  <c r="P4648" i="3"/>
  <c r="O4648" i="3"/>
  <c r="P4647" i="3"/>
  <c r="O4647" i="3"/>
  <c r="P4646" i="3"/>
  <c r="O4646" i="3"/>
  <c r="P4645" i="3"/>
  <c r="O4645" i="3"/>
  <c r="P4644" i="3"/>
  <c r="O4644" i="3"/>
  <c r="P4643" i="3"/>
  <c r="O4643" i="3"/>
  <c r="P4642" i="3"/>
  <c r="O4642" i="3"/>
  <c r="P4641" i="3"/>
  <c r="O4641" i="3"/>
  <c r="P4640" i="3"/>
  <c r="O4640" i="3"/>
  <c r="P4639" i="3"/>
  <c r="O4639" i="3"/>
  <c r="P4638" i="3"/>
  <c r="O4638" i="3"/>
  <c r="P4637" i="3"/>
  <c r="O4637" i="3"/>
  <c r="P4636" i="3"/>
  <c r="O4636" i="3"/>
  <c r="P4635" i="3"/>
  <c r="O4635" i="3"/>
  <c r="P4634" i="3"/>
  <c r="O4634" i="3"/>
  <c r="P4633" i="3"/>
  <c r="O4633" i="3"/>
  <c r="P4632" i="3"/>
  <c r="O4632" i="3"/>
  <c r="P4631" i="3"/>
  <c r="O4631" i="3"/>
  <c r="P4630" i="3"/>
  <c r="O4630" i="3"/>
  <c r="P4629" i="3"/>
  <c r="O4629" i="3"/>
  <c r="P4628" i="3"/>
  <c r="O4628" i="3"/>
  <c r="P4627" i="3"/>
  <c r="O4627" i="3"/>
  <c r="P4626" i="3"/>
  <c r="O4626" i="3"/>
  <c r="P4625" i="3"/>
  <c r="O4625" i="3"/>
  <c r="P4624" i="3"/>
  <c r="O4624" i="3"/>
  <c r="P4623" i="3"/>
  <c r="O4623" i="3"/>
  <c r="P4622" i="3"/>
  <c r="O4622" i="3"/>
  <c r="P4621" i="3"/>
  <c r="O4621" i="3"/>
  <c r="P4620" i="3"/>
  <c r="O4620" i="3"/>
  <c r="P4619" i="3"/>
  <c r="O4619" i="3"/>
  <c r="P4618" i="3"/>
  <c r="O4618" i="3"/>
  <c r="P4617" i="3"/>
  <c r="O4617" i="3"/>
  <c r="P4616" i="3"/>
  <c r="O4616" i="3"/>
  <c r="P4615" i="3"/>
  <c r="O4615" i="3"/>
  <c r="P4614" i="3"/>
  <c r="O4614" i="3"/>
  <c r="P4613" i="3"/>
  <c r="O4613" i="3"/>
  <c r="P4612" i="3"/>
  <c r="O4612" i="3"/>
  <c r="P4611" i="3"/>
  <c r="O4611" i="3"/>
  <c r="P4610" i="3"/>
  <c r="O4610" i="3"/>
  <c r="P4609" i="3"/>
  <c r="O4609" i="3"/>
  <c r="P4608" i="3"/>
  <c r="O4608" i="3"/>
  <c r="P4607" i="3"/>
  <c r="O4607" i="3"/>
  <c r="P4606" i="3"/>
  <c r="O4606" i="3"/>
  <c r="P4605" i="3"/>
  <c r="O4605" i="3"/>
  <c r="P4604" i="3"/>
  <c r="O4604" i="3"/>
  <c r="P4603" i="3"/>
  <c r="O4603" i="3"/>
  <c r="P4602" i="3"/>
  <c r="O4602" i="3"/>
  <c r="P4601" i="3"/>
  <c r="O4601" i="3"/>
  <c r="P4600" i="3"/>
  <c r="O4600" i="3"/>
  <c r="P4599" i="3"/>
  <c r="O4599" i="3"/>
  <c r="P4598" i="3"/>
  <c r="O4598" i="3"/>
  <c r="P4597" i="3"/>
  <c r="O4597" i="3"/>
  <c r="P4596" i="3"/>
  <c r="O4596" i="3"/>
  <c r="P4595" i="3"/>
  <c r="O4595" i="3"/>
  <c r="P4594" i="3"/>
  <c r="O4594" i="3"/>
  <c r="P4593" i="3"/>
  <c r="O4593" i="3"/>
  <c r="P4592" i="3"/>
  <c r="O4592" i="3"/>
  <c r="P4591" i="3"/>
  <c r="O4591" i="3"/>
  <c r="P4590" i="3"/>
  <c r="O4590" i="3"/>
  <c r="P4589" i="3"/>
  <c r="O4589" i="3"/>
  <c r="P4588" i="3"/>
  <c r="O4588" i="3"/>
  <c r="P4587" i="3"/>
  <c r="O4587" i="3"/>
  <c r="P4586" i="3"/>
  <c r="O4586" i="3"/>
  <c r="P4585" i="3"/>
  <c r="O4585" i="3"/>
  <c r="P4584" i="3"/>
  <c r="O4584" i="3"/>
  <c r="P4583" i="3"/>
  <c r="O4583" i="3"/>
  <c r="P4582" i="3"/>
  <c r="O4582" i="3"/>
  <c r="P4581" i="3"/>
  <c r="O4581" i="3"/>
  <c r="P4580" i="3"/>
  <c r="O4580" i="3"/>
  <c r="P4579" i="3"/>
  <c r="O4579" i="3"/>
  <c r="P4578" i="3"/>
  <c r="O4578" i="3"/>
  <c r="P4577" i="3"/>
  <c r="O4577" i="3"/>
  <c r="P4576" i="3"/>
  <c r="O4576" i="3"/>
  <c r="P4575" i="3"/>
  <c r="O4575" i="3"/>
  <c r="P4574" i="3"/>
  <c r="O4574" i="3"/>
  <c r="P4573" i="3"/>
  <c r="O4573" i="3"/>
  <c r="P4572" i="3"/>
  <c r="O4572" i="3"/>
  <c r="P4571" i="3"/>
  <c r="O4571" i="3"/>
  <c r="P4570" i="3"/>
  <c r="O4570" i="3"/>
  <c r="P4569" i="3"/>
  <c r="O4569" i="3"/>
  <c r="P4568" i="3"/>
  <c r="O4568" i="3"/>
  <c r="P4567" i="3"/>
  <c r="O4567" i="3"/>
  <c r="P4566" i="3"/>
  <c r="O4566" i="3"/>
  <c r="P4565" i="3"/>
  <c r="O4565" i="3"/>
  <c r="P4564" i="3"/>
  <c r="O4564" i="3"/>
  <c r="P4563" i="3"/>
  <c r="O4563" i="3"/>
  <c r="P4562" i="3"/>
  <c r="O4562" i="3"/>
  <c r="P4561" i="3"/>
  <c r="O4561" i="3"/>
  <c r="P4560" i="3"/>
  <c r="O4560" i="3"/>
  <c r="P4559" i="3"/>
  <c r="O4559" i="3"/>
  <c r="P4558" i="3"/>
  <c r="O4558" i="3"/>
  <c r="P4557" i="3"/>
  <c r="O4557" i="3"/>
  <c r="P4556" i="3"/>
  <c r="O4556" i="3"/>
  <c r="P4555" i="3"/>
  <c r="O4555" i="3"/>
  <c r="P4554" i="3"/>
  <c r="O4554" i="3"/>
  <c r="P4553" i="3"/>
  <c r="O4553" i="3"/>
  <c r="P4552" i="3"/>
  <c r="O4552" i="3"/>
  <c r="P4551" i="3"/>
  <c r="O4551" i="3"/>
  <c r="P4550" i="3"/>
  <c r="O4550" i="3"/>
  <c r="P4549" i="3"/>
  <c r="O4549" i="3"/>
  <c r="P4548" i="3"/>
  <c r="O4548" i="3"/>
  <c r="P4547" i="3"/>
  <c r="O4547" i="3"/>
  <c r="P4546" i="3"/>
  <c r="O4546" i="3"/>
  <c r="P4545" i="3"/>
  <c r="O4545" i="3"/>
  <c r="P4544" i="3"/>
  <c r="O4544" i="3"/>
  <c r="P4543" i="3"/>
  <c r="O4543" i="3"/>
  <c r="P4542" i="3"/>
  <c r="O4542" i="3"/>
  <c r="P4541" i="3"/>
  <c r="O4541" i="3"/>
  <c r="P4540" i="3"/>
  <c r="O4540" i="3"/>
  <c r="P4539" i="3"/>
  <c r="O4539" i="3"/>
  <c r="P4538" i="3"/>
  <c r="O4538" i="3"/>
  <c r="P4537" i="3"/>
  <c r="O4537" i="3"/>
  <c r="P4536" i="3"/>
  <c r="O4536" i="3"/>
  <c r="P4535" i="3"/>
  <c r="O4535" i="3"/>
  <c r="P4534" i="3"/>
  <c r="O4534" i="3"/>
  <c r="P4533" i="3"/>
  <c r="O4533" i="3"/>
  <c r="P4532" i="3"/>
  <c r="O4532" i="3"/>
  <c r="P4531" i="3"/>
  <c r="O4531" i="3"/>
  <c r="P4530" i="3"/>
  <c r="O4530" i="3"/>
  <c r="P4529" i="3"/>
  <c r="O4529" i="3"/>
  <c r="P4528" i="3"/>
  <c r="O4528" i="3"/>
  <c r="P4527" i="3"/>
  <c r="O4527" i="3"/>
  <c r="P4526" i="3"/>
  <c r="O4526" i="3"/>
  <c r="P4525" i="3"/>
  <c r="O4525" i="3"/>
  <c r="P4524" i="3"/>
  <c r="O4524" i="3"/>
  <c r="P4523" i="3"/>
  <c r="O4523" i="3"/>
  <c r="P4522" i="3"/>
  <c r="O4522" i="3"/>
  <c r="P4521" i="3"/>
  <c r="O4521" i="3"/>
  <c r="P4520" i="3"/>
  <c r="O4520" i="3"/>
  <c r="P4519" i="3"/>
  <c r="O4519" i="3"/>
  <c r="P4518" i="3"/>
  <c r="O4518" i="3"/>
  <c r="P4517" i="3"/>
  <c r="O4517" i="3"/>
  <c r="P4516" i="3"/>
  <c r="O4516" i="3"/>
  <c r="P4515" i="3"/>
  <c r="O4515" i="3"/>
  <c r="P4514" i="3"/>
  <c r="O4514" i="3"/>
  <c r="P4513" i="3"/>
  <c r="O4513" i="3"/>
  <c r="P4512" i="3"/>
  <c r="O4512" i="3"/>
  <c r="P4511" i="3"/>
  <c r="O4511" i="3"/>
  <c r="P4510" i="3"/>
  <c r="O4510" i="3"/>
  <c r="P4509" i="3"/>
  <c r="O4509" i="3"/>
  <c r="P4508" i="3"/>
  <c r="O4508" i="3"/>
  <c r="P4507" i="3"/>
  <c r="O4507" i="3"/>
  <c r="P4506" i="3"/>
  <c r="O4506" i="3"/>
  <c r="P4505" i="3"/>
  <c r="O4505" i="3"/>
  <c r="P4504" i="3"/>
  <c r="O4504" i="3"/>
  <c r="P4503" i="3"/>
  <c r="O4503" i="3"/>
  <c r="P4502" i="3"/>
  <c r="O4502" i="3"/>
  <c r="P4501" i="3"/>
  <c r="O4501" i="3"/>
  <c r="P4500" i="3"/>
  <c r="O4500" i="3"/>
  <c r="P4499" i="3"/>
  <c r="O4499" i="3"/>
  <c r="P4498" i="3"/>
  <c r="O4498" i="3"/>
  <c r="P4497" i="3"/>
  <c r="O4497" i="3"/>
  <c r="P4496" i="3"/>
  <c r="O4496" i="3"/>
  <c r="P4495" i="3"/>
  <c r="O4495" i="3"/>
  <c r="P4494" i="3"/>
  <c r="O4494" i="3"/>
  <c r="P4493" i="3"/>
  <c r="O4493" i="3"/>
  <c r="P4492" i="3"/>
  <c r="O4492" i="3"/>
  <c r="P4491" i="3"/>
  <c r="O4491" i="3"/>
  <c r="P4490" i="3"/>
  <c r="O4490" i="3"/>
  <c r="P4489" i="3"/>
  <c r="O4489" i="3"/>
  <c r="P4488" i="3"/>
  <c r="O4488" i="3"/>
  <c r="P4487" i="3"/>
  <c r="O4487" i="3"/>
  <c r="P4486" i="3"/>
  <c r="O4486" i="3"/>
  <c r="P4485" i="3"/>
  <c r="O4485" i="3"/>
  <c r="P4484" i="3"/>
  <c r="O4484" i="3"/>
  <c r="P4483" i="3"/>
  <c r="O4483" i="3"/>
  <c r="P4482" i="3"/>
  <c r="O4482" i="3"/>
  <c r="P4481" i="3"/>
  <c r="O4481" i="3"/>
  <c r="P4480" i="3"/>
  <c r="O4480" i="3"/>
  <c r="P4479" i="3"/>
  <c r="O4479" i="3"/>
  <c r="P4478" i="3"/>
  <c r="O4478" i="3"/>
  <c r="P4477" i="3"/>
  <c r="O4477" i="3"/>
  <c r="P4476" i="3"/>
  <c r="O4476" i="3"/>
  <c r="P4475" i="3"/>
  <c r="O4475" i="3"/>
  <c r="P4474" i="3"/>
  <c r="O4474" i="3"/>
  <c r="P4473" i="3"/>
  <c r="O4473" i="3"/>
  <c r="P4472" i="3"/>
  <c r="O4472" i="3"/>
  <c r="P4471" i="3"/>
  <c r="O4471" i="3"/>
  <c r="P4470" i="3"/>
  <c r="O4470" i="3"/>
  <c r="P4469" i="3"/>
  <c r="O4469" i="3"/>
  <c r="P4468" i="3"/>
  <c r="O4468" i="3"/>
  <c r="P4467" i="3"/>
  <c r="O4467" i="3"/>
  <c r="P4466" i="3"/>
  <c r="O4466" i="3"/>
  <c r="P4465" i="3"/>
  <c r="O4465" i="3"/>
  <c r="P4464" i="3"/>
  <c r="O4464" i="3"/>
  <c r="P4463" i="3"/>
  <c r="O4463" i="3"/>
  <c r="P4462" i="3"/>
  <c r="O4462" i="3"/>
  <c r="P4461" i="3"/>
  <c r="O4461" i="3"/>
  <c r="P4460" i="3"/>
  <c r="O4460" i="3"/>
  <c r="P4459" i="3"/>
  <c r="O4459" i="3"/>
  <c r="P4458" i="3"/>
  <c r="O4458" i="3"/>
  <c r="P4457" i="3"/>
  <c r="O4457" i="3"/>
  <c r="P4456" i="3"/>
  <c r="O4456" i="3"/>
  <c r="P4455" i="3"/>
  <c r="O4455" i="3"/>
  <c r="P4454" i="3"/>
  <c r="O4454" i="3"/>
  <c r="P4453" i="3"/>
  <c r="O4453" i="3"/>
  <c r="P4452" i="3"/>
  <c r="O4452" i="3"/>
  <c r="P4451" i="3"/>
  <c r="O4451" i="3"/>
  <c r="P4450" i="3"/>
  <c r="O4450" i="3"/>
  <c r="P4449" i="3"/>
  <c r="O4449" i="3"/>
  <c r="P4448" i="3"/>
  <c r="O4448" i="3"/>
  <c r="P4447" i="3"/>
  <c r="O4447" i="3"/>
  <c r="P4446" i="3"/>
  <c r="O4446" i="3"/>
  <c r="P4445" i="3"/>
  <c r="O4445" i="3"/>
  <c r="P4444" i="3"/>
  <c r="O4444" i="3"/>
  <c r="P4443" i="3"/>
  <c r="O4443" i="3"/>
  <c r="P4442" i="3"/>
  <c r="O4442" i="3"/>
  <c r="P4441" i="3"/>
  <c r="O4441" i="3"/>
  <c r="P4440" i="3"/>
  <c r="O4440" i="3"/>
  <c r="P4439" i="3"/>
  <c r="O4439" i="3"/>
  <c r="P4438" i="3"/>
  <c r="O4438" i="3"/>
  <c r="P4437" i="3"/>
  <c r="O4437" i="3"/>
  <c r="P4436" i="3"/>
  <c r="O4436" i="3"/>
  <c r="P4435" i="3"/>
  <c r="O4435" i="3"/>
  <c r="P4434" i="3"/>
  <c r="O4434" i="3"/>
  <c r="P4433" i="3"/>
  <c r="O4433" i="3"/>
  <c r="P4432" i="3"/>
  <c r="O4432" i="3"/>
  <c r="P4431" i="3"/>
  <c r="O4431" i="3"/>
  <c r="P4430" i="3"/>
  <c r="O4430" i="3"/>
  <c r="P4429" i="3"/>
  <c r="O4429" i="3"/>
  <c r="P4428" i="3"/>
  <c r="O4428" i="3"/>
  <c r="P4427" i="3"/>
  <c r="O4427" i="3"/>
  <c r="P4426" i="3"/>
  <c r="O4426" i="3"/>
  <c r="P4425" i="3"/>
  <c r="O4425" i="3"/>
  <c r="P4424" i="3"/>
  <c r="O4424" i="3"/>
  <c r="P4423" i="3"/>
  <c r="O4423" i="3"/>
  <c r="P4422" i="3"/>
  <c r="O4422" i="3"/>
  <c r="P4421" i="3"/>
  <c r="O4421" i="3"/>
  <c r="P4420" i="3"/>
  <c r="O4420" i="3"/>
  <c r="P4419" i="3"/>
  <c r="O4419" i="3"/>
  <c r="P4418" i="3"/>
  <c r="O4418" i="3"/>
  <c r="P4417" i="3"/>
  <c r="O4417" i="3"/>
  <c r="P4416" i="3"/>
  <c r="O4416" i="3"/>
  <c r="P4415" i="3"/>
  <c r="O4415" i="3"/>
  <c r="P4414" i="3"/>
  <c r="O4414" i="3"/>
  <c r="P4413" i="3"/>
  <c r="O4413" i="3"/>
  <c r="P4412" i="3"/>
  <c r="O4412" i="3"/>
  <c r="P4411" i="3"/>
  <c r="O4411" i="3"/>
  <c r="P4410" i="3"/>
  <c r="O4410" i="3"/>
  <c r="P4409" i="3"/>
  <c r="O4409" i="3"/>
  <c r="P4408" i="3"/>
  <c r="O4408" i="3"/>
  <c r="P4407" i="3"/>
  <c r="O4407" i="3"/>
  <c r="P4406" i="3"/>
  <c r="O4406" i="3"/>
  <c r="P4405" i="3"/>
  <c r="O4405" i="3"/>
  <c r="P4404" i="3"/>
  <c r="O4404" i="3"/>
  <c r="P4403" i="3"/>
  <c r="O4403" i="3"/>
  <c r="P4402" i="3"/>
  <c r="O4402" i="3"/>
  <c r="P4401" i="3"/>
  <c r="O4401" i="3"/>
  <c r="P4400" i="3"/>
  <c r="O4400" i="3"/>
  <c r="P4399" i="3"/>
  <c r="O4399" i="3"/>
  <c r="P4398" i="3"/>
  <c r="O4398" i="3"/>
  <c r="P4397" i="3"/>
  <c r="O4397" i="3"/>
  <c r="P4396" i="3"/>
  <c r="O4396" i="3"/>
  <c r="P4395" i="3"/>
  <c r="O4395" i="3"/>
  <c r="P4394" i="3"/>
  <c r="O4394" i="3"/>
  <c r="P4393" i="3"/>
  <c r="O4393" i="3"/>
  <c r="P4392" i="3"/>
  <c r="O4392" i="3"/>
  <c r="P4391" i="3"/>
  <c r="O4391" i="3"/>
  <c r="P4390" i="3"/>
  <c r="O4390" i="3"/>
  <c r="P4389" i="3"/>
  <c r="O4389" i="3"/>
  <c r="P4388" i="3"/>
  <c r="O4388" i="3"/>
  <c r="P4387" i="3"/>
  <c r="O4387" i="3"/>
  <c r="P4386" i="3"/>
  <c r="O4386" i="3"/>
  <c r="P4385" i="3"/>
  <c r="O4385" i="3"/>
  <c r="P4384" i="3"/>
  <c r="O4384" i="3"/>
  <c r="P4383" i="3"/>
  <c r="O4383" i="3"/>
  <c r="P4382" i="3"/>
  <c r="O4382" i="3"/>
  <c r="P4381" i="3"/>
  <c r="O4381" i="3"/>
  <c r="P4380" i="3"/>
  <c r="O4380" i="3"/>
  <c r="P4379" i="3"/>
  <c r="O4379" i="3"/>
  <c r="P4378" i="3"/>
  <c r="O4378" i="3"/>
  <c r="P4377" i="3"/>
  <c r="O4377" i="3"/>
  <c r="P4376" i="3"/>
  <c r="O4376" i="3"/>
  <c r="P4375" i="3"/>
  <c r="O4375" i="3"/>
  <c r="P4374" i="3"/>
  <c r="O4374" i="3"/>
  <c r="P4373" i="3"/>
  <c r="O4373" i="3"/>
  <c r="P4372" i="3"/>
  <c r="O4372" i="3"/>
  <c r="P4371" i="3"/>
  <c r="O4371" i="3"/>
  <c r="P4370" i="3"/>
  <c r="O4370" i="3"/>
  <c r="P4369" i="3"/>
  <c r="O4369" i="3"/>
  <c r="P4368" i="3"/>
  <c r="O4368" i="3"/>
  <c r="P4367" i="3"/>
  <c r="O4367" i="3"/>
  <c r="P4366" i="3"/>
  <c r="O4366" i="3"/>
  <c r="P4365" i="3"/>
  <c r="O4365" i="3"/>
  <c r="P4364" i="3"/>
  <c r="O4364" i="3"/>
  <c r="P4363" i="3"/>
  <c r="O4363" i="3"/>
  <c r="P4362" i="3"/>
  <c r="O4362" i="3"/>
  <c r="P4361" i="3"/>
  <c r="O4361" i="3"/>
  <c r="P4360" i="3"/>
  <c r="O4360" i="3"/>
  <c r="P4359" i="3"/>
  <c r="O4359" i="3"/>
  <c r="P4358" i="3"/>
  <c r="O4358" i="3"/>
  <c r="P4357" i="3"/>
  <c r="O4357" i="3"/>
  <c r="P4356" i="3"/>
  <c r="O4356" i="3"/>
  <c r="P4355" i="3"/>
  <c r="O4355" i="3"/>
  <c r="P4354" i="3"/>
  <c r="O4354" i="3"/>
  <c r="P4353" i="3"/>
  <c r="O4353" i="3"/>
  <c r="P4352" i="3"/>
  <c r="O4352" i="3"/>
  <c r="P4351" i="3"/>
  <c r="O4351" i="3"/>
  <c r="P4350" i="3"/>
  <c r="O4350" i="3"/>
  <c r="P4349" i="3"/>
  <c r="O4349" i="3"/>
  <c r="P4348" i="3"/>
  <c r="O4348" i="3"/>
  <c r="P4347" i="3"/>
  <c r="O4347" i="3"/>
  <c r="P4346" i="3"/>
  <c r="O4346" i="3"/>
  <c r="P4345" i="3"/>
  <c r="O4345" i="3"/>
  <c r="P4344" i="3"/>
  <c r="O4344" i="3"/>
  <c r="P4343" i="3"/>
  <c r="O4343" i="3"/>
  <c r="P4342" i="3"/>
  <c r="O4342" i="3"/>
  <c r="P4341" i="3"/>
  <c r="O4341" i="3"/>
  <c r="P4340" i="3"/>
  <c r="O4340" i="3"/>
  <c r="P4339" i="3"/>
  <c r="O4339" i="3"/>
  <c r="P4338" i="3"/>
  <c r="O4338" i="3"/>
  <c r="P4337" i="3"/>
  <c r="O4337" i="3"/>
  <c r="P4336" i="3"/>
  <c r="O4336" i="3"/>
  <c r="P4335" i="3"/>
  <c r="O4335" i="3"/>
  <c r="P4334" i="3"/>
  <c r="O4334" i="3"/>
  <c r="P4333" i="3"/>
  <c r="O4333" i="3"/>
  <c r="P4332" i="3"/>
  <c r="O4332" i="3"/>
  <c r="P4331" i="3"/>
  <c r="O4331" i="3"/>
  <c r="P4330" i="3"/>
  <c r="O4330" i="3"/>
  <c r="P4329" i="3"/>
  <c r="O4329" i="3"/>
  <c r="P4328" i="3"/>
  <c r="O4328" i="3"/>
  <c r="P4327" i="3"/>
  <c r="O4327" i="3"/>
  <c r="P4326" i="3"/>
  <c r="O4326" i="3"/>
  <c r="P4325" i="3"/>
  <c r="O4325" i="3"/>
  <c r="P4324" i="3"/>
  <c r="O4324" i="3"/>
  <c r="P4323" i="3"/>
  <c r="O4323" i="3"/>
  <c r="P4322" i="3"/>
  <c r="O4322" i="3"/>
  <c r="P4321" i="3"/>
  <c r="O4321" i="3"/>
  <c r="P4320" i="3"/>
  <c r="O4320" i="3"/>
  <c r="P4319" i="3"/>
  <c r="O4319" i="3"/>
  <c r="P4318" i="3"/>
  <c r="O4318" i="3"/>
  <c r="P4317" i="3"/>
  <c r="O4317" i="3"/>
  <c r="P4316" i="3"/>
  <c r="O4316" i="3"/>
  <c r="P4315" i="3"/>
  <c r="O4315" i="3"/>
  <c r="P4314" i="3"/>
  <c r="O4314" i="3"/>
  <c r="P4313" i="3"/>
  <c r="O4313" i="3"/>
  <c r="P4312" i="3"/>
  <c r="O4312" i="3"/>
  <c r="P4311" i="3"/>
  <c r="O4311" i="3"/>
  <c r="P4310" i="3"/>
  <c r="O4310" i="3"/>
  <c r="P4309" i="3"/>
  <c r="O4309" i="3"/>
  <c r="P4308" i="3"/>
  <c r="O4308" i="3"/>
  <c r="P4307" i="3"/>
  <c r="O4307" i="3"/>
  <c r="P4306" i="3"/>
  <c r="O4306" i="3"/>
  <c r="P4305" i="3"/>
  <c r="O4305" i="3"/>
  <c r="P4304" i="3"/>
  <c r="O4304" i="3"/>
  <c r="P4303" i="3"/>
  <c r="O4303" i="3"/>
  <c r="P4302" i="3"/>
  <c r="O4302" i="3"/>
  <c r="P4301" i="3"/>
  <c r="O4301" i="3"/>
  <c r="P4300" i="3"/>
  <c r="O4300" i="3"/>
  <c r="P4299" i="3"/>
  <c r="O4299" i="3"/>
  <c r="P4298" i="3"/>
  <c r="O4298" i="3"/>
  <c r="P4297" i="3"/>
  <c r="O4297" i="3"/>
  <c r="P4296" i="3"/>
  <c r="O4296" i="3"/>
  <c r="P4295" i="3"/>
  <c r="O4295" i="3"/>
  <c r="P4294" i="3"/>
  <c r="O4294" i="3"/>
  <c r="P4293" i="3"/>
  <c r="O4293" i="3"/>
  <c r="P4292" i="3"/>
  <c r="O4292" i="3"/>
  <c r="P4291" i="3"/>
  <c r="O4291" i="3"/>
  <c r="P4290" i="3"/>
  <c r="O4290" i="3"/>
  <c r="P4289" i="3"/>
  <c r="O4289" i="3"/>
  <c r="P4288" i="3"/>
  <c r="O4288" i="3"/>
  <c r="P4287" i="3"/>
  <c r="O4287" i="3"/>
  <c r="P4286" i="3"/>
  <c r="O4286" i="3"/>
  <c r="P4285" i="3"/>
  <c r="O4285" i="3"/>
  <c r="P4284" i="3"/>
  <c r="O4284" i="3"/>
  <c r="P4283" i="3"/>
  <c r="O4283" i="3"/>
  <c r="P4282" i="3"/>
  <c r="O4282" i="3"/>
  <c r="P4281" i="3"/>
  <c r="O4281" i="3"/>
  <c r="P4280" i="3"/>
  <c r="O4280" i="3"/>
  <c r="P4279" i="3"/>
  <c r="O4279" i="3"/>
  <c r="P4278" i="3"/>
  <c r="O4278" i="3"/>
  <c r="P4277" i="3"/>
  <c r="O4277" i="3"/>
  <c r="P4276" i="3"/>
  <c r="O4276" i="3"/>
  <c r="P4275" i="3"/>
  <c r="O4275" i="3"/>
  <c r="P4274" i="3"/>
  <c r="O4274" i="3"/>
  <c r="P4273" i="3"/>
  <c r="O4273" i="3"/>
  <c r="P4272" i="3"/>
  <c r="O4272" i="3"/>
  <c r="P4271" i="3"/>
  <c r="O4271" i="3"/>
  <c r="P4270" i="3"/>
  <c r="O4270" i="3"/>
  <c r="P4269" i="3"/>
  <c r="O4269" i="3"/>
  <c r="P4268" i="3"/>
  <c r="O4268" i="3"/>
  <c r="P4267" i="3"/>
  <c r="O4267" i="3"/>
  <c r="P4266" i="3"/>
  <c r="O4266" i="3"/>
  <c r="P4265" i="3"/>
  <c r="O4265" i="3"/>
  <c r="P4264" i="3"/>
  <c r="O4264" i="3"/>
  <c r="P4263" i="3"/>
  <c r="O4263" i="3"/>
  <c r="P4262" i="3"/>
  <c r="O4262" i="3"/>
  <c r="P4261" i="3"/>
  <c r="O4261" i="3"/>
  <c r="P4260" i="3"/>
  <c r="O4260" i="3"/>
  <c r="P4259" i="3"/>
  <c r="O4259" i="3"/>
  <c r="P4258" i="3"/>
  <c r="O4258" i="3"/>
  <c r="P4257" i="3"/>
  <c r="O4257" i="3"/>
  <c r="P4256" i="3"/>
  <c r="O4256" i="3"/>
  <c r="P4255" i="3"/>
  <c r="O4255" i="3"/>
  <c r="P4254" i="3"/>
  <c r="O4254" i="3"/>
  <c r="P4253" i="3"/>
  <c r="O4253" i="3"/>
  <c r="P4252" i="3"/>
  <c r="O4252" i="3"/>
  <c r="P4251" i="3"/>
  <c r="O4251" i="3"/>
  <c r="P4250" i="3"/>
  <c r="O4250" i="3"/>
  <c r="P4249" i="3"/>
  <c r="O4249" i="3"/>
  <c r="P4248" i="3"/>
  <c r="O4248" i="3"/>
  <c r="P4247" i="3"/>
  <c r="O4247" i="3"/>
  <c r="P4246" i="3"/>
  <c r="O4246" i="3"/>
  <c r="P4245" i="3"/>
  <c r="O4245" i="3"/>
  <c r="P4244" i="3"/>
  <c r="O4244" i="3"/>
  <c r="P4243" i="3"/>
  <c r="O4243" i="3"/>
  <c r="P4242" i="3"/>
  <c r="O4242" i="3"/>
  <c r="P4241" i="3"/>
  <c r="O4241" i="3"/>
  <c r="P4240" i="3"/>
  <c r="O4240" i="3"/>
  <c r="P4239" i="3"/>
  <c r="O4239" i="3"/>
  <c r="P4238" i="3"/>
  <c r="O4238" i="3"/>
  <c r="P4237" i="3"/>
  <c r="O4237" i="3"/>
  <c r="P4236" i="3"/>
  <c r="O4236" i="3"/>
  <c r="P4235" i="3"/>
  <c r="O4235" i="3"/>
  <c r="P4234" i="3"/>
  <c r="O4234" i="3"/>
  <c r="P4233" i="3"/>
  <c r="O4233" i="3"/>
  <c r="P4232" i="3"/>
  <c r="O4232" i="3"/>
  <c r="P4231" i="3"/>
  <c r="O4231" i="3"/>
  <c r="P4230" i="3"/>
  <c r="O4230" i="3"/>
  <c r="P4229" i="3"/>
  <c r="O4229" i="3"/>
  <c r="P4228" i="3"/>
  <c r="O4228" i="3"/>
  <c r="P4227" i="3"/>
  <c r="O4227" i="3"/>
  <c r="P4226" i="3"/>
  <c r="O4226" i="3"/>
  <c r="P4225" i="3"/>
  <c r="O4225" i="3"/>
  <c r="P4224" i="3"/>
  <c r="O4224" i="3"/>
  <c r="P4223" i="3"/>
  <c r="O4223" i="3"/>
  <c r="P4222" i="3"/>
  <c r="O4222" i="3"/>
  <c r="P4221" i="3"/>
  <c r="O4221" i="3"/>
  <c r="P4220" i="3"/>
  <c r="O4220" i="3"/>
  <c r="P4219" i="3"/>
  <c r="O4219" i="3"/>
  <c r="P4218" i="3"/>
  <c r="O4218" i="3"/>
  <c r="P4217" i="3"/>
  <c r="O4217" i="3"/>
  <c r="P4216" i="3"/>
  <c r="O4216" i="3"/>
  <c r="P4215" i="3"/>
  <c r="O4215" i="3"/>
  <c r="P4214" i="3"/>
  <c r="O4214" i="3"/>
  <c r="P4213" i="3"/>
  <c r="O4213" i="3"/>
  <c r="P4212" i="3"/>
  <c r="O4212" i="3"/>
  <c r="P4211" i="3"/>
  <c r="O4211" i="3"/>
  <c r="P4210" i="3"/>
  <c r="O4210" i="3"/>
  <c r="P4209" i="3"/>
  <c r="O4209" i="3"/>
  <c r="P4208" i="3"/>
  <c r="O4208" i="3"/>
  <c r="P4207" i="3"/>
  <c r="O4207" i="3"/>
  <c r="P4206" i="3"/>
  <c r="O4206" i="3"/>
  <c r="P4205" i="3"/>
  <c r="O4205" i="3"/>
  <c r="P4204" i="3"/>
  <c r="O4204" i="3"/>
  <c r="P4203" i="3"/>
  <c r="O4203" i="3"/>
  <c r="P4202" i="3"/>
  <c r="O4202" i="3"/>
  <c r="P4201" i="3"/>
  <c r="O4201" i="3"/>
  <c r="P4200" i="3"/>
  <c r="O4200" i="3"/>
  <c r="P4199" i="3"/>
  <c r="O4199" i="3"/>
  <c r="P4198" i="3"/>
  <c r="O4198" i="3"/>
  <c r="P4197" i="3"/>
  <c r="O4197" i="3"/>
  <c r="P4196" i="3"/>
  <c r="O4196" i="3"/>
  <c r="P4195" i="3"/>
  <c r="O4195" i="3"/>
  <c r="P4194" i="3"/>
  <c r="O4194" i="3"/>
  <c r="P4193" i="3"/>
  <c r="O4193" i="3"/>
  <c r="P4192" i="3"/>
  <c r="O4192" i="3"/>
  <c r="P4191" i="3"/>
  <c r="O4191" i="3"/>
  <c r="P4190" i="3"/>
  <c r="O4190" i="3"/>
  <c r="P4189" i="3"/>
  <c r="O4189" i="3"/>
  <c r="P4188" i="3"/>
  <c r="O4188" i="3"/>
  <c r="P4187" i="3"/>
  <c r="O4187" i="3"/>
  <c r="P4186" i="3"/>
  <c r="O4186" i="3"/>
  <c r="P4185" i="3"/>
  <c r="O4185" i="3"/>
  <c r="P4184" i="3"/>
  <c r="O4184" i="3"/>
  <c r="P4183" i="3"/>
  <c r="O4183" i="3"/>
  <c r="P4182" i="3"/>
  <c r="O4182" i="3"/>
  <c r="P4181" i="3"/>
  <c r="O4181" i="3"/>
  <c r="P4180" i="3"/>
  <c r="O4180" i="3"/>
  <c r="P4179" i="3"/>
  <c r="O4179" i="3"/>
  <c r="P4178" i="3"/>
  <c r="O4178" i="3"/>
  <c r="P4177" i="3"/>
  <c r="O4177" i="3"/>
  <c r="P4176" i="3"/>
  <c r="O4176" i="3"/>
  <c r="P4175" i="3"/>
  <c r="O4175" i="3"/>
  <c r="P4174" i="3"/>
  <c r="O4174" i="3"/>
  <c r="P4173" i="3"/>
  <c r="O4173" i="3"/>
  <c r="P4172" i="3"/>
  <c r="O4172" i="3"/>
  <c r="P4171" i="3"/>
  <c r="O4171" i="3"/>
  <c r="P4170" i="3"/>
  <c r="O4170" i="3"/>
  <c r="P4169" i="3"/>
  <c r="O4169" i="3"/>
  <c r="P4168" i="3"/>
  <c r="O4168" i="3"/>
  <c r="P4167" i="3"/>
  <c r="O4167" i="3"/>
  <c r="P4166" i="3"/>
  <c r="O4166" i="3"/>
  <c r="P4165" i="3"/>
  <c r="O4165" i="3"/>
  <c r="P4164" i="3"/>
  <c r="O4164" i="3"/>
  <c r="P4163" i="3"/>
  <c r="O4163" i="3"/>
  <c r="P4162" i="3"/>
  <c r="O4162" i="3"/>
  <c r="P4161" i="3"/>
  <c r="O4161" i="3"/>
  <c r="P4160" i="3"/>
  <c r="O4160" i="3"/>
  <c r="P4159" i="3"/>
  <c r="O4159" i="3"/>
  <c r="P4158" i="3"/>
  <c r="O4158" i="3"/>
  <c r="P4157" i="3"/>
  <c r="O4157" i="3"/>
  <c r="P4156" i="3"/>
  <c r="O4156" i="3"/>
  <c r="P4155" i="3"/>
  <c r="O4155" i="3"/>
  <c r="P4154" i="3"/>
  <c r="O4154" i="3"/>
  <c r="P4153" i="3"/>
  <c r="O4153" i="3"/>
  <c r="P4152" i="3"/>
  <c r="O4152" i="3"/>
  <c r="P4151" i="3"/>
  <c r="O4151" i="3"/>
  <c r="P4150" i="3"/>
  <c r="O4150" i="3"/>
  <c r="P4149" i="3"/>
  <c r="O4149" i="3"/>
  <c r="P4148" i="3"/>
  <c r="O4148" i="3"/>
  <c r="P4147" i="3"/>
  <c r="O4147" i="3"/>
  <c r="P4146" i="3"/>
  <c r="O4146" i="3"/>
  <c r="P4145" i="3"/>
  <c r="O4145" i="3"/>
  <c r="P4144" i="3"/>
  <c r="O4144" i="3"/>
  <c r="P4143" i="3"/>
  <c r="O4143" i="3"/>
  <c r="P4142" i="3"/>
  <c r="O4142" i="3"/>
  <c r="P4141" i="3"/>
  <c r="O4141" i="3"/>
  <c r="P4140" i="3"/>
  <c r="O4140" i="3"/>
  <c r="P4139" i="3"/>
  <c r="O4139" i="3"/>
  <c r="P4138" i="3"/>
  <c r="O4138" i="3"/>
  <c r="P4137" i="3"/>
  <c r="O4137" i="3"/>
  <c r="P4136" i="3"/>
  <c r="O4136" i="3"/>
  <c r="P4135" i="3"/>
  <c r="O4135" i="3"/>
  <c r="P4134" i="3"/>
  <c r="O4134" i="3"/>
  <c r="P4133" i="3"/>
  <c r="O4133" i="3"/>
  <c r="P4132" i="3"/>
  <c r="O4132" i="3"/>
  <c r="P4131" i="3"/>
  <c r="O4131" i="3"/>
  <c r="P4130" i="3"/>
  <c r="O4130" i="3"/>
  <c r="P4129" i="3"/>
  <c r="O4129" i="3"/>
  <c r="P4128" i="3"/>
  <c r="O4128" i="3"/>
  <c r="P4127" i="3"/>
  <c r="O4127" i="3"/>
  <c r="P4126" i="3"/>
  <c r="O4126" i="3"/>
  <c r="P4125" i="3"/>
  <c r="O4125" i="3"/>
  <c r="P4124" i="3"/>
  <c r="O4124" i="3"/>
  <c r="P4123" i="3"/>
  <c r="O4123" i="3"/>
  <c r="P4122" i="3"/>
  <c r="O4122" i="3"/>
  <c r="P4121" i="3"/>
  <c r="O4121" i="3"/>
  <c r="P4120" i="3"/>
  <c r="O4120" i="3"/>
  <c r="P4119" i="3"/>
  <c r="O4119" i="3"/>
  <c r="P4118" i="3"/>
  <c r="O4118" i="3"/>
  <c r="P4117" i="3"/>
  <c r="O4117" i="3"/>
  <c r="P4116" i="3"/>
  <c r="O4116" i="3"/>
  <c r="P4115" i="3"/>
  <c r="O4115" i="3"/>
  <c r="P4114" i="3"/>
  <c r="O4114" i="3"/>
  <c r="P4113" i="3"/>
  <c r="O4113" i="3"/>
  <c r="P4112" i="3"/>
  <c r="O4112" i="3"/>
  <c r="P4111" i="3"/>
  <c r="O4111" i="3"/>
  <c r="P4110" i="3"/>
  <c r="O4110" i="3"/>
  <c r="P4109" i="3"/>
  <c r="O4109" i="3"/>
  <c r="P4108" i="3"/>
  <c r="O4108" i="3"/>
  <c r="P4107" i="3"/>
  <c r="O4107" i="3"/>
  <c r="P4106" i="3"/>
  <c r="O4106" i="3"/>
  <c r="P4105" i="3"/>
  <c r="O4105" i="3"/>
  <c r="P4104" i="3"/>
  <c r="O4104" i="3"/>
  <c r="P4103" i="3"/>
  <c r="O4103" i="3"/>
  <c r="P4102" i="3"/>
  <c r="O4102" i="3"/>
  <c r="P4101" i="3"/>
  <c r="O4101" i="3"/>
  <c r="P4100" i="3"/>
  <c r="O4100" i="3"/>
  <c r="P4099" i="3"/>
  <c r="O4099" i="3"/>
  <c r="P4098" i="3"/>
  <c r="O4098" i="3"/>
  <c r="P4097" i="3"/>
  <c r="O4097" i="3"/>
  <c r="P4096" i="3"/>
  <c r="O4096" i="3"/>
  <c r="P4095" i="3"/>
  <c r="O4095" i="3"/>
  <c r="P4094" i="3"/>
  <c r="O4094" i="3"/>
  <c r="P4093" i="3"/>
  <c r="O4093" i="3"/>
  <c r="P4092" i="3"/>
  <c r="O4092" i="3"/>
  <c r="P4091" i="3"/>
  <c r="O4091" i="3"/>
  <c r="P4090" i="3"/>
  <c r="O4090" i="3"/>
  <c r="P4089" i="3"/>
  <c r="O4089" i="3"/>
  <c r="P4088" i="3"/>
  <c r="O4088" i="3"/>
  <c r="P4087" i="3"/>
  <c r="O4087" i="3"/>
  <c r="P4086" i="3"/>
  <c r="O4086" i="3"/>
  <c r="P4085" i="3"/>
  <c r="O4085" i="3"/>
  <c r="P4084" i="3"/>
  <c r="O4084" i="3"/>
  <c r="P4083" i="3"/>
  <c r="O4083" i="3"/>
  <c r="P4082" i="3"/>
  <c r="O4082" i="3"/>
  <c r="P4081" i="3"/>
  <c r="O4081" i="3"/>
  <c r="P4080" i="3"/>
  <c r="O4080" i="3"/>
  <c r="P4079" i="3"/>
  <c r="O4079" i="3"/>
  <c r="P4078" i="3"/>
  <c r="O4078" i="3"/>
  <c r="P4077" i="3"/>
  <c r="O4077" i="3"/>
  <c r="P4076" i="3"/>
  <c r="O4076" i="3"/>
  <c r="P4075" i="3"/>
  <c r="O4075" i="3"/>
  <c r="P4074" i="3"/>
  <c r="O4074" i="3"/>
  <c r="P4073" i="3"/>
  <c r="O4073" i="3"/>
  <c r="P4072" i="3"/>
  <c r="O4072" i="3"/>
  <c r="P4071" i="3"/>
  <c r="O4071" i="3"/>
  <c r="P4070" i="3"/>
  <c r="O4070" i="3"/>
  <c r="P4069" i="3"/>
  <c r="O4069" i="3"/>
  <c r="P4068" i="3"/>
  <c r="O4068" i="3"/>
  <c r="P4067" i="3"/>
  <c r="O4067" i="3"/>
  <c r="P4066" i="3"/>
  <c r="O4066" i="3"/>
  <c r="P4065" i="3"/>
  <c r="O4065" i="3"/>
  <c r="P4064" i="3"/>
  <c r="O4064" i="3"/>
  <c r="P4063" i="3"/>
  <c r="O4063" i="3"/>
  <c r="P4062" i="3"/>
  <c r="O4062" i="3"/>
  <c r="P4061" i="3"/>
  <c r="O4061" i="3"/>
  <c r="P4060" i="3"/>
  <c r="O4060" i="3"/>
  <c r="P4059" i="3"/>
  <c r="O4059" i="3"/>
  <c r="P4058" i="3"/>
  <c r="O4058" i="3"/>
  <c r="P4057" i="3"/>
  <c r="O4057" i="3"/>
  <c r="P4056" i="3"/>
  <c r="O4056" i="3"/>
  <c r="P4055" i="3"/>
  <c r="O4055" i="3"/>
  <c r="P4054" i="3"/>
  <c r="O4054" i="3"/>
  <c r="P4053" i="3"/>
  <c r="O4053" i="3"/>
  <c r="P4052" i="3"/>
  <c r="O4052" i="3"/>
  <c r="P4051" i="3"/>
  <c r="O4051" i="3"/>
  <c r="P4050" i="3"/>
  <c r="O4050" i="3"/>
  <c r="P4049" i="3"/>
  <c r="O4049" i="3"/>
  <c r="P4048" i="3"/>
  <c r="O4048" i="3"/>
  <c r="P4047" i="3"/>
  <c r="O4047" i="3"/>
  <c r="P4046" i="3"/>
  <c r="O4046" i="3"/>
  <c r="P4045" i="3"/>
  <c r="O4045" i="3"/>
  <c r="P4044" i="3"/>
  <c r="O4044" i="3"/>
  <c r="P4043" i="3"/>
  <c r="O4043" i="3"/>
  <c r="P4042" i="3"/>
  <c r="O4042" i="3"/>
  <c r="P4041" i="3"/>
  <c r="O4041" i="3"/>
  <c r="P4040" i="3"/>
  <c r="O4040" i="3"/>
  <c r="P4039" i="3"/>
  <c r="O4039" i="3"/>
  <c r="P4038" i="3"/>
  <c r="O4038" i="3"/>
  <c r="P4037" i="3"/>
  <c r="O4037" i="3"/>
  <c r="P4036" i="3"/>
  <c r="O4036" i="3"/>
  <c r="P4035" i="3"/>
  <c r="O4035" i="3"/>
  <c r="P4034" i="3"/>
  <c r="O4034" i="3"/>
  <c r="P4033" i="3"/>
  <c r="O4033" i="3"/>
  <c r="P4032" i="3"/>
  <c r="O4032" i="3"/>
  <c r="P4031" i="3"/>
  <c r="O4031" i="3"/>
  <c r="P4030" i="3"/>
  <c r="O4030" i="3"/>
  <c r="P4029" i="3"/>
  <c r="O4029" i="3"/>
  <c r="P4028" i="3"/>
  <c r="O4028" i="3"/>
  <c r="P4027" i="3"/>
  <c r="O4027" i="3"/>
  <c r="P4026" i="3"/>
  <c r="O4026" i="3"/>
  <c r="P4025" i="3"/>
  <c r="O4025" i="3"/>
  <c r="P4024" i="3"/>
  <c r="O4024" i="3"/>
  <c r="P4023" i="3"/>
  <c r="O4023" i="3"/>
  <c r="P4022" i="3"/>
  <c r="O4022" i="3"/>
  <c r="P4021" i="3"/>
  <c r="O4021" i="3"/>
  <c r="P4020" i="3"/>
  <c r="O4020" i="3"/>
  <c r="P4019" i="3"/>
  <c r="O4019" i="3"/>
  <c r="P4018" i="3"/>
  <c r="O4018" i="3"/>
  <c r="P4017" i="3"/>
  <c r="O4017" i="3"/>
  <c r="P4016" i="3"/>
  <c r="O4016" i="3"/>
  <c r="P4015" i="3"/>
  <c r="O4015" i="3"/>
  <c r="P4014" i="3"/>
  <c r="O4014" i="3"/>
  <c r="P4013" i="3"/>
  <c r="O4013" i="3"/>
  <c r="P4012" i="3"/>
  <c r="O4012" i="3"/>
  <c r="P4011" i="3"/>
  <c r="O4011" i="3"/>
  <c r="P4010" i="3"/>
  <c r="O4010" i="3"/>
  <c r="P4009" i="3"/>
  <c r="O4009" i="3"/>
  <c r="P4008" i="3"/>
  <c r="O4008" i="3"/>
  <c r="P4007" i="3"/>
  <c r="O4007" i="3"/>
  <c r="P4006" i="3"/>
  <c r="O4006" i="3"/>
  <c r="P4005" i="3"/>
  <c r="O4005" i="3"/>
  <c r="P4004" i="3"/>
  <c r="O4004" i="3"/>
  <c r="P4003" i="3"/>
  <c r="O4003" i="3"/>
  <c r="P4002" i="3"/>
  <c r="O4002" i="3"/>
  <c r="P4001" i="3"/>
  <c r="O4001" i="3"/>
  <c r="P4000" i="3"/>
  <c r="O4000" i="3"/>
  <c r="P3999" i="3"/>
  <c r="O3999" i="3"/>
  <c r="P3998" i="3"/>
  <c r="O3998" i="3"/>
  <c r="P3997" i="3"/>
  <c r="O3997" i="3"/>
  <c r="P3996" i="3"/>
  <c r="O3996" i="3"/>
  <c r="P3995" i="3"/>
  <c r="O3995" i="3"/>
  <c r="P3994" i="3"/>
  <c r="O3994" i="3"/>
  <c r="P3993" i="3"/>
  <c r="O3993" i="3"/>
  <c r="P3992" i="3"/>
  <c r="O3992" i="3"/>
  <c r="P3991" i="3"/>
  <c r="O3991" i="3"/>
  <c r="P3990" i="3"/>
  <c r="O3990" i="3"/>
  <c r="P3989" i="3"/>
  <c r="O3989" i="3"/>
  <c r="P3988" i="3"/>
  <c r="O3988" i="3"/>
  <c r="P3987" i="3"/>
  <c r="O3987" i="3"/>
  <c r="P3986" i="3"/>
  <c r="O3986" i="3"/>
  <c r="P3985" i="3"/>
  <c r="O3985" i="3"/>
  <c r="P3984" i="3"/>
  <c r="O3984" i="3"/>
  <c r="P3983" i="3"/>
  <c r="O3983" i="3"/>
  <c r="P3982" i="3"/>
  <c r="O3982" i="3"/>
  <c r="P3981" i="3"/>
  <c r="O3981" i="3"/>
  <c r="P3980" i="3"/>
  <c r="O3980" i="3"/>
  <c r="P3979" i="3"/>
  <c r="O3979" i="3"/>
  <c r="P3978" i="3"/>
  <c r="O3978" i="3"/>
  <c r="P3977" i="3"/>
  <c r="O3977" i="3"/>
  <c r="P3976" i="3"/>
  <c r="O3976" i="3"/>
  <c r="P3975" i="3"/>
  <c r="O3975" i="3"/>
  <c r="P3974" i="3"/>
  <c r="O3974" i="3"/>
  <c r="P3973" i="3"/>
  <c r="O3973" i="3"/>
  <c r="P3972" i="3"/>
  <c r="O3972" i="3"/>
  <c r="P3971" i="3"/>
  <c r="O3971" i="3"/>
  <c r="P3970" i="3"/>
  <c r="O3970" i="3"/>
  <c r="P3969" i="3"/>
  <c r="O3969" i="3"/>
  <c r="P3968" i="3"/>
  <c r="O3968" i="3"/>
  <c r="P3967" i="3"/>
  <c r="O3967" i="3"/>
  <c r="P3966" i="3"/>
  <c r="O3966" i="3"/>
  <c r="P3965" i="3"/>
  <c r="O3965" i="3"/>
  <c r="P3964" i="3"/>
  <c r="O3964" i="3"/>
  <c r="P3963" i="3"/>
  <c r="O3963" i="3"/>
  <c r="P3962" i="3"/>
  <c r="O3962" i="3"/>
  <c r="P3961" i="3"/>
  <c r="O3961" i="3"/>
  <c r="P3960" i="3"/>
  <c r="O3960" i="3"/>
  <c r="P3959" i="3"/>
  <c r="O3959" i="3"/>
  <c r="P3958" i="3"/>
  <c r="O3958" i="3"/>
  <c r="P3957" i="3"/>
  <c r="O3957" i="3"/>
  <c r="P3956" i="3"/>
  <c r="O3956" i="3"/>
  <c r="P3955" i="3"/>
  <c r="O3955" i="3"/>
  <c r="P3954" i="3"/>
  <c r="O3954" i="3"/>
  <c r="P3953" i="3"/>
  <c r="O3953" i="3"/>
  <c r="P3952" i="3"/>
  <c r="O3952" i="3"/>
  <c r="P3951" i="3"/>
  <c r="O3951" i="3"/>
  <c r="P3950" i="3"/>
  <c r="O3950" i="3"/>
  <c r="P3949" i="3"/>
  <c r="O3949" i="3"/>
  <c r="P3948" i="3"/>
  <c r="O3948" i="3"/>
  <c r="P3947" i="3"/>
  <c r="O3947" i="3"/>
  <c r="P3946" i="3"/>
  <c r="O3946" i="3"/>
  <c r="P3945" i="3"/>
  <c r="O3945" i="3"/>
  <c r="P3944" i="3"/>
  <c r="O3944" i="3"/>
  <c r="P3943" i="3"/>
  <c r="O3943" i="3"/>
  <c r="P3942" i="3"/>
  <c r="O3942" i="3"/>
  <c r="P3941" i="3"/>
  <c r="O3941" i="3"/>
  <c r="P3940" i="3"/>
  <c r="O3940" i="3"/>
  <c r="P3939" i="3"/>
  <c r="O3939" i="3"/>
  <c r="P3938" i="3"/>
  <c r="O3938" i="3"/>
  <c r="P3937" i="3"/>
  <c r="O3937" i="3"/>
  <c r="P3936" i="3"/>
  <c r="O3936" i="3"/>
  <c r="P3935" i="3"/>
  <c r="O3935" i="3"/>
  <c r="P3934" i="3"/>
  <c r="O3934" i="3"/>
  <c r="P3933" i="3"/>
  <c r="O3933" i="3"/>
  <c r="P3932" i="3"/>
  <c r="O3932" i="3"/>
  <c r="P3931" i="3"/>
  <c r="O3931" i="3"/>
  <c r="P3930" i="3"/>
  <c r="O3930" i="3"/>
  <c r="P3929" i="3"/>
  <c r="O3929" i="3"/>
  <c r="P3928" i="3"/>
  <c r="O3928" i="3"/>
  <c r="P3927" i="3"/>
  <c r="O3927" i="3"/>
  <c r="P3926" i="3"/>
  <c r="O3926" i="3"/>
  <c r="P3925" i="3"/>
  <c r="O3925" i="3"/>
  <c r="P3924" i="3"/>
  <c r="O3924" i="3"/>
  <c r="P3923" i="3"/>
  <c r="O3923" i="3"/>
  <c r="P3922" i="3"/>
  <c r="O3922" i="3"/>
  <c r="P3921" i="3"/>
  <c r="O3921" i="3"/>
  <c r="P3920" i="3"/>
  <c r="O3920" i="3"/>
  <c r="P3919" i="3"/>
  <c r="O3919" i="3"/>
  <c r="P3918" i="3"/>
  <c r="O3918" i="3"/>
  <c r="P3917" i="3"/>
  <c r="O3917" i="3"/>
  <c r="P3916" i="3"/>
  <c r="O3916" i="3"/>
  <c r="P3915" i="3"/>
  <c r="O3915" i="3"/>
  <c r="P3914" i="3"/>
  <c r="O3914" i="3"/>
  <c r="P3913" i="3"/>
  <c r="O3913" i="3"/>
  <c r="P3912" i="3"/>
  <c r="O3912" i="3"/>
  <c r="P3911" i="3"/>
  <c r="O3911" i="3"/>
  <c r="P3910" i="3"/>
  <c r="O3910" i="3"/>
  <c r="P3909" i="3"/>
  <c r="O3909" i="3"/>
  <c r="P3908" i="3"/>
  <c r="O3908" i="3"/>
  <c r="P3907" i="3"/>
  <c r="O3907" i="3"/>
  <c r="P3906" i="3"/>
  <c r="O3906" i="3"/>
  <c r="P3905" i="3"/>
  <c r="O3905" i="3"/>
  <c r="P3904" i="3"/>
  <c r="O3904" i="3"/>
  <c r="P3903" i="3"/>
  <c r="O3903" i="3"/>
  <c r="P3902" i="3"/>
  <c r="O3902" i="3"/>
  <c r="P3901" i="3"/>
  <c r="O3901" i="3"/>
  <c r="P3900" i="3"/>
  <c r="O3900" i="3"/>
  <c r="P3899" i="3"/>
  <c r="O3899" i="3"/>
  <c r="P3898" i="3"/>
  <c r="O3898" i="3"/>
  <c r="P3897" i="3"/>
  <c r="O3897" i="3"/>
  <c r="P3896" i="3"/>
  <c r="O3896" i="3"/>
  <c r="P3895" i="3"/>
  <c r="O3895" i="3"/>
  <c r="P3894" i="3"/>
  <c r="O3894" i="3"/>
  <c r="P3893" i="3"/>
  <c r="O3893" i="3"/>
  <c r="P3892" i="3"/>
  <c r="O3892" i="3"/>
  <c r="P3891" i="3"/>
  <c r="O3891" i="3"/>
  <c r="P3890" i="3"/>
  <c r="O3890" i="3"/>
  <c r="P3889" i="3"/>
  <c r="O3889" i="3"/>
  <c r="P3888" i="3"/>
  <c r="O3888" i="3"/>
  <c r="P3887" i="3"/>
  <c r="O3887" i="3"/>
  <c r="P3886" i="3"/>
  <c r="O3886" i="3"/>
  <c r="P3885" i="3"/>
  <c r="O3885" i="3"/>
  <c r="P3884" i="3"/>
  <c r="O3884" i="3"/>
  <c r="P3883" i="3"/>
  <c r="O3883" i="3"/>
  <c r="P3882" i="3"/>
  <c r="O3882" i="3"/>
  <c r="P3881" i="3"/>
  <c r="O3881" i="3"/>
  <c r="P3880" i="3"/>
  <c r="O3880" i="3"/>
  <c r="P3879" i="3"/>
  <c r="O3879" i="3"/>
  <c r="P3878" i="3"/>
  <c r="O3878" i="3"/>
  <c r="P3877" i="3"/>
  <c r="O3877" i="3"/>
  <c r="P3876" i="3"/>
  <c r="O3876" i="3"/>
  <c r="P3875" i="3"/>
  <c r="O3875" i="3"/>
  <c r="P3874" i="3"/>
  <c r="O3874" i="3"/>
  <c r="P3873" i="3"/>
  <c r="O3873" i="3"/>
  <c r="P3872" i="3"/>
  <c r="O3872" i="3"/>
  <c r="P3871" i="3"/>
  <c r="O3871" i="3"/>
  <c r="P3870" i="3"/>
  <c r="O3870" i="3"/>
  <c r="P3869" i="3"/>
  <c r="O3869" i="3"/>
  <c r="P3868" i="3"/>
  <c r="O3868" i="3"/>
  <c r="P3867" i="3"/>
  <c r="O3867" i="3"/>
  <c r="P3866" i="3"/>
  <c r="O3866" i="3"/>
  <c r="P3865" i="3"/>
  <c r="O3865" i="3"/>
  <c r="P3864" i="3"/>
  <c r="O3864" i="3"/>
  <c r="P3863" i="3"/>
  <c r="O3863" i="3"/>
  <c r="P3862" i="3"/>
  <c r="O3862" i="3"/>
  <c r="P3861" i="3"/>
  <c r="O3861" i="3"/>
  <c r="P3860" i="3"/>
  <c r="O3860" i="3"/>
  <c r="P3859" i="3"/>
  <c r="O3859" i="3"/>
  <c r="P3858" i="3"/>
  <c r="O3858" i="3"/>
  <c r="P3857" i="3"/>
  <c r="O3857" i="3"/>
  <c r="P3856" i="3"/>
  <c r="O3856" i="3"/>
  <c r="P3855" i="3"/>
  <c r="O3855" i="3"/>
  <c r="P3854" i="3"/>
  <c r="O3854" i="3"/>
  <c r="P3853" i="3"/>
  <c r="O3853" i="3"/>
  <c r="P3852" i="3"/>
  <c r="O3852" i="3"/>
  <c r="P3851" i="3"/>
  <c r="O3851" i="3"/>
  <c r="P3850" i="3"/>
  <c r="O3850" i="3"/>
  <c r="P3849" i="3"/>
  <c r="O3849" i="3"/>
  <c r="P3848" i="3"/>
  <c r="O3848" i="3"/>
  <c r="P3847" i="3"/>
  <c r="O3847" i="3"/>
  <c r="P3846" i="3"/>
  <c r="O3846" i="3"/>
  <c r="P3845" i="3"/>
  <c r="O3845" i="3"/>
  <c r="P3844" i="3"/>
  <c r="O3844" i="3"/>
  <c r="P3843" i="3"/>
  <c r="O3843" i="3"/>
  <c r="P3842" i="3"/>
  <c r="O3842" i="3"/>
  <c r="P3841" i="3"/>
  <c r="O3841" i="3"/>
  <c r="P3840" i="3"/>
  <c r="O3840" i="3"/>
  <c r="P3839" i="3"/>
  <c r="O3839" i="3"/>
  <c r="P3838" i="3"/>
  <c r="O3838" i="3"/>
  <c r="P3837" i="3"/>
  <c r="O3837" i="3"/>
  <c r="P3836" i="3"/>
  <c r="O3836" i="3"/>
  <c r="P3835" i="3"/>
  <c r="O3835" i="3"/>
  <c r="P3834" i="3"/>
  <c r="O3834" i="3"/>
  <c r="P3833" i="3"/>
  <c r="O3833" i="3"/>
  <c r="P3832" i="3"/>
  <c r="O3832" i="3"/>
  <c r="P3831" i="3"/>
  <c r="O3831" i="3"/>
  <c r="P3830" i="3"/>
  <c r="O3830" i="3"/>
  <c r="P3829" i="3"/>
  <c r="O3829" i="3"/>
  <c r="P3828" i="3"/>
  <c r="O3828" i="3"/>
  <c r="P3827" i="3"/>
  <c r="O3827" i="3"/>
  <c r="P3826" i="3"/>
  <c r="O3826" i="3"/>
  <c r="P3825" i="3"/>
  <c r="O3825" i="3"/>
  <c r="P3824" i="3"/>
  <c r="O3824" i="3"/>
  <c r="P3823" i="3"/>
  <c r="O3823" i="3"/>
  <c r="P3822" i="3"/>
  <c r="O3822" i="3"/>
  <c r="P3821" i="3"/>
  <c r="O3821" i="3"/>
  <c r="P3820" i="3"/>
  <c r="O3820" i="3"/>
  <c r="P3819" i="3"/>
  <c r="O3819" i="3"/>
  <c r="P3818" i="3"/>
  <c r="O3818" i="3"/>
  <c r="P3817" i="3"/>
  <c r="O3817" i="3"/>
  <c r="P3816" i="3"/>
  <c r="O3816" i="3"/>
  <c r="P3815" i="3"/>
  <c r="O3815" i="3"/>
  <c r="P3814" i="3"/>
  <c r="O3814" i="3"/>
  <c r="P3813" i="3"/>
  <c r="O3813" i="3"/>
  <c r="P3812" i="3"/>
  <c r="O3812" i="3"/>
  <c r="P3811" i="3"/>
  <c r="O3811" i="3"/>
  <c r="P3810" i="3"/>
  <c r="O3810" i="3"/>
  <c r="P3809" i="3"/>
  <c r="O3809" i="3"/>
  <c r="P3808" i="3"/>
  <c r="O3808" i="3"/>
  <c r="P3807" i="3"/>
  <c r="O3807" i="3"/>
  <c r="P3806" i="3"/>
  <c r="O3806" i="3"/>
  <c r="P3805" i="3"/>
  <c r="O3805" i="3"/>
  <c r="P3804" i="3"/>
  <c r="O3804" i="3"/>
  <c r="P3803" i="3"/>
  <c r="O3803" i="3"/>
  <c r="P3802" i="3"/>
  <c r="O3802" i="3"/>
  <c r="P3801" i="3"/>
  <c r="O3801" i="3"/>
  <c r="P3800" i="3"/>
  <c r="O3800" i="3"/>
  <c r="P3799" i="3"/>
  <c r="O3799" i="3"/>
  <c r="P3798" i="3"/>
  <c r="O3798" i="3"/>
  <c r="P3797" i="3"/>
  <c r="O3797" i="3"/>
  <c r="P3796" i="3"/>
  <c r="O3796" i="3"/>
  <c r="P3795" i="3"/>
  <c r="O3795" i="3"/>
  <c r="P3794" i="3"/>
  <c r="O3794" i="3"/>
  <c r="P3793" i="3"/>
  <c r="O3793" i="3"/>
  <c r="P3792" i="3"/>
  <c r="O3792" i="3"/>
  <c r="P3791" i="3"/>
  <c r="O3791" i="3"/>
  <c r="P3790" i="3"/>
  <c r="O3790" i="3"/>
  <c r="P3789" i="3"/>
  <c r="O3789" i="3"/>
  <c r="P3788" i="3"/>
  <c r="O3788" i="3"/>
  <c r="P3787" i="3"/>
  <c r="O3787" i="3"/>
  <c r="P3786" i="3"/>
  <c r="O3786" i="3"/>
  <c r="P3785" i="3"/>
  <c r="O3785" i="3"/>
  <c r="P3784" i="3"/>
  <c r="O3784" i="3"/>
  <c r="P3783" i="3"/>
  <c r="O3783" i="3"/>
  <c r="P3782" i="3"/>
  <c r="O3782" i="3"/>
  <c r="P3781" i="3"/>
  <c r="O3781" i="3"/>
  <c r="P3780" i="3"/>
  <c r="O3780" i="3"/>
  <c r="P3779" i="3"/>
  <c r="O3779" i="3"/>
  <c r="P3778" i="3"/>
  <c r="O3778" i="3"/>
  <c r="P3777" i="3"/>
  <c r="O3777" i="3"/>
  <c r="P3776" i="3"/>
  <c r="O3776" i="3"/>
  <c r="P3775" i="3"/>
  <c r="O3775" i="3"/>
  <c r="P3774" i="3"/>
  <c r="O3774" i="3"/>
  <c r="P3773" i="3"/>
  <c r="O3773" i="3"/>
  <c r="P3772" i="3"/>
  <c r="O3772" i="3"/>
  <c r="P3771" i="3"/>
  <c r="O3771" i="3"/>
  <c r="P3770" i="3"/>
  <c r="O3770" i="3"/>
  <c r="P3769" i="3"/>
  <c r="O3769" i="3"/>
  <c r="P3768" i="3"/>
  <c r="O3768" i="3"/>
  <c r="P3767" i="3"/>
  <c r="O3767" i="3"/>
  <c r="P3766" i="3"/>
  <c r="O3766" i="3"/>
  <c r="P3765" i="3"/>
  <c r="O3765" i="3"/>
  <c r="P3764" i="3"/>
  <c r="O3764" i="3"/>
  <c r="P3763" i="3"/>
  <c r="O3763" i="3"/>
  <c r="P3762" i="3"/>
  <c r="O3762" i="3"/>
  <c r="P3761" i="3"/>
  <c r="O3761" i="3"/>
  <c r="P3760" i="3"/>
  <c r="O3760" i="3"/>
  <c r="P3759" i="3"/>
  <c r="O3759" i="3"/>
  <c r="P3758" i="3"/>
  <c r="O3758" i="3"/>
  <c r="P3757" i="3"/>
  <c r="O3757" i="3"/>
  <c r="P3756" i="3"/>
  <c r="O3756" i="3"/>
  <c r="P3755" i="3"/>
  <c r="O3755" i="3"/>
  <c r="P3754" i="3"/>
  <c r="O3754" i="3"/>
  <c r="P3753" i="3"/>
  <c r="O3753" i="3"/>
  <c r="P3752" i="3"/>
  <c r="O3752" i="3"/>
  <c r="P3751" i="3"/>
  <c r="O3751" i="3"/>
  <c r="P3750" i="3"/>
  <c r="O3750" i="3"/>
  <c r="P3749" i="3"/>
  <c r="O3749" i="3"/>
  <c r="P3748" i="3"/>
  <c r="O3748" i="3"/>
  <c r="P3747" i="3"/>
  <c r="O3747" i="3"/>
  <c r="P3746" i="3"/>
  <c r="O3746" i="3"/>
  <c r="P3745" i="3"/>
  <c r="O3745" i="3"/>
  <c r="P3744" i="3"/>
  <c r="O3744" i="3"/>
  <c r="P3743" i="3"/>
  <c r="O3743" i="3"/>
  <c r="P3742" i="3"/>
  <c r="O3742" i="3"/>
  <c r="P3741" i="3"/>
  <c r="O3741" i="3"/>
  <c r="P3740" i="3"/>
  <c r="O3740" i="3"/>
  <c r="P3739" i="3"/>
  <c r="O3739" i="3"/>
  <c r="P3738" i="3"/>
  <c r="O3738" i="3"/>
  <c r="P3737" i="3"/>
  <c r="O3737" i="3"/>
  <c r="P3736" i="3"/>
  <c r="O3736" i="3"/>
  <c r="P3735" i="3"/>
  <c r="O3735" i="3"/>
  <c r="P3734" i="3"/>
  <c r="O3734" i="3"/>
  <c r="P3733" i="3"/>
  <c r="O3733" i="3"/>
  <c r="P3732" i="3"/>
  <c r="O3732" i="3"/>
  <c r="P3731" i="3"/>
  <c r="O3731" i="3"/>
  <c r="P3730" i="3"/>
  <c r="O3730" i="3"/>
  <c r="P3729" i="3"/>
  <c r="O3729" i="3"/>
  <c r="P3728" i="3"/>
  <c r="O3728" i="3"/>
  <c r="P3727" i="3"/>
  <c r="O3727" i="3"/>
  <c r="P3726" i="3"/>
  <c r="O3726" i="3"/>
  <c r="P3725" i="3"/>
  <c r="O3725" i="3"/>
  <c r="P3724" i="3"/>
  <c r="O3724" i="3"/>
  <c r="P3723" i="3"/>
  <c r="O3723" i="3"/>
  <c r="P3722" i="3"/>
  <c r="O3722" i="3"/>
  <c r="P3721" i="3"/>
  <c r="O3721" i="3"/>
  <c r="P3720" i="3"/>
  <c r="O3720" i="3"/>
  <c r="P3719" i="3"/>
  <c r="O3719" i="3"/>
  <c r="P3718" i="3"/>
  <c r="O3718" i="3"/>
  <c r="P3717" i="3"/>
  <c r="O3717" i="3"/>
  <c r="P3716" i="3"/>
  <c r="O3716" i="3"/>
  <c r="P3715" i="3"/>
  <c r="O3715" i="3"/>
  <c r="P3714" i="3"/>
  <c r="O3714" i="3"/>
  <c r="P3713" i="3"/>
  <c r="O3713" i="3"/>
  <c r="P3712" i="3"/>
  <c r="O3712" i="3"/>
  <c r="P3711" i="3"/>
  <c r="O3711" i="3"/>
  <c r="P3710" i="3"/>
  <c r="O3710" i="3"/>
  <c r="P3709" i="3"/>
  <c r="O3709" i="3"/>
  <c r="P3708" i="3"/>
  <c r="O3708" i="3"/>
  <c r="P3707" i="3"/>
  <c r="O3707" i="3"/>
  <c r="P3706" i="3"/>
  <c r="O3706" i="3"/>
  <c r="P3705" i="3"/>
  <c r="O3705" i="3"/>
  <c r="P3704" i="3"/>
  <c r="O3704" i="3"/>
  <c r="P3703" i="3"/>
  <c r="O3703" i="3"/>
  <c r="P3702" i="3"/>
  <c r="O3702" i="3"/>
  <c r="P3701" i="3"/>
  <c r="O3701" i="3"/>
  <c r="P3700" i="3"/>
  <c r="O3700" i="3"/>
  <c r="P3699" i="3"/>
  <c r="O3699" i="3"/>
  <c r="P3698" i="3"/>
  <c r="O3698" i="3"/>
  <c r="P3697" i="3"/>
  <c r="O3697" i="3"/>
  <c r="P3696" i="3"/>
  <c r="O3696" i="3"/>
  <c r="P3695" i="3"/>
  <c r="O3695" i="3"/>
  <c r="P3694" i="3"/>
  <c r="O3694" i="3"/>
  <c r="P3693" i="3"/>
  <c r="O3693" i="3"/>
  <c r="P3692" i="3"/>
  <c r="O3692" i="3"/>
  <c r="P3691" i="3"/>
  <c r="O3691" i="3"/>
  <c r="P3690" i="3"/>
  <c r="O3690" i="3"/>
  <c r="P3689" i="3"/>
  <c r="O3689" i="3"/>
  <c r="P3688" i="3"/>
  <c r="O3688" i="3"/>
  <c r="P3687" i="3"/>
  <c r="O3687" i="3"/>
  <c r="P3686" i="3"/>
  <c r="O3686" i="3"/>
  <c r="P3685" i="3"/>
  <c r="O3685" i="3"/>
  <c r="P3684" i="3"/>
  <c r="O3684" i="3"/>
  <c r="P3683" i="3"/>
  <c r="O3683" i="3"/>
  <c r="P3682" i="3"/>
  <c r="O3682" i="3"/>
  <c r="P3681" i="3"/>
  <c r="O3681" i="3"/>
  <c r="P3680" i="3"/>
  <c r="O3680" i="3"/>
  <c r="P3679" i="3"/>
  <c r="O3679" i="3"/>
  <c r="P3678" i="3"/>
  <c r="O3678" i="3"/>
  <c r="P3677" i="3"/>
  <c r="O3677" i="3"/>
  <c r="P3676" i="3"/>
  <c r="O3676" i="3"/>
  <c r="P3675" i="3"/>
  <c r="O3675" i="3"/>
  <c r="P3674" i="3"/>
  <c r="O3674" i="3"/>
  <c r="P3673" i="3"/>
  <c r="O3673" i="3"/>
  <c r="P3672" i="3"/>
  <c r="O3672" i="3"/>
  <c r="P3671" i="3"/>
  <c r="O3671" i="3"/>
  <c r="P3670" i="3"/>
  <c r="O3670" i="3"/>
  <c r="P3669" i="3"/>
  <c r="O3669" i="3"/>
  <c r="P3668" i="3"/>
  <c r="O3668" i="3"/>
  <c r="P3667" i="3"/>
  <c r="O3667" i="3"/>
  <c r="P3666" i="3"/>
  <c r="O3666" i="3"/>
  <c r="P3665" i="3"/>
  <c r="O3665" i="3"/>
  <c r="P3664" i="3"/>
  <c r="O3664" i="3"/>
  <c r="P3663" i="3"/>
  <c r="O3663" i="3"/>
  <c r="P3662" i="3"/>
  <c r="O3662" i="3"/>
  <c r="P3661" i="3"/>
  <c r="O3661" i="3"/>
  <c r="P3660" i="3"/>
  <c r="O3660" i="3"/>
  <c r="P3659" i="3"/>
  <c r="O3659" i="3"/>
  <c r="P3658" i="3"/>
  <c r="O3658" i="3"/>
  <c r="P3657" i="3"/>
  <c r="O3657" i="3"/>
  <c r="P3656" i="3"/>
  <c r="O3656" i="3"/>
  <c r="P3655" i="3"/>
  <c r="O3655" i="3"/>
  <c r="P3654" i="3"/>
  <c r="O3654" i="3"/>
  <c r="P3653" i="3"/>
  <c r="O3653" i="3"/>
  <c r="P3652" i="3"/>
  <c r="O3652" i="3"/>
  <c r="P3651" i="3"/>
  <c r="O3651" i="3"/>
  <c r="P3650" i="3"/>
  <c r="O3650" i="3"/>
  <c r="P3649" i="3"/>
  <c r="O3649" i="3"/>
  <c r="P3648" i="3"/>
  <c r="O3648" i="3"/>
  <c r="P3647" i="3"/>
  <c r="O3647" i="3"/>
  <c r="P3646" i="3"/>
  <c r="O3646" i="3"/>
  <c r="P3645" i="3"/>
  <c r="O3645" i="3"/>
  <c r="P3644" i="3"/>
  <c r="O3644" i="3"/>
  <c r="P3643" i="3"/>
  <c r="O3643" i="3"/>
  <c r="P3642" i="3"/>
  <c r="O3642" i="3"/>
  <c r="P3641" i="3"/>
  <c r="O3641" i="3"/>
  <c r="P3640" i="3"/>
  <c r="O3640" i="3"/>
  <c r="P3639" i="3"/>
  <c r="O3639" i="3"/>
  <c r="P3638" i="3"/>
  <c r="O3638" i="3"/>
  <c r="P3637" i="3"/>
  <c r="O3637" i="3"/>
  <c r="P3636" i="3"/>
  <c r="O3636" i="3"/>
  <c r="P3635" i="3"/>
  <c r="O3635" i="3"/>
  <c r="P3634" i="3"/>
  <c r="O3634" i="3"/>
  <c r="P3633" i="3"/>
  <c r="O3633" i="3"/>
  <c r="P3632" i="3"/>
  <c r="O3632" i="3"/>
  <c r="P3631" i="3"/>
  <c r="O3631" i="3"/>
  <c r="P3630" i="3"/>
  <c r="O3630" i="3"/>
  <c r="P3629" i="3"/>
  <c r="O3629" i="3"/>
  <c r="P3628" i="3"/>
  <c r="O3628" i="3"/>
  <c r="P3627" i="3"/>
  <c r="O3627" i="3"/>
  <c r="P3626" i="3"/>
  <c r="O3626" i="3"/>
  <c r="P3625" i="3"/>
  <c r="O3625" i="3"/>
  <c r="P3624" i="3"/>
  <c r="O3624" i="3"/>
  <c r="P3623" i="3"/>
  <c r="O3623" i="3"/>
  <c r="P3622" i="3"/>
  <c r="O3622" i="3"/>
  <c r="P3621" i="3"/>
  <c r="O3621" i="3"/>
  <c r="P3620" i="3"/>
  <c r="O3620" i="3"/>
  <c r="P3619" i="3"/>
  <c r="O3619" i="3"/>
  <c r="P3618" i="3"/>
  <c r="O3618" i="3"/>
  <c r="P3617" i="3"/>
  <c r="O3617" i="3"/>
  <c r="P3616" i="3"/>
  <c r="O3616" i="3"/>
  <c r="P3615" i="3"/>
  <c r="O3615" i="3"/>
  <c r="P3614" i="3"/>
  <c r="O3614" i="3"/>
  <c r="P3613" i="3"/>
  <c r="O3613" i="3"/>
  <c r="P3612" i="3"/>
  <c r="O3612" i="3"/>
  <c r="P3611" i="3"/>
  <c r="O3611" i="3"/>
  <c r="P3610" i="3"/>
  <c r="O3610" i="3"/>
  <c r="P3609" i="3"/>
  <c r="O3609" i="3"/>
  <c r="P3608" i="3"/>
  <c r="O3608" i="3"/>
  <c r="P3607" i="3"/>
  <c r="O3607" i="3"/>
  <c r="P3606" i="3"/>
  <c r="O3606" i="3"/>
  <c r="P3605" i="3"/>
  <c r="O3605" i="3"/>
  <c r="P3604" i="3"/>
  <c r="O3604" i="3"/>
  <c r="P3603" i="3"/>
  <c r="O3603" i="3"/>
  <c r="P3602" i="3"/>
  <c r="O3602" i="3"/>
  <c r="P3601" i="3"/>
  <c r="O3601" i="3"/>
  <c r="P3600" i="3"/>
  <c r="O3600" i="3"/>
  <c r="P3599" i="3"/>
  <c r="O3599" i="3"/>
  <c r="P3598" i="3"/>
  <c r="O3598" i="3"/>
  <c r="P3597" i="3"/>
  <c r="O3597" i="3"/>
  <c r="P3596" i="3"/>
  <c r="O3596" i="3"/>
  <c r="P3595" i="3"/>
  <c r="O3595" i="3"/>
  <c r="P3594" i="3"/>
  <c r="O3594" i="3"/>
  <c r="P3593" i="3"/>
  <c r="O3593" i="3"/>
  <c r="P3592" i="3"/>
  <c r="O3592" i="3"/>
  <c r="P3591" i="3"/>
  <c r="O3591" i="3"/>
  <c r="P3590" i="3"/>
  <c r="O3590" i="3"/>
  <c r="P3589" i="3"/>
  <c r="O3589" i="3"/>
  <c r="P3588" i="3"/>
  <c r="O3588" i="3"/>
  <c r="P3587" i="3"/>
  <c r="O3587" i="3"/>
  <c r="P3586" i="3"/>
  <c r="O3586" i="3"/>
  <c r="P3585" i="3"/>
  <c r="O3585" i="3"/>
  <c r="P3584" i="3"/>
  <c r="O3584" i="3"/>
  <c r="P3583" i="3"/>
  <c r="O3583" i="3"/>
  <c r="P3582" i="3"/>
  <c r="O3582" i="3"/>
  <c r="P3581" i="3"/>
  <c r="O3581" i="3"/>
  <c r="P3580" i="3"/>
  <c r="O3580" i="3"/>
  <c r="P3579" i="3"/>
  <c r="O3579" i="3"/>
  <c r="P3578" i="3"/>
  <c r="O3578" i="3"/>
  <c r="P3577" i="3"/>
  <c r="O3577" i="3"/>
  <c r="P3576" i="3"/>
  <c r="O3576" i="3"/>
  <c r="P3575" i="3"/>
  <c r="O3575" i="3"/>
  <c r="P3574" i="3"/>
  <c r="O3574" i="3"/>
  <c r="P3573" i="3"/>
  <c r="O3573" i="3"/>
  <c r="P3572" i="3"/>
  <c r="O3572" i="3"/>
  <c r="P3571" i="3"/>
  <c r="O3571" i="3"/>
  <c r="P3570" i="3"/>
  <c r="O3570" i="3"/>
  <c r="P3569" i="3"/>
  <c r="O3569" i="3"/>
  <c r="P3568" i="3"/>
  <c r="O3568" i="3"/>
  <c r="P3567" i="3"/>
  <c r="O3567" i="3"/>
  <c r="P3566" i="3"/>
  <c r="O3566" i="3"/>
  <c r="P3565" i="3"/>
  <c r="O3565" i="3"/>
  <c r="P3564" i="3"/>
  <c r="O3564" i="3"/>
  <c r="P3563" i="3"/>
  <c r="O3563" i="3"/>
  <c r="P3562" i="3"/>
  <c r="O3562" i="3"/>
  <c r="P3561" i="3"/>
  <c r="O3561" i="3"/>
  <c r="P3560" i="3"/>
  <c r="O3560" i="3"/>
  <c r="P3559" i="3"/>
  <c r="O3559" i="3"/>
  <c r="P3558" i="3"/>
  <c r="O3558" i="3"/>
  <c r="P3557" i="3"/>
  <c r="O3557" i="3"/>
  <c r="P3556" i="3"/>
  <c r="O3556" i="3"/>
  <c r="P3555" i="3"/>
  <c r="O3555" i="3"/>
  <c r="P3554" i="3"/>
  <c r="O3554" i="3"/>
  <c r="P3553" i="3"/>
  <c r="O3553" i="3"/>
  <c r="P3552" i="3"/>
  <c r="O3552" i="3"/>
  <c r="P3551" i="3"/>
  <c r="O3551" i="3"/>
  <c r="P3550" i="3"/>
  <c r="O3550" i="3"/>
  <c r="P3549" i="3"/>
  <c r="O3549" i="3"/>
  <c r="P3548" i="3"/>
  <c r="O3548" i="3"/>
  <c r="P3547" i="3"/>
  <c r="O3547" i="3"/>
  <c r="P3546" i="3"/>
  <c r="O3546" i="3"/>
  <c r="P3545" i="3"/>
  <c r="O3545" i="3"/>
  <c r="P3544" i="3"/>
  <c r="O3544" i="3"/>
  <c r="P3543" i="3"/>
  <c r="O3543" i="3"/>
  <c r="P3542" i="3"/>
  <c r="O3542" i="3"/>
  <c r="P3541" i="3"/>
  <c r="O3541" i="3"/>
  <c r="P3540" i="3"/>
  <c r="O3540" i="3"/>
  <c r="P3539" i="3"/>
  <c r="O3539" i="3"/>
  <c r="P3538" i="3"/>
  <c r="O3538" i="3"/>
  <c r="P3537" i="3"/>
  <c r="O3537" i="3"/>
  <c r="P3536" i="3"/>
  <c r="O3536" i="3"/>
  <c r="P3535" i="3"/>
  <c r="O3535" i="3"/>
  <c r="P3534" i="3"/>
  <c r="O3534" i="3"/>
  <c r="P3533" i="3"/>
  <c r="O3533" i="3"/>
  <c r="P3532" i="3"/>
  <c r="O3532" i="3"/>
  <c r="P3531" i="3"/>
  <c r="O3531" i="3"/>
  <c r="P3530" i="3"/>
  <c r="O3530" i="3"/>
  <c r="P3529" i="3"/>
  <c r="O3529" i="3"/>
  <c r="P3528" i="3"/>
  <c r="O3528" i="3"/>
  <c r="P3527" i="3"/>
  <c r="O3527" i="3"/>
  <c r="P3526" i="3"/>
  <c r="O3526" i="3"/>
  <c r="P3525" i="3"/>
  <c r="O3525" i="3"/>
  <c r="P3524" i="3"/>
  <c r="O3524" i="3"/>
  <c r="P3523" i="3"/>
  <c r="O3523" i="3"/>
  <c r="P3522" i="3"/>
  <c r="O3522" i="3"/>
  <c r="P3521" i="3"/>
  <c r="O3521" i="3"/>
  <c r="P3520" i="3"/>
  <c r="O3520" i="3"/>
  <c r="P3519" i="3"/>
  <c r="O3519" i="3"/>
  <c r="P3518" i="3"/>
  <c r="O3518" i="3"/>
  <c r="P3517" i="3"/>
  <c r="O3517" i="3"/>
  <c r="P3516" i="3"/>
  <c r="O3516" i="3"/>
  <c r="P3515" i="3"/>
  <c r="O3515" i="3"/>
  <c r="P3514" i="3"/>
  <c r="O3514" i="3"/>
  <c r="P3513" i="3"/>
  <c r="O3513" i="3"/>
  <c r="P3512" i="3"/>
  <c r="O3512" i="3"/>
  <c r="P3511" i="3"/>
  <c r="O3511" i="3"/>
  <c r="P3510" i="3"/>
  <c r="O3510" i="3"/>
  <c r="P3509" i="3"/>
  <c r="O3509" i="3"/>
  <c r="P3508" i="3"/>
  <c r="O3508" i="3"/>
  <c r="P3507" i="3"/>
  <c r="O3507" i="3"/>
  <c r="P3506" i="3"/>
  <c r="O3506" i="3"/>
  <c r="P3505" i="3"/>
  <c r="O3505" i="3"/>
  <c r="P3504" i="3"/>
  <c r="O3504" i="3"/>
  <c r="P3503" i="3"/>
  <c r="O3503" i="3"/>
  <c r="P3502" i="3"/>
  <c r="O3502" i="3"/>
  <c r="P3501" i="3"/>
  <c r="O3501" i="3"/>
  <c r="P3500" i="3"/>
  <c r="O3500" i="3"/>
  <c r="P3499" i="3"/>
  <c r="O3499" i="3"/>
  <c r="P3498" i="3"/>
  <c r="O3498" i="3"/>
  <c r="P3497" i="3"/>
  <c r="O3497" i="3"/>
  <c r="P3496" i="3"/>
  <c r="O3496" i="3"/>
  <c r="P3495" i="3"/>
  <c r="O3495" i="3"/>
  <c r="P3494" i="3"/>
  <c r="O3494" i="3"/>
  <c r="P3493" i="3"/>
  <c r="O3493" i="3"/>
  <c r="P3492" i="3"/>
  <c r="O3492" i="3"/>
  <c r="P3491" i="3"/>
  <c r="O3491" i="3"/>
  <c r="P3490" i="3"/>
  <c r="O3490" i="3"/>
  <c r="P3489" i="3"/>
  <c r="O3489" i="3"/>
  <c r="P3488" i="3"/>
  <c r="O3488" i="3"/>
  <c r="P3487" i="3"/>
  <c r="O3487" i="3"/>
  <c r="P3486" i="3"/>
  <c r="O3486" i="3"/>
  <c r="P3485" i="3"/>
  <c r="O3485" i="3"/>
  <c r="P3484" i="3"/>
  <c r="O3484" i="3"/>
  <c r="P3483" i="3"/>
  <c r="O3483" i="3"/>
  <c r="P3482" i="3"/>
  <c r="O3482" i="3"/>
  <c r="P3481" i="3"/>
  <c r="O3481" i="3"/>
  <c r="P3480" i="3"/>
  <c r="O3480" i="3"/>
  <c r="P3479" i="3"/>
  <c r="O3479" i="3"/>
  <c r="P3478" i="3"/>
  <c r="O3478" i="3"/>
  <c r="P3477" i="3"/>
  <c r="O3477" i="3"/>
  <c r="P3476" i="3"/>
  <c r="O3476" i="3"/>
  <c r="P3475" i="3"/>
  <c r="O3475" i="3"/>
  <c r="P3474" i="3"/>
  <c r="O3474" i="3"/>
  <c r="P3473" i="3"/>
  <c r="O3473" i="3"/>
  <c r="P3472" i="3"/>
  <c r="O3472" i="3"/>
  <c r="P3471" i="3"/>
  <c r="O3471" i="3"/>
  <c r="P3470" i="3"/>
  <c r="O3470" i="3"/>
  <c r="P3469" i="3"/>
  <c r="O3469" i="3"/>
  <c r="P3468" i="3"/>
  <c r="O3468" i="3"/>
  <c r="P3467" i="3"/>
  <c r="O3467" i="3"/>
  <c r="P3466" i="3"/>
  <c r="O3466" i="3"/>
  <c r="P3465" i="3"/>
  <c r="O3465" i="3"/>
  <c r="P3464" i="3"/>
  <c r="O3464" i="3"/>
  <c r="P3463" i="3"/>
  <c r="O3463" i="3"/>
  <c r="P3462" i="3"/>
  <c r="O3462" i="3"/>
  <c r="P3461" i="3"/>
  <c r="O3461" i="3"/>
  <c r="P3460" i="3"/>
  <c r="O3460" i="3"/>
  <c r="P3459" i="3"/>
  <c r="O3459" i="3"/>
  <c r="P3458" i="3"/>
  <c r="O3458" i="3"/>
  <c r="P3457" i="3"/>
  <c r="O3457" i="3"/>
  <c r="P3456" i="3"/>
  <c r="O3456" i="3"/>
  <c r="P3455" i="3"/>
  <c r="O3455" i="3"/>
  <c r="P3454" i="3"/>
  <c r="O3454" i="3"/>
  <c r="P3453" i="3"/>
  <c r="O3453" i="3"/>
  <c r="P3452" i="3"/>
  <c r="O3452" i="3"/>
  <c r="P3451" i="3"/>
  <c r="O3451" i="3"/>
  <c r="P3450" i="3"/>
  <c r="O3450" i="3"/>
  <c r="P3449" i="3"/>
  <c r="O3449" i="3"/>
  <c r="P3448" i="3"/>
  <c r="O3448" i="3"/>
  <c r="P3447" i="3"/>
  <c r="O3447" i="3"/>
  <c r="P3446" i="3"/>
  <c r="O3446" i="3"/>
  <c r="P3445" i="3"/>
  <c r="O3445" i="3"/>
  <c r="P3444" i="3"/>
  <c r="O3444" i="3"/>
  <c r="P3443" i="3"/>
  <c r="O3443" i="3"/>
  <c r="P3442" i="3"/>
  <c r="O3442" i="3"/>
  <c r="P3441" i="3"/>
  <c r="O3441" i="3"/>
  <c r="P3440" i="3"/>
  <c r="O3440" i="3"/>
  <c r="P3439" i="3"/>
  <c r="O3439" i="3"/>
  <c r="P3438" i="3"/>
  <c r="O3438" i="3"/>
  <c r="P3437" i="3"/>
  <c r="O3437" i="3"/>
  <c r="P3436" i="3"/>
  <c r="O3436" i="3"/>
  <c r="P3435" i="3"/>
  <c r="O3435" i="3"/>
  <c r="P3434" i="3"/>
  <c r="O3434" i="3"/>
  <c r="P3433" i="3"/>
  <c r="O3433" i="3"/>
  <c r="P3432" i="3"/>
  <c r="O3432" i="3"/>
  <c r="P3431" i="3"/>
  <c r="O3431" i="3"/>
  <c r="P3430" i="3"/>
  <c r="O3430" i="3"/>
  <c r="P3429" i="3"/>
  <c r="O3429" i="3"/>
  <c r="P3428" i="3"/>
  <c r="O3428" i="3"/>
  <c r="P3427" i="3"/>
  <c r="O3427" i="3"/>
  <c r="P3426" i="3"/>
  <c r="O3426" i="3"/>
  <c r="P3425" i="3"/>
  <c r="O3425" i="3"/>
  <c r="P3424" i="3"/>
  <c r="O3424" i="3"/>
  <c r="P3423" i="3"/>
  <c r="O3423" i="3"/>
  <c r="P3422" i="3"/>
  <c r="O3422" i="3"/>
  <c r="P3421" i="3"/>
  <c r="O3421" i="3"/>
  <c r="P3420" i="3"/>
  <c r="O3420" i="3"/>
  <c r="P3419" i="3"/>
  <c r="O3419" i="3"/>
  <c r="P3418" i="3"/>
  <c r="O3418" i="3"/>
  <c r="P3417" i="3"/>
  <c r="O3417" i="3"/>
  <c r="P3416" i="3"/>
  <c r="O3416" i="3"/>
  <c r="P3415" i="3"/>
  <c r="O3415" i="3"/>
  <c r="P3414" i="3"/>
  <c r="O3414" i="3"/>
  <c r="P3413" i="3"/>
  <c r="O3413" i="3"/>
  <c r="P3412" i="3"/>
  <c r="O3412" i="3"/>
  <c r="P3411" i="3"/>
  <c r="O3411" i="3"/>
  <c r="P3410" i="3"/>
  <c r="O3410" i="3"/>
  <c r="P3409" i="3"/>
  <c r="O3409" i="3"/>
  <c r="P3408" i="3"/>
  <c r="O3408" i="3"/>
  <c r="P3407" i="3"/>
  <c r="O3407" i="3"/>
  <c r="P3406" i="3"/>
  <c r="O3406" i="3"/>
  <c r="P3405" i="3"/>
  <c r="O3405" i="3"/>
  <c r="P3404" i="3"/>
  <c r="O3404" i="3"/>
  <c r="P3403" i="3"/>
  <c r="O3403" i="3"/>
  <c r="P3402" i="3"/>
  <c r="O3402" i="3"/>
  <c r="P3401" i="3"/>
  <c r="O3401" i="3"/>
  <c r="P3400" i="3"/>
  <c r="O3400" i="3"/>
  <c r="P3399" i="3"/>
  <c r="O3399" i="3"/>
  <c r="P3398" i="3"/>
  <c r="O3398" i="3"/>
  <c r="P3397" i="3"/>
  <c r="O3397" i="3"/>
  <c r="P3396" i="3"/>
  <c r="O3396" i="3"/>
  <c r="P3395" i="3"/>
  <c r="O3395" i="3"/>
  <c r="P3394" i="3"/>
  <c r="O3394" i="3"/>
  <c r="P3393" i="3"/>
  <c r="O3393" i="3"/>
  <c r="P3392" i="3"/>
  <c r="O3392" i="3"/>
  <c r="P3391" i="3"/>
  <c r="O3391" i="3"/>
  <c r="P3390" i="3"/>
  <c r="O3390" i="3"/>
  <c r="P3389" i="3"/>
  <c r="O3389" i="3"/>
  <c r="P3388" i="3"/>
  <c r="O3388" i="3"/>
  <c r="P3387" i="3"/>
  <c r="O3387" i="3"/>
  <c r="P3386" i="3"/>
  <c r="O3386" i="3"/>
  <c r="P3385" i="3"/>
  <c r="O3385" i="3"/>
  <c r="P3384" i="3"/>
  <c r="O3384" i="3"/>
  <c r="P3383" i="3"/>
  <c r="O3383" i="3"/>
  <c r="P3382" i="3"/>
  <c r="O3382" i="3"/>
  <c r="P3381" i="3"/>
  <c r="O3381" i="3"/>
  <c r="P3380" i="3"/>
  <c r="O3380" i="3"/>
  <c r="P3379" i="3"/>
  <c r="O3379" i="3"/>
  <c r="P3378" i="3"/>
  <c r="O3378" i="3"/>
  <c r="P3377" i="3"/>
  <c r="O3377" i="3"/>
  <c r="P3376" i="3"/>
  <c r="O3376" i="3"/>
  <c r="P3375" i="3"/>
  <c r="O3375" i="3"/>
  <c r="P3374" i="3"/>
  <c r="O3374" i="3"/>
  <c r="P3373" i="3"/>
  <c r="O3373" i="3"/>
  <c r="P3372" i="3"/>
  <c r="O3372" i="3"/>
  <c r="P3371" i="3"/>
  <c r="O3371" i="3"/>
  <c r="P3370" i="3"/>
  <c r="O3370" i="3"/>
  <c r="P3369" i="3"/>
  <c r="O3369" i="3"/>
  <c r="P3368" i="3"/>
  <c r="O3368" i="3"/>
  <c r="P3367" i="3"/>
  <c r="O3367" i="3"/>
  <c r="P3366" i="3"/>
  <c r="O3366" i="3"/>
  <c r="P3365" i="3"/>
  <c r="O3365" i="3"/>
  <c r="P3364" i="3"/>
  <c r="O3364" i="3"/>
  <c r="P3363" i="3"/>
  <c r="O3363" i="3"/>
  <c r="P3362" i="3"/>
  <c r="O3362" i="3"/>
  <c r="P3361" i="3"/>
  <c r="O3361" i="3"/>
  <c r="P3360" i="3"/>
  <c r="O3360" i="3"/>
  <c r="P3359" i="3"/>
  <c r="O3359" i="3"/>
  <c r="P3358" i="3"/>
  <c r="O3358" i="3"/>
  <c r="P3357" i="3"/>
  <c r="O3357" i="3"/>
  <c r="P3356" i="3"/>
  <c r="O3356" i="3"/>
  <c r="P3355" i="3"/>
  <c r="O3355" i="3"/>
  <c r="P3354" i="3"/>
  <c r="O3354" i="3"/>
  <c r="P3353" i="3"/>
  <c r="O3353" i="3"/>
  <c r="P3352" i="3"/>
  <c r="O3352" i="3"/>
  <c r="P3351" i="3"/>
  <c r="O3351" i="3"/>
  <c r="P3350" i="3"/>
  <c r="O3350" i="3"/>
  <c r="P3349" i="3"/>
  <c r="O3349" i="3"/>
  <c r="P3348" i="3"/>
  <c r="O3348" i="3"/>
  <c r="P3347" i="3"/>
  <c r="O3347" i="3"/>
  <c r="P3346" i="3"/>
  <c r="O3346" i="3"/>
  <c r="P3345" i="3"/>
  <c r="O3345" i="3"/>
  <c r="P3344" i="3"/>
  <c r="O3344" i="3"/>
  <c r="P3343" i="3"/>
  <c r="O3343" i="3"/>
  <c r="P3342" i="3"/>
  <c r="O3342" i="3"/>
  <c r="P3341" i="3"/>
  <c r="O3341" i="3"/>
  <c r="P3340" i="3"/>
  <c r="O3340" i="3"/>
  <c r="P3339" i="3"/>
  <c r="O3339" i="3"/>
  <c r="P3338" i="3"/>
  <c r="O3338" i="3"/>
  <c r="P3337" i="3"/>
  <c r="O3337" i="3"/>
  <c r="P3336" i="3"/>
  <c r="O3336" i="3"/>
  <c r="P3335" i="3"/>
  <c r="O3335" i="3"/>
  <c r="P3334" i="3"/>
  <c r="O3334" i="3"/>
  <c r="P3333" i="3"/>
  <c r="O3333" i="3"/>
  <c r="P3332" i="3"/>
  <c r="O3332" i="3"/>
  <c r="P3331" i="3"/>
  <c r="O3331" i="3"/>
  <c r="P3330" i="3"/>
  <c r="O3330" i="3"/>
  <c r="P3329" i="3"/>
  <c r="O3329" i="3"/>
  <c r="P3328" i="3"/>
  <c r="O3328" i="3"/>
  <c r="P3327" i="3"/>
  <c r="O3327" i="3"/>
  <c r="P3326" i="3"/>
  <c r="O3326" i="3"/>
  <c r="P3325" i="3"/>
  <c r="O3325" i="3"/>
  <c r="P3324" i="3"/>
  <c r="O3324" i="3"/>
  <c r="P3323" i="3"/>
  <c r="O3323" i="3"/>
  <c r="P3322" i="3"/>
  <c r="O3322" i="3"/>
  <c r="P3321" i="3"/>
  <c r="O3321" i="3"/>
  <c r="P3320" i="3"/>
  <c r="O3320" i="3"/>
  <c r="P3319" i="3"/>
  <c r="O3319" i="3"/>
  <c r="P3318" i="3"/>
  <c r="O3318" i="3"/>
  <c r="P3317" i="3"/>
  <c r="O3317" i="3"/>
  <c r="P3316" i="3"/>
  <c r="O3316" i="3"/>
  <c r="P3315" i="3"/>
  <c r="O3315" i="3"/>
  <c r="P3314" i="3"/>
  <c r="O3314" i="3"/>
  <c r="P3313" i="3"/>
  <c r="O3313" i="3"/>
  <c r="P3312" i="3"/>
  <c r="O3312" i="3"/>
  <c r="P3311" i="3"/>
  <c r="O3311" i="3"/>
  <c r="P3310" i="3"/>
  <c r="O3310" i="3"/>
  <c r="P3309" i="3"/>
  <c r="O3309" i="3"/>
  <c r="P3308" i="3"/>
  <c r="O3308" i="3"/>
  <c r="P3307" i="3"/>
  <c r="O3307" i="3"/>
  <c r="P3306" i="3"/>
  <c r="O3306" i="3"/>
  <c r="P3305" i="3"/>
  <c r="O3305" i="3"/>
  <c r="P3304" i="3"/>
  <c r="O3304" i="3"/>
  <c r="P3303" i="3"/>
  <c r="O3303" i="3"/>
  <c r="P3302" i="3"/>
  <c r="O3302" i="3"/>
  <c r="P3301" i="3"/>
  <c r="O3301" i="3"/>
  <c r="P3300" i="3"/>
  <c r="O3300" i="3"/>
  <c r="P3299" i="3"/>
  <c r="O3299" i="3"/>
  <c r="P3298" i="3"/>
  <c r="O3298" i="3"/>
  <c r="P3297" i="3"/>
  <c r="O3297" i="3"/>
  <c r="P3296" i="3"/>
  <c r="O3296" i="3"/>
  <c r="P3295" i="3"/>
  <c r="O3295" i="3"/>
  <c r="P3294" i="3"/>
  <c r="O3294" i="3"/>
  <c r="P3293" i="3"/>
  <c r="O3293" i="3"/>
  <c r="P3292" i="3"/>
  <c r="O3292" i="3"/>
  <c r="P3291" i="3"/>
  <c r="O3291" i="3"/>
  <c r="P3290" i="3"/>
  <c r="O3290" i="3"/>
  <c r="P3289" i="3"/>
  <c r="O3289" i="3"/>
  <c r="P3288" i="3"/>
  <c r="O3288" i="3"/>
  <c r="P3287" i="3"/>
  <c r="O3287" i="3"/>
  <c r="P3286" i="3"/>
  <c r="O3286" i="3"/>
  <c r="P3285" i="3"/>
  <c r="O3285" i="3"/>
  <c r="P3284" i="3"/>
  <c r="O3284" i="3"/>
  <c r="P3283" i="3"/>
  <c r="O3283" i="3"/>
  <c r="P3282" i="3"/>
  <c r="O3282" i="3"/>
  <c r="P3281" i="3"/>
  <c r="O3281" i="3"/>
  <c r="P3280" i="3"/>
  <c r="O3280" i="3"/>
  <c r="P3279" i="3"/>
  <c r="O3279" i="3"/>
  <c r="P3278" i="3"/>
  <c r="O3278" i="3"/>
  <c r="P3277" i="3"/>
  <c r="O3277" i="3"/>
  <c r="P3276" i="3"/>
  <c r="O3276" i="3"/>
  <c r="P3275" i="3"/>
  <c r="O3275" i="3"/>
  <c r="P3274" i="3"/>
  <c r="O3274" i="3"/>
  <c r="P3273" i="3"/>
  <c r="O3273" i="3"/>
  <c r="P3272" i="3"/>
  <c r="O3272" i="3"/>
  <c r="P3271" i="3"/>
  <c r="O3271" i="3"/>
  <c r="P3270" i="3"/>
  <c r="O3270" i="3"/>
  <c r="P3269" i="3"/>
  <c r="O3269" i="3"/>
  <c r="P3268" i="3"/>
  <c r="O3268" i="3"/>
  <c r="P3267" i="3"/>
  <c r="O3267" i="3"/>
  <c r="P3266" i="3"/>
  <c r="O3266" i="3"/>
  <c r="P3265" i="3"/>
  <c r="O3265" i="3"/>
  <c r="P3264" i="3"/>
  <c r="O3264" i="3"/>
  <c r="P3263" i="3"/>
  <c r="O3263" i="3"/>
  <c r="P3262" i="3"/>
  <c r="O3262" i="3"/>
  <c r="P3261" i="3"/>
  <c r="O3261" i="3"/>
  <c r="P3260" i="3"/>
  <c r="O3260" i="3"/>
  <c r="P3259" i="3"/>
  <c r="O3259" i="3"/>
  <c r="P3258" i="3"/>
  <c r="O3258" i="3"/>
  <c r="P3257" i="3"/>
  <c r="O3257" i="3"/>
  <c r="P3256" i="3"/>
  <c r="O3256" i="3"/>
  <c r="P3255" i="3"/>
  <c r="O3255" i="3"/>
  <c r="P3254" i="3"/>
  <c r="O3254" i="3"/>
  <c r="P3253" i="3"/>
  <c r="O3253" i="3"/>
  <c r="P3252" i="3"/>
  <c r="O3252" i="3"/>
  <c r="P3251" i="3"/>
  <c r="O3251" i="3"/>
  <c r="P3250" i="3"/>
  <c r="O3250" i="3"/>
  <c r="P3249" i="3"/>
  <c r="O3249" i="3"/>
  <c r="P3248" i="3"/>
  <c r="O3248" i="3"/>
  <c r="P3247" i="3"/>
  <c r="O3247" i="3"/>
  <c r="P3246" i="3"/>
  <c r="O3246" i="3"/>
  <c r="P3245" i="3"/>
  <c r="O3245" i="3"/>
  <c r="P3244" i="3"/>
  <c r="O3244" i="3"/>
  <c r="P3243" i="3"/>
  <c r="O3243" i="3"/>
  <c r="P3242" i="3"/>
  <c r="O3242" i="3"/>
  <c r="P3241" i="3"/>
  <c r="O3241" i="3"/>
  <c r="P3240" i="3"/>
  <c r="O3240" i="3"/>
  <c r="P3239" i="3"/>
  <c r="O3239" i="3"/>
  <c r="P3238" i="3"/>
  <c r="O3238" i="3"/>
  <c r="P3237" i="3"/>
  <c r="O3237" i="3"/>
  <c r="P3236" i="3"/>
  <c r="O3236" i="3"/>
  <c r="P3235" i="3"/>
  <c r="O3235" i="3"/>
  <c r="P3234" i="3"/>
  <c r="O3234" i="3"/>
  <c r="P3233" i="3"/>
  <c r="O3233" i="3"/>
  <c r="P3232" i="3"/>
  <c r="O3232" i="3"/>
  <c r="P3231" i="3"/>
  <c r="O3231" i="3"/>
  <c r="P3230" i="3"/>
  <c r="O3230" i="3"/>
  <c r="P3229" i="3"/>
  <c r="O3229" i="3"/>
  <c r="P3228" i="3"/>
  <c r="O3228" i="3"/>
  <c r="P3227" i="3"/>
  <c r="O3227" i="3"/>
  <c r="P3226" i="3"/>
  <c r="O3226" i="3"/>
  <c r="P3225" i="3"/>
  <c r="O3225" i="3"/>
  <c r="P3224" i="3"/>
  <c r="O3224" i="3"/>
  <c r="P3223" i="3"/>
  <c r="O3223" i="3"/>
  <c r="P3222" i="3"/>
  <c r="O3222" i="3"/>
  <c r="P3221" i="3"/>
  <c r="O3221" i="3"/>
  <c r="P3220" i="3"/>
  <c r="O3220" i="3"/>
  <c r="P3219" i="3"/>
  <c r="O3219" i="3"/>
  <c r="P3218" i="3"/>
  <c r="O3218" i="3"/>
  <c r="P3217" i="3"/>
  <c r="O3217" i="3"/>
  <c r="P3216" i="3"/>
  <c r="O3216" i="3"/>
  <c r="P3215" i="3"/>
  <c r="O3215" i="3"/>
  <c r="P3214" i="3"/>
  <c r="O3214" i="3"/>
  <c r="P3213" i="3"/>
  <c r="O3213" i="3"/>
  <c r="P3212" i="3"/>
  <c r="O3212" i="3"/>
  <c r="P3211" i="3"/>
  <c r="O3211" i="3"/>
  <c r="P3210" i="3"/>
  <c r="O3210" i="3"/>
  <c r="P3209" i="3"/>
  <c r="O3209" i="3"/>
  <c r="P3208" i="3"/>
  <c r="O3208" i="3"/>
  <c r="P3207" i="3"/>
  <c r="O3207" i="3"/>
  <c r="P3206" i="3"/>
  <c r="O3206" i="3"/>
  <c r="P3205" i="3"/>
  <c r="O3205" i="3"/>
  <c r="P3204" i="3"/>
  <c r="O3204" i="3"/>
  <c r="P3203" i="3"/>
  <c r="O3203" i="3"/>
  <c r="P3202" i="3"/>
  <c r="O3202" i="3"/>
  <c r="P3201" i="3"/>
  <c r="O3201" i="3"/>
  <c r="P3200" i="3"/>
  <c r="O3200" i="3"/>
  <c r="P3199" i="3"/>
  <c r="O3199" i="3"/>
  <c r="P3198" i="3"/>
  <c r="O3198" i="3"/>
  <c r="P3197" i="3"/>
  <c r="O3197" i="3"/>
  <c r="P3196" i="3"/>
  <c r="O3196" i="3"/>
  <c r="P3195" i="3"/>
  <c r="O3195" i="3"/>
  <c r="P3194" i="3"/>
  <c r="O3194" i="3"/>
  <c r="P3193" i="3"/>
  <c r="O3193" i="3"/>
  <c r="P3192" i="3"/>
  <c r="O3192" i="3"/>
  <c r="P3191" i="3"/>
  <c r="O3191" i="3"/>
  <c r="P3190" i="3"/>
  <c r="O3190" i="3"/>
  <c r="P3189" i="3"/>
  <c r="O3189" i="3"/>
  <c r="P3188" i="3"/>
  <c r="O3188" i="3"/>
  <c r="P3187" i="3"/>
  <c r="O3187" i="3"/>
  <c r="P3186" i="3"/>
  <c r="O3186" i="3"/>
  <c r="P3185" i="3"/>
  <c r="O3185" i="3"/>
  <c r="P3184" i="3"/>
  <c r="O3184" i="3"/>
  <c r="P3183" i="3"/>
  <c r="O3183" i="3"/>
  <c r="P3182" i="3"/>
  <c r="O3182" i="3"/>
  <c r="P3181" i="3"/>
  <c r="O3181" i="3"/>
  <c r="P3180" i="3"/>
  <c r="O3180" i="3"/>
  <c r="P3179" i="3"/>
  <c r="O3179" i="3"/>
  <c r="P3178" i="3"/>
  <c r="O3178" i="3"/>
  <c r="P3177" i="3"/>
  <c r="O3177" i="3"/>
  <c r="P3176" i="3"/>
  <c r="O3176" i="3"/>
  <c r="P3175" i="3"/>
  <c r="O3175" i="3"/>
  <c r="P3174" i="3"/>
  <c r="O3174" i="3"/>
  <c r="P3173" i="3"/>
  <c r="O3173" i="3"/>
  <c r="P3172" i="3"/>
  <c r="O3172" i="3"/>
  <c r="P3171" i="3"/>
  <c r="O3171" i="3"/>
  <c r="P3170" i="3"/>
  <c r="O3170" i="3"/>
  <c r="P3169" i="3"/>
  <c r="O3169" i="3"/>
  <c r="P3168" i="3"/>
  <c r="O3168" i="3"/>
  <c r="P3167" i="3"/>
  <c r="O3167" i="3"/>
  <c r="P3166" i="3"/>
  <c r="O3166" i="3"/>
  <c r="P3165" i="3"/>
  <c r="O3165" i="3"/>
  <c r="P3164" i="3"/>
  <c r="O3164" i="3"/>
  <c r="P3163" i="3"/>
  <c r="O3163" i="3"/>
  <c r="P3162" i="3"/>
  <c r="O3162" i="3"/>
  <c r="P3161" i="3"/>
  <c r="O3161" i="3"/>
  <c r="P3160" i="3"/>
  <c r="O3160" i="3"/>
  <c r="P3159" i="3"/>
  <c r="O3159" i="3"/>
  <c r="P3158" i="3"/>
  <c r="O3158" i="3"/>
  <c r="P3157" i="3"/>
  <c r="O3157" i="3"/>
  <c r="P3156" i="3"/>
  <c r="O3156" i="3"/>
  <c r="P3155" i="3"/>
  <c r="O3155" i="3"/>
  <c r="P3154" i="3"/>
  <c r="O3154" i="3"/>
  <c r="P3153" i="3"/>
  <c r="O3153" i="3"/>
  <c r="P3152" i="3"/>
  <c r="O3152" i="3"/>
  <c r="P3151" i="3"/>
  <c r="O3151" i="3"/>
  <c r="P3150" i="3"/>
  <c r="O3150" i="3"/>
  <c r="P3149" i="3"/>
  <c r="O3149" i="3"/>
  <c r="P3148" i="3"/>
  <c r="O3148" i="3"/>
  <c r="P3147" i="3"/>
  <c r="O3147" i="3"/>
  <c r="P3146" i="3"/>
  <c r="O3146" i="3"/>
  <c r="P3145" i="3"/>
  <c r="O3145" i="3"/>
  <c r="P3144" i="3"/>
  <c r="O3144" i="3"/>
  <c r="P3143" i="3"/>
  <c r="O3143" i="3"/>
  <c r="P3142" i="3"/>
  <c r="O3142" i="3"/>
  <c r="P3141" i="3"/>
  <c r="O3141" i="3"/>
  <c r="P3140" i="3"/>
  <c r="O3140" i="3"/>
  <c r="P3139" i="3"/>
  <c r="O3139" i="3"/>
  <c r="P3138" i="3"/>
  <c r="O3138" i="3"/>
  <c r="P3137" i="3"/>
  <c r="O3137" i="3"/>
  <c r="P3136" i="3"/>
  <c r="O3136" i="3"/>
  <c r="P3135" i="3"/>
  <c r="O3135" i="3"/>
  <c r="P3134" i="3"/>
  <c r="O3134" i="3"/>
  <c r="P3133" i="3"/>
  <c r="O3133" i="3"/>
  <c r="P3132" i="3"/>
  <c r="O3132" i="3"/>
  <c r="P3131" i="3"/>
  <c r="O3131" i="3"/>
  <c r="P3130" i="3"/>
  <c r="O3130" i="3"/>
  <c r="P3129" i="3"/>
  <c r="O3129" i="3"/>
  <c r="P3128" i="3"/>
  <c r="O3128" i="3"/>
  <c r="P3127" i="3"/>
  <c r="O3127" i="3"/>
  <c r="P3126" i="3"/>
  <c r="O3126" i="3"/>
  <c r="P3125" i="3"/>
  <c r="O3125" i="3"/>
  <c r="P3124" i="3"/>
  <c r="O3124" i="3"/>
  <c r="P3123" i="3"/>
  <c r="O3123" i="3"/>
  <c r="P3122" i="3"/>
  <c r="O3122" i="3"/>
  <c r="P3121" i="3"/>
  <c r="O3121" i="3"/>
  <c r="P3120" i="3"/>
  <c r="O3120" i="3"/>
  <c r="P3119" i="3"/>
  <c r="O3119" i="3"/>
  <c r="P3118" i="3"/>
  <c r="O3118" i="3"/>
  <c r="P3117" i="3"/>
  <c r="O3117" i="3"/>
  <c r="P3116" i="3"/>
  <c r="O3116" i="3"/>
  <c r="P3115" i="3"/>
  <c r="O3115" i="3"/>
  <c r="P3114" i="3"/>
  <c r="O3114" i="3"/>
  <c r="P3113" i="3"/>
  <c r="O3113" i="3"/>
  <c r="P3112" i="3"/>
  <c r="O3112" i="3"/>
  <c r="P3111" i="3"/>
  <c r="O3111" i="3"/>
  <c r="P3110" i="3"/>
  <c r="O3110" i="3"/>
  <c r="P3109" i="3"/>
  <c r="O3109" i="3"/>
  <c r="P3108" i="3"/>
  <c r="O3108" i="3"/>
  <c r="P3107" i="3"/>
  <c r="O3107" i="3"/>
  <c r="P3106" i="3"/>
  <c r="O3106" i="3"/>
  <c r="P3105" i="3"/>
  <c r="O3105" i="3"/>
  <c r="P3104" i="3"/>
  <c r="O3104" i="3"/>
  <c r="P3103" i="3"/>
  <c r="O3103" i="3"/>
  <c r="P3102" i="3"/>
  <c r="O3102" i="3"/>
  <c r="P3101" i="3"/>
  <c r="O3101" i="3"/>
  <c r="P3100" i="3"/>
  <c r="O3100" i="3"/>
  <c r="P3099" i="3"/>
  <c r="O3099" i="3"/>
  <c r="P3098" i="3"/>
  <c r="O3098" i="3"/>
  <c r="P3097" i="3"/>
  <c r="O3097" i="3"/>
  <c r="P3096" i="3"/>
  <c r="O3096" i="3"/>
  <c r="P3095" i="3"/>
  <c r="O3095" i="3"/>
  <c r="P3094" i="3"/>
  <c r="O3094" i="3"/>
  <c r="P3093" i="3"/>
  <c r="O3093" i="3"/>
  <c r="P3092" i="3"/>
  <c r="O3092" i="3"/>
  <c r="P3091" i="3"/>
  <c r="O3091" i="3"/>
  <c r="P3090" i="3"/>
  <c r="O3090" i="3"/>
  <c r="P3089" i="3"/>
  <c r="O3089" i="3"/>
  <c r="P3088" i="3"/>
  <c r="O3088" i="3"/>
  <c r="P3087" i="3"/>
  <c r="O3087" i="3"/>
  <c r="P3086" i="3"/>
  <c r="O3086" i="3"/>
  <c r="P3085" i="3"/>
  <c r="O3085" i="3"/>
  <c r="P3084" i="3"/>
  <c r="O3084" i="3"/>
  <c r="P3083" i="3"/>
  <c r="O3083" i="3"/>
  <c r="P3082" i="3"/>
  <c r="O3082" i="3"/>
  <c r="P3081" i="3"/>
  <c r="O3081" i="3"/>
  <c r="P3080" i="3"/>
  <c r="O3080" i="3"/>
  <c r="P3079" i="3"/>
  <c r="O3079" i="3"/>
  <c r="P3078" i="3"/>
  <c r="O3078" i="3"/>
  <c r="P3077" i="3"/>
  <c r="O3077" i="3"/>
  <c r="P3076" i="3"/>
  <c r="O3076" i="3"/>
  <c r="P3075" i="3"/>
  <c r="O3075" i="3"/>
  <c r="P3074" i="3"/>
  <c r="O3074" i="3"/>
  <c r="P3073" i="3"/>
  <c r="O3073" i="3"/>
  <c r="P3072" i="3"/>
  <c r="O3072" i="3"/>
  <c r="P3071" i="3"/>
  <c r="O3071" i="3"/>
  <c r="P3070" i="3"/>
  <c r="O3070" i="3"/>
  <c r="P3069" i="3"/>
  <c r="O3069" i="3"/>
  <c r="P3068" i="3"/>
  <c r="O3068" i="3"/>
  <c r="P3067" i="3"/>
  <c r="O3067" i="3"/>
  <c r="P3066" i="3"/>
  <c r="O3066" i="3"/>
  <c r="P3065" i="3"/>
  <c r="O3065" i="3"/>
  <c r="P3064" i="3"/>
  <c r="O3064" i="3"/>
  <c r="P3063" i="3"/>
  <c r="O3063" i="3"/>
  <c r="P3062" i="3"/>
  <c r="O3062" i="3"/>
  <c r="P3061" i="3"/>
  <c r="O3061" i="3"/>
  <c r="P3060" i="3"/>
  <c r="O3060" i="3"/>
  <c r="P3059" i="3"/>
  <c r="O3059" i="3"/>
  <c r="P3058" i="3"/>
  <c r="O3058" i="3"/>
  <c r="P3057" i="3"/>
  <c r="O3057" i="3"/>
  <c r="P3056" i="3"/>
  <c r="O3056" i="3"/>
  <c r="P3055" i="3"/>
  <c r="O3055" i="3"/>
  <c r="P3054" i="3"/>
  <c r="O3054" i="3"/>
  <c r="P3053" i="3"/>
  <c r="O3053" i="3"/>
  <c r="P3052" i="3"/>
  <c r="O3052" i="3"/>
  <c r="P3051" i="3"/>
  <c r="O3051" i="3"/>
  <c r="P3050" i="3"/>
  <c r="O3050" i="3"/>
  <c r="P3049" i="3"/>
  <c r="O3049" i="3"/>
  <c r="P3048" i="3"/>
  <c r="O3048" i="3"/>
  <c r="P3047" i="3"/>
  <c r="O3047" i="3"/>
  <c r="P3046" i="3"/>
  <c r="O3046" i="3"/>
  <c r="P3045" i="3"/>
  <c r="O3045" i="3"/>
  <c r="P3044" i="3"/>
  <c r="O3044" i="3"/>
  <c r="P3043" i="3"/>
  <c r="O3043" i="3"/>
  <c r="P3042" i="3"/>
  <c r="O3042" i="3"/>
  <c r="P3041" i="3"/>
  <c r="O3041" i="3"/>
  <c r="P3040" i="3"/>
  <c r="O3040" i="3"/>
  <c r="P3039" i="3"/>
  <c r="O3039" i="3"/>
  <c r="P3038" i="3"/>
  <c r="O3038" i="3"/>
  <c r="P3037" i="3"/>
  <c r="O3037" i="3"/>
  <c r="P3036" i="3"/>
  <c r="O3036" i="3"/>
  <c r="P3035" i="3"/>
  <c r="O3035" i="3"/>
  <c r="P3034" i="3"/>
  <c r="O3034" i="3"/>
  <c r="P3033" i="3"/>
  <c r="O3033" i="3"/>
  <c r="P3032" i="3"/>
  <c r="O3032" i="3"/>
  <c r="P3031" i="3"/>
  <c r="O3031" i="3"/>
  <c r="P3030" i="3"/>
  <c r="O3030" i="3"/>
  <c r="P3029" i="3"/>
  <c r="O3029" i="3"/>
  <c r="P3028" i="3"/>
  <c r="O3028" i="3"/>
  <c r="P3027" i="3"/>
  <c r="O3027" i="3"/>
  <c r="P3026" i="3"/>
  <c r="O3026" i="3"/>
  <c r="P3025" i="3"/>
  <c r="O3025" i="3"/>
  <c r="P3024" i="3"/>
  <c r="O3024" i="3"/>
  <c r="P3023" i="3"/>
  <c r="O3023" i="3"/>
  <c r="P3022" i="3"/>
  <c r="O3022" i="3"/>
  <c r="P3021" i="3"/>
  <c r="O3021" i="3"/>
  <c r="P3020" i="3"/>
  <c r="O3020" i="3"/>
  <c r="P3019" i="3"/>
  <c r="O3019" i="3"/>
  <c r="P3018" i="3"/>
  <c r="O3018" i="3"/>
  <c r="P3017" i="3"/>
  <c r="O3017" i="3"/>
  <c r="P3016" i="3"/>
  <c r="O3016" i="3"/>
  <c r="P3015" i="3"/>
  <c r="O3015" i="3"/>
  <c r="P3014" i="3"/>
  <c r="O3014" i="3"/>
  <c r="P3013" i="3"/>
  <c r="O3013" i="3"/>
  <c r="P3012" i="3"/>
  <c r="O3012" i="3"/>
  <c r="P3011" i="3"/>
  <c r="O3011" i="3"/>
  <c r="P3010" i="3"/>
  <c r="O3010" i="3"/>
  <c r="P3009" i="3"/>
  <c r="O3009" i="3"/>
  <c r="P3008" i="3"/>
  <c r="O3008" i="3"/>
  <c r="P3007" i="3"/>
  <c r="O3007" i="3"/>
  <c r="P3006" i="3"/>
  <c r="O3006" i="3"/>
  <c r="P3005" i="3"/>
  <c r="O3005" i="3"/>
  <c r="P3004" i="3"/>
  <c r="O3004" i="3"/>
  <c r="P3003" i="3"/>
  <c r="O3003" i="3"/>
  <c r="P3002" i="3"/>
  <c r="O3002" i="3"/>
  <c r="P3001" i="3"/>
  <c r="O3001" i="3"/>
  <c r="P3000" i="3"/>
  <c r="O3000" i="3"/>
  <c r="P2999" i="3"/>
  <c r="O2999" i="3"/>
  <c r="P2998" i="3"/>
  <c r="O2998" i="3"/>
  <c r="P2997" i="3"/>
  <c r="O2997" i="3"/>
  <c r="P2996" i="3"/>
  <c r="O2996" i="3"/>
  <c r="P2995" i="3"/>
  <c r="O2995" i="3"/>
  <c r="P2994" i="3"/>
  <c r="O2994" i="3"/>
  <c r="P2993" i="3"/>
  <c r="O2993" i="3"/>
  <c r="P2992" i="3"/>
  <c r="O2992" i="3"/>
  <c r="P2991" i="3"/>
  <c r="O2991" i="3"/>
  <c r="P2990" i="3"/>
  <c r="O2990" i="3"/>
  <c r="P2989" i="3"/>
  <c r="O2989" i="3"/>
  <c r="P2988" i="3"/>
  <c r="O2988" i="3"/>
  <c r="P2987" i="3"/>
  <c r="O2987" i="3"/>
  <c r="P2986" i="3"/>
  <c r="O2986" i="3"/>
  <c r="P2985" i="3"/>
  <c r="O2985" i="3"/>
  <c r="P2984" i="3"/>
  <c r="O2984" i="3"/>
  <c r="P2983" i="3"/>
  <c r="O2983" i="3"/>
  <c r="P2982" i="3"/>
  <c r="O2982" i="3"/>
  <c r="P2981" i="3"/>
  <c r="O2981" i="3"/>
  <c r="P2980" i="3"/>
  <c r="O2980" i="3"/>
  <c r="P2979" i="3"/>
  <c r="O2979" i="3"/>
  <c r="P2978" i="3"/>
  <c r="O2978" i="3"/>
  <c r="P2977" i="3"/>
  <c r="O2977" i="3"/>
  <c r="P2976" i="3"/>
  <c r="O2976" i="3"/>
  <c r="P2975" i="3"/>
  <c r="O2975" i="3"/>
  <c r="P2974" i="3"/>
  <c r="O2974" i="3"/>
  <c r="P2973" i="3"/>
  <c r="O2973" i="3"/>
  <c r="P2972" i="3"/>
  <c r="O2972" i="3"/>
  <c r="P2971" i="3"/>
  <c r="O2971" i="3"/>
  <c r="P2970" i="3"/>
  <c r="O2970" i="3"/>
  <c r="P2969" i="3"/>
  <c r="O2969" i="3"/>
  <c r="P2968" i="3"/>
  <c r="O2968" i="3"/>
  <c r="P2967" i="3"/>
  <c r="O2967" i="3"/>
  <c r="P2966" i="3"/>
  <c r="O2966" i="3"/>
  <c r="P2965" i="3"/>
  <c r="O2965" i="3"/>
  <c r="P2964" i="3"/>
  <c r="O2964" i="3"/>
  <c r="P2963" i="3"/>
  <c r="O2963" i="3"/>
  <c r="P2962" i="3"/>
  <c r="O2962" i="3"/>
  <c r="P2961" i="3"/>
  <c r="O2961" i="3"/>
  <c r="P2960" i="3"/>
  <c r="O2960" i="3"/>
  <c r="P2959" i="3"/>
  <c r="O2959" i="3"/>
  <c r="P2958" i="3"/>
  <c r="O2958" i="3"/>
  <c r="P2957" i="3"/>
  <c r="O2957" i="3"/>
  <c r="P2956" i="3"/>
  <c r="O2956" i="3"/>
  <c r="P2955" i="3"/>
  <c r="O2955" i="3"/>
  <c r="P2954" i="3"/>
  <c r="O2954" i="3"/>
  <c r="P2953" i="3"/>
  <c r="O2953" i="3"/>
  <c r="P2952" i="3"/>
  <c r="O2952" i="3"/>
  <c r="P2951" i="3"/>
  <c r="O2951" i="3"/>
  <c r="P2950" i="3"/>
  <c r="O2950" i="3"/>
  <c r="P2949" i="3"/>
  <c r="O2949" i="3"/>
  <c r="P2948" i="3"/>
  <c r="O2948" i="3"/>
  <c r="P2947" i="3"/>
  <c r="O2947" i="3"/>
  <c r="P2946" i="3"/>
  <c r="O2946" i="3"/>
  <c r="P2945" i="3"/>
  <c r="O2945" i="3"/>
  <c r="P2944" i="3"/>
  <c r="O2944" i="3"/>
  <c r="P2943" i="3"/>
  <c r="O2943" i="3"/>
  <c r="P2942" i="3"/>
  <c r="O2942" i="3"/>
  <c r="P2941" i="3"/>
  <c r="O2941" i="3"/>
  <c r="P2940" i="3"/>
  <c r="O2940" i="3"/>
  <c r="P2939" i="3"/>
  <c r="O2939" i="3"/>
  <c r="P2938" i="3"/>
  <c r="O2938" i="3"/>
  <c r="P2937" i="3"/>
  <c r="O2937" i="3"/>
  <c r="P2936" i="3"/>
  <c r="O2936" i="3"/>
  <c r="P2935" i="3"/>
  <c r="O2935" i="3"/>
  <c r="P2934" i="3"/>
  <c r="O2934" i="3"/>
  <c r="P2933" i="3"/>
  <c r="O2933" i="3"/>
  <c r="P2932" i="3"/>
  <c r="O2932" i="3"/>
  <c r="P2931" i="3"/>
  <c r="O2931" i="3"/>
  <c r="P2930" i="3"/>
  <c r="O2930" i="3"/>
  <c r="P2929" i="3"/>
  <c r="O2929" i="3"/>
  <c r="P2928" i="3"/>
  <c r="O2928" i="3"/>
  <c r="P2927" i="3"/>
  <c r="O2927" i="3"/>
  <c r="P2926" i="3"/>
  <c r="O2926" i="3"/>
  <c r="P2925" i="3"/>
  <c r="O2925" i="3"/>
  <c r="P2924" i="3"/>
  <c r="O2924" i="3"/>
  <c r="P2923" i="3"/>
  <c r="O2923" i="3"/>
  <c r="P2922" i="3"/>
  <c r="O2922" i="3"/>
  <c r="P2921" i="3"/>
  <c r="O2921" i="3"/>
  <c r="P2920" i="3"/>
  <c r="O2920" i="3"/>
  <c r="P2919" i="3"/>
  <c r="O2919" i="3"/>
  <c r="P2918" i="3"/>
  <c r="O2918" i="3"/>
  <c r="P2917" i="3"/>
  <c r="O2917" i="3"/>
  <c r="P2916" i="3"/>
  <c r="O2916" i="3"/>
  <c r="P2915" i="3"/>
  <c r="O2915" i="3"/>
  <c r="P2914" i="3"/>
  <c r="O2914" i="3"/>
  <c r="P2913" i="3"/>
  <c r="O2913" i="3"/>
  <c r="P2912" i="3"/>
  <c r="O2912" i="3"/>
  <c r="P2911" i="3"/>
  <c r="O2911" i="3"/>
  <c r="P2910" i="3"/>
  <c r="O2910" i="3"/>
  <c r="P2909" i="3"/>
  <c r="O2909" i="3"/>
  <c r="P2908" i="3"/>
  <c r="O2908" i="3"/>
  <c r="P2907" i="3"/>
  <c r="O2907" i="3"/>
  <c r="P2906" i="3"/>
  <c r="O2906" i="3"/>
  <c r="P2905" i="3"/>
  <c r="O2905" i="3"/>
  <c r="P2904" i="3"/>
  <c r="O2904" i="3"/>
  <c r="P2903" i="3"/>
  <c r="O2903" i="3"/>
  <c r="P2902" i="3"/>
  <c r="O2902" i="3"/>
  <c r="P2901" i="3"/>
  <c r="O2901" i="3"/>
  <c r="P2900" i="3"/>
  <c r="O2900" i="3"/>
  <c r="P2899" i="3"/>
  <c r="O2899" i="3"/>
  <c r="P2898" i="3"/>
  <c r="O2898" i="3"/>
  <c r="P2897" i="3"/>
  <c r="O2897" i="3"/>
  <c r="P2896" i="3"/>
  <c r="O2896" i="3"/>
  <c r="P2895" i="3"/>
  <c r="O2895" i="3"/>
  <c r="P2894" i="3"/>
  <c r="O2894" i="3"/>
  <c r="P2893" i="3"/>
  <c r="O2893" i="3"/>
  <c r="P2892" i="3"/>
  <c r="O2892" i="3"/>
  <c r="P2891" i="3"/>
  <c r="O2891" i="3"/>
  <c r="P2890" i="3"/>
  <c r="O2890" i="3"/>
  <c r="P2889" i="3"/>
  <c r="O2889" i="3"/>
  <c r="P2888" i="3"/>
  <c r="O2888" i="3"/>
  <c r="P2887" i="3"/>
  <c r="O2887" i="3"/>
  <c r="P2886" i="3"/>
  <c r="O2886" i="3"/>
  <c r="P2885" i="3"/>
  <c r="O2885" i="3"/>
  <c r="P2884" i="3"/>
  <c r="O2884" i="3"/>
  <c r="P2883" i="3"/>
  <c r="O2883" i="3"/>
  <c r="P2882" i="3"/>
  <c r="O2882" i="3"/>
  <c r="P2881" i="3"/>
  <c r="O2881" i="3"/>
  <c r="P2880" i="3"/>
  <c r="O2880" i="3"/>
  <c r="P2879" i="3"/>
  <c r="O2879" i="3"/>
  <c r="P2878" i="3"/>
  <c r="O2878" i="3"/>
  <c r="P2877" i="3"/>
  <c r="O2877" i="3"/>
  <c r="P2876" i="3"/>
  <c r="O2876" i="3"/>
  <c r="P2875" i="3"/>
  <c r="O2875" i="3"/>
  <c r="P2874" i="3"/>
  <c r="O2874" i="3"/>
  <c r="P2873" i="3"/>
  <c r="O2873" i="3"/>
  <c r="P2872" i="3"/>
  <c r="O2872" i="3"/>
  <c r="P2871" i="3"/>
  <c r="O2871" i="3"/>
  <c r="P2870" i="3"/>
  <c r="O2870" i="3"/>
  <c r="P2869" i="3"/>
  <c r="O2869" i="3"/>
  <c r="P2868" i="3"/>
  <c r="O2868" i="3"/>
  <c r="P2867" i="3"/>
  <c r="O2867" i="3"/>
  <c r="P2866" i="3"/>
  <c r="O2866" i="3"/>
  <c r="P2865" i="3"/>
  <c r="O2865" i="3"/>
  <c r="P2864" i="3"/>
  <c r="O2864" i="3"/>
  <c r="P2863" i="3"/>
  <c r="O2863" i="3"/>
  <c r="P2862" i="3"/>
  <c r="O2862" i="3"/>
  <c r="P2861" i="3"/>
  <c r="O2861" i="3"/>
  <c r="P2860" i="3"/>
  <c r="O2860" i="3"/>
  <c r="P2859" i="3"/>
  <c r="O2859" i="3"/>
  <c r="P2858" i="3"/>
  <c r="O2858" i="3"/>
  <c r="P2857" i="3"/>
  <c r="O2857" i="3"/>
  <c r="P2856" i="3"/>
  <c r="O2856" i="3"/>
  <c r="P2855" i="3"/>
  <c r="O2855" i="3"/>
  <c r="P2854" i="3"/>
  <c r="O2854" i="3"/>
  <c r="P2853" i="3"/>
  <c r="O2853" i="3"/>
  <c r="P2852" i="3"/>
  <c r="O2852" i="3"/>
  <c r="P2851" i="3"/>
  <c r="O2851" i="3"/>
  <c r="P2850" i="3"/>
  <c r="O2850" i="3"/>
  <c r="P2849" i="3"/>
  <c r="O2849" i="3"/>
  <c r="P2848" i="3"/>
  <c r="O2848" i="3"/>
  <c r="P2847" i="3"/>
  <c r="O2847" i="3"/>
  <c r="P2846" i="3"/>
  <c r="O2846" i="3"/>
  <c r="P2845" i="3"/>
  <c r="O2845" i="3"/>
  <c r="P2844" i="3"/>
  <c r="O2844" i="3"/>
  <c r="P2843" i="3"/>
  <c r="O2843" i="3"/>
  <c r="P2842" i="3"/>
  <c r="O2842" i="3"/>
  <c r="P2841" i="3"/>
  <c r="O2841" i="3"/>
  <c r="P2840" i="3"/>
  <c r="O2840" i="3"/>
  <c r="P2839" i="3"/>
  <c r="O2839" i="3"/>
  <c r="P2838" i="3"/>
  <c r="O2838" i="3"/>
  <c r="P2837" i="3"/>
  <c r="O2837" i="3"/>
  <c r="P2836" i="3"/>
  <c r="O2836" i="3"/>
  <c r="P2835" i="3"/>
  <c r="O2835" i="3"/>
  <c r="P2834" i="3"/>
  <c r="O2834" i="3"/>
  <c r="P2833" i="3"/>
  <c r="O2833" i="3"/>
  <c r="P2832" i="3"/>
  <c r="O2832" i="3"/>
  <c r="P2831" i="3"/>
  <c r="O2831" i="3"/>
  <c r="P2830" i="3"/>
  <c r="O2830" i="3"/>
  <c r="P2829" i="3"/>
  <c r="O2829" i="3"/>
  <c r="P2828" i="3"/>
  <c r="O2828" i="3"/>
  <c r="P2827" i="3"/>
  <c r="O2827" i="3"/>
  <c r="P2826" i="3"/>
  <c r="O2826" i="3"/>
  <c r="P2825" i="3"/>
  <c r="O2825" i="3"/>
  <c r="P2824" i="3"/>
  <c r="O2824" i="3"/>
  <c r="P2823" i="3"/>
  <c r="O2823" i="3"/>
  <c r="P2822" i="3"/>
  <c r="O2822" i="3"/>
  <c r="P2821" i="3"/>
  <c r="O2821" i="3"/>
  <c r="P2820" i="3"/>
  <c r="O2820" i="3"/>
  <c r="P2819" i="3"/>
  <c r="O2819" i="3"/>
  <c r="P2818" i="3"/>
  <c r="O2818" i="3"/>
  <c r="P2817" i="3"/>
  <c r="O2817" i="3"/>
  <c r="P2816" i="3"/>
  <c r="O2816" i="3"/>
  <c r="P2815" i="3"/>
  <c r="O2815" i="3"/>
  <c r="P2814" i="3"/>
  <c r="O2814" i="3"/>
  <c r="P2813" i="3"/>
  <c r="O2813" i="3"/>
  <c r="P2812" i="3"/>
  <c r="O2812" i="3"/>
  <c r="P2811" i="3"/>
  <c r="O2811" i="3"/>
  <c r="P2810" i="3"/>
  <c r="O2810" i="3"/>
  <c r="P2809" i="3"/>
  <c r="O2809" i="3"/>
  <c r="P2808" i="3"/>
  <c r="O2808" i="3"/>
  <c r="P2807" i="3"/>
  <c r="O2807" i="3"/>
  <c r="P2806" i="3"/>
  <c r="O2806" i="3"/>
  <c r="P2805" i="3"/>
  <c r="O2805" i="3"/>
  <c r="P2804" i="3"/>
  <c r="O2804" i="3"/>
  <c r="P2803" i="3"/>
  <c r="O2803" i="3"/>
  <c r="P2802" i="3"/>
  <c r="O2802" i="3"/>
  <c r="P2801" i="3"/>
  <c r="O2801" i="3"/>
  <c r="P2800" i="3"/>
  <c r="O2800" i="3"/>
  <c r="P2799" i="3"/>
  <c r="O2799" i="3"/>
  <c r="P2798" i="3"/>
  <c r="O2798" i="3"/>
  <c r="P2797" i="3"/>
  <c r="O2797" i="3"/>
  <c r="P2796" i="3"/>
  <c r="O2796" i="3"/>
  <c r="P2795" i="3"/>
  <c r="O2795" i="3"/>
  <c r="P2794" i="3"/>
  <c r="O2794" i="3"/>
  <c r="P2793" i="3"/>
  <c r="O2793" i="3"/>
  <c r="P2792" i="3"/>
  <c r="O2792" i="3"/>
  <c r="P2791" i="3"/>
  <c r="O2791" i="3"/>
  <c r="P2790" i="3"/>
  <c r="O2790" i="3"/>
  <c r="P2789" i="3"/>
  <c r="O2789" i="3"/>
  <c r="P2788" i="3"/>
  <c r="O2788" i="3"/>
  <c r="P2787" i="3"/>
  <c r="O2787" i="3"/>
  <c r="P2786" i="3"/>
  <c r="O2786" i="3"/>
  <c r="P2785" i="3"/>
  <c r="O2785" i="3"/>
  <c r="P2784" i="3"/>
  <c r="O2784" i="3"/>
  <c r="P2783" i="3"/>
  <c r="O2783" i="3"/>
  <c r="P2782" i="3"/>
  <c r="O2782" i="3"/>
  <c r="P2781" i="3"/>
  <c r="O2781" i="3"/>
  <c r="P2780" i="3"/>
  <c r="O2780" i="3"/>
  <c r="P2779" i="3"/>
  <c r="O2779" i="3"/>
  <c r="P2778" i="3"/>
  <c r="O2778" i="3"/>
  <c r="P2777" i="3"/>
  <c r="O2777" i="3"/>
  <c r="P2776" i="3"/>
  <c r="O2776" i="3"/>
  <c r="P2775" i="3"/>
  <c r="O2775" i="3"/>
  <c r="P2774" i="3"/>
  <c r="O2774" i="3"/>
  <c r="P2773" i="3"/>
  <c r="O2773" i="3"/>
  <c r="P2772" i="3"/>
  <c r="O2772" i="3"/>
  <c r="P2771" i="3"/>
  <c r="O2771" i="3"/>
  <c r="P2770" i="3"/>
  <c r="O2770" i="3"/>
  <c r="P2769" i="3"/>
  <c r="O2769" i="3"/>
  <c r="P2768" i="3"/>
  <c r="O2768" i="3"/>
  <c r="P2767" i="3"/>
  <c r="O2767" i="3"/>
  <c r="P2766" i="3"/>
  <c r="O2766" i="3"/>
  <c r="P2765" i="3"/>
  <c r="O2765" i="3"/>
  <c r="P2764" i="3"/>
  <c r="O2764" i="3"/>
  <c r="P2763" i="3"/>
  <c r="O2763" i="3"/>
  <c r="P2762" i="3"/>
  <c r="O2762" i="3"/>
  <c r="P2761" i="3"/>
  <c r="O2761" i="3"/>
  <c r="P2760" i="3"/>
  <c r="O2760" i="3"/>
  <c r="P2759" i="3"/>
  <c r="O2759" i="3"/>
  <c r="P2758" i="3"/>
  <c r="O2758" i="3"/>
  <c r="P2757" i="3"/>
  <c r="O2757" i="3"/>
  <c r="P2756" i="3"/>
  <c r="O2756" i="3"/>
  <c r="P2755" i="3"/>
  <c r="O2755" i="3"/>
  <c r="P2754" i="3"/>
  <c r="O2754" i="3"/>
  <c r="P2753" i="3"/>
  <c r="O2753" i="3"/>
  <c r="P2752" i="3"/>
  <c r="O2752" i="3"/>
  <c r="P2751" i="3"/>
  <c r="O2751" i="3"/>
  <c r="P2750" i="3"/>
  <c r="O2750" i="3"/>
  <c r="P2749" i="3"/>
  <c r="O2749" i="3"/>
  <c r="P2748" i="3"/>
  <c r="O2748" i="3"/>
  <c r="P2747" i="3"/>
  <c r="O2747" i="3"/>
  <c r="P2746" i="3"/>
  <c r="O2746" i="3"/>
  <c r="P2745" i="3"/>
  <c r="O2745" i="3"/>
  <c r="P2744" i="3"/>
  <c r="O2744" i="3"/>
  <c r="P2743" i="3"/>
  <c r="O2743" i="3"/>
  <c r="P2742" i="3"/>
  <c r="O2742" i="3"/>
  <c r="P2741" i="3"/>
  <c r="O2741" i="3"/>
  <c r="P2740" i="3"/>
  <c r="O2740" i="3"/>
  <c r="P2739" i="3"/>
  <c r="O2739" i="3"/>
  <c r="P2738" i="3"/>
  <c r="O2738" i="3"/>
  <c r="P2737" i="3"/>
  <c r="O2737" i="3"/>
  <c r="P2736" i="3"/>
  <c r="O2736" i="3"/>
  <c r="P2735" i="3"/>
  <c r="O2735" i="3"/>
  <c r="P2734" i="3"/>
  <c r="O2734" i="3"/>
  <c r="P2733" i="3"/>
  <c r="O2733" i="3"/>
  <c r="P2732" i="3"/>
  <c r="O2732" i="3"/>
  <c r="P2731" i="3"/>
  <c r="O2731" i="3"/>
  <c r="P2730" i="3"/>
  <c r="O2730" i="3"/>
  <c r="P2729" i="3"/>
  <c r="O2729" i="3"/>
  <c r="P2728" i="3"/>
  <c r="O2728" i="3"/>
  <c r="P2727" i="3"/>
  <c r="O2727" i="3"/>
  <c r="P2726" i="3"/>
  <c r="O2726" i="3"/>
  <c r="P2725" i="3"/>
  <c r="O2725" i="3"/>
  <c r="P2724" i="3"/>
  <c r="O2724" i="3"/>
  <c r="P2723" i="3"/>
  <c r="O2723" i="3"/>
  <c r="P2722" i="3"/>
  <c r="O2722" i="3"/>
  <c r="P2721" i="3"/>
  <c r="O2721" i="3"/>
  <c r="P2720" i="3"/>
  <c r="O2720" i="3"/>
  <c r="P2719" i="3"/>
  <c r="O2719" i="3"/>
  <c r="P2718" i="3"/>
  <c r="O2718" i="3"/>
  <c r="P2717" i="3"/>
  <c r="O2717" i="3"/>
  <c r="P2716" i="3"/>
  <c r="O2716" i="3"/>
  <c r="P2715" i="3"/>
  <c r="O2715" i="3"/>
  <c r="P2714" i="3"/>
  <c r="O2714" i="3"/>
  <c r="P2713" i="3"/>
  <c r="O2713" i="3"/>
  <c r="P2712" i="3"/>
  <c r="O2712" i="3"/>
  <c r="P2711" i="3"/>
  <c r="O2711" i="3"/>
  <c r="P2710" i="3"/>
  <c r="O2710" i="3"/>
  <c r="P2709" i="3"/>
  <c r="O2709" i="3"/>
  <c r="P2708" i="3"/>
  <c r="O2708" i="3"/>
  <c r="P2707" i="3"/>
  <c r="O2707" i="3"/>
  <c r="P2706" i="3"/>
  <c r="O2706" i="3"/>
  <c r="P2705" i="3"/>
  <c r="O2705" i="3"/>
  <c r="P2704" i="3"/>
  <c r="O2704" i="3"/>
  <c r="P2703" i="3"/>
  <c r="O2703" i="3"/>
  <c r="P2702" i="3"/>
  <c r="O2702" i="3"/>
  <c r="P2701" i="3"/>
  <c r="O2701" i="3"/>
  <c r="P2700" i="3"/>
  <c r="O2700" i="3"/>
  <c r="P2699" i="3"/>
  <c r="O2699" i="3"/>
  <c r="P2698" i="3"/>
  <c r="O2698" i="3"/>
  <c r="P2697" i="3"/>
  <c r="O2697" i="3"/>
  <c r="P2696" i="3"/>
  <c r="O2696" i="3"/>
  <c r="P2695" i="3"/>
  <c r="O2695" i="3"/>
  <c r="P2694" i="3"/>
  <c r="O2694" i="3"/>
  <c r="P2693" i="3"/>
  <c r="O2693" i="3"/>
  <c r="P2692" i="3"/>
  <c r="O2692" i="3"/>
  <c r="P2691" i="3"/>
  <c r="O2691" i="3"/>
  <c r="P2690" i="3"/>
  <c r="O2690" i="3"/>
  <c r="P2689" i="3"/>
  <c r="O2689" i="3"/>
  <c r="P2688" i="3"/>
  <c r="O2688" i="3"/>
  <c r="P2687" i="3"/>
  <c r="O2687" i="3"/>
  <c r="P2686" i="3"/>
  <c r="O2686" i="3"/>
  <c r="P2685" i="3"/>
  <c r="O2685" i="3"/>
  <c r="P2684" i="3"/>
  <c r="O2684" i="3"/>
  <c r="P2683" i="3"/>
  <c r="O2683" i="3"/>
  <c r="P2682" i="3"/>
  <c r="O2682" i="3"/>
  <c r="P2681" i="3"/>
  <c r="O2681" i="3"/>
  <c r="P2680" i="3"/>
  <c r="O2680" i="3"/>
  <c r="P2679" i="3"/>
  <c r="O2679" i="3"/>
  <c r="P2678" i="3"/>
  <c r="O2678" i="3"/>
  <c r="P2677" i="3"/>
  <c r="O2677" i="3"/>
  <c r="P2676" i="3"/>
  <c r="O2676" i="3"/>
  <c r="P2675" i="3"/>
  <c r="O2675" i="3"/>
  <c r="P2674" i="3"/>
  <c r="O2674" i="3"/>
  <c r="P2673" i="3"/>
  <c r="O2673" i="3"/>
  <c r="P2672" i="3"/>
  <c r="O2672" i="3"/>
  <c r="P2671" i="3"/>
  <c r="O2671" i="3"/>
  <c r="P2670" i="3"/>
  <c r="O2670" i="3"/>
  <c r="P2669" i="3"/>
  <c r="O2669" i="3"/>
  <c r="P2668" i="3"/>
  <c r="O2668" i="3"/>
  <c r="P2667" i="3"/>
  <c r="O2667" i="3"/>
  <c r="P2666" i="3"/>
  <c r="O2666" i="3"/>
  <c r="P2665" i="3"/>
  <c r="O2665" i="3"/>
  <c r="P2664" i="3"/>
  <c r="O2664" i="3"/>
  <c r="P2663" i="3"/>
  <c r="O2663" i="3"/>
  <c r="P2662" i="3"/>
  <c r="O2662" i="3"/>
  <c r="P2661" i="3"/>
  <c r="O2661" i="3"/>
  <c r="P2660" i="3"/>
  <c r="O2660" i="3"/>
  <c r="P2659" i="3"/>
  <c r="O2659" i="3"/>
  <c r="P2658" i="3"/>
  <c r="O2658" i="3"/>
  <c r="P2657" i="3"/>
  <c r="O2657" i="3"/>
  <c r="P2656" i="3"/>
  <c r="O2656" i="3"/>
  <c r="P2655" i="3"/>
  <c r="O2655" i="3"/>
  <c r="P2654" i="3"/>
  <c r="O2654" i="3"/>
  <c r="P2653" i="3"/>
  <c r="O2653" i="3"/>
  <c r="P2652" i="3"/>
  <c r="O2652" i="3"/>
  <c r="P2651" i="3"/>
  <c r="O2651" i="3"/>
  <c r="P2650" i="3"/>
  <c r="O2650" i="3"/>
  <c r="P2649" i="3"/>
  <c r="O2649" i="3"/>
  <c r="P2648" i="3"/>
  <c r="O2648" i="3"/>
  <c r="P2647" i="3"/>
  <c r="O2647" i="3"/>
  <c r="P2646" i="3"/>
  <c r="O2646" i="3"/>
  <c r="P2645" i="3"/>
  <c r="O2645" i="3"/>
  <c r="P2644" i="3"/>
  <c r="O2644" i="3"/>
  <c r="P2643" i="3"/>
  <c r="O2643" i="3"/>
  <c r="P2642" i="3"/>
  <c r="O2642" i="3"/>
  <c r="P2641" i="3"/>
  <c r="O2641" i="3"/>
  <c r="P2640" i="3"/>
  <c r="O2640" i="3"/>
  <c r="P2639" i="3"/>
  <c r="O2639" i="3"/>
  <c r="P2638" i="3"/>
  <c r="O2638" i="3"/>
  <c r="P2637" i="3"/>
  <c r="O2637" i="3"/>
  <c r="P2636" i="3"/>
  <c r="O2636" i="3"/>
  <c r="P2635" i="3"/>
  <c r="O2635" i="3"/>
  <c r="P2634" i="3"/>
  <c r="O2634" i="3"/>
  <c r="P2633" i="3"/>
  <c r="O2633" i="3"/>
  <c r="P2632" i="3"/>
  <c r="O2632" i="3"/>
  <c r="P2631" i="3"/>
  <c r="O2631" i="3"/>
  <c r="P2630" i="3"/>
  <c r="O2630" i="3"/>
  <c r="P2629" i="3"/>
  <c r="O2629" i="3"/>
  <c r="P2628" i="3"/>
  <c r="O2628" i="3"/>
  <c r="P2627" i="3"/>
  <c r="O2627" i="3"/>
  <c r="P2626" i="3"/>
  <c r="O2626" i="3"/>
  <c r="P2625" i="3"/>
  <c r="O2625" i="3"/>
  <c r="P2624" i="3"/>
  <c r="O2624" i="3"/>
  <c r="P2623" i="3"/>
  <c r="O2623" i="3"/>
  <c r="P2622" i="3"/>
  <c r="O2622" i="3"/>
  <c r="P2621" i="3"/>
  <c r="O2621" i="3"/>
  <c r="P2620" i="3"/>
  <c r="O2620" i="3"/>
  <c r="P2619" i="3"/>
  <c r="O2619" i="3"/>
  <c r="P2618" i="3"/>
  <c r="O2618" i="3"/>
  <c r="P2617" i="3"/>
  <c r="O2617" i="3"/>
  <c r="P2616" i="3"/>
  <c r="O2616" i="3"/>
  <c r="P2615" i="3"/>
  <c r="O2615" i="3"/>
  <c r="P2614" i="3"/>
  <c r="O2614" i="3"/>
  <c r="P2613" i="3"/>
  <c r="O2613" i="3"/>
  <c r="P2612" i="3"/>
  <c r="O2612" i="3"/>
  <c r="P2611" i="3"/>
  <c r="O2611" i="3"/>
  <c r="P2610" i="3"/>
  <c r="O2610" i="3"/>
  <c r="P2609" i="3"/>
  <c r="O2609" i="3"/>
  <c r="P2608" i="3"/>
  <c r="O2608" i="3"/>
  <c r="P2607" i="3"/>
  <c r="O2607" i="3"/>
  <c r="P2606" i="3"/>
  <c r="O2606" i="3"/>
  <c r="P2605" i="3"/>
  <c r="O2605" i="3"/>
  <c r="P2604" i="3"/>
  <c r="O2604" i="3"/>
  <c r="P2603" i="3"/>
  <c r="O2603" i="3"/>
  <c r="P2602" i="3"/>
  <c r="O2602" i="3"/>
  <c r="P2601" i="3"/>
  <c r="O2601" i="3"/>
  <c r="P2600" i="3"/>
  <c r="O2600" i="3"/>
  <c r="P2599" i="3"/>
  <c r="O2599" i="3"/>
  <c r="P2598" i="3"/>
  <c r="O2598" i="3"/>
  <c r="P2597" i="3"/>
  <c r="O2597" i="3"/>
  <c r="P2596" i="3"/>
  <c r="O2596" i="3"/>
  <c r="P2595" i="3"/>
  <c r="O2595" i="3"/>
  <c r="P2594" i="3"/>
  <c r="O2594" i="3"/>
  <c r="P2593" i="3"/>
  <c r="O2593" i="3"/>
  <c r="P2592" i="3"/>
  <c r="O2592" i="3"/>
  <c r="P2591" i="3"/>
  <c r="O2591" i="3"/>
  <c r="P2590" i="3"/>
  <c r="O2590" i="3"/>
  <c r="P2589" i="3"/>
  <c r="O2589" i="3"/>
  <c r="P2588" i="3"/>
  <c r="O2588" i="3"/>
  <c r="P2587" i="3"/>
  <c r="O2587" i="3"/>
  <c r="P2586" i="3"/>
  <c r="O2586" i="3"/>
  <c r="P2585" i="3"/>
  <c r="O2585" i="3"/>
  <c r="P2584" i="3"/>
  <c r="O2584" i="3"/>
  <c r="P2583" i="3"/>
  <c r="O2583" i="3"/>
  <c r="P2582" i="3"/>
  <c r="O2582" i="3"/>
  <c r="P2581" i="3"/>
  <c r="O2581" i="3"/>
  <c r="P2580" i="3"/>
  <c r="O2580" i="3"/>
  <c r="P2579" i="3"/>
  <c r="O2579" i="3"/>
  <c r="P2578" i="3"/>
  <c r="O2578" i="3"/>
  <c r="P2577" i="3"/>
  <c r="O2577" i="3"/>
  <c r="P2576" i="3"/>
  <c r="O2576" i="3"/>
  <c r="P2575" i="3"/>
  <c r="O2575" i="3"/>
  <c r="P2574" i="3"/>
  <c r="O2574" i="3"/>
  <c r="P2573" i="3"/>
  <c r="O2573" i="3"/>
  <c r="P2572" i="3"/>
  <c r="O2572" i="3"/>
  <c r="P2571" i="3"/>
  <c r="O2571" i="3"/>
  <c r="P2570" i="3"/>
  <c r="O2570" i="3"/>
  <c r="P2569" i="3"/>
  <c r="O2569" i="3"/>
  <c r="P2568" i="3"/>
  <c r="O2568" i="3"/>
  <c r="P2567" i="3"/>
  <c r="O2567" i="3"/>
  <c r="P2566" i="3"/>
  <c r="O2566" i="3"/>
  <c r="P2565" i="3"/>
  <c r="O2565" i="3"/>
  <c r="P2564" i="3"/>
  <c r="O2564" i="3"/>
  <c r="P2563" i="3"/>
  <c r="O2563" i="3"/>
  <c r="P2562" i="3"/>
  <c r="O2562" i="3"/>
  <c r="P2561" i="3"/>
  <c r="O2561" i="3"/>
  <c r="P2560" i="3"/>
  <c r="O2560" i="3"/>
  <c r="P2559" i="3"/>
  <c r="O2559" i="3"/>
  <c r="P2558" i="3"/>
  <c r="O2558" i="3"/>
  <c r="P2557" i="3"/>
  <c r="O2557" i="3"/>
  <c r="P2556" i="3"/>
  <c r="O2556" i="3"/>
  <c r="P2555" i="3"/>
  <c r="O2555" i="3"/>
  <c r="P2554" i="3"/>
  <c r="O2554" i="3"/>
  <c r="P2553" i="3"/>
  <c r="O2553" i="3"/>
  <c r="P2552" i="3"/>
  <c r="O2552" i="3"/>
  <c r="P2551" i="3"/>
  <c r="O2551" i="3"/>
  <c r="P2550" i="3"/>
  <c r="O2550" i="3"/>
  <c r="P2549" i="3"/>
  <c r="O2549" i="3"/>
  <c r="P2548" i="3"/>
  <c r="O2548" i="3"/>
  <c r="P2547" i="3"/>
  <c r="O2547" i="3"/>
  <c r="P2546" i="3"/>
  <c r="O2546" i="3"/>
  <c r="P2545" i="3"/>
  <c r="O2545" i="3"/>
  <c r="P2544" i="3"/>
  <c r="O2544" i="3"/>
  <c r="P2543" i="3"/>
  <c r="O2543" i="3"/>
  <c r="P2542" i="3"/>
  <c r="O2542" i="3"/>
  <c r="P2541" i="3"/>
  <c r="O2541" i="3"/>
  <c r="P2540" i="3"/>
  <c r="O2540" i="3"/>
  <c r="P2539" i="3"/>
  <c r="O2539" i="3"/>
  <c r="P2538" i="3"/>
  <c r="O2538" i="3"/>
  <c r="P2537" i="3"/>
  <c r="O2537" i="3"/>
  <c r="P2536" i="3"/>
  <c r="O2536" i="3"/>
  <c r="P2535" i="3"/>
  <c r="O2535" i="3"/>
  <c r="P2534" i="3"/>
  <c r="O2534" i="3"/>
  <c r="P2533" i="3"/>
  <c r="O2533" i="3"/>
  <c r="P2532" i="3"/>
  <c r="O2532" i="3"/>
  <c r="P2531" i="3"/>
  <c r="O2531" i="3"/>
  <c r="P2530" i="3"/>
  <c r="O2530" i="3"/>
  <c r="P2529" i="3"/>
  <c r="O2529" i="3"/>
  <c r="P2528" i="3"/>
  <c r="O2528" i="3"/>
  <c r="P2527" i="3"/>
  <c r="O2527" i="3"/>
  <c r="P2526" i="3"/>
  <c r="O2526" i="3"/>
  <c r="P2525" i="3"/>
  <c r="O2525" i="3"/>
  <c r="P2524" i="3"/>
  <c r="O2524" i="3"/>
  <c r="P2523" i="3"/>
  <c r="O2523" i="3"/>
  <c r="P2522" i="3"/>
  <c r="O2522" i="3"/>
  <c r="P2521" i="3"/>
  <c r="O2521" i="3"/>
  <c r="P2520" i="3"/>
  <c r="O2520" i="3"/>
  <c r="P2519" i="3"/>
  <c r="O2519" i="3"/>
  <c r="P2518" i="3"/>
  <c r="O2518" i="3"/>
  <c r="P2517" i="3"/>
  <c r="O2517" i="3"/>
  <c r="P2516" i="3"/>
  <c r="O2516" i="3"/>
  <c r="P2515" i="3"/>
  <c r="O2515" i="3"/>
  <c r="P2514" i="3"/>
  <c r="O2514" i="3"/>
  <c r="P2513" i="3"/>
  <c r="O2513" i="3"/>
  <c r="P2512" i="3"/>
  <c r="O2512" i="3"/>
  <c r="P2511" i="3"/>
  <c r="O2511" i="3"/>
  <c r="P2510" i="3"/>
  <c r="O2510" i="3"/>
  <c r="P2509" i="3"/>
  <c r="O2509" i="3"/>
  <c r="P2508" i="3"/>
  <c r="O2508" i="3"/>
  <c r="P2507" i="3"/>
  <c r="O2507" i="3"/>
  <c r="P2506" i="3"/>
  <c r="O2506" i="3"/>
  <c r="P2505" i="3"/>
  <c r="O2505" i="3"/>
  <c r="P2504" i="3"/>
  <c r="O2504" i="3"/>
  <c r="P2503" i="3"/>
  <c r="O2503" i="3"/>
  <c r="P2502" i="3"/>
  <c r="O2502" i="3"/>
  <c r="P2501" i="3"/>
  <c r="O2501" i="3"/>
  <c r="P2500" i="3"/>
  <c r="O2500" i="3"/>
  <c r="P2499" i="3"/>
  <c r="O2499" i="3"/>
  <c r="P2498" i="3"/>
  <c r="O2498" i="3"/>
  <c r="P2497" i="3"/>
  <c r="O2497" i="3"/>
  <c r="P2496" i="3"/>
  <c r="O2496" i="3"/>
  <c r="P2495" i="3"/>
  <c r="O2495" i="3"/>
  <c r="P2494" i="3"/>
  <c r="O2494" i="3"/>
  <c r="P2493" i="3"/>
  <c r="O2493" i="3"/>
  <c r="P2492" i="3"/>
  <c r="O2492" i="3"/>
  <c r="P2491" i="3"/>
  <c r="O2491" i="3"/>
  <c r="P2490" i="3"/>
  <c r="O2490" i="3"/>
  <c r="P2489" i="3"/>
  <c r="O2489" i="3"/>
  <c r="P2488" i="3"/>
  <c r="O2488" i="3"/>
  <c r="P2487" i="3"/>
  <c r="O2487" i="3"/>
  <c r="P2486" i="3"/>
  <c r="O2486" i="3"/>
  <c r="P2485" i="3"/>
  <c r="O2485" i="3"/>
  <c r="P2484" i="3"/>
  <c r="O2484" i="3"/>
  <c r="P2483" i="3"/>
  <c r="O2483" i="3"/>
  <c r="P2482" i="3"/>
  <c r="O2482" i="3"/>
  <c r="P2481" i="3"/>
  <c r="O2481" i="3"/>
  <c r="P2480" i="3"/>
  <c r="O2480" i="3"/>
  <c r="P2479" i="3"/>
  <c r="O2479" i="3"/>
  <c r="P2478" i="3"/>
  <c r="O2478" i="3"/>
  <c r="P2477" i="3"/>
  <c r="O2477" i="3"/>
  <c r="P2476" i="3"/>
  <c r="O2476" i="3"/>
  <c r="P2475" i="3"/>
  <c r="O2475" i="3"/>
  <c r="P2474" i="3"/>
  <c r="O2474" i="3"/>
  <c r="P2473" i="3"/>
  <c r="O2473" i="3"/>
  <c r="P2472" i="3"/>
  <c r="O2472" i="3"/>
  <c r="P2471" i="3"/>
  <c r="O2471" i="3"/>
  <c r="P2470" i="3"/>
  <c r="O2470" i="3"/>
  <c r="P2469" i="3"/>
  <c r="O2469" i="3"/>
  <c r="P2468" i="3"/>
  <c r="O2468" i="3"/>
  <c r="P2467" i="3"/>
  <c r="O2467" i="3"/>
  <c r="P2466" i="3"/>
  <c r="O2466" i="3"/>
  <c r="P2465" i="3"/>
  <c r="O2465" i="3"/>
  <c r="P2464" i="3"/>
  <c r="O2464" i="3"/>
  <c r="P2463" i="3"/>
  <c r="O2463" i="3"/>
  <c r="P2462" i="3"/>
  <c r="O2462" i="3"/>
  <c r="P2461" i="3"/>
  <c r="O2461" i="3"/>
  <c r="P2460" i="3"/>
  <c r="O2460" i="3"/>
  <c r="P2459" i="3"/>
  <c r="O2459" i="3"/>
  <c r="P2458" i="3"/>
  <c r="O2458" i="3"/>
  <c r="P2457" i="3"/>
  <c r="O2457" i="3"/>
  <c r="P2456" i="3"/>
  <c r="O2456" i="3"/>
  <c r="P2455" i="3"/>
  <c r="O2455" i="3"/>
  <c r="P2454" i="3"/>
  <c r="O2454" i="3"/>
  <c r="P2453" i="3"/>
  <c r="O2453" i="3"/>
  <c r="P2452" i="3"/>
  <c r="O2452" i="3"/>
  <c r="P2451" i="3"/>
  <c r="O2451" i="3"/>
  <c r="P2450" i="3"/>
  <c r="O2450" i="3"/>
  <c r="P2449" i="3"/>
  <c r="O2449" i="3"/>
  <c r="P2448" i="3"/>
  <c r="O2448" i="3"/>
  <c r="P2447" i="3"/>
  <c r="O2447" i="3"/>
  <c r="P2446" i="3"/>
  <c r="O2446" i="3"/>
  <c r="P2445" i="3"/>
  <c r="O2445" i="3"/>
  <c r="P2444" i="3"/>
  <c r="O2444" i="3"/>
  <c r="P2443" i="3"/>
  <c r="O2443" i="3"/>
  <c r="P2442" i="3"/>
  <c r="O2442" i="3"/>
  <c r="P2441" i="3"/>
  <c r="O2441" i="3"/>
  <c r="P2440" i="3"/>
  <c r="O2440" i="3"/>
  <c r="P2439" i="3"/>
  <c r="O2439" i="3"/>
  <c r="P2438" i="3"/>
  <c r="O2438" i="3"/>
  <c r="P2437" i="3"/>
  <c r="O2437" i="3"/>
  <c r="P2436" i="3"/>
  <c r="O2436" i="3"/>
  <c r="P2435" i="3"/>
  <c r="O2435" i="3"/>
  <c r="P2434" i="3"/>
  <c r="O2434" i="3"/>
  <c r="P2433" i="3"/>
  <c r="O2433" i="3"/>
  <c r="P2432" i="3"/>
  <c r="O2432" i="3"/>
  <c r="P2431" i="3"/>
  <c r="O2431" i="3"/>
  <c r="P2430" i="3"/>
  <c r="O2430" i="3"/>
  <c r="P2429" i="3"/>
  <c r="O2429" i="3"/>
  <c r="P2428" i="3"/>
  <c r="O2428" i="3"/>
  <c r="P2427" i="3"/>
  <c r="O2427" i="3"/>
  <c r="P2426" i="3"/>
  <c r="O2426" i="3"/>
  <c r="P2425" i="3"/>
  <c r="O2425" i="3"/>
  <c r="P2424" i="3"/>
  <c r="O2424" i="3"/>
  <c r="P2423" i="3"/>
  <c r="O2423" i="3"/>
  <c r="P2422" i="3"/>
  <c r="O2422" i="3"/>
  <c r="P2421" i="3"/>
  <c r="O2421" i="3"/>
  <c r="P2420" i="3"/>
  <c r="O2420" i="3"/>
  <c r="P2419" i="3"/>
  <c r="O2419" i="3"/>
  <c r="P2418" i="3"/>
  <c r="O2418" i="3"/>
  <c r="P2417" i="3"/>
  <c r="O2417" i="3"/>
  <c r="P2416" i="3"/>
  <c r="O2416" i="3"/>
  <c r="P2415" i="3"/>
  <c r="O2415" i="3"/>
  <c r="P2414" i="3"/>
  <c r="O2414" i="3"/>
  <c r="P2413" i="3"/>
  <c r="O2413" i="3"/>
  <c r="P2412" i="3"/>
  <c r="O2412" i="3"/>
  <c r="P2411" i="3"/>
  <c r="O2411" i="3"/>
  <c r="P2410" i="3"/>
  <c r="O2410" i="3"/>
  <c r="P2409" i="3"/>
  <c r="O2409" i="3"/>
  <c r="P2408" i="3"/>
  <c r="O2408" i="3"/>
  <c r="P2407" i="3"/>
  <c r="O2407" i="3"/>
  <c r="P2406" i="3"/>
  <c r="O2406" i="3"/>
  <c r="P2405" i="3"/>
  <c r="O2405" i="3"/>
  <c r="P2404" i="3"/>
  <c r="O2404" i="3"/>
  <c r="P2403" i="3"/>
  <c r="O2403" i="3"/>
  <c r="P2402" i="3"/>
  <c r="O2402" i="3"/>
  <c r="P2401" i="3"/>
  <c r="O2401" i="3"/>
  <c r="P2400" i="3"/>
  <c r="O2400" i="3"/>
  <c r="P2399" i="3"/>
  <c r="O2399" i="3"/>
  <c r="P2398" i="3"/>
  <c r="O2398" i="3"/>
  <c r="P2397" i="3"/>
  <c r="O2397" i="3"/>
  <c r="P2396" i="3"/>
  <c r="O2396" i="3"/>
  <c r="P2395" i="3"/>
  <c r="O2395" i="3"/>
  <c r="P2394" i="3"/>
  <c r="O2394" i="3"/>
  <c r="P2393" i="3"/>
  <c r="O2393" i="3"/>
  <c r="P2392" i="3"/>
  <c r="O2392" i="3"/>
  <c r="P2391" i="3"/>
  <c r="O2391" i="3"/>
  <c r="P2390" i="3"/>
  <c r="O2390" i="3"/>
  <c r="P2389" i="3"/>
  <c r="O2389" i="3"/>
  <c r="P2388" i="3"/>
  <c r="O2388" i="3"/>
  <c r="P2387" i="3"/>
  <c r="O2387" i="3"/>
  <c r="P2386" i="3"/>
  <c r="O2386" i="3"/>
  <c r="P2385" i="3"/>
  <c r="O2385" i="3"/>
  <c r="P2384" i="3"/>
  <c r="O2384" i="3"/>
  <c r="P2383" i="3"/>
  <c r="O2383" i="3"/>
  <c r="P2382" i="3"/>
  <c r="O2382" i="3"/>
  <c r="P2381" i="3"/>
  <c r="O2381" i="3"/>
  <c r="P2380" i="3"/>
  <c r="O2380" i="3"/>
  <c r="P2379" i="3"/>
  <c r="O2379" i="3"/>
  <c r="P2378" i="3"/>
  <c r="O2378" i="3"/>
  <c r="P2377" i="3"/>
  <c r="O2377" i="3"/>
  <c r="P2376" i="3"/>
  <c r="O2376" i="3"/>
  <c r="P2375" i="3"/>
  <c r="O2375" i="3"/>
  <c r="P2374" i="3"/>
  <c r="O2374" i="3"/>
  <c r="P2373" i="3"/>
  <c r="O2373" i="3"/>
  <c r="P2372" i="3"/>
  <c r="O2372" i="3"/>
  <c r="P2371" i="3"/>
  <c r="O2371" i="3"/>
  <c r="P2370" i="3"/>
  <c r="O2370" i="3"/>
  <c r="P2369" i="3"/>
  <c r="O2369" i="3"/>
  <c r="P2368" i="3"/>
  <c r="O2368" i="3"/>
  <c r="P2367" i="3"/>
  <c r="O2367" i="3"/>
  <c r="P2366" i="3"/>
  <c r="O2366" i="3"/>
  <c r="P2365" i="3"/>
  <c r="O2365" i="3"/>
  <c r="P2364" i="3"/>
  <c r="O2364" i="3"/>
  <c r="P2363" i="3"/>
  <c r="O2363" i="3"/>
  <c r="P2362" i="3"/>
  <c r="O2362" i="3"/>
  <c r="P2361" i="3"/>
  <c r="O2361" i="3"/>
  <c r="P2360" i="3"/>
  <c r="O2360" i="3"/>
  <c r="P2359" i="3"/>
  <c r="O2359" i="3"/>
  <c r="P2358" i="3"/>
  <c r="O2358" i="3"/>
  <c r="P2357" i="3"/>
  <c r="O2357" i="3"/>
  <c r="P2356" i="3"/>
  <c r="O2356" i="3"/>
  <c r="P2355" i="3"/>
  <c r="O2355" i="3"/>
  <c r="P2354" i="3"/>
  <c r="O2354" i="3"/>
  <c r="P2353" i="3"/>
  <c r="O2353" i="3"/>
  <c r="P2352" i="3"/>
  <c r="O2352" i="3"/>
  <c r="P2351" i="3"/>
  <c r="O2351" i="3"/>
  <c r="P2350" i="3"/>
  <c r="O2350" i="3"/>
  <c r="P2349" i="3"/>
  <c r="O2349" i="3"/>
  <c r="P2348" i="3"/>
  <c r="O2348" i="3"/>
  <c r="P2347" i="3"/>
  <c r="O2347" i="3"/>
  <c r="P2346" i="3"/>
  <c r="O2346" i="3"/>
  <c r="P2345" i="3"/>
  <c r="O2345" i="3"/>
  <c r="P2344" i="3"/>
  <c r="O2344" i="3"/>
  <c r="P2343" i="3"/>
  <c r="O2343" i="3"/>
  <c r="P2342" i="3"/>
  <c r="O2342" i="3"/>
  <c r="P2341" i="3"/>
  <c r="O2341" i="3"/>
  <c r="P2340" i="3"/>
  <c r="O2340" i="3"/>
  <c r="P2339" i="3"/>
  <c r="O2339" i="3"/>
  <c r="P2338" i="3"/>
  <c r="O2338" i="3"/>
  <c r="P2337" i="3"/>
  <c r="O2337" i="3"/>
  <c r="P2336" i="3"/>
  <c r="O2336" i="3"/>
  <c r="P2335" i="3"/>
  <c r="O2335" i="3"/>
  <c r="P2334" i="3"/>
  <c r="O2334" i="3"/>
  <c r="P2333" i="3"/>
  <c r="O2333" i="3"/>
  <c r="P2332" i="3"/>
  <c r="O2332" i="3"/>
  <c r="P2331" i="3"/>
  <c r="O2331" i="3"/>
  <c r="P2330" i="3"/>
  <c r="O2330" i="3"/>
  <c r="P2329" i="3"/>
  <c r="O2329" i="3"/>
  <c r="P2328" i="3"/>
  <c r="O2328" i="3"/>
  <c r="P2327" i="3"/>
  <c r="O2327" i="3"/>
  <c r="P2326" i="3"/>
  <c r="O2326" i="3"/>
  <c r="P2325" i="3"/>
  <c r="O2325" i="3"/>
  <c r="P2324" i="3"/>
  <c r="O2324" i="3"/>
  <c r="P2323" i="3"/>
  <c r="O2323" i="3"/>
  <c r="P2322" i="3"/>
  <c r="O2322" i="3"/>
  <c r="P2321" i="3"/>
  <c r="O2321" i="3"/>
  <c r="P2320" i="3"/>
  <c r="O2320" i="3"/>
  <c r="P2319" i="3"/>
  <c r="O2319" i="3"/>
  <c r="P2318" i="3"/>
  <c r="O2318" i="3"/>
  <c r="P2317" i="3"/>
  <c r="O2317" i="3"/>
  <c r="P2316" i="3"/>
  <c r="O2316" i="3"/>
  <c r="P2315" i="3"/>
  <c r="O2315" i="3"/>
  <c r="P2314" i="3"/>
  <c r="O2314" i="3"/>
  <c r="P2313" i="3"/>
  <c r="O2313" i="3"/>
  <c r="P2312" i="3"/>
  <c r="O2312" i="3"/>
  <c r="P2311" i="3"/>
  <c r="O2311" i="3"/>
  <c r="P2310" i="3"/>
  <c r="O2310" i="3"/>
  <c r="P2309" i="3"/>
  <c r="O2309" i="3"/>
  <c r="P2308" i="3"/>
  <c r="O2308" i="3"/>
  <c r="P2307" i="3"/>
  <c r="O2307" i="3"/>
  <c r="P2306" i="3"/>
  <c r="O2306" i="3"/>
  <c r="P2305" i="3"/>
  <c r="O2305" i="3"/>
  <c r="P2304" i="3"/>
  <c r="O2304" i="3"/>
  <c r="P2303" i="3"/>
  <c r="O2303" i="3"/>
  <c r="P2302" i="3"/>
  <c r="O2302" i="3"/>
  <c r="P2301" i="3"/>
  <c r="O2301" i="3"/>
  <c r="P2300" i="3"/>
  <c r="O2300" i="3"/>
  <c r="P2299" i="3"/>
  <c r="O2299" i="3"/>
  <c r="P2298" i="3"/>
  <c r="O2298" i="3"/>
  <c r="P2297" i="3"/>
  <c r="O2297" i="3"/>
  <c r="P2296" i="3"/>
  <c r="O2296" i="3"/>
  <c r="P2295" i="3"/>
  <c r="O2295" i="3"/>
  <c r="P2294" i="3"/>
  <c r="O2294" i="3"/>
  <c r="P2293" i="3"/>
  <c r="O2293" i="3"/>
  <c r="P2292" i="3"/>
  <c r="O2292" i="3"/>
  <c r="P2291" i="3"/>
  <c r="O2291" i="3"/>
  <c r="P2290" i="3"/>
  <c r="O2290" i="3"/>
  <c r="P2289" i="3"/>
  <c r="O2289" i="3"/>
  <c r="P2288" i="3"/>
  <c r="O2288" i="3"/>
  <c r="P2287" i="3"/>
  <c r="O2287" i="3"/>
  <c r="P2286" i="3"/>
  <c r="O2286" i="3"/>
  <c r="P2285" i="3"/>
  <c r="O2285" i="3"/>
  <c r="P2284" i="3"/>
  <c r="O2284" i="3"/>
  <c r="P2283" i="3"/>
  <c r="O2283" i="3"/>
  <c r="P2282" i="3"/>
  <c r="O2282" i="3"/>
  <c r="P2281" i="3"/>
  <c r="O2281" i="3"/>
  <c r="P2280" i="3"/>
  <c r="O2280" i="3"/>
  <c r="P2279" i="3"/>
  <c r="O2279" i="3"/>
  <c r="P2278" i="3"/>
  <c r="O2278" i="3"/>
  <c r="P2277" i="3"/>
  <c r="O2277" i="3"/>
  <c r="P2276" i="3"/>
  <c r="O2276" i="3"/>
  <c r="P2275" i="3"/>
  <c r="O2275" i="3"/>
  <c r="P2274" i="3"/>
  <c r="O2274" i="3"/>
  <c r="P2273" i="3"/>
  <c r="O2273" i="3"/>
  <c r="P2272" i="3"/>
  <c r="O2272" i="3"/>
  <c r="P2271" i="3"/>
  <c r="O2271" i="3"/>
  <c r="P2270" i="3"/>
  <c r="O2270" i="3"/>
  <c r="P2269" i="3"/>
  <c r="O2269" i="3"/>
  <c r="P2268" i="3"/>
  <c r="O2268" i="3"/>
  <c r="P2267" i="3"/>
  <c r="O2267" i="3"/>
  <c r="P2266" i="3"/>
  <c r="O2266" i="3"/>
  <c r="P2265" i="3"/>
  <c r="O2265" i="3"/>
  <c r="P2264" i="3"/>
  <c r="O2264" i="3"/>
  <c r="P2263" i="3"/>
  <c r="O2263" i="3"/>
  <c r="P2262" i="3"/>
  <c r="O2262" i="3"/>
  <c r="P2261" i="3"/>
  <c r="O2261" i="3"/>
  <c r="P2260" i="3"/>
  <c r="O2260" i="3"/>
  <c r="P2259" i="3"/>
  <c r="O2259" i="3"/>
  <c r="P2258" i="3"/>
  <c r="O2258" i="3"/>
  <c r="P2257" i="3"/>
  <c r="O2257" i="3"/>
  <c r="P2256" i="3"/>
  <c r="O2256" i="3"/>
  <c r="P2255" i="3"/>
  <c r="O2255" i="3"/>
  <c r="P2254" i="3"/>
  <c r="O2254" i="3"/>
  <c r="P2253" i="3"/>
  <c r="O2253" i="3"/>
  <c r="P2252" i="3"/>
  <c r="O2252" i="3"/>
  <c r="P2251" i="3"/>
  <c r="O2251" i="3"/>
  <c r="P2250" i="3"/>
  <c r="O2250" i="3"/>
  <c r="P2249" i="3"/>
  <c r="O2249" i="3"/>
  <c r="P2248" i="3"/>
  <c r="O2248" i="3"/>
  <c r="P2247" i="3"/>
  <c r="O2247" i="3"/>
  <c r="P2246" i="3"/>
  <c r="O2246" i="3"/>
  <c r="P2245" i="3"/>
  <c r="O2245" i="3"/>
  <c r="P2244" i="3"/>
  <c r="O2244" i="3"/>
  <c r="P2243" i="3"/>
  <c r="O2243" i="3"/>
  <c r="P2242" i="3"/>
  <c r="O2242" i="3"/>
  <c r="P2241" i="3"/>
  <c r="O2241" i="3"/>
  <c r="P2240" i="3"/>
  <c r="O2240" i="3"/>
  <c r="P2239" i="3"/>
  <c r="O2239" i="3"/>
  <c r="P2238" i="3"/>
  <c r="O2238" i="3"/>
  <c r="P2237" i="3"/>
  <c r="O2237" i="3"/>
  <c r="P2236" i="3"/>
  <c r="O2236" i="3"/>
  <c r="P2235" i="3"/>
  <c r="O2235" i="3"/>
  <c r="P2234" i="3"/>
  <c r="O2234" i="3"/>
  <c r="P2233" i="3"/>
  <c r="O2233" i="3"/>
  <c r="P2232" i="3"/>
  <c r="O2232" i="3"/>
  <c r="P2231" i="3"/>
  <c r="O2231" i="3"/>
  <c r="P2230" i="3"/>
  <c r="O2230" i="3"/>
  <c r="P2229" i="3"/>
  <c r="O2229" i="3"/>
  <c r="P2228" i="3"/>
  <c r="O2228" i="3"/>
  <c r="P2227" i="3"/>
  <c r="O2227" i="3"/>
  <c r="P2226" i="3"/>
  <c r="O2226" i="3"/>
  <c r="P2225" i="3"/>
  <c r="O2225" i="3"/>
  <c r="P2224" i="3"/>
  <c r="O2224" i="3"/>
  <c r="P2223" i="3"/>
  <c r="O2223" i="3"/>
  <c r="P2222" i="3"/>
  <c r="O2222" i="3"/>
  <c r="P2221" i="3"/>
  <c r="O2221" i="3"/>
  <c r="P2220" i="3"/>
  <c r="O2220" i="3"/>
  <c r="P2219" i="3"/>
  <c r="O2219" i="3"/>
  <c r="P2218" i="3"/>
  <c r="O2218" i="3"/>
  <c r="P2217" i="3"/>
  <c r="O2217" i="3"/>
  <c r="P2216" i="3"/>
  <c r="O2216" i="3"/>
  <c r="P2215" i="3"/>
  <c r="O2215" i="3"/>
  <c r="P2214" i="3"/>
  <c r="O2214" i="3"/>
  <c r="P2213" i="3"/>
  <c r="O2213" i="3"/>
  <c r="P2212" i="3"/>
  <c r="O2212" i="3"/>
  <c r="P2211" i="3"/>
  <c r="O2211" i="3"/>
  <c r="P2210" i="3"/>
  <c r="O2210" i="3"/>
  <c r="P2209" i="3"/>
  <c r="O2209" i="3"/>
  <c r="P2208" i="3"/>
  <c r="O2208" i="3"/>
  <c r="P2207" i="3"/>
  <c r="O2207" i="3"/>
  <c r="P2206" i="3"/>
  <c r="O2206" i="3"/>
  <c r="P2205" i="3"/>
  <c r="O2205" i="3"/>
  <c r="P2204" i="3"/>
  <c r="O2204" i="3"/>
  <c r="P2203" i="3"/>
  <c r="O2203" i="3"/>
  <c r="P2202" i="3"/>
  <c r="O2202" i="3"/>
  <c r="P2201" i="3"/>
  <c r="O2201" i="3"/>
  <c r="P2200" i="3"/>
  <c r="O2200" i="3"/>
  <c r="P2199" i="3"/>
  <c r="O2199" i="3"/>
  <c r="P2198" i="3"/>
  <c r="O2198" i="3"/>
  <c r="P2197" i="3"/>
  <c r="O2197" i="3"/>
  <c r="P2196" i="3"/>
  <c r="O2196" i="3"/>
  <c r="P2195" i="3"/>
  <c r="O2195" i="3"/>
  <c r="P2194" i="3"/>
  <c r="O2194" i="3"/>
  <c r="P2193" i="3"/>
  <c r="O2193" i="3"/>
  <c r="P2192" i="3"/>
  <c r="O2192" i="3"/>
  <c r="P2191" i="3"/>
  <c r="O2191" i="3"/>
  <c r="P2190" i="3"/>
  <c r="O2190" i="3"/>
  <c r="P2189" i="3"/>
  <c r="O2189" i="3"/>
  <c r="P2188" i="3"/>
  <c r="O2188" i="3"/>
  <c r="P2187" i="3"/>
  <c r="O2187" i="3"/>
  <c r="P2186" i="3"/>
  <c r="O2186" i="3"/>
  <c r="P2185" i="3"/>
  <c r="O2185" i="3"/>
  <c r="P2184" i="3"/>
  <c r="O2184" i="3"/>
  <c r="P2183" i="3"/>
  <c r="O2183" i="3"/>
  <c r="P2182" i="3"/>
  <c r="O2182" i="3"/>
  <c r="P2181" i="3"/>
  <c r="O2181" i="3"/>
  <c r="P2180" i="3"/>
  <c r="O2180" i="3"/>
  <c r="P2179" i="3"/>
  <c r="O2179" i="3"/>
  <c r="P2178" i="3"/>
  <c r="O2178" i="3"/>
  <c r="P2177" i="3"/>
  <c r="O2177" i="3"/>
  <c r="P2176" i="3"/>
  <c r="O2176" i="3"/>
  <c r="P2175" i="3"/>
  <c r="O2175" i="3"/>
  <c r="P2174" i="3"/>
  <c r="O2174" i="3"/>
  <c r="P2173" i="3"/>
  <c r="O2173" i="3"/>
  <c r="P2172" i="3"/>
  <c r="O2172" i="3"/>
  <c r="P2171" i="3"/>
  <c r="O2171" i="3"/>
  <c r="P2170" i="3"/>
  <c r="O2170" i="3"/>
  <c r="P2169" i="3"/>
  <c r="O2169" i="3"/>
  <c r="P2168" i="3"/>
  <c r="O2168" i="3"/>
  <c r="P2167" i="3"/>
  <c r="O2167" i="3"/>
  <c r="P2166" i="3"/>
  <c r="O2166" i="3"/>
  <c r="P2165" i="3"/>
  <c r="O2165" i="3"/>
  <c r="P2164" i="3"/>
  <c r="O2164" i="3"/>
  <c r="P2163" i="3"/>
  <c r="O2163" i="3"/>
  <c r="P2162" i="3"/>
  <c r="O2162" i="3"/>
  <c r="P2161" i="3"/>
  <c r="O2161" i="3"/>
  <c r="P2160" i="3"/>
  <c r="O2160" i="3"/>
  <c r="P2159" i="3"/>
  <c r="O2159" i="3"/>
  <c r="P2158" i="3"/>
  <c r="O2158" i="3"/>
  <c r="P2157" i="3"/>
  <c r="O2157" i="3"/>
  <c r="P2156" i="3"/>
  <c r="O2156" i="3"/>
  <c r="P2155" i="3"/>
  <c r="O2155" i="3"/>
  <c r="P2154" i="3"/>
  <c r="O2154" i="3"/>
  <c r="P2153" i="3"/>
  <c r="O2153" i="3"/>
  <c r="P2152" i="3"/>
  <c r="O2152" i="3"/>
  <c r="P2151" i="3"/>
  <c r="O2151" i="3"/>
  <c r="P2150" i="3"/>
  <c r="O2150" i="3"/>
  <c r="P2149" i="3"/>
  <c r="O2149" i="3"/>
  <c r="P2148" i="3"/>
  <c r="O2148" i="3"/>
  <c r="P2147" i="3"/>
  <c r="O2147" i="3"/>
  <c r="P2146" i="3"/>
  <c r="O2146" i="3"/>
  <c r="P2145" i="3"/>
  <c r="O2145" i="3"/>
  <c r="P2144" i="3"/>
  <c r="O2144" i="3"/>
  <c r="P2143" i="3"/>
  <c r="O2143" i="3"/>
  <c r="P2142" i="3"/>
  <c r="O2142" i="3"/>
  <c r="P2141" i="3"/>
  <c r="O2141" i="3"/>
  <c r="P2140" i="3"/>
  <c r="O2140" i="3"/>
  <c r="P2139" i="3"/>
  <c r="O2139" i="3"/>
  <c r="P2138" i="3"/>
  <c r="O2138" i="3"/>
  <c r="P2137" i="3"/>
  <c r="O2137" i="3"/>
  <c r="P2136" i="3"/>
  <c r="O2136" i="3"/>
  <c r="P2135" i="3"/>
  <c r="O2135" i="3"/>
  <c r="P2134" i="3"/>
  <c r="O2134" i="3"/>
  <c r="P2133" i="3"/>
  <c r="O2133" i="3"/>
  <c r="P2132" i="3"/>
  <c r="O2132" i="3"/>
  <c r="P2131" i="3"/>
  <c r="O2131" i="3"/>
  <c r="P2130" i="3"/>
  <c r="O2130" i="3"/>
  <c r="P2129" i="3"/>
  <c r="O2129" i="3"/>
  <c r="P2128" i="3"/>
  <c r="O2128" i="3"/>
  <c r="P2127" i="3"/>
  <c r="O2127" i="3"/>
  <c r="P2126" i="3"/>
  <c r="O2126" i="3"/>
  <c r="P2125" i="3"/>
  <c r="O2125" i="3"/>
  <c r="P2124" i="3"/>
  <c r="O2124" i="3"/>
  <c r="P2123" i="3"/>
  <c r="O2123" i="3"/>
  <c r="P2122" i="3"/>
  <c r="O2122" i="3"/>
  <c r="P2121" i="3"/>
  <c r="O2121" i="3"/>
  <c r="P2120" i="3"/>
  <c r="O2120" i="3"/>
  <c r="P2119" i="3"/>
  <c r="O2119" i="3"/>
  <c r="P2118" i="3"/>
  <c r="O2118" i="3"/>
  <c r="P2117" i="3"/>
  <c r="O2117" i="3"/>
  <c r="P2116" i="3"/>
  <c r="O2116" i="3"/>
  <c r="P2115" i="3"/>
  <c r="O2115" i="3"/>
  <c r="P2114" i="3"/>
  <c r="O2114" i="3"/>
  <c r="P2113" i="3"/>
  <c r="O2113" i="3"/>
  <c r="P2112" i="3"/>
  <c r="O2112" i="3"/>
  <c r="P2111" i="3"/>
  <c r="O2111" i="3"/>
  <c r="P2110" i="3"/>
  <c r="O2110" i="3"/>
  <c r="P2109" i="3"/>
  <c r="O2109" i="3"/>
  <c r="P2108" i="3"/>
  <c r="O2108" i="3"/>
  <c r="P2107" i="3"/>
  <c r="O2107" i="3"/>
  <c r="P2106" i="3"/>
  <c r="O2106" i="3"/>
  <c r="P2105" i="3"/>
  <c r="O2105" i="3"/>
  <c r="P2104" i="3"/>
  <c r="O2104" i="3"/>
  <c r="P2103" i="3"/>
  <c r="O2103" i="3"/>
  <c r="P2102" i="3"/>
  <c r="O2102" i="3"/>
  <c r="P2101" i="3"/>
  <c r="O2101" i="3"/>
  <c r="P2100" i="3"/>
  <c r="O2100" i="3"/>
  <c r="P2099" i="3"/>
  <c r="O2099" i="3"/>
  <c r="P2098" i="3"/>
  <c r="O2098" i="3"/>
  <c r="P2097" i="3"/>
  <c r="O2097" i="3"/>
  <c r="P2096" i="3"/>
  <c r="O2096" i="3"/>
  <c r="P2095" i="3"/>
  <c r="O2095" i="3"/>
  <c r="P2094" i="3"/>
  <c r="O2094" i="3"/>
  <c r="P2093" i="3"/>
  <c r="O2093" i="3"/>
  <c r="P2092" i="3"/>
  <c r="O2092" i="3"/>
  <c r="P2091" i="3"/>
  <c r="O2091" i="3"/>
  <c r="P2090" i="3"/>
  <c r="O2090" i="3"/>
  <c r="P2089" i="3"/>
  <c r="O2089" i="3"/>
  <c r="P2088" i="3"/>
  <c r="O2088" i="3"/>
  <c r="P2087" i="3"/>
  <c r="O2087" i="3"/>
  <c r="P2086" i="3"/>
  <c r="O2086" i="3"/>
  <c r="P2085" i="3"/>
  <c r="O2085" i="3"/>
  <c r="P2084" i="3"/>
  <c r="O2084" i="3"/>
  <c r="P2083" i="3"/>
  <c r="O2083" i="3"/>
  <c r="P2082" i="3"/>
  <c r="O2082" i="3"/>
  <c r="P2081" i="3"/>
  <c r="O2081" i="3"/>
  <c r="P2080" i="3"/>
  <c r="O2080" i="3"/>
  <c r="P2079" i="3"/>
  <c r="O2079" i="3"/>
  <c r="P2078" i="3"/>
  <c r="O2078" i="3"/>
  <c r="P2077" i="3"/>
  <c r="O2077" i="3"/>
  <c r="P2076" i="3"/>
  <c r="O2076" i="3"/>
  <c r="P2075" i="3"/>
  <c r="O2075" i="3"/>
  <c r="P2074" i="3"/>
  <c r="O2074" i="3"/>
  <c r="P2073" i="3"/>
  <c r="O2073" i="3"/>
  <c r="P2072" i="3"/>
  <c r="O2072" i="3"/>
  <c r="P2071" i="3"/>
  <c r="O2071" i="3"/>
  <c r="P2070" i="3"/>
  <c r="O2070" i="3"/>
  <c r="P2069" i="3"/>
  <c r="O2069" i="3"/>
  <c r="P2068" i="3"/>
  <c r="O2068" i="3"/>
  <c r="P2067" i="3"/>
  <c r="O2067" i="3"/>
  <c r="P2066" i="3"/>
  <c r="O2066" i="3"/>
  <c r="P2065" i="3"/>
  <c r="O2065" i="3"/>
  <c r="P2064" i="3"/>
  <c r="O2064" i="3"/>
  <c r="P2063" i="3"/>
  <c r="O2063" i="3"/>
  <c r="P2062" i="3"/>
  <c r="O2062" i="3"/>
  <c r="P2061" i="3"/>
  <c r="O2061" i="3"/>
  <c r="P2060" i="3"/>
  <c r="O2060" i="3"/>
  <c r="P2059" i="3"/>
  <c r="O2059" i="3"/>
  <c r="P2058" i="3"/>
  <c r="O2058" i="3"/>
  <c r="P2057" i="3"/>
  <c r="O2057" i="3"/>
  <c r="P2056" i="3"/>
  <c r="O2056" i="3"/>
  <c r="P2055" i="3"/>
  <c r="O2055" i="3"/>
  <c r="P2054" i="3"/>
  <c r="O2054" i="3"/>
  <c r="P2053" i="3"/>
  <c r="O2053" i="3"/>
  <c r="P2052" i="3"/>
  <c r="O2052" i="3"/>
  <c r="P2051" i="3"/>
  <c r="O2051" i="3"/>
  <c r="P2050" i="3"/>
  <c r="O2050" i="3"/>
  <c r="P2049" i="3"/>
  <c r="O2049" i="3"/>
  <c r="P2048" i="3"/>
  <c r="O2048" i="3"/>
  <c r="P2047" i="3"/>
  <c r="O2047" i="3"/>
  <c r="P2046" i="3"/>
  <c r="O2046" i="3"/>
  <c r="P2045" i="3"/>
  <c r="O2045" i="3"/>
  <c r="P2044" i="3"/>
  <c r="O2044" i="3"/>
  <c r="P2043" i="3"/>
  <c r="O2043" i="3"/>
  <c r="P2042" i="3"/>
  <c r="O2042" i="3"/>
  <c r="P2041" i="3"/>
  <c r="O2041" i="3"/>
  <c r="P2040" i="3"/>
  <c r="O2040" i="3"/>
  <c r="P2039" i="3"/>
  <c r="O2039" i="3"/>
  <c r="P2038" i="3"/>
  <c r="O2038" i="3"/>
  <c r="P2037" i="3"/>
  <c r="O2037" i="3"/>
  <c r="P2036" i="3"/>
  <c r="O2036" i="3"/>
  <c r="P2035" i="3"/>
  <c r="O2035" i="3"/>
  <c r="P2034" i="3"/>
  <c r="O2034" i="3"/>
  <c r="P2033" i="3"/>
  <c r="O2033" i="3"/>
  <c r="P2032" i="3"/>
  <c r="O2032" i="3"/>
  <c r="P2031" i="3"/>
  <c r="O2031" i="3"/>
  <c r="P2030" i="3"/>
  <c r="O2030" i="3"/>
  <c r="P2029" i="3"/>
  <c r="O2029" i="3"/>
  <c r="P2028" i="3"/>
  <c r="O2028" i="3"/>
  <c r="P2027" i="3"/>
  <c r="O2027" i="3"/>
  <c r="P2026" i="3"/>
  <c r="O2026" i="3"/>
  <c r="P2025" i="3"/>
  <c r="O2025" i="3"/>
  <c r="P2024" i="3"/>
  <c r="O2024" i="3"/>
  <c r="P2023" i="3"/>
  <c r="O2023" i="3"/>
  <c r="P2022" i="3"/>
  <c r="O2022" i="3"/>
  <c r="P2021" i="3"/>
  <c r="O2021" i="3"/>
  <c r="P2020" i="3"/>
  <c r="O2020" i="3"/>
  <c r="P2019" i="3"/>
  <c r="O2019" i="3"/>
  <c r="P2018" i="3"/>
  <c r="O2018" i="3"/>
  <c r="P2017" i="3"/>
  <c r="O2017" i="3"/>
  <c r="P2016" i="3"/>
  <c r="O2016" i="3"/>
  <c r="P2015" i="3"/>
  <c r="O2015" i="3"/>
  <c r="P2014" i="3"/>
  <c r="O2014" i="3"/>
  <c r="P2013" i="3"/>
  <c r="O2013" i="3"/>
  <c r="P2012" i="3"/>
  <c r="O2012" i="3"/>
  <c r="P2011" i="3"/>
  <c r="O2011" i="3"/>
  <c r="P2010" i="3"/>
  <c r="O2010" i="3"/>
  <c r="P2009" i="3"/>
  <c r="O2009" i="3"/>
  <c r="P2008" i="3"/>
  <c r="O2008" i="3"/>
  <c r="P2007" i="3"/>
  <c r="O2007" i="3"/>
  <c r="P2006" i="3"/>
  <c r="O2006" i="3"/>
  <c r="P2005" i="3"/>
  <c r="O2005" i="3"/>
  <c r="P2004" i="3"/>
  <c r="O2004" i="3"/>
  <c r="P2003" i="3"/>
  <c r="O2003" i="3"/>
  <c r="P2002" i="3"/>
  <c r="O2002" i="3"/>
  <c r="P2001" i="3"/>
  <c r="O2001" i="3"/>
  <c r="P2000" i="3"/>
  <c r="O2000" i="3"/>
  <c r="P1999" i="3"/>
  <c r="O1999" i="3"/>
  <c r="P1998" i="3"/>
  <c r="O1998" i="3"/>
  <c r="P1997" i="3"/>
  <c r="O1997" i="3"/>
  <c r="P1996" i="3"/>
  <c r="O1996" i="3"/>
  <c r="P1995" i="3"/>
  <c r="O1995" i="3"/>
  <c r="P1994" i="3"/>
  <c r="O1994" i="3"/>
  <c r="P1993" i="3"/>
  <c r="O1993" i="3"/>
  <c r="P1992" i="3"/>
  <c r="O1992" i="3"/>
  <c r="P1991" i="3"/>
  <c r="O1991" i="3"/>
  <c r="P1990" i="3"/>
  <c r="O1990" i="3"/>
  <c r="P1989" i="3"/>
  <c r="O1989" i="3"/>
  <c r="P1988" i="3"/>
  <c r="O1988" i="3"/>
  <c r="P1987" i="3"/>
  <c r="O1987" i="3"/>
  <c r="P1986" i="3"/>
  <c r="O1986" i="3"/>
  <c r="P1985" i="3"/>
  <c r="O1985" i="3"/>
  <c r="P1984" i="3"/>
  <c r="O1984" i="3"/>
  <c r="P1983" i="3"/>
  <c r="O1983" i="3"/>
  <c r="P1982" i="3"/>
  <c r="O1982" i="3"/>
  <c r="P1981" i="3"/>
  <c r="O1981" i="3"/>
  <c r="P1980" i="3"/>
  <c r="O1980" i="3"/>
  <c r="P1979" i="3"/>
  <c r="O1979" i="3"/>
  <c r="P1978" i="3"/>
  <c r="O1978" i="3"/>
  <c r="P1977" i="3"/>
  <c r="O1977" i="3"/>
  <c r="P1976" i="3"/>
  <c r="O1976" i="3"/>
  <c r="P1975" i="3"/>
  <c r="O1975" i="3"/>
  <c r="P1974" i="3"/>
  <c r="O1974" i="3"/>
  <c r="P1973" i="3"/>
  <c r="O1973" i="3"/>
  <c r="P1972" i="3"/>
  <c r="O1972" i="3"/>
  <c r="P1971" i="3"/>
  <c r="O1971" i="3"/>
  <c r="P1970" i="3"/>
  <c r="O1970" i="3"/>
  <c r="P1969" i="3"/>
  <c r="O1969" i="3"/>
  <c r="P1968" i="3"/>
  <c r="O1968" i="3"/>
  <c r="P1967" i="3"/>
  <c r="O1967" i="3"/>
  <c r="P1966" i="3"/>
  <c r="O1966" i="3"/>
  <c r="P1965" i="3"/>
  <c r="O1965" i="3"/>
  <c r="P1964" i="3"/>
  <c r="O1964" i="3"/>
  <c r="P1963" i="3"/>
  <c r="O1963" i="3"/>
  <c r="P1962" i="3"/>
  <c r="O1962" i="3"/>
  <c r="P1961" i="3"/>
  <c r="O1961" i="3"/>
  <c r="P1960" i="3"/>
  <c r="O1960" i="3"/>
  <c r="P1959" i="3"/>
  <c r="O1959" i="3"/>
  <c r="P1958" i="3"/>
  <c r="O1958" i="3"/>
  <c r="P1957" i="3"/>
  <c r="O1957" i="3"/>
  <c r="P1956" i="3"/>
  <c r="O1956" i="3"/>
  <c r="P1955" i="3"/>
  <c r="O1955" i="3"/>
  <c r="P1954" i="3"/>
  <c r="O1954" i="3"/>
  <c r="P1953" i="3"/>
  <c r="O1953" i="3"/>
  <c r="P1952" i="3"/>
  <c r="O1952" i="3"/>
  <c r="P1951" i="3"/>
  <c r="O1951" i="3"/>
  <c r="P1950" i="3"/>
  <c r="O1950" i="3"/>
  <c r="P1949" i="3"/>
  <c r="O1949" i="3"/>
  <c r="P1948" i="3"/>
  <c r="O1948" i="3"/>
  <c r="P1947" i="3"/>
  <c r="O1947" i="3"/>
  <c r="P1946" i="3"/>
  <c r="O1946" i="3"/>
  <c r="P1945" i="3"/>
  <c r="O1945" i="3"/>
  <c r="P1944" i="3"/>
  <c r="O1944" i="3"/>
  <c r="P1943" i="3"/>
  <c r="O1943" i="3"/>
  <c r="P1942" i="3"/>
  <c r="O1942" i="3"/>
  <c r="P1941" i="3"/>
  <c r="O1941" i="3"/>
  <c r="P1940" i="3"/>
  <c r="O1940" i="3"/>
  <c r="P1939" i="3"/>
  <c r="O1939" i="3"/>
  <c r="P1938" i="3"/>
  <c r="O1938" i="3"/>
  <c r="P1937" i="3"/>
  <c r="O1937" i="3"/>
  <c r="P1936" i="3"/>
  <c r="O1936" i="3"/>
  <c r="P1935" i="3"/>
  <c r="O1935" i="3"/>
  <c r="P1934" i="3"/>
  <c r="O1934" i="3"/>
  <c r="P1933" i="3"/>
  <c r="O1933" i="3"/>
  <c r="P1932" i="3"/>
  <c r="O1932" i="3"/>
  <c r="P1931" i="3"/>
  <c r="O1931" i="3"/>
  <c r="P1930" i="3"/>
  <c r="O1930" i="3"/>
  <c r="P1929" i="3"/>
  <c r="O1929" i="3"/>
  <c r="P1928" i="3"/>
  <c r="O1928" i="3"/>
  <c r="P1927" i="3"/>
  <c r="O1927" i="3"/>
  <c r="P1926" i="3"/>
  <c r="O1926" i="3"/>
  <c r="P1925" i="3"/>
  <c r="O1925" i="3"/>
  <c r="P1924" i="3"/>
  <c r="O1924" i="3"/>
  <c r="P1923" i="3"/>
  <c r="O1923" i="3"/>
  <c r="P1922" i="3"/>
  <c r="O1922" i="3"/>
  <c r="P1921" i="3"/>
  <c r="O1921" i="3"/>
  <c r="P1920" i="3"/>
  <c r="O1920" i="3"/>
  <c r="P1919" i="3"/>
  <c r="O1919" i="3"/>
  <c r="P1918" i="3"/>
  <c r="O1918" i="3"/>
  <c r="P1917" i="3"/>
  <c r="O1917" i="3"/>
  <c r="P1916" i="3"/>
  <c r="O1916" i="3"/>
  <c r="P1915" i="3"/>
  <c r="O1915" i="3"/>
  <c r="P1914" i="3"/>
  <c r="O1914" i="3"/>
  <c r="P1913" i="3"/>
  <c r="O1913" i="3"/>
  <c r="P1912" i="3"/>
  <c r="O1912" i="3"/>
  <c r="P1911" i="3"/>
  <c r="O1911" i="3"/>
  <c r="P1910" i="3"/>
  <c r="O1910" i="3"/>
  <c r="P1909" i="3"/>
  <c r="O1909" i="3"/>
  <c r="P1908" i="3"/>
  <c r="O1908" i="3"/>
  <c r="P1907" i="3"/>
  <c r="O1907" i="3"/>
  <c r="P1906" i="3"/>
  <c r="O1906" i="3"/>
  <c r="P1905" i="3"/>
  <c r="O1905" i="3"/>
  <c r="P1904" i="3"/>
  <c r="O1904" i="3"/>
  <c r="P1903" i="3"/>
  <c r="O1903" i="3"/>
  <c r="P1902" i="3"/>
  <c r="O1902" i="3"/>
  <c r="P1901" i="3"/>
  <c r="O1901" i="3"/>
  <c r="P1900" i="3"/>
  <c r="O1900" i="3"/>
  <c r="P1899" i="3"/>
  <c r="O1899" i="3"/>
  <c r="P1898" i="3"/>
  <c r="O1898" i="3"/>
  <c r="P1897" i="3"/>
  <c r="O1897" i="3"/>
  <c r="P1896" i="3"/>
  <c r="O1896" i="3"/>
  <c r="P1895" i="3"/>
  <c r="O1895" i="3"/>
  <c r="P1894" i="3"/>
  <c r="O1894" i="3"/>
  <c r="P1893" i="3"/>
  <c r="O1893" i="3"/>
  <c r="P1892" i="3"/>
  <c r="O1892" i="3"/>
  <c r="P1891" i="3"/>
  <c r="O1891" i="3"/>
  <c r="P1890" i="3"/>
  <c r="O1890" i="3"/>
  <c r="P1889" i="3"/>
  <c r="O1889" i="3"/>
  <c r="P1888" i="3"/>
  <c r="O1888" i="3"/>
  <c r="P1887" i="3"/>
  <c r="O1887" i="3"/>
  <c r="P1886" i="3"/>
  <c r="O1886" i="3"/>
  <c r="P1885" i="3"/>
  <c r="O1885" i="3"/>
  <c r="P1884" i="3"/>
  <c r="O1884" i="3"/>
  <c r="P1883" i="3"/>
  <c r="O1883" i="3"/>
  <c r="P1882" i="3"/>
  <c r="O1882" i="3"/>
  <c r="P1881" i="3"/>
  <c r="O1881" i="3"/>
  <c r="P1880" i="3"/>
  <c r="O1880" i="3"/>
  <c r="P1879" i="3"/>
  <c r="O1879" i="3"/>
  <c r="P1878" i="3"/>
  <c r="O1878" i="3"/>
  <c r="P1877" i="3"/>
  <c r="O1877" i="3"/>
  <c r="P1876" i="3"/>
  <c r="O1876" i="3"/>
  <c r="P1875" i="3"/>
  <c r="O1875" i="3"/>
  <c r="P1874" i="3"/>
  <c r="O1874" i="3"/>
  <c r="P1873" i="3"/>
  <c r="O1873" i="3"/>
  <c r="P1872" i="3"/>
  <c r="O1872" i="3"/>
  <c r="P1871" i="3"/>
  <c r="O1871" i="3"/>
  <c r="P1870" i="3"/>
  <c r="O1870" i="3"/>
  <c r="P1869" i="3"/>
  <c r="O1869" i="3"/>
  <c r="P1868" i="3"/>
  <c r="O1868" i="3"/>
  <c r="P1867" i="3"/>
  <c r="O1867" i="3"/>
  <c r="P1866" i="3"/>
  <c r="O1866" i="3"/>
  <c r="P1865" i="3"/>
  <c r="O1865" i="3"/>
  <c r="P1864" i="3"/>
  <c r="O1864" i="3"/>
  <c r="P1863" i="3"/>
  <c r="O1863" i="3"/>
  <c r="P1862" i="3"/>
  <c r="O1862" i="3"/>
  <c r="P1861" i="3"/>
  <c r="O1861" i="3"/>
  <c r="P1860" i="3"/>
  <c r="O1860" i="3"/>
  <c r="P1859" i="3"/>
  <c r="O1859" i="3"/>
  <c r="P1858" i="3"/>
  <c r="O1858" i="3"/>
  <c r="P1857" i="3"/>
  <c r="O1857" i="3"/>
  <c r="P1856" i="3"/>
  <c r="O1856" i="3"/>
  <c r="P1855" i="3"/>
  <c r="O1855" i="3"/>
  <c r="P1854" i="3"/>
  <c r="O1854" i="3"/>
  <c r="P1853" i="3"/>
  <c r="O1853" i="3"/>
  <c r="P1852" i="3"/>
  <c r="O1852" i="3"/>
  <c r="P1851" i="3"/>
  <c r="O1851" i="3"/>
  <c r="P1850" i="3"/>
  <c r="O1850" i="3"/>
  <c r="P1849" i="3"/>
  <c r="O1849" i="3"/>
  <c r="P1848" i="3"/>
  <c r="O1848" i="3"/>
  <c r="P1847" i="3"/>
  <c r="O1847" i="3"/>
  <c r="P1846" i="3"/>
  <c r="O1846" i="3"/>
  <c r="P1845" i="3"/>
  <c r="O1845" i="3"/>
  <c r="P1844" i="3"/>
  <c r="O1844" i="3"/>
  <c r="P1843" i="3"/>
  <c r="O1843" i="3"/>
  <c r="P1842" i="3"/>
  <c r="O1842" i="3"/>
  <c r="P1841" i="3"/>
  <c r="O1841" i="3"/>
  <c r="P1840" i="3"/>
  <c r="O1840" i="3"/>
  <c r="P1839" i="3"/>
  <c r="O1839" i="3"/>
  <c r="P1838" i="3"/>
  <c r="O1838" i="3"/>
  <c r="P1837" i="3"/>
  <c r="O1837" i="3"/>
  <c r="P1836" i="3"/>
  <c r="O1836" i="3"/>
  <c r="P1835" i="3"/>
  <c r="O1835" i="3"/>
  <c r="P1834" i="3"/>
  <c r="O1834" i="3"/>
  <c r="P1833" i="3"/>
  <c r="O1833" i="3"/>
  <c r="P1832" i="3"/>
  <c r="O1832" i="3"/>
  <c r="P1831" i="3"/>
  <c r="O1831" i="3"/>
  <c r="P1830" i="3"/>
  <c r="O1830" i="3"/>
  <c r="P1829" i="3"/>
  <c r="O1829" i="3"/>
  <c r="P1828" i="3"/>
  <c r="O1828" i="3"/>
  <c r="P1827" i="3"/>
  <c r="O1827" i="3"/>
  <c r="P1826" i="3"/>
  <c r="O1826" i="3"/>
  <c r="P1825" i="3"/>
  <c r="O1825" i="3"/>
  <c r="P1824" i="3"/>
  <c r="O1824" i="3"/>
  <c r="P1823" i="3"/>
  <c r="O1823" i="3"/>
  <c r="P1822" i="3"/>
  <c r="O1822" i="3"/>
  <c r="P1821" i="3"/>
  <c r="O1821" i="3"/>
  <c r="P1820" i="3"/>
  <c r="O1820" i="3"/>
  <c r="P1819" i="3"/>
  <c r="O1819" i="3"/>
  <c r="P1818" i="3"/>
  <c r="O1818" i="3"/>
  <c r="P1817" i="3"/>
  <c r="O1817" i="3"/>
  <c r="P1816" i="3"/>
  <c r="O1816" i="3"/>
  <c r="P1815" i="3"/>
  <c r="O1815" i="3"/>
  <c r="P1814" i="3"/>
  <c r="O1814" i="3"/>
  <c r="P1813" i="3"/>
  <c r="O1813" i="3"/>
  <c r="P1812" i="3"/>
  <c r="O1812" i="3"/>
  <c r="P1811" i="3"/>
  <c r="O1811" i="3"/>
  <c r="P1810" i="3"/>
  <c r="O1810" i="3"/>
  <c r="P1809" i="3"/>
  <c r="O1809" i="3"/>
  <c r="P1808" i="3"/>
  <c r="O1808" i="3"/>
  <c r="P1807" i="3"/>
  <c r="O1807" i="3"/>
  <c r="P1806" i="3"/>
  <c r="O1806" i="3"/>
  <c r="P1805" i="3"/>
  <c r="O1805" i="3"/>
  <c r="P1804" i="3"/>
  <c r="O1804" i="3"/>
  <c r="P1803" i="3"/>
  <c r="O1803" i="3"/>
  <c r="P1802" i="3"/>
  <c r="O1802" i="3"/>
  <c r="P1801" i="3"/>
  <c r="O1801" i="3"/>
  <c r="P1800" i="3"/>
  <c r="O1800" i="3"/>
  <c r="P1799" i="3"/>
  <c r="O1799" i="3"/>
  <c r="P1798" i="3"/>
  <c r="O1798" i="3"/>
  <c r="P1797" i="3"/>
  <c r="O1797" i="3"/>
  <c r="P1796" i="3"/>
  <c r="O1796" i="3"/>
  <c r="P1795" i="3"/>
  <c r="O1795" i="3"/>
  <c r="P1794" i="3"/>
  <c r="O1794" i="3"/>
  <c r="P1793" i="3"/>
  <c r="O1793" i="3"/>
  <c r="P1792" i="3"/>
  <c r="O1792" i="3"/>
  <c r="P1791" i="3"/>
  <c r="O1791" i="3"/>
  <c r="P1790" i="3"/>
  <c r="O1790" i="3"/>
  <c r="P1789" i="3"/>
  <c r="O1789" i="3"/>
  <c r="P1788" i="3"/>
  <c r="O1788" i="3"/>
  <c r="P1787" i="3"/>
  <c r="O1787" i="3"/>
  <c r="P1786" i="3"/>
  <c r="O1786" i="3"/>
  <c r="P1785" i="3"/>
  <c r="O1785" i="3"/>
  <c r="P1784" i="3"/>
  <c r="O1784" i="3"/>
  <c r="P1783" i="3"/>
  <c r="O1783" i="3"/>
  <c r="P1782" i="3"/>
  <c r="O1782" i="3"/>
  <c r="P1781" i="3"/>
  <c r="O1781" i="3"/>
  <c r="P1780" i="3"/>
  <c r="O1780" i="3"/>
  <c r="P1779" i="3"/>
  <c r="O1779" i="3"/>
  <c r="P1778" i="3"/>
  <c r="O1778" i="3"/>
  <c r="P1777" i="3"/>
  <c r="O1777" i="3"/>
  <c r="P1776" i="3"/>
  <c r="O1776" i="3"/>
  <c r="P1775" i="3"/>
  <c r="O1775" i="3"/>
  <c r="P1774" i="3"/>
  <c r="O1774" i="3"/>
  <c r="P1773" i="3"/>
  <c r="O1773" i="3"/>
  <c r="P1772" i="3"/>
  <c r="O1772" i="3"/>
  <c r="P1771" i="3"/>
  <c r="O1771" i="3"/>
  <c r="P1770" i="3"/>
  <c r="O1770" i="3"/>
  <c r="P1769" i="3"/>
  <c r="O1769" i="3"/>
  <c r="P1768" i="3"/>
  <c r="O1768" i="3"/>
  <c r="P1767" i="3"/>
  <c r="O1767" i="3"/>
  <c r="P1766" i="3"/>
  <c r="O1766" i="3"/>
  <c r="P1765" i="3"/>
  <c r="O1765" i="3"/>
  <c r="P1764" i="3"/>
  <c r="O1764" i="3"/>
  <c r="P1763" i="3"/>
  <c r="O1763" i="3"/>
  <c r="P1762" i="3"/>
  <c r="O1762" i="3"/>
  <c r="P1761" i="3"/>
  <c r="O1761" i="3"/>
  <c r="P1760" i="3"/>
  <c r="O1760" i="3"/>
  <c r="P1759" i="3"/>
  <c r="O1759" i="3"/>
  <c r="P1758" i="3"/>
  <c r="O1758" i="3"/>
  <c r="P1757" i="3"/>
  <c r="O1757" i="3"/>
  <c r="P1756" i="3"/>
  <c r="O1756" i="3"/>
  <c r="P1755" i="3"/>
  <c r="O1755" i="3"/>
  <c r="P1754" i="3"/>
  <c r="O1754" i="3"/>
  <c r="P1753" i="3"/>
  <c r="O1753" i="3"/>
  <c r="P1752" i="3"/>
  <c r="O1752" i="3"/>
  <c r="P1751" i="3"/>
  <c r="O1751" i="3"/>
  <c r="P1750" i="3"/>
  <c r="O1750" i="3"/>
  <c r="P1749" i="3"/>
  <c r="O1749" i="3"/>
  <c r="P1748" i="3"/>
  <c r="O1748" i="3"/>
  <c r="P1747" i="3"/>
  <c r="O1747" i="3"/>
  <c r="P1746" i="3"/>
  <c r="O1746" i="3"/>
  <c r="P1745" i="3"/>
  <c r="O1745" i="3"/>
  <c r="P1744" i="3"/>
  <c r="O1744" i="3"/>
  <c r="P1743" i="3"/>
  <c r="O1743" i="3"/>
  <c r="P1742" i="3"/>
  <c r="O1742" i="3"/>
  <c r="P1741" i="3"/>
  <c r="O1741" i="3"/>
  <c r="P1740" i="3"/>
  <c r="O1740" i="3"/>
  <c r="P1739" i="3"/>
  <c r="O1739" i="3"/>
  <c r="P1738" i="3"/>
  <c r="O1738" i="3"/>
  <c r="P1737" i="3"/>
  <c r="O1737" i="3"/>
  <c r="P1736" i="3"/>
  <c r="O1736" i="3"/>
  <c r="P1735" i="3"/>
  <c r="O1735" i="3"/>
  <c r="P1734" i="3"/>
  <c r="O1734" i="3"/>
  <c r="P1733" i="3"/>
  <c r="O1733" i="3"/>
  <c r="P1732" i="3"/>
  <c r="O1732" i="3"/>
  <c r="P1731" i="3"/>
  <c r="O1731" i="3"/>
  <c r="P1730" i="3"/>
  <c r="O1730" i="3"/>
  <c r="P1729" i="3"/>
  <c r="O1729" i="3"/>
  <c r="P1728" i="3"/>
  <c r="O1728" i="3"/>
  <c r="P1727" i="3"/>
  <c r="O1727" i="3"/>
  <c r="P1726" i="3"/>
  <c r="O1726" i="3"/>
  <c r="P1725" i="3"/>
  <c r="O1725" i="3"/>
  <c r="P1724" i="3"/>
  <c r="O1724" i="3"/>
  <c r="P1723" i="3"/>
  <c r="O1723" i="3"/>
  <c r="P1722" i="3"/>
  <c r="O1722" i="3"/>
  <c r="P1721" i="3"/>
  <c r="O1721" i="3"/>
  <c r="P1720" i="3"/>
  <c r="O1720" i="3"/>
  <c r="P1719" i="3"/>
  <c r="O1719" i="3"/>
  <c r="P1718" i="3"/>
  <c r="O1718" i="3"/>
  <c r="P1717" i="3"/>
  <c r="O1717" i="3"/>
  <c r="P1716" i="3"/>
  <c r="O1716" i="3"/>
  <c r="P1715" i="3"/>
  <c r="O1715" i="3"/>
  <c r="P1714" i="3"/>
  <c r="O1714" i="3"/>
  <c r="P1713" i="3"/>
  <c r="O1713" i="3"/>
  <c r="P1712" i="3"/>
  <c r="O1712" i="3"/>
  <c r="P1711" i="3"/>
  <c r="O1711" i="3"/>
  <c r="P1710" i="3"/>
  <c r="O1710" i="3"/>
  <c r="P1709" i="3"/>
  <c r="O1709" i="3"/>
  <c r="P1708" i="3"/>
  <c r="O1708" i="3"/>
  <c r="P1707" i="3"/>
  <c r="O1707" i="3"/>
  <c r="P1706" i="3"/>
  <c r="O1706" i="3"/>
  <c r="P1705" i="3"/>
  <c r="O1705" i="3"/>
  <c r="P1704" i="3"/>
  <c r="O1704" i="3"/>
  <c r="P1703" i="3"/>
  <c r="O1703" i="3"/>
  <c r="P1702" i="3"/>
  <c r="O1702" i="3"/>
  <c r="P1701" i="3"/>
  <c r="O1701" i="3"/>
  <c r="P1700" i="3"/>
  <c r="O1700" i="3"/>
  <c r="P1699" i="3"/>
  <c r="O1699" i="3"/>
  <c r="P1698" i="3"/>
  <c r="O1698" i="3"/>
  <c r="P1697" i="3"/>
  <c r="O1697" i="3"/>
  <c r="P1696" i="3"/>
  <c r="O1696" i="3"/>
  <c r="P1695" i="3"/>
  <c r="O1695" i="3"/>
  <c r="P1694" i="3"/>
  <c r="O1694" i="3"/>
  <c r="P1693" i="3"/>
  <c r="O1693" i="3"/>
  <c r="P1692" i="3"/>
  <c r="O1692" i="3"/>
  <c r="P1691" i="3"/>
  <c r="O1691" i="3"/>
  <c r="P1690" i="3"/>
  <c r="O1690" i="3"/>
  <c r="P1689" i="3"/>
  <c r="O1689" i="3"/>
  <c r="P1688" i="3"/>
  <c r="O1688" i="3"/>
  <c r="P1687" i="3"/>
  <c r="O1687" i="3"/>
  <c r="P1686" i="3"/>
  <c r="O1686" i="3"/>
  <c r="P1685" i="3"/>
  <c r="O1685" i="3"/>
  <c r="P1684" i="3"/>
  <c r="O1684" i="3"/>
  <c r="P1683" i="3"/>
  <c r="O1683" i="3"/>
  <c r="P1682" i="3"/>
  <c r="O1682" i="3"/>
  <c r="P1681" i="3"/>
  <c r="O1681" i="3"/>
  <c r="P1680" i="3"/>
  <c r="O1680" i="3"/>
  <c r="P1679" i="3"/>
  <c r="O1679" i="3"/>
  <c r="P1678" i="3"/>
  <c r="O1678" i="3"/>
  <c r="P1677" i="3"/>
  <c r="O1677" i="3"/>
  <c r="P1676" i="3"/>
  <c r="O1676" i="3"/>
  <c r="P1675" i="3"/>
  <c r="O1675" i="3"/>
  <c r="P1674" i="3"/>
  <c r="O1674" i="3"/>
  <c r="P1673" i="3"/>
  <c r="O1673" i="3"/>
  <c r="P1672" i="3"/>
  <c r="O1672" i="3"/>
  <c r="P1671" i="3"/>
  <c r="O1671" i="3"/>
  <c r="P1670" i="3"/>
  <c r="O1670" i="3"/>
  <c r="P1669" i="3"/>
  <c r="O1669" i="3"/>
  <c r="P1668" i="3"/>
  <c r="O1668" i="3"/>
  <c r="P1667" i="3"/>
  <c r="O1667" i="3"/>
  <c r="P1666" i="3"/>
  <c r="O1666" i="3"/>
  <c r="P1665" i="3"/>
  <c r="O1665" i="3"/>
  <c r="P1664" i="3"/>
  <c r="O1664" i="3"/>
  <c r="P1663" i="3"/>
  <c r="O1663" i="3"/>
  <c r="P1662" i="3"/>
  <c r="O1662" i="3"/>
  <c r="P1661" i="3"/>
  <c r="O1661" i="3"/>
  <c r="P1660" i="3"/>
  <c r="O1660" i="3"/>
  <c r="P1659" i="3"/>
  <c r="O1659" i="3"/>
  <c r="P1658" i="3"/>
  <c r="O1658" i="3"/>
  <c r="P1657" i="3"/>
  <c r="O1657" i="3"/>
  <c r="P1656" i="3"/>
  <c r="O1656" i="3"/>
  <c r="P1655" i="3"/>
  <c r="O1655" i="3"/>
  <c r="P1654" i="3"/>
  <c r="O1654" i="3"/>
  <c r="P1653" i="3"/>
  <c r="O1653" i="3"/>
  <c r="P1652" i="3"/>
  <c r="O1652" i="3"/>
  <c r="P1651" i="3"/>
  <c r="O1651" i="3"/>
  <c r="P1650" i="3"/>
  <c r="O1650" i="3"/>
  <c r="P1649" i="3"/>
  <c r="O1649" i="3"/>
  <c r="P1648" i="3"/>
  <c r="O1648" i="3"/>
  <c r="P1647" i="3"/>
  <c r="O1647" i="3"/>
  <c r="P1646" i="3"/>
  <c r="O1646" i="3"/>
  <c r="P1645" i="3"/>
  <c r="O1645" i="3"/>
  <c r="P1644" i="3"/>
  <c r="O1644" i="3"/>
  <c r="P1643" i="3"/>
  <c r="O1643" i="3"/>
  <c r="P1642" i="3"/>
  <c r="O1642" i="3"/>
  <c r="P1641" i="3"/>
  <c r="O1641" i="3"/>
  <c r="P1640" i="3"/>
  <c r="O1640" i="3"/>
  <c r="P1639" i="3"/>
  <c r="O1639" i="3"/>
  <c r="P1638" i="3"/>
  <c r="O1638" i="3"/>
  <c r="P1637" i="3"/>
  <c r="O1637" i="3"/>
  <c r="P1636" i="3"/>
  <c r="O1636" i="3"/>
  <c r="P1635" i="3"/>
  <c r="O1635" i="3"/>
  <c r="P1634" i="3"/>
  <c r="O1634" i="3"/>
  <c r="P1633" i="3"/>
  <c r="O1633" i="3"/>
  <c r="P1632" i="3"/>
  <c r="O1632" i="3"/>
  <c r="P1631" i="3"/>
  <c r="O1631" i="3"/>
  <c r="P1630" i="3"/>
  <c r="O1630" i="3"/>
  <c r="P1629" i="3"/>
  <c r="O1629" i="3"/>
  <c r="P1628" i="3"/>
  <c r="O1628" i="3"/>
  <c r="P1627" i="3"/>
  <c r="O1627" i="3"/>
  <c r="P1626" i="3"/>
  <c r="O1626" i="3"/>
  <c r="P1625" i="3"/>
  <c r="O1625" i="3"/>
  <c r="P1624" i="3"/>
  <c r="O1624" i="3"/>
  <c r="P1623" i="3"/>
  <c r="O1623" i="3"/>
  <c r="P1622" i="3"/>
  <c r="O1622" i="3"/>
  <c r="P1621" i="3"/>
  <c r="O1621" i="3"/>
  <c r="P1620" i="3"/>
  <c r="O1620" i="3"/>
  <c r="P1619" i="3"/>
  <c r="O1619" i="3"/>
  <c r="P1618" i="3"/>
  <c r="O1618" i="3"/>
  <c r="P1617" i="3"/>
  <c r="O1617" i="3"/>
  <c r="P1616" i="3"/>
  <c r="O1616" i="3"/>
  <c r="P1615" i="3"/>
  <c r="O1615" i="3"/>
  <c r="P1614" i="3"/>
  <c r="O1614" i="3"/>
  <c r="P1613" i="3"/>
  <c r="O1613" i="3"/>
  <c r="P1612" i="3"/>
  <c r="O1612" i="3"/>
  <c r="P1611" i="3"/>
  <c r="O1611" i="3"/>
  <c r="P1610" i="3"/>
  <c r="O1610" i="3"/>
  <c r="P1609" i="3"/>
  <c r="O1609" i="3"/>
  <c r="P1608" i="3"/>
  <c r="O1608" i="3"/>
  <c r="P1607" i="3"/>
  <c r="O1607" i="3"/>
  <c r="P1606" i="3"/>
  <c r="O1606" i="3"/>
  <c r="P1605" i="3"/>
  <c r="O1605" i="3"/>
  <c r="P1604" i="3"/>
  <c r="O1604" i="3"/>
  <c r="P1603" i="3"/>
  <c r="O1603" i="3"/>
  <c r="P1602" i="3"/>
  <c r="O1602" i="3"/>
  <c r="P1601" i="3"/>
  <c r="O1601" i="3"/>
  <c r="P1600" i="3"/>
  <c r="O1600" i="3"/>
  <c r="P1599" i="3"/>
  <c r="O1599" i="3"/>
  <c r="P1598" i="3"/>
  <c r="O1598" i="3"/>
  <c r="P1597" i="3"/>
  <c r="O1597" i="3"/>
  <c r="P1596" i="3"/>
  <c r="O1596" i="3"/>
  <c r="P1595" i="3"/>
  <c r="O1595" i="3"/>
  <c r="P1594" i="3"/>
  <c r="O1594" i="3"/>
  <c r="P1593" i="3"/>
  <c r="O1593" i="3"/>
  <c r="P1592" i="3"/>
  <c r="O1592" i="3"/>
  <c r="P1591" i="3"/>
  <c r="O1591" i="3"/>
  <c r="P1590" i="3"/>
  <c r="O1590" i="3"/>
  <c r="P1589" i="3"/>
  <c r="O1589" i="3"/>
  <c r="P1588" i="3"/>
  <c r="O1588" i="3"/>
  <c r="P1587" i="3"/>
  <c r="O1587" i="3"/>
  <c r="P1586" i="3"/>
  <c r="O1586" i="3"/>
  <c r="P1585" i="3"/>
  <c r="O1585" i="3"/>
  <c r="P1584" i="3"/>
  <c r="O1584" i="3"/>
  <c r="P1583" i="3"/>
  <c r="O1583" i="3"/>
  <c r="P1582" i="3"/>
  <c r="O1582" i="3"/>
  <c r="P1581" i="3"/>
  <c r="O1581" i="3"/>
  <c r="P1580" i="3"/>
  <c r="O1580" i="3"/>
  <c r="P1579" i="3"/>
  <c r="O1579" i="3"/>
  <c r="P1578" i="3"/>
  <c r="O1578" i="3"/>
  <c r="P1577" i="3"/>
  <c r="O1577" i="3"/>
  <c r="P1576" i="3"/>
  <c r="O1576" i="3"/>
  <c r="P1575" i="3"/>
  <c r="O1575" i="3"/>
  <c r="P1574" i="3"/>
  <c r="O1574" i="3"/>
  <c r="P1573" i="3"/>
  <c r="O1573" i="3"/>
  <c r="P1572" i="3"/>
  <c r="O1572" i="3"/>
  <c r="P1571" i="3"/>
  <c r="O1571" i="3"/>
  <c r="P1570" i="3"/>
  <c r="O1570" i="3"/>
  <c r="P1569" i="3"/>
  <c r="O1569" i="3"/>
  <c r="P1568" i="3"/>
  <c r="O1568" i="3"/>
  <c r="P1567" i="3"/>
  <c r="O1567" i="3"/>
  <c r="P1566" i="3"/>
  <c r="O1566" i="3"/>
  <c r="P1565" i="3"/>
  <c r="O1565" i="3"/>
  <c r="P1564" i="3"/>
  <c r="O1564" i="3"/>
  <c r="P1563" i="3"/>
  <c r="O1563" i="3"/>
  <c r="P1562" i="3"/>
  <c r="O1562" i="3"/>
  <c r="P1561" i="3"/>
  <c r="O1561" i="3"/>
  <c r="P1560" i="3"/>
  <c r="O1560" i="3"/>
  <c r="P1559" i="3"/>
  <c r="O1559" i="3"/>
  <c r="P1558" i="3"/>
  <c r="O1558" i="3"/>
  <c r="P1557" i="3"/>
  <c r="O1557" i="3"/>
  <c r="P1556" i="3"/>
  <c r="O1556" i="3"/>
  <c r="P1555" i="3"/>
  <c r="O1555" i="3"/>
  <c r="P1554" i="3"/>
  <c r="O1554" i="3"/>
  <c r="P1553" i="3"/>
  <c r="O1553" i="3"/>
  <c r="P1552" i="3"/>
  <c r="O1552" i="3"/>
  <c r="P1551" i="3"/>
  <c r="O1551" i="3"/>
  <c r="P1550" i="3"/>
  <c r="O1550" i="3"/>
  <c r="P1549" i="3"/>
  <c r="O1549" i="3"/>
  <c r="P1548" i="3"/>
  <c r="O1548" i="3"/>
  <c r="P1547" i="3"/>
  <c r="O1547" i="3"/>
  <c r="P1546" i="3"/>
  <c r="O1546" i="3"/>
  <c r="P1545" i="3"/>
  <c r="O1545" i="3"/>
  <c r="P1544" i="3"/>
  <c r="O1544" i="3"/>
  <c r="P1543" i="3"/>
  <c r="O1543" i="3"/>
  <c r="P1542" i="3"/>
  <c r="O1542" i="3"/>
  <c r="P1541" i="3"/>
  <c r="O1541" i="3"/>
  <c r="P1540" i="3"/>
  <c r="O1540" i="3"/>
  <c r="P1539" i="3"/>
  <c r="O1539" i="3"/>
  <c r="P1538" i="3"/>
  <c r="O1538" i="3"/>
  <c r="P1537" i="3"/>
  <c r="O1537" i="3"/>
  <c r="P1536" i="3"/>
  <c r="O1536" i="3"/>
  <c r="P1535" i="3"/>
  <c r="O1535" i="3"/>
  <c r="P1534" i="3"/>
  <c r="O1534" i="3"/>
  <c r="P1533" i="3"/>
  <c r="O1533" i="3"/>
  <c r="P1532" i="3"/>
  <c r="O1532" i="3"/>
  <c r="P1531" i="3"/>
  <c r="O1531" i="3"/>
  <c r="P1530" i="3"/>
  <c r="O1530" i="3"/>
  <c r="P1529" i="3"/>
  <c r="O1529" i="3"/>
  <c r="P1528" i="3"/>
  <c r="O1528" i="3"/>
  <c r="P1527" i="3"/>
  <c r="O1527" i="3"/>
  <c r="P1526" i="3"/>
  <c r="O1526" i="3"/>
  <c r="P1525" i="3"/>
  <c r="O1525" i="3"/>
  <c r="P1524" i="3"/>
  <c r="O1524" i="3"/>
  <c r="P1523" i="3"/>
  <c r="O1523" i="3"/>
  <c r="P1522" i="3"/>
  <c r="O1522" i="3"/>
  <c r="P1521" i="3"/>
  <c r="O1521" i="3"/>
  <c r="P1520" i="3"/>
  <c r="O1520" i="3"/>
  <c r="P1519" i="3"/>
  <c r="O1519" i="3"/>
  <c r="P1518" i="3"/>
  <c r="O1518" i="3"/>
  <c r="P1517" i="3"/>
  <c r="O1517" i="3"/>
  <c r="P1516" i="3"/>
  <c r="O1516" i="3"/>
  <c r="P1515" i="3"/>
  <c r="O1515" i="3"/>
  <c r="P1514" i="3"/>
  <c r="O1514" i="3"/>
  <c r="P1513" i="3"/>
  <c r="O1513" i="3"/>
  <c r="P1512" i="3"/>
  <c r="O1512" i="3"/>
  <c r="P1511" i="3"/>
  <c r="O1511" i="3"/>
  <c r="P1510" i="3"/>
  <c r="O1510" i="3"/>
  <c r="P1509" i="3"/>
  <c r="O1509" i="3"/>
  <c r="P1508" i="3"/>
  <c r="O1508" i="3"/>
  <c r="P1507" i="3"/>
  <c r="O1507" i="3"/>
  <c r="P1506" i="3"/>
  <c r="O1506" i="3"/>
  <c r="P1505" i="3"/>
  <c r="O1505" i="3"/>
  <c r="P1504" i="3"/>
  <c r="O1504" i="3"/>
  <c r="P1503" i="3"/>
  <c r="O1503" i="3"/>
  <c r="P1502" i="3"/>
  <c r="O1502" i="3"/>
  <c r="P1501" i="3"/>
  <c r="O1501" i="3"/>
  <c r="P1500" i="3"/>
  <c r="O1500" i="3"/>
  <c r="P1499" i="3"/>
  <c r="O1499" i="3"/>
  <c r="P1498" i="3"/>
  <c r="O1498" i="3"/>
  <c r="P1497" i="3"/>
  <c r="O1497" i="3"/>
  <c r="P1496" i="3"/>
  <c r="O1496" i="3"/>
  <c r="P1495" i="3"/>
  <c r="O1495" i="3"/>
  <c r="P1494" i="3"/>
  <c r="O1494" i="3"/>
  <c r="P1493" i="3"/>
  <c r="O1493" i="3"/>
  <c r="P1492" i="3"/>
  <c r="O1492" i="3"/>
  <c r="P1491" i="3"/>
  <c r="O1491" i="3"/>
  <c r="P1490" i="3"/>
  <c r="O1490" i="3"/>
  <c r="P1489" i="3"/>
  <c r="O1489" i="3"/>
  <c r="P1488" i="3"/>
  <c r="O1488" i="3"/>
  <c r="P1487" i="3"/>
  <c r="O1487" i="3"/>
  <c r="P1486" i="3"/>
  <c r="O1486" i="3"/>
  <c r="P1485" i="3"/>
  <c r="O1485" i="3"/>
  <c r="P1484" i="3"/>
  <c r="O1484" i="3"/>
  <c r="P1483" i="3"/>
  <c r="O1483" i="3"/>
  <c r="P1482" i="3"/>
  <c r="O1482" i="3"/>
  <c r="P1481" i="3"/>
  <c r="O1481" i="3"/>
  <c r="P1480" i="3"/>
  <c r="O1480" i="3"/>
  <c r="P1479" i="3"/>
  <c r="O1479" i="3"/>
  <c r="P1478" i="3"/>
  <c r="O1478" i="3"/>
  <c r="P1477" i="3"/>
  <c r="O1477" i="3"/>
  <c r="P1476" i="3"/>
  <c r="O1476" i="3"/>
  <c r="P1475" i="3"/>
  <c r="O1475" i="3"/>
  <c r="P1474" i="3"/>
  <c r="O1474" i="3"/>
  <c r="P1473" i="3"/>
  <c r="O1473" i="3"/>
  <c r="P1472" i="3"/>
  <c r="O1472" i="3"/>
  <c r="P1471" i="3"/>
  <c r="O1471" i="3"/>
  <c r="P1470" i="3"/>
  <c r="O1470" i="3"/>
  <c r="P1469" i="3"/>
  <c r="O1469" i="3"/>
  <c r="P1468" i="3"/>
  <c r="O1468" i="3"/>
  <c r="P1467" i="3"/>
  <c r="O1467" i="3"/>
  <c r="P1466" i="3"/>
  <c r="O1466" i="3"/>
  <c r="P1465" i="3"/>
  <c r="O1465" i="3"/>
  <c r="P1464" i="3"/>
  <c r="O1464" i="3"/>
  <c r="P1463" i="3"/>
  <c r="O1463" i="3"/>
  <c r="P1462" i="3"/>
  <c r="O1462" i="3"/>
  <c r="P1461" i="3"/>
  <c r="O1461" i="3"/>
  <c r="P1460" i="3"/>
  <c r="O1460" i="3"/>
  <c r="P1459" i="3"/>
  <c r="O1459" i="3"/>
  <c r="P1458" i="3"/>
  <c r="O1458" i="3"/>
  <c r="P1457" i="3"/>
  <c r="O1457" i="3"/>
  <c r="P1456" i="3"/>
  <c r="O1456" i="3"/>
  <c r="P1455" i="3"/>
  <c r="O1455" i="3"/>
  <c r="P1454" i="3"/>
  <c r="O1454" i="3"/>
  <c r="P1453" i="3"/>
  <c r="O1453" i="3"/>
  <c r="P1452" i="3"/>
  <c r="O1452" i="3"/>
  <c r="P1451" i="3"/>
  <c r="O1451" i="3"/>
  <c r="P1450" i="3"/>
  <c r="O1450" i="3"/>
  <c r="P1449" i="3"/>
  <c r="O1449" i="3"/>
  <c r="P1448" i="3"/>
  <c r="O1448" i="3"/>
  <c r="P1447" i="3"/>
  <c r="O1447" i="3"/>
  <c r="P1446" i="3"/>
  <c r="O1446" i="3"/>
  <c r="P1445" i="3"/>
  <c r="O1445" i="3"/>
  <c r="P1444" i="3"/>
  <c r="O1444" i="3"/>
  <c r="P1443" i="3"/>
  <c r="O1443" i="3"/>
  <c r="P1442" i="3"/>
  <c r="O1442" i="3"/>
  <c r="P1441" i="3"/>
  <c r="O1441" i="3"/>
  <c r="P1440" i="3"/>
  <c r="O1440" i="3"/>
  <c r="P1439" i="3"/>
  <c r="O1439" i="3"/>
  <c r="P1438" i="3"/>
  <c r="O1438" i="3"/>
  <c r="P1437" i="3"/>
  <c r="O1437" i="3"/>
  <c r="P1436" i="3"/>
  <c r="O1436" i="3"/>
  <c r="P1435" i="3"/>
  <c r="O1435" i="3"/>
  <c r="P1434" i="3"/>
  <c r="O1434" i="3"/>
  <c r="P1433" i="3"/>
  <c r="O1433" i="3"/>
  <c r="P1432" i="3"/>
  <c r="O1432" i="3"/>
  <c r="P1431" i="3"/>
  <c r="O1431" i="3"/>
  <c r="P1430" i="3"/>
  <c r="O1430" i="3"/>
  <c r="P1429" i="3"/>
  <c r="O1429" i="3"/>
  <c r="P1428" i="3"/>
  <c r="O1428" i="3"/>
  <c r="P1427" i="3"/>
  <c r="O1427" i="3"/>
  <c r="P1426" i="3"/>
  <c r="O1426" i="3"/>
  <c r="P1425" i="3"/>
  <c r="O1425" i="3"/>
  <c r="P1424" i="3"/>
  <c r="O1424" i="3"/>
  <c r="P1423" i="3"/>
  <c r="O1423" i="3"/>
  <c r="P1422" i="3"/>
  <c r="O1422" i="3"/>
  <c r="P1421" i="3"/>
  <c r="O1421" i="3"/>
  <c r="P1420" i="3"/>
  <c r="O1420" i="3"/>
  <c r="P1419" i="3"/>
  <c r="O1419" i="3"/>
  <c r="P1418" i="3"/>
  <c r="O1418" i="3"/>
  <c r="P1417" i="3"/>
  <c r="O1417" i="3"/>
  <c r="P1416" i="3"/>
  <c r="O1416" i="3"/>
  <c r="P1415" i="3"/>
  <c r="O1415" i="3"/>
  <c r="P1414" i="3"/>
  <c r="O1414" i="3"/>
  <c r="P1413" i="3"/>
  <c r="O1413" i="3"/>
  <c r="P1412" i="3"/>
  <c r="O1412" i="3"/>
  <c r="P1411" i="3"/>
  <c r="O1411" i="3"/>
  <c r="P1410" i="3"/>
  <c r="O1410" i="3"/>
  <c r="P1409" i="3"/>
  <c r="O1409" i="3"/>
  <c r="P1408" i="3"/>
  <c r="O1408" i="3"/>
  <c r="P1407" i="3"/>
  <c r="O1407" i="3"/>
  <c r="P1406" i="3"/>
  <c r="O1406" i="3"/>
  <c r="P1405" i="3"/>
  <c r="O1405" i="3"/>
  <c r="P1404" i="3"/>
  <c r="O1404" i="3"/>
  <c r="P1403" i="3"/>
  <c r="O1403" i="3"/>
  <c r="P1402" i="3"/>
  <c r="O1402" i="3"/>
  <c r="P1401" i="3"/>
  <c r="O1401" i="3"/>
  <c r="P1400" i="3"/>
  <c r="O1400" i="3"/>
  <c r="P1399" i="3"/>
  <c r="O1399" i="3"/>
  <c r="P1398" i="3"/>
  <c r="O1398" i="3"/>
  <c r="P1397" i="3"/>
  <c r="O1397" i="3"/>
  <c r="P1396" i="3"/>
  <c r="O1396" i="3"/>
  <c r="P1395" i="3"/>
  <c r="O1395" i="3"/>
  <c r="P1394" i="3"/>
  <c r="O1394" i="3"/>
  <c r="P1393" i="3"/>
  <c r="O1393" i="3"/>
  <c r="P1392" i="3"/>
  <c r="O1392" i="3"/>
  <c r="P1391" i="3"/>
  <c r="O1391" i="3"/>
  <c r="P1390" i="3"/>
  <c r="O1390" i="3"/>
  <c r="P1389" i="3"/>
  <c r="O1389" i="3"/>
  <c r="P1388" i="3"/>
  <c r="O1388" i="3"/>
  <c r="P1387" i="3"/>
  <c r="O1387" i="3"/>
  <c r="P1386" i="3"/>
  <c r="O1386" i="3"/>
  <c r="P1385" i="3"/>
  <c r="O1385" i="3"/>
  <c r="P1384" i="3"/>
  <c r="O1384" i="3"/>
  <c r="P1383" i="3"/>
  <c r="O1383" i="3"/>
  <c r="P1382" i="3"/>
  <c r="O1382" i="3"/>
  <c r="P1381" i="3"/>
  <c r="O1381" i="3"/>
  <c r="P1380" i="3"/>
  <c r="O1380" i="3"/>
  <c r="P1379" i="3"/>
  <c r="O1379" i="3"/>
  <c r="P1378" i="3"/>
  <c r="O1378" i="3"/>
  <c r="P1377" i="3"/>
  <c r="O1377" i="3"/>
  <c r="P1376" i="3"/>
  <c r="O1376" i="3"/>
  <c r="P1375" i="3"/>
  <c r="O1375" i="3"/>
  <c r="P1374" i="3"/>
  <c r="O1374" i="3"/>
  <c r="P1373" i="3"/>
  <c r="O1373" i="3"/>
  <c r="P1372" i="3"/>
  <c r="O1372" i="3"/>
  <c r="P1371" i="3"/>
  <c r="O1371" i="3"/>
  <c r="P1370" i="3"/>
  <c r="O1370" i="3"/>
  <c r="P1369" i="3"/>
  <c r="O1369" i="3"/>
  <c r="P1368" i="3"/>
  <c r="O1368" i="3"/>
  <c r="P1367" i="3"/>
  <c r="O1367" i="3"/>
  <c r="P1366" i="3"/>
  <c r="O1366" i="3"/>
  <c r="P1365" i="3"/>
  <c r="O1365" i="3"/>
  <c r="P1364" i="3"/>
  <c r="O1364" i="3"/>
  <c r="P1363" i="3"/>
  <c r="O1363" i="3"/>
  <c r="P1362" i="3"/>
  <c r="O1362" i="3"/>
  <c r="P1361" i="3"/>
  <c r="O1361" i="3"/>
  <c r="P1360" i="3"/>
  <c r="O1360" i="3"/>
  <c r="P1359" i="3"/>
  <c r="O1359" i="3"/>
  <c r="P1358" i="3"/>
  <c r="O1358" i="3"/>
  <c r="P1357" i="3"/>
  <c r="O1357" i="3"/>
  <c r="P1356" i="3"/>
  <c r="O1356" i="3"/>
  <c r="P1355" i="3"/>
  <c r="O1355" i="3"/>
  <c r="P1354" i="3"/>
  <c r="O1354" i="3"/>
  <c r="P1353" i="3"/>
  <c r="O1353" i="3"/>
  <c r="P1352" i="3"/>
  <c r="O1352" i="3"/>
  <c r="P1351" i="3"/>
  <c r="O1351" i="3"/>
  <c r="P1350" i="3"/>
  <c r="O1350" i="3"/>
  <c r="P1349" i="3"/>
  <c r="O1349" i="3"/>
  <c r="P1348" i="3"/>
  <c r="O1348" i="3"/>
  <c r="P1347" i="3"/>
  <c r="O1347" i="3"/>
  <c r="P1346" i="3"/>
  <c r="O1346" i="3"/>
  <c r="P1345" i="3"/>
  <c r="O1345" i="3"/>
  <c r="P1344" i="3"/>
  <c r="O1344" i="3"/>
  <c r="P1343" i="3"/>
  <c r="O1343" i="3"/>
  <c r="P1342" i="3"/>
  <c r="O1342" i="3"/>
  <c r="P1341" i="3"/>
  <c r="O1341" i="3"/>
  <c r="P1340" i="3"/>
  <c r="O1340" i="3"/>
  <c r="P1339" i="3"/>
  <c r="O1339" i="3"/>
  <c r="P1338" i="3"/>
  <c r="O1338" i="3"/>
  <c r="P1337" i="3"/>
  <c r="O1337" i="3"/>
  <c r="P1336" i="3"/>
  <c r="O1336" i="3"/>
  <c r="P1335" i="3"/>
  <c r="O1335" i="3"/>
  <c r="P1334" i="3"/>
  <c r="O1334" i="3"/>
  <c r="P1333" i="3"/>
  <c r="O1333" i="3"/>
  <c r="P1332" i="3"/>
  <c r="O1332" i="3"/>
  <c r="P1331" i="3"/>
  <c r="O1331" i="3"/>
  <c r="P1330" i="3"/>
  <c r="O1330" i="3"/>
  <c r="P1329" i="3"/>
  <c r="O1329" i="3"/>
  <c r="P1328" i="3"/>
  <c r="O1328" i="3"/>
  <c r="P1327" i="3"/>
  <c r="O1327" i="3"/>
  <c r="P1326" i="3"/>
  <c r="O1326" i="3"/>
  <c r="P1325" i="3"/>
  <c r="O1325" i="3"/>
  <c r="P1324" i="3"/>
  <c r="O1324" i="3"/>
  <c r="P1323" i="3"/>
  <c r="O1323" i="3"/>
  <c r="P1322" i="3"/>
  <c r="O1322" i="3"/>
  <c r="P1321" i="3"/>
  <c r="O1321" i="3"/>
  <c r="P1320" i="3"/>
  <c r="O1320" i="3"/>
  <c r="P1319" i="3"/>
  <c r="O1319" i="3"/>
  <c r="P1318" i="3"/>
  <c r="O1318" i="3"/>
  <c r="P1317" i="3"/>
  <c r="O1317" i="3"/>
  <c r="P1316" i="3"/>
  <c r="O1316" i="3"/>
  <c r="P1315" i="3"/>
  <c r="O1315" i="3"/>
  <c r="P1314" i="3"/>
  <c r="O1314" i="3"/>
  <c r="P1313" i="3"/>
  <c r="O1313" i="3"/>
  <c r="P1312" i="3"/>
  <c r="O1312" i="3"/>
  <c r="P1311" i="3"/>
  <c r="O1311" i="3"/>
  <c r="P1310" i="3"/>
  <c r="O1310" i="3"/>
  <c r="P1309" i="3"/>
  <c r="O1309" i="3"/>
  <c r="P1308" i="3"/>
  <c r="O1308" i="3"/>
  <c r="P1307" i="3"/>
  <c r="O1307" i="3"/>
  <c r="P1306" i="3"/>
  <c r="O1306" i="3"/>
  <c r="P1305" i="3"/>
  <c r="O1305" i="3"/>
  <c r="P1304" i="3"/>
  <c r="O1304" i="3"/>
  <c r="P1303" i="3"/>
  <c r="O1303" i="3"/>
  <c r="P1302" i="3"/>
  <c r="O1302" i="3"/>
  <c r="P1301" i="3"/>
  <c r="O1301" i="3"/>
  <c r="P1300" i="3"/>
  <c r="O1300" i="3"/>
  <c r="P1299" i="3"/>
  <c r="O1299" i="3"/>
  <c r="P1298" i="3"/>
  <c r="O1298" i="3"/>
  <c r="P1297" i="3"/>
  <c r="O1297" i="3"/>
  <c r="P1296" i="3"/>
  <c r="O1296" i="3"/>
  <c r="P1295" i="3"/>
  <c r="O1295" i="3"/>
  <c r="P1294" i="3"/>
  <c r="O1294" i="3"/>
  <c r="P1293" i="3"/>
  <c r="O1293" i="3"/>
  <c r="P1292" i="3"/>
  <c r="O1292" i="3"/>
  <c r="P1291" i="3"/>
  <c r="O1291" i="3"/>
  <c r="P1290" i="3"/>
  <c r="O1290" i="3"/>
  <c r="P1289" i="3"/>
  <c r="O1289" i="3"/>
  <c r="P1288" i="3"/>
  <c r="O1288" i="3"/>
  <c r="P1287" i="3"/>
  <c r="O1287" i="3"/>
  <c r="P1286" i="3"/>
  <c r="O1286" i="3"/>
  <c r="P1285" i="3"/>
  <c r="O1285" i="3"/>
  <c r="P1284" i="3"/>
  <c r="O1284" i="3"/>
  <c r="P1283" i="3"/>
  <c r="O1283" i="3"/>
  <c r="P1282" i="3"/>
  <c r="O1282" i="3"/>
  <c r="P1281" i="3"/>
  <c r="O1281" i="3"/>
  <c r="P1280" i="3"/>
  <c r="O1280" i="3"/>
  <c r="P1279" i="3"/>
  <c r="O1279" i="3"/>
  <c r="P1278" i="3"/>
  <c r="O1278" i="3"/>
  <c r="P1277" i="3"/>
  <c r="O1277" i="3"/>
  <c r="P1276" i="3"/>
  <c r="O1276" i="3"/>
  <c r="P1275" i="3"/>
  <c r="O1275" i="3"/>
  <c r="P1274" i="3"/>
  <c r="O1274" i="3"/>
  <c r="P1273" i="3"/>
  <c r="O1273" i="3"/>
  <c r="P1272" i="3"/>
  <c r="O1272" i="3"/>
  <c r="P1271" i="3"/>
  <c r="O1271" i="3"/>
  <c r="P1270" i="3"/>
  <c r="O1270" i="3"/>
  <c r="P1269" i="3"/>
  <c r="O1269" i="3"/>
  <c r="P1268" i="3"/>
  <c r="O1268" i="3"/>
  <c r="P1267" i="3"/>
  <c r="O1267" i="3"/>
  <c r="P1266" i="3"/>
  <c r="O1266" i="3"/>
  <c r="P1265" i="3"/>
  <c r="O1265" i="3"/>
  <c r="P1264" i="3"/>
  <c r="O1264" i="3"/>
  <c r="P1263" i="3"/>
  <c r="O1263" i="3"/>
  <c r="P1262" i="3"/>
  <c r="O1262" i="3"/>
  <c r="P1261" i="3"/>
  <c r="O1261" i="3"/>
  <c r="P1260" i="3"/>
  <c r="O1260" i="3"/>
  <c r="P1259" i="3"/>
  <c r="O1259" i="3"/>
  <c r="P1258" i="3"/>
  <c r="O1258" i="3"/>
  <c r="P1257" i="3"/>
  <c r="O1257" i="3"/>
  <c r="P1256" i="3"/>
  <c r="O1256" i="3"/>
  <c r="P1255" i="3"/>
  <c r="O1255" i="3"/>
  <c r="P1254" i="3"/>
  <c r="O1254" i="3"/>
  <c r="P1253" i="3"/>
  <c r="O1253" i="3"/>
  <c r="P1252" i="3"/>
  <c r="O1252" i="3"/>
  <c r="P1251" i="3"/>
  <c r="O1251" i="3"/>
  <c r="P1250" i="3"/>
  <c r="O1250" i="3"/>
  <c r="P1249" i="3"/>
  <c r="O1249" i="3"/>
  <c r="P1248" i="3"/>
  <c r="O1248" i="3"/>
  <c r="P1247" i="3"/>
  <c r="O1247" i="3"/>
  <c r="P1246" i="3"/>
  <c r="O1246" i="3"/>
  <c r="P1245" i="3"/>
  <c r="O1245" i="3"/>
  <c r="P1244" i="3"/>
  <c r="O1244" i="3"/>
  <c r="P1243" i="3"/>
  <c r="O1243" i="3"/>
  <c r="P1242" i="3"/>
  <c r="O1242" i="3"/>
  <c r="P1241" i="3"/>
  <c r="O1241" i="3"/>
  <c r="P1240" i="3"/>
  <c r="O1240" i="3"/>
  <c r="P1239" i="3"/>
  <c r="O1239" i="3"/>
  <c r="P1238" i="3"/>
  <c r="O1238" i="3"/>
  <c r="P1237" i="3"/>
  <c r="O1237" i="3"/>
  <c r="P1236" i="3"/>
  <c r="O1236" i="3"/>
  <c r="P1235" i="3"/>
  <c r="O1235" i="3"/>
  <c r="P1234" i="3"/>
  <c r="O1234" i="3"/>
  <c r="P1233" i="3"/>
  <c r="O1233" i="3"/>
  <c r="P1232" i="3"/>
  <c r="O1232" i="3"/>
  <c r="P1231" i="3"/>
  <c r="O1231" i="3"/>
  <c r="P1230" i="3"/>
  <c r="O1230" i="3"/>
  <c r="P1229" i="3"/>
  <c r="O1229" i="3"/>
  <c r="P1228" i="3"/>
  <c r="O1228" i="3"/>
  <c r="P1227" i="3"/>
  <c r="O1227" i="3"/>
  <c r="P1226" i="3"/>
  <c r="O1226" i="3"/>
  <c r="P1225" i="3"/>
  <c r="O1225" i="3"/>
  <c r="P1224" i="3"/>
  <c r="O1224" i="3"/>
  <c r="P1223" i="3"/>
  <c r="O1223" i="3"/>
  <c r="P1222" i="3"/>
  <c r="O1222" i="3"/>
  <c r="P1221" i="3"/>
  <c r="O1221" i="3"/>
  <c r="P1220" i="3"/>
  <c r="O1220" i="3"/>
  <c r="P1219" i="3"/>
  <c r="O1219" i="3"/>
  <c r="P1218" i="3"/>
  <c r="O1218" i="3"/>
  <c r="P1217" i="3"/>
  <c r="O1217" i="3"/>
  <c r="P1216" i="3"/>
  <c r="O1216" i="3"/>
  <c r="P1215" i="3"/>
  <c r="O1215" i="3"/>
  <c r="P1214" i="3"/>
  <c r="O1214" i="3"/>
  <c r="P1213" i="3"/>
  <c r="O1213" i="3"/>
  <c r="P1212" i="3"/>
  <c r="O1212" i="3"/>
  <c r="P1211" i="3"/>
  <c r="O1211" i="3"/>
  <c r="P1210" i="3"/>
  <c r="O1210" i="3"/>
  <c r="P1209" i="3"/>
  <c r="O1209" i="3"/>
  <c r="P1208" i="3"/>
  <c r="O1208" i="3"/>
  <c r="P1207" i="3"/>
  <c r="O1207" i="3"/>
  <c r="P1206" i="3"/>
  <c r="O1206" i="3"/>
  <c r="P1205" i="3"/>
  <c r="O1205" i="3"/>
  <c r="P1204" i="3"/>
  <c r="O1204" i="3"/>
  <c r="P1203" i="3"/>
  <c r="O1203" i="3"/>
  <c r="P1202" i="3"/>
  <c r="O1202" i="3"/>
  <c r="P1201" i="3"/>
  <c r="O1201" i="3"/>
  <c r="P1200" i="3"/>
  <c r="O1200" i="3"/>
  <c r="P1199" i="3"/>
  <c r="O1199" i="3"/>
  <c r="P1198" i="3"/>
  <c r="O1198" i="3"/>
  <c r="P1197" i="3"/>
  <c r="O1197" i="3"/>
  <c r="P1196" i="3"/>
  <c r="O1196" i="3"/>
  <c r="P1195" i="3"/>
  <c r="O1195" i="3"/>
  <c r="P1194" i="3"/>
  <c r="O1194" i="3"/>
  <c r="P1193" i="3"/>
  <c r="O1193" i="3"/>
  <c r="P1192" i="3"/>
  <c r="O1192" i="3"/>
  <c r="P1191" i="3"/>
  <c r="O1191" i="3"/>
  <c r="P1190" i="3"/>
  <c r="O1190" i="3"/>
  <c r="P1189" i="3"/>
  <c r="O1189" i="3"/>
  <c r="P1188" i="3"/>
  <c r="O1188" i="3"/>
  <c r="P1187" i="3"/>
  <c r="O1187" i="3"/>
  <c r="P1186" i="3"/>
  <c r="O1186" i="3"/>
  <c r="P1185" i="3"/>
  <c r="O1185" i="3"/>
  <c r="P1184" i="3"/>
  <c r="O1184" i="3"/>
  <c r="P1183" i="3"/>
  <c r="O1183" i="3"/>
  <c r="P1182" i="3"/>
  <c r="O1182" i="3"/>
  <c r="P1181" i="3"/>
  <c r="O1181" i="3"/>
  <c r="P1180" i="3"/>
  <c r="O1180" i="3"/>
  <c r="P1179" i="3"/>
  <c r="O1179" i="3"/>
  <c r="P1178" i="3"/>
  <c r="O1178" i="3"/>
  <c r="P1177" i="3"/>
  <c r="O1177" i="3"/>
  <c r="P1176" i="3"/>
  <c r="O1176" i="3"/>
  <c r="P1175" i="3"/>
  <c r="O1175" i="3"/>
  <c r="P1174" i="3"/>
  <c r="O1174" i="3"/>
  <c r="P1173" i="3"/>
  <c r="O1173" i="3"/>
  <c r="P1172" i="3"/>
  <c r="O1172" i="3"/>
  <c r="P1171" i="3"/>
  <c r="O1171" i="3"/>
  <c r="P1170" i="3"/>
  <c r="O1170" i="3"/>
  <c r="P1169" i="3"/>
  <c r="O1169" i="3"/>
  <c r="P1168" i="3"/>
  <c r="O1168" i="3"/>
  <c r="P1167" i="3"/>
  <c r="O1167" i="3"/>
  <c r="P1166" i="3"/>
  <c r="O1166" i="3"/>
  <c r="P1165" i="3"/>
  <c r="O1165" i="3"/>
  <c r="P1164" i="3"/>
  <c r="O1164" i="3"/>
  <c r="P1163" i="3"/>
  <c r="O1163" i="3"/>
  <c r="P1162" i="3"/>
  <c r="O1162" i="3"/>
  <c r="P1161" i="3"/>
  <c r="O1161" i="3"/>
  <c r="P1160" i="3"/>
  <c r="O1160" i="3"/>
  <c r="P1159" i="3"/>
  <c r="O1159" i="3"/>
  <c r="P1158" i="3"/>
  <c r="O1158" i="3"/>
  <c r="P1157" i="3"/>
  <c r="O1157" i="3"/>
  <c r="P1156" i="3"/>
  <c r="O1156" i="3"/>
  <c r="P1155" i="3"/>
  <c r="O1155" i="3"/>
  <c r="P1154" i="3"/>
  <c r="O1154" i="3"/>
  <c r="P1153" i="3"/>
  <c r="O1153" i="3"/>
  <c r="P1152" i="3"/>
  <c r="O1152" i="3"/>
  <c r="P1151" i="3"/>
  <c r="O1151" i="3"/>
  <c r="P1150" i="3"/>
  <c r="O1150" i="3"/>
  <c r="P1149" i="3"/>
  <c r="O1149" i="3"/>
  <c r="P1148" i="3"/>
  <c r="O1148" i="3"/>
  <c r="P1147" i="3"/>
  <c r="O1147" i="3"/>
  <c r="P1146" i="3"/>
  <c r="O1146" i="3"/>
  <c r="P1145" i="3"/>
  <c r="O1145" i="3"/>
  <c r="P1144" i="3"/>
  <c r="O1144" i="3"/>
  <c r="P1143" i="3"/>
  <c r="O1143" i="3"/>
  <c r="P1142" i="3"/>
  <c r="O1142" i="3"/>
  <c r="P1141" i="3"/>
  <c r="O1141" i="3"/>
  <c r="P1140" i="3"/>
  <c r="O1140" i="3"/>
  <c r="P1139" i="3"/>
  <c r="O1139" i="3"/>
  <c r="P1138" i="3"/>
  <c r="O1138" i="3"/>
  <c r="P1137" i="3"/>
  <c r="O1137" i="3"/>
  <c r="P1136" i="3"/>
  <c r="O1136" i="3"/>
  <c r="P1135" i="3"/>
  <c r="O1135" i="3"/>
  <c r="P1134" i="3"/>
  <c r="O1134" i="3"/>
  <c r="P1133" i="3"/>
  <c r="O1133" i="3"/>
  <c r="P1132" i="3"/>
  <c r="O1132" i="3"/>
  <c r="P1131" i="3"/>
  <c r="O1131" i="3"/>
  <c r="P1130" i="3"/>
  <c r="O1130" i="3"/>
  <c r="P1129" i="3"/>
  <c r="O1129" i="3"/>
  <c r="P1128" i="3"/>
  <c r="O1128" i="3"/>
  <c r="P1127" i="3"/>
  <c r="O1127" i="3"/>
  <c r="P1126" i="3"/>
  <c r="O1126" i="3"/>
  <c r="P1125" i="3"/>
  <c r="O1125" i="3"/>
  <c r="P1124" i="3"/>
  <c r="O1124" i="3"/>
  <c r="P1123" i="3"/>
  <c r="O1123" i="3"/>
  <c r="P1122" i="3"/>
  <c r="O1122" i="3"/>
  <c r="P1121" i="3"/>
  <c r="O1121" i="3"/>
  <c r="P1120" i="3"/>
  <c r="O1120" i="3"/>
  <c r="P1119" i="3"/>
  <c r="O1119" i="3"/>
  <c r="P1118" i="3"/>
  <c r="O1118" i="3"/>
  <c r="P1117" i="3"/>
  <c r="O1117" i="3"/>
  <c r="P1116" i="3"/>
  <c r="O1116" i="3"/>
  <c r="P1115" i="3"/>
  <c r="O1115" i="3"/>
  <c r="P1114" i="3"/>
  <c r="O1114" i="3"/>
  <c r="P1113" i="3"/>
  <c r="O1113" i="3"/>
  <c r="P1112" i="3"/>
  <c r="O1112" i="3"/>
  <c r="P1111" i="3"/>
  <c r="O1111" i="3"/>
  <c r="P1110" i="3"/>
  <c r="O1110" i="3"/>
  <c r="P1109" i="3"/>
  <c r="O1109" i="3"/>
  <c r="P1108" i="3"/>
  <c r="O1108" i="3"/>
  <c r="P1107" i="3"/>
  <c r="O1107" i="3"/>
  <c r="P1106" i="3"/>
  <c r="O1106" i="3"/>
  <c r="P1105" i="3"/>
  <c r="O1105" i="3"/>
  <c r="P1104" i="3"/>
  <c r="O1104" i="3"/>
  <c r="P1103" i="3"/>
  <c r="O1103" i="3"/>
  <c r="P1102" i="3"/>
  <c r="O1102" i="3"/>
  <c r="P1101" i="3"/>
  <c r="O1101" i="3"/>
  <c r="P1100" i="3"/>
  <c r="O1100" i="3"/>
  <c r="P1099" i="3"/>
  <c r="O1099" i="3"/>
  <c r="P1098" i="3"/>
  <c r="O1098" i="3"/>
  <c r="P1097" i="3"/>
  <c r="O1097" i="3"/>
  <c r="P1096" i="3"/>
  <c r="O1096" i="3"/>
  <c r="P1095" i="3"/>
  <c r="O1095" i="3"/>
  <c r="P1094" i="3"/>
  <c r="O1094" i="3"/>
  <c r="P1093" i="3"/>
  <c r="O1093" i="3"/>
  <c r="P1092" i="3"/>
  <c r="O1092" i="3"/>
  <c r="P1091" i="3"/>
  <c r="O1091" i="3"/>
  <c r="P1090" i="3"/>
  <c r="O1090" i="3"/>
  <c r="P1089" i="3"/>
  <c r="O1089" i="3"/>
  <c r="P1088" i="3"/>
  <c r="O1088" i="3"/>
  <c r="P1087" i="3"/>
  <c r="O1087" i="3"/>
  <c r="P1086" i="3"/>
  <c r="O1086" i="3"/>
  <c r="P1085" i="3"/>
  <c r="O1085" i="3"/>
  <c r="P1084" i="3"/>
  <c r="O1084" i="3"/>
  <c r="P1083" i="3"/>
  <c r="O1083" i="3"/>
  <c r="P1082" i="3"/>
  <c r="O1082" i="3"/>
  <c r="P1081" i="3"/>
  <c r="O1081" i="3"/>
  <c r="P1080" i="3"/>
  <c r="O1080" i="3"/>
  <c r="P1079" i="3"/>
  <c r="O1079" i="3"/>
  <c r="P1078" i="3"/>
  <c r="O1078" i="3"/>
  <c r="P1077" i="3"/>
  <c r="O1077" i="3"/>
  <c r="P1076" i="3"/>
  <c r="O1076" i="3"/>
  <c r="P1075" i="3"/>
  <c r="O1075" i="3"/>
  <c r="P1074" i="3"/>
  <c r="O1074" i="3"/>
  <c r="P1073" i="3"/>
  <c r="O1073" i="3"/>
  <c r="P1072" i="3"/>
  <c r="O1072" i="3"/>
  <c r="P1071" i="3"/>
  <c r="O1071" i="3"/>
  <c r="P1070" i="3"/>
  <c r="O1070" i="3"/>
  <c r="P1069" i="3"/>
  <c r="O1069" i="3"/>
  <c r="P1068" i="3"/>
  <c r="O1068" i="3"/>
  <c r="P1067" i="3"/>
  <c r="O1067" i="3"/>
  <c r="P1066" i="3"/>
  <c r="O1066" i="3"/>
  <c r="P1065" i="3"/>
  <c r="O1065" i="3"/>
  <c r="P1064" i="3"/>
  <c r="O1064" i="3"/>
  <c r="P1063" i="3"/>
  <c r="O1063" i="3"/>
  <c r="P1062" i="3"/>
  <c r="O1062" i="3"/>
  <c r="P1061" i="3"/>
  <c r="O1061" i="3"/>
  <c r="P1060" i="3"/>
  <c r="O1060" i="3"/>
  <c r="P1059" i="3"/>
  <c r="O1059" i="3"/>
  <c r="P1058" i="3"/>
  <c r="O1058" i="3"/>
  <c r="P1057" i="3"/>
  <c r="O1057" i="3"/>
  <c r="P1056" i="3"/>
  <c r="O1056" i="3"/>
  <c r="P1055" i="3"/>
  <c r="O1055" i="3"/>
  <c r="P1054" i="3"/>
  <c r="O1054" i="3"/>
  <c r="P1053" i="3"/>
  <c r="O1053" i="3"/>
  <c r="P1052" i="3"/>
  <c r="O1052" i="3"/>
  <c r="P1051" i="3"/>
  <c r="O1051" i="3"/>
  <c r="P1050" i="3"/>
  <c r="O1050" i="3"/>
  <c r="P1049" i="3"/>
  <c r="O1049" i="3"/>
  <c r="P1048" i="3"/>
  <c r="O1048" i="3"/>
  <c r="P1047" i="3"/>
  <c r="O1047" i="3"/>
  <c r="P1046" i="3"/>
  <c r="O1046" i="3"/>
  <c r="P1045" i="3"/>
  <c r="O1045" i="3"/>
  <c r="P1044" i="3"/>
  <c r="O1044" i="3"/>
  <c r="P1043" i="3"/>
  <c r="O1043" i="3"/>
  <c r="P1042" i="3"/>
  <c r="O1042" i="3"/>
  <c r="P1041" i="3"/>
  <c r="O1041" i="3"/>
  <c r="P1040" i="3"/>
  <c r="O1040" i="3"/>
  <c r="P1039" i="3"/>
  <c r="O1039" i="3"/>
  <c r="P1038" i="3"/>
  <c r="O1038" i="3"/>
  <c r="P1037" i="3"/>
  <c r="O1037" i="3"/>
  <c r="P1036" i="3"/>
  <c r="O1036" i="3"/>
  <c r="P1035" i="3"/>
  <c r="O1035" i="3"/>
  <c r="P1034" i="3"/>
  <c r="O1034" i="3"/>
  <c r="P1033" i="3"/>
  <c r="O1033" i="3"/>
  <c r="P1032" i="3"/>
  <c r="O1032" i="3"/>
  <c r="P1031" i="3"/>
  <c r="O1031" i="3"/>
  <c r="P1030" i="3"/>
  <c r="O1030" i="3"/>
  <c r="P1029" i="3"/>
  <c r="O1029" i="3"/>
  <c r="P1028" i="3"/>
  <c r="O1028" i="3"/>
  <c r="P1027" i="3"/>
  <c r="O1027" i="3"/>
  <c r="P1026" i="3"/>
  <c r="O1026" i="3"/>
  <c r="P1025" i="3"/>
  <c r="O1025" i="3"/>
  <c r="P1024" i="3"/>
  <c r="O1024" i="3"/>
  <c r="P1023" i="3"/>
  <c r="O1023" i="3"/>
  <c r="P1022" i="3"/>
  <c r="O1022" i="3"/>
  <c r="P1021" i="3"/>
  <c r="O1021" i="3"/>
  <c r="P1020" i="3"/>
  <c r="O1020" i="3"/>
  <c r="P1019" i="3"/>
  <c r="O1019" i="3"/>
  <c r="P1018" i="3"/>
  <c r="O1018" i="3"/>
  <c r="P1017" i="3"/>
  <c r="O1017" i="3"/>
  <c r="P1016" i="3"/>
  <c r="O1016" i="3"/>
  <c r="P1015" i="3"/>
  <c r="O1015" i="3"/>
  <c r="P1014" i="3"/>
  <c r="O1014" i="3"/>
  <c r="P1013" i="3"/>
  <c r="O1013" i="3"/>
  <c r="P1012" i="3"/>
  <c r="O1012" i="3"/>
  <c r="P1011" i="3"/>
  <c r="O1011" i="3"/>
  <c r="P1010" i="3"/>
  <c r="O1010" i="3"/>
  <c r="P1009" i="3"/>
  <c r="O1009" i="3"/>
  <c r="P1008" i="3"/>
  <c r="O1008" i="3"/>
  <c r="P1007" i="3"/>
  <c r="O1007" i="3"/>
  <c r="P1006" i="3"/>
  <c r="O1006" i="3"/>
  <c r="P1005" i="3"/>
  <c r="O1005" i="3"/>
  <c r="P1004" i="3"/>
  <c r="O1004" i="3"/>
  <c r="P1003" i="3"/>
  <c r="O1003" i="3"/>
  <c r="P1002" i="3"/>
  <c r="O1002" i="3"/>
  <c r="P1001" i="3"/>
  <c r="O1001" i="3"/>
  <c r="P1000" i="3"/>
  <c r="O1000" i="3"/>
  <c r="P999" i="3"/>
  <c r="O999" i="3"/>
  <c r="P998" i="3"/>
  <c r="O998" i="3"/>
  <c r="P997" i="3"/>
  <c r="O997" i="3"/>
  <c r="P996" i="3"/>
  <c r="O996" i="3"/>
  <c r="P995" i="3"/>
  <c r="O995" i="3"/>
  <c r="P994" i="3"/>
  <c r="O994" i="3"/>
  <c r="P993" i="3"/>
  <c r="O993" i="3"/>
  <c r="P992" i="3"/>
  <c r="O992" i="3"/>
  <c r="P991" i="3"/>
  <c r="O991" i="3"/>
  <c r="P990" i="3"/>
  <c r="O990" i="3"/>
  <c r="P989" i="3"/>
  <c r="O989" i="3"/>
  <c r="P988" i="3"/>
  <c r="O988" i="3"/>
  <c r="P987" i="3"/>
  <c r="O987" i="3"/>
  <c r="P986" i="3"/>
  <c r="O986" i="3"/>
  <c r="P985" i="3"/>
  <c r="O985" i="3"/>
  <c r="P984" i="3"/>
  <c r="O984" i="3"/>
  <c r="P983" i="3"/>
  <c r="O983" i="3"/>
  <c r="P982" i="3"/>
  <c r="O982" i="3"/>
  <c r="P981" i="3"/>
  <c r="O981" i="3"/>
  <c r="P980" i="3"/>
  <c r="O980" i="3"/>
  <c r="P979" i="3"/>
  <c r="O979" i="3"/>
  <c r="P978" i="3"/>
  <c r="O978" i="3"/>
  <c r="P977" i="3"/>
  <c r="O977" i="3"/>
  <c r="P976" i="3"/>
  <c r="O976" i="3"/>
  <c r="P975" i="3"/>
  <c r="O975" i="3"/>
  <c r="P974" i="3"/>
  <c r="O974" i="3"/>
  <c r="P973" i="3"/>
  <c r="O973" i="3"/>
  <c r="P972" i="3"/>
  <c r="O972" i="3"/>
  <c r="P971" i="3"/>
  <c r="O971" i="3"/>
  <c r="P970" i="3"/>
  <c r="O970" i="3"/>
  <c r="P969" i="3"/>
  <c r="O969" i="3"/>
  <c r="P968" i="3"/>
  <c r="O968" i="3"/>
  <c r="P967" i="3"/>
  <c r="O967" i="3"/>
  <c r="P966" i="3"/>
  <c r="O966" i="3"/>
  <c r="P965" i="3"/>
  <c r="O965" i="3"/>
  <c r="P964" i="3"/>
  <c r="O964" i="3"/>
  <c r="P963" i="3"/>
  <c r="O963" i="3"/>
  <c r="P962" i="3"/>
  <c r="O962" i="3"/>
  <c r="P961" i="3"/>
  <c r="O961" i="3"/>
  <c r="P960" i="3"/>
  <c r="O960" i="3"/>
  <c r="P959" i="3"/>
  <c r="O959" i="3"/>
  <c r="P958" i="3"/>
  <c r="O958" i="3"/>
  <c r="P957" i="3"/>
  <c r="O957" i="3"/>
  <c r="P956" i="3"/>
  <c r="O956" i="3"/>
  <c r="P955" i="3"/>
  <c r="O955" i="3"/>
  <c r="P954" i="3"/>
  <c r="O954" i="3"/>
  <c r="P953" i="3"/>
  <c r="O953" i="3"/>
  <c r="P952" i="3"/>
  <c r="O952" i="3"/>
  <c r="P951" i="3"/>
  <c r="O951" i="3"/>
  <c r="P950" i="3"/>
  <c r="O950" i="3"/>
  <c r="P949" i="3"/>
  <c r="O949" i="3"/>
  <c r="P948" i="3"/>
  <c r="O948" i="3"/>
  <c r="P947" i="3"/>
  <c r="O947" i="3"/>
  <c r="P946" i="3"/>
  <c r="O946" i="3"/>
  <c r="P945" i="3"/>
  <c r="O945" i="3"/>
  <c r="P944" i="3"/>
  <c r="O944" i="3"/>
  <c r="P943" i="3"/>
  <c r="O943" i="3"/>
  <c r="P942" i="3"/>
  <c r="O942" i="3"/>
  <c r="P941" i="3"/>
  <c r="O941" i="3"/>
  <c r="P940" i="3"/>
  <c r="O940" i="3"/>
  <c r="P939" i="3"/>
  <c r="O939" i="3"/>
  <c r="P938" i="3"/>
  <c r="O938" i="3"/>
  <c r="P937" i="3"/>
  <c r="O937" i="3"/>
  <c r="P936" i="3"/>
  <c r="O936" i="3"/>
  <c r="P935" i="3"/>
  <c r="O935" i="3"/>
  <c r="P934" i="3"/>
  <c r="O934" i="3"/>
  <c r="P933" i="3"/>
  <c r="O933" i="3"/>
  <c r="P932" i="3"/>
  <c r="O932" i="3"/>
  <c r="P931" i="3"/>
  <c r="O931" i="3"/>
  <c r="P930" i="3"/>
  <c r="O930" i="3"/>
  <c r="P929" i="3"/>
  <c r="O929" i="3"/>
  <c r="P928" i="3"/>
  <c r="O928" i="3"/>
  <c r="P927" i="3"/>
  <c r="O927" i="3"/>
  <c r="P926" i="3"/>
  <c r="O926" i="3"/>
  <c r="P925" i="3"/>
  <c r="O925" i="3"/>
  <c r="P924" i="3"/>
  <c r="O924" i="3"/>
  <c r="P923" i="3"/>
  <c r="O923" i="3"/>
  <c r="P922" i="3"/>
  <c r="O922" i="3"/>
  <c r="P921" i="3"/>
  <c r="O921" i="3"/>
  <c r="P920" i="3"/>
  <c r="O920" i="3"/>
  <c r="P919" i="3"/>
  <c r="O919" i="3"/>
  <c r="P918" i="3"/>
  <c r="O918" i="3"/>
  <c r="P917" i="3"/>
  <c r="O917" i="3"/>
  <c r="P916" i="3"/>
  <c r="O916" i="3"/>
  <c r="P915" i="3"/>
  <c r="O915" i="3"/>
  <c r="P914" i="3"/>
  <c r="O914" i="3"/>
  <c r="P913" i="3"/>
  <c r="O913" i="3"/>
  <c r="P912" i="3"/>
  <c r="O912" i="3"/>
  <c r="P911" i="3"/>
  <c r="O911" i="3"/>
  <c r="P910" i="3"/>
  <c r="O910" i="3"/>
  <c r="P909" i="3"/>
  <c r="O909" i="3"/>
  <c r="P908" i="3"/>
  <c r="O908" i="3"/>
  <c r="P907" i="3"/>
  <c r="O907" i="3"/>
  <c r="P906" i="3"/>
  <c r="O906" i="3"/>
  <c r="P905" i="3"/>
  <c r="O905" i="3"/>
  <c r="P904" i="3"/>
  <c r="O904" i="3"/>
  <c r="P903" i="3"/>
  <c r="O903" i="3"/>
  <c r="P902" i="3"/>
  <c r="O902" i="3"/>
  <c r="P901" i="3"/>
  <c r="O901" i="3"/>
  <c r="P900" i="3"/>
  <c r="O900" i="3"/>
  <c r="P899" i="3"/>
  <c r="O899" i="3"/>
  <c r="P898" i="3"/>
  <c r="O898" i="3"/>
  <c r="P897" i="3"/>
  <c r="O897" i="3"/>
  <c r="P896" i="3"/>
  <c r="O896" i="3"/>
  <c r="P895" i="3"/>
  <c r="O895" i="3"/>
  <c r="P894" i="3"/>
  <c r="O894" i="3"/>
  <c r="P893" i="3"/>
  <c r="O893" i="3"/>
  <c r="P892" i="3"/>
  <c r="O892" i="3"/>
  <c r="P891" i="3"/>
  <c r="O891" i="3"/>
  <c r="P890" i="3"/>
  <c r="O890" i="3"/>
  <c r="P889" i="3"/>
  <c r="O889" i="3"/>
  <c r="P888" i="3"/>
  <c r="O888" i="3"/>
  <c r="P887" i="3"/>
  <c r="O887" i="3"/>
  <c r="P886" i="3"/>
  <c r="O886" i="3"/>
  <c r="P885" i="3"/>
  <c r="O885" i="3"/>
  <c r="P884" i="3"/>
  <c r="O884" i="3"/>
  <c r="P883" i="3"/>
  <c r="O883" i="3"/>
  <c r="P882" i="3"/>
  <c r="O882" i="3"/>
  <c r="P881" i="3"/>
  <c r="O881" i="3"/>
  <c r="P880" i="3"/>
  <c r="O880" i="3"/>
  <c r="P879" i="3"/>
  <c r="O879" i="3"/>
  <c r="P878" i="3"/>
  <c r="O878" i="3"/>
  <c r="P877" i="3"/>
  <c r="O877" i="3"/>
  <c r="P876" i="3"/>
  <c r="O876" i="3"/>
  <c r="P875" i="3"/>
  <c r="O875" i="3"/>
  <c r="P874" i="3"/>
  <c r="O874" i="3"/>
  <c r="P873" i="3"/>
  <c r="O873" i="3"/>
  <c r="P872" i="3"/>
  <c r="O872" i="3"/>
  <c r="P871" i="3"/>
  <c r="O871" i="3"/>
  <c r="P870" i="3"/>
  <c r="O870" i="3"/>
  <c r="P869" i="3"/>
  <c r="O869" i="3"/>
  <c r="P868" i="3"/>
  <c r="O868" i="3"/>
  <c r="P867" i="3"/>
  <c r="O867" i="3"/>
  <c r="P866" i="3"/>
  <c r="O866" i="3"/>
  <c r="P865" i="3"/>
  <c r="O865" i="3"/>
  <c r="P864" i="3"/>
  <c r="O864" i="3"/>
  <c r="P863" i="3"/>
  <c r="O863" i="3"/>
  <c r="P862" i="3"/>
  <c r="O862" i="3"/>
  <c r="P861" i="3"/>
  <c r="O861" i="3"/>
  <c r="P860" i="3"/>
  <c r="O860" i="3"/>
  <c r="P859" i="3"/>
  <c r="O859" i="3"/>
  <c r="P858" i="3"/>
  <c r="O858" i="3"/>
  <c r="P857" i="3"/>
  <c r="O857" i="3"/>
  <c r="P856" i="3"/>
  <c r="O856" i="3"/>
  <c r="P855" i="3"/>
  <c r="O855" i="3"/>
  <c r="P854" i="3"/>
  <c r="O854" i="3"/>
  <c r="P853" i="3"/>
  <c r="O853" i="3"/>
  <c r="P852" i="3"/>
  <c r="O852" i="3"/>
  <c r="P851" i="3"/>
  <c r="O851" i="3"/>
  <c r="P850" i="3"/>
  <c r="O850" i="3"/>
  <c r="P849" i="3"/>
  <c r="O849" i="3"/>
  <c r="P848" i="3"/>
  <c r="O848" i="3"/>
  <c r="P847" i="3"/>
  <c r="O847" i="3"/>
  <c r="P846" i="3"/>
  <c r="O846" i="3"/>
  <c r="P845" i="3"/>
  <c r="O845" i="3"/>
  <c r="P844" i="3"/>
  <c r="O844" i="3"/>
  <c r="P843" i="3"/>
  <c r="O843" i="3"/>
  <c r="P842" i="3"/>
  <c r="O842" i="3"/>
  <c r="P841" i="3"/>
  <c r="O841" i="3"/>
  <c r="P840" i="3"/>
  <c r="O840" i="3"/>
  <c r="P839" i="3"/>
  <c r="O839" i="3"/>
  <c r="P838" i="3"/>
  <c r="O838" i="3"/>
  <c r="P837" i="3"/>
  <c r="O837" i="3"/>
  <c r="P836" i="3"/>
  <c r="O836" i="3"/>
  <c r="P835" i="3"/>
  <c r="O835" i="3"/>
  <c r="P834" i="3"/>
  <c r="O834" i="3"/>
  <c r="P833" i="3"/>
  <c r="O833" i="3"/>
  <c r="P832" i="3"/>
  <c r="O832" i="3"/>
  <c r="P831" i="3"/>
  <c r="O831" i="3"/>
  <c r="P830" i="3"/>
  <c r="O830" i="3"/>
  <c r="P829" i="3"/>
  <c r="O829" i="3"/>
  <c r="P828" i="3"/>
  <c r="O828" i="3"/>
  <c r="P827" i="3"/>
  <c r="O827" i="3"/>
  <c r="P826" i="3"/>
  <c r="O826" i="3"/>
  <c r="P825" i="3"/>
  <c r="O825" i="3"/>
  <c r="P824" i="3"/>
  <c r="O824" i="3"/>
  <c r="P823" i="3"/>
  <c r="O823" i="3"/>
  <c r="P822" i="3"/>
  <c r="O822" i="3"/>
  <c r="P821" i="3"/>
  <c r="O821" i="3"/>
  <c r="P820" i="3"/>
  <c r="O820" i="3"/>
  <c r="P819" i="3"/>
  <c r="O819" i="3"/>
  <c r="P818" i="3"/>
  <c r="O818" i="3"/>
  <c r="P817" i="3"/>
  <c r="O817" i="3"/>
  <c r="P816" i="3"/>
  <c r="O816" i="3"/>
  <c r="P815" i="3"/>
  <c r="O815" i="3"/>
  <c r="P814" i="3"/>
  <c r="O814" i="3"/>
  <c r="P813" i="3"/>
  <c r="O813" i="3"/>
  <c r="P812" i="3"/>
  <c r="O812" i="3"/>
  <c r="P811" i="3"/>
  <c r="O811" i="3"/>
  <c r="P810" i="3"/>
  <c r="O810" i="3"/>
  <c r="P809" i="3"/>
  <c r="O809" i="3"/>
  <c r="P808" i="3"/>
  <c r="O808" i="3"/>
  <c r="P807" i="3"/>
  <c r="O807" i="3"/>
  <c r="P806" i="3"/>
  <c r="O806" i="3"/>
  <c r="P805" i="3"/>
  <c r="O805" i="3"/>
  <c r="P804" i="3"/>
  <c r="O804" i="3"/>
  <c r="P803" i="3"/>
  <c r="O803" i="3"/>
  <c r="P802" i="3"/>
  <c r="O802" i="3"/>
  <c r="P801" i="3"/>
  <c r="O801" i="3"/>
  <c r="P800" i="3"/>
  <c r="O800" i="3"/>
  <c r="P799" i="3"/>
  <c r="O799" i="3"/>
  <c r="P798" i="3"/>
  <c r="O798" i="3"/>
  <c r="P797" i="3"/>
  <c r="O797" i="3"/>
  <c r="P796" i="3"/>
  <c r="O796" i="3"/>
  <c r="P795" i="3"/>
  <c r="O795" i="3"/>
  <c r="P794" i="3"/>
  <c r="O794" i="3"/>
  <c r="P793" i="3"/>
  <c r="O793" i="3"/>
  <c r="P792" i="3"/>
  <c r="O792" i="3"/>
  <c r="P791" i="3"/>
  <c r="O791" i="3"/>
  <c r="P790" i="3"/>
  <c r="O790" i="3"/>
  <c r="P789" i="3"/>
  <c r="O789" i="3"/>
  <c r="P788" i="3"/>
  <c r="O788" i="3"/>
  <c r="P787" i="3"/>
  <c r="O787" i="3"/>
  <c r="P786" i="3"/>
  <c r="O786" i="3"/>
  <c r="P785" i="3"/>
  <c r="O785" i="3"/>
  <c r="P784" i="3"/>
  <c r="O784" i="3"/>
  <c r="P783" i="3"/>
  <c r="O783" i="3"/>
  <c r="P782" i="3"/>
  <c r="O782" i="3"/>
  <c r="P781" i="3"/>
  <c r="O781" i="3"/>
  <c r="P780" i="3"/>
  <c r="O780" i="3"/>
  <c r="P779" i="3"/>
  <c r="O779" i="3"/>
  <c r="P778" i="3"/>
  <c r="O778" i="3"/>
  <c r="P777" i="3"/>
  <c r="O777" i="3"/>
  <c r="P776" i="3"/>
  <c r="O776" i="3"/>
  <c r="P775" i="3"/>
  <c r="O775" i="3"/>
  <c r="P774" i="3"/>
  <c r="O774" i="3"/>
  <c r="P773" i="3"/>
  <c r="O773" i="3"/>
  <c r="P772" i="3"/>
  <c r="O772" i="3"/>
  <c r="P771" i="3"/>
  <c r="O771" i="3"/>
  <c r="P770" i="3"/>
  <c r="O770" i="3"/>
  <c r="P769" i="3"/>
  <c r="O769" i="3"/>
  <c r="P768" i="3"/>
  <c r="O768" i="3"/>
  <c r="P767" i="3"/>
  <c r="O767" i="3"/>
  <c r="P766" i="3"/>
  <c r="O766" i="3"/>
  <c r="P765" i="3"/>
  <c r="O765" i="3"/>
  <c r="P764" i="3"/>
  <c r="O764" i="3"/>
  <c r="P763" i="3"/>
  <c r="O763" i="3"/>
  <c r="P762" i="3"/>
  <c r="O762" i="3"/>
  <c r="P761" i="3"/>
  <c r="O761" i="3"/>
  <c r="P760" i="3"/>
  <c r="O760" i="3"/>
  <c r="P759" i="3"/>
  <c r="O759" i="3"/>
  <c r="P758" i="3"/>
  <c r="O758" i="3"/>
  <c r="P757" i="3"/>
  <c r="O757" i="3"/>
  <c r="P756" i="3"/>
  <c r="O756" i="3"/>
  <c r="P755" i="3"/>
  <c r="O755" i="3"/>
  <c r="P754" i="3"/>
  <c r="O754" i="3"/>
  <c r="P753" i="3"/>
  <c r="O753" i="3"/>
  <c r="P752" i="3"/>
  <c r="O752" i="3"/>
  <c r="P751" i="3"/>
  <c r="O751" i="3"/>
  <c r="P750" i="3"/>
  <c r="O750" i="3"/>
  <c r="P749" i="3"/>
  <c r="O749" i="3"/>
  <c r="P748" i="3"/>
  <c r="O748" i="3"/>
  <c r="P747" i="3"/>
  <c r="O747" i="3"/>
  <c r="P746" i="3"/>
  <c r="O746" i="3"/>
  <c r="P745" i="3"/>
  <c r="O745" i="3"/>
  <c r="P744" i="3"/>
  <c r="O744" i="3"/>
  <c r="P743" i="3"/>
  <c r="O743" i="3"/>
  <c r="P742" i="3"/>
  <c r="O742" i="3"/>
  <c r="P741" i="3"/>
  <c r="O741" i="3"/>
  <c r="P740" i="3"/>
  <c r="O740" i="3"/>
  <c r="P739" i="3"/>
  <c r="O739" i="3"/>
  <c r="P738" i="3"/>
  <c r="O738" i="3"/>
  <c r="P737" i="3"/>
  <c r="O737" i="3"/>
  <c r="P736" i="3"/>
  <c r="O736" i="3"/>
  <c r="P735" i="3"/>
  <c r="O735" i="3"/>
  <c r="P734" i="3"/>
  <c r="O734" i="3"/>
  <c r="P733" i="3"/>
  <c r="O733" i="3"/>
  <c r="P732" i="3"/>
  <c r="O732" i="3"/>
  <c r="P731" i="3"/>
  <c r="O731" i="3"/>
  <c r="P730" i="3"/>
  <c r="O730" i="3"/>
  <c r="P729" i="3"/>
  <c r="O729" i="3"/>
  <c r="P728" i="3"/>
  <c r="O728" i="3"/>
  <c r="P727" i="3"/>
  <c r="O727" i="3"/>
  <c r="P726" i="3"/>
  <c r="O726" i="3"/>
  <c r="P725" i="3"/>
  <c r="O725" i="3"/>
  <c r="P724" i="3"/>
  <c r="O724" i="3"/>
  <c r="P723" i="3"/>
  <c r="O723" i="3"/>
  <c r="P722" i="3"/>
  <c r="O722" i="3"/>
  <c r="P721" i="3"/>
  <c r="O721" i="3"/>
  <c r="P720" i="3"/>
  <c r="O720" i="3"/>
  <c r="P719" i="3"/>
  <c r="O719" i="3"/>
  <c r="P718" i="3"/>
  <c r="O718" i="3"/>
  <c r="P717" i="3"/>
  <c r="O717" i="3"/>
  <c r="P716" i="3"/>
  <c r="O716" i="3"/>
  <c r="P715" i="3"/>
  <c r="O715" i="3"/>
  <c r="P714" i="3"/>
  <c r="O714" i="3"/>
  <c r="P713" i="3"/>
  <c r="O713" i="3"/>
  <c r="P712" i="3"/>
  <c r="O712" i="3"/>
  <c r="P711" i="3"/>
  <c r="O711" i="3"/>
  <c r="P710" i="3"/>
  <c r="O710" i="3"/>
  <c r="P709" i="3"/>
  <c r="O709" i="3"/>
  <c r="P708" i="3"/>
  <c r="O708" i="3"/>
  <c r="P707" i="3"/>
  <c r="O707" i="3"/>
  <c r="P706" i="3"/>
  <c r="O706" i="3"/>
  <c r="P705" i="3"/>
  <c r="O705" i="3"/>
  <c r="P704" i="3"/>
  <c r="O704" i="3"/>
  <c r="P703" i="3"/>
  <c r="O703" i="3"/>
  <c r="P702" i="3"/>
  <c r="O702" i="3"/>
  <c r="P701" i="3"/>
  <c r="O701" i="3"/>
  <c r="P700" i="3"/>
  <c r="O700" i="3"/>
  <c r="P699" i="3"/>
  <c r="O699" i="3"/>
  <c r="P698" i="3"/>
  <c r="O698" i="3"/>
  <c r="P697" i="3"/>
  <c r="O697" i="3"/>
  <c r="P696" i="3"/>
  <c r="O696" i="3"/>
  <c r="P695" i="3"/>
  <c r="O695" i="3"/>
  <c r="P694" i="3"/>
  <c r="O694" i="3"/>
  <c r="P693" i="3"/>
  <c r="O693" i="3"/>
  <c r="P692" i="3"/>
  <c r="O692" i="3"/>
  <c r="P691" i="3"/>
  <c r="O691" i="3"/>
  <c r="P690" i="3"/>
  <c r="O690" i="3"/>
  <c r="P689" i="3"/>
  <c r="O689" i="3"/>
  <c r="P688" i="3"/>
  <c r="O688" i="3"/>
  <c r="P687" i="3"/>
  <c r="O687" i="3"/>
  <c r="P686" i="3"/>
  <c r="O686" i="3"/>
  <c r="P685" i="3"/>
  <c r="O685" i="3"/>
  <c r="P684" i="3"/>
  <c r="O684" i="3"/>
  <c r="P683" i="3"/>
  <c r="O683" i="3"/>
  <c r="P682" i="3"/>
  <c r="O682" i="3"/>
  <c r="P681" i="3"/>
  <c r="O681" i="3"/>
  <c r="P680" i="3"/>
  <c r="O680" i="3"/>
  <c r="P679" i="3"/>
  <c r="O679" i="3"/>
  <c r="P678" i="3"/>
  <c r="O678" i="3"/>
  <c r="P677" i="3"/>
  <c r="O677" i="3"/>
  <c r="P676" i="3"/>
  <c r="O676" i="3"/>
  <c r="P675" i="3"/>
  <c r="O675" i="3"/>
  <c r="P674" i="3"/>
  <c r="O674" i="3"/>
  <c r="P673" i="3"/>
  <c r="O673" i="3"/>
  <c r="P672" i="3"/>
  <c r="O672" i="3"/>
  <c r="P671" i="3"/>
  <c r="O671" i="3"/>
  <c r="P670" i="3"/>
  <c r="O670" i="3"/>
  <c r="P669" i="3"/>
  <c r="O669" i="3"/>
  <c r="P668" i="3"/>
  <c r="O668" i="3"/>
  <c r="P667" i="3"/>
  <c r="O667" i="3"/>
  <c r="P666" i="3"/>
  <c r="O666" i="3"/>
  <c r="P665" i="3"/>
  <c r="O665" i="3"/>
  <c r="P664" i="3"/>
  <c r="O664" i="3"/>
  <c r="P663" i="3"/>
  <c r="O663" i="3"/>
  <c r="P662" i="3"/>
  <c r="O662" i="3"/>
  <c r="P661" i="3"/>
  <c r="O661" i="3"/>
  <c r="P660" i="3"/>
  <c r="O660" i="3"/>
  <c r="P659" i="3"/>
  <c r="O659" i="3"/>
  <c r="P658" i="3"/>
  <c r="O658" i="3"/>
  <c r="P657" i="3"/>
  <c r="O657" i="3"/>
  <c r="P656" i="3"/>
  <c r="O656" i="3"/>
  <c r="P655" i="3"/>
  <c r="O655" i="3"/>
  <c r="P654" i="3"/>
  <c r="O654" i="3"/>
  <c r="P653" i="3"/>
  <c r="O653" i="3"/>
  <c r="P652" i="3"/>
  <c r="O652" i="3"/>
  <c r="P651" i="3"/>
  <c r="O651" i="3"/>
  <c r="P650" i="3"/>
  <c r="O650" i="3"/>
  <c r="P649" i="3"/>
  <c r="O649" i="3"/>
  <c r="P648" i="3"/>
  <c r="O648" i="3"/>
  <c r="P647" i="3"/>
  <c r="O647" i="3"/>
  <c r="P646" i="3"/>
  <c r="O646" i="3"/>
  <c r="P645" i="3"/>
  <c r="O645" i="3"/>
  <c r="P644" i="3"/>
  <c r="O644" i="3"/>
  <c r="P643" i="3"/>
  <c r="O643" i="3"/>
  <c r="P642" i="3"/>
  <c r="O642" i="3"/>
  <c r="P641" i="3"/>
  <c r="O641" i="3"/>
  <c r="P640" i="3"/>
  <c r="O640" i="3"/>
  <c r="P639" i="3"/>
  <c r="O639" i="3"/>
  <c r="P638" i="3"/>
  <c r="O638" i="3"/>
  <c r="P637" i="3"/>
  <c r="O637" i="3"/>
  <c r="P636" i="3"/>
  <c r="O636" i="3"/>
  <c r="P635" i="3"/>
  <c r="O635" i="3"/>
  <c r="P634" i="3"/>
  <c r="O634" i="3"/>
  <c r="P633" i="3"/>
  <c r="O633" i="3"/>
  <c r="P632" i="3"/>
  <c r="O632" i="3"/>
  <c r="P631" i="3"/>
  <c r="O631" i="3"/>
  <c r="P630" i="3"/>
  <c r="O630" i="3"/>
  <c r="P629" i="3"/>
  <c r="O629" i="3"/>
  <c r="P628" i="3"/>
  <c r="O628" i="3"/>
  <c r="P627" i="3"/>
  <c r="O627" i="3"/>
  <c r="P626" i="3"/>
  <c r="O626" i="3"/>
  <c r="P625" i="3"/>
  <c r="O625" i="3"/>
  <c r="P624" i="3"/>
  <c r="O624" i="3"/>
  <c r="P623" i="3"/>
  <c r="O623" i="3"/>
  <c r="P622" i="3"/>
  <c r="O622" i="3"/>
  <c r="P621" i="3"/>
  <c r="O621" i="3"/>
  <c r="P620" i="3"/>
  <c r="O620" i="3"/>
  <c r="P619" i="3"/>
  <c r="O619" i="3"/>
  <c r="P618" i="3"/>
  <c r="O618" i="3"/>
  <c r="P617" i="3"/>
  <c r="O617" i="3"/>
  <c r="P616" i="3"/>
  <c r="O616" i="3"/>
  <c r="P615" i="3"/>
  <c r="O615" i="3"/>
  <c r="P614" i="3"/>
  <c r="O614" i="3"/>
  <c r="P613" i="3"/>
  <c r="O613" i="3"/>
  <c r="P612" i="3"/>
  <c r="O612" i="3"/>
  <c r="P611" i="3"/>
  <c r="O611" i="3"/>
  <c r="P610" i="3"/>
  <c r="O610" i="3"/>
  <c r="P609" i="3"/>
  <c r="O609" i="3"/>
  <c r="P608" i="3"/>
  <c r="O608" i="3"/>
  <c r="P607" i="3"/>
  <c r="O607" i="3"/>
  <c r="P606" i="3"/>
  <c r="O606" i="3"/>
  <c r="P605" i="3"/>
  <c r="O605" i="3"/>
  <c r="P604" i="3"/>
  <c r="O604" i="3"/>
  <c r="P603" i="3"/>
  <c r="O603" i="3"/>
  <c r="P602" i="3"/>
  <c r="O602" i="3"/>
  <c r="P601" i="3"/>
  <c r="O601" i="3"/>
  <c r="P600" i="3"/>
  <c r="O600" i="3"/>
  <c r="P599" i="3"/>
  <c r="O599" i="3"/>
  <c r="P598" i="3"/>
  <c r="O598" i="3"/>
  <c r="P597" i="3"/>
  <c r="O597" i="3"/>
  <c r="P596" i="3"/>
  <c r="O596" i="3"/>
  <c r="P595" i="3"/>
  <c r="O595" i="3"/>
  <c r="P594" i="3"/>
  <c r="O594" i="3"/>
  <c r="P593" i="3"/>
  <c r="O593" i="3"/>
  <c r="P592" i="3"/>
  <c r="O592" i="3"/>
  <c r="P591" i="3"/>
  <c r="O591" i="3"/>
  <c r="P590" i="3"/>
  <c r="O590" i="3"/>
  <c r="P589" i="3"/>
  <c r="O589" i="3"/>
  <c r="P588" i="3"/>
  <c r="O588" i="3"/>
  <c r="P587" i="3"/>
  <c r="O587" i="3"/>
  <c r="P586" i="3"/>
  <c r="O586" i="3"/>
  <c r="P585" i="3"/>
  <c r="O585" i="3"/>
  <c r="P584" i="3"/>
  <c r="O584" i="3"/>
  <c r="P583" i="3"/>
  <c r="O583" i="3"/>
  <c r="P582" i="3"/>
  <c r="O582" i="3"/>
  <c r="P581" i="3"/>
  <c r="O581" i="3"/>
  <c r="P580" i="3"/>
  <c r="O580" i="3"/>
  <c r="P579" i="3"/>
  <c r="O579" i="3"/>
  <c r="P578" i="3"/>
  <c r="O578" i="3"/>
  <c r="P577" i="3"/>
  <c r="O577" i="3"/>
  <c r="P576" i="3"/>
  <c r="O576" i="3"/>
  <c r="P575" i="3"/>
  <c r="O575" i="3"/>
  <c r="P574" i="3"/>
  <c r="O574" i="3"/>
  <c r="P573" i="3"/>
  <c r="O573" i="3"/>
  <c r="P572" i="3"/>
  <c r="O572" i="3"/>
  <c r="P571" i="3"/>
  <c r="O571" i="3"/>
  <c r="P570" i="3"/>
  <c r="O570" i="3"/>
  <c r="P569" i="3"/>
  <c r="O569" i="3"/>
  <c r="P568" i="3"/>
  <c r="O568" i="3"/>
  <c r="P567" i="3"/>
  <c r="O567" i="3"/>
  <c r="P566" i="3"/>
  <c r="O566" i="3"/>
  <c r="P565" i="3"/>
  <c r="O565" i="3"/>
  <c r="P564" i="3"/>
  <c r="O564" i="3"/>
  <c r="P563" i="3"/>
  <c r="O563" i="3"/>
  <c r="P562" i="3"/>
  <c r="O562" i="3"/>
  <c r="P561" i="3"/>
  <c r="O561" i="3"/>
  <c r="P560" i="3"/>
  <c r="O560" i="3"/>
  <c r="P559" i="3"/>
  <c r="O559" i="3"/>
  <c r="P558" i="3"/>
  <c r="O558" i="3"/>
  <c r="P557" i="3"/>
  <c r="O557" i="3"/>
  <c r="P556" i="3"/>
  <c r="O556" i="3"/>
  <c r="P555" i="3"/>
  <c r="O555" i="3"/>
  <c r="P554" i="3"/>
  <c r="O554" i="3"/>
  <c r="P553" i="3"/>
  <c r="O553" i="3"/>
  <c r="P552" i="3"/>
  <c r="O552" i="3"/>
  <c r="P551" i="3"/>
  <c r="O551" i="3"/>
  <c r="P550" i="3"/>
  <c r="O550" i="3"/>
  <c r="P549" i="3"/>
  <c r="O549" i="3"/>
  <c r="P548" i="3"/>
  <c r="O548" i="3"/>
  <c r="P547" i="3"/>
  <c r="O547" i="3"/>
  <c r="P546" i="3"/>
  <c r="O546" i="3"/>
  <c r="P545" i="3"/>
  <c r="O545" i="3"/>
  <c r="P544" i="3"/>
  <c r="O544" i="3"/>
  <c r="P543" i="3"/>
  <c r="O543" i="3"/>
  <c r="P542" i="3"/>
  <c r="O542" i="3"/>
  <c r="P541" i="3"/>
  <c r="O541" i="3"/>
  <c r="P540" i="3"/>
  <c r="O540" i="3"/>
  <c r="P539" i="3"/>
  <c r="O539" i="3"/>
  <c r="P538" i="3"/>
  <c r="O538" i="3"/>
  <c r="P537" i="3"/>
  <c r="O537" i="3"/>
  <c r="P536" i="3"/>
  <c r="O536" i="3"/>
  <c r="P535" i="3"/>
  <c r="O535" i="3"/>
  <c r="P534" i="3"/>
  <c r="O534" i="3"/>
  <c r="P533" i="3"/>
  <c r="O533" i="3"/>
  <c r="P532" i="3"/>
  <c r="O532" i="3"/>
  <c r="P531" i="3"/>
  <c r="O531" i="3"/>
  <c r="P530" i="3"/>
  <c r="O530" i="3"/>
  <c r="P529" i="3"/>
  <c r="O529" i="3"/>
  <c r="P528" i="3"/>
  <c r="O528" i="3"/>
  <c r="P527" i="3"/>
  <c r="O527" i="3"/>
  <c r="P526" i="3"/>
  <c r="O526" i="3"/>
  <c r="P525" i="3"/>
  <c r="O525" i="3"/>
  <c r="P524" i="3"/>
  <c r="O524" i="3"/>
  <c r="P523" i="3"/>
  <c r="O523" i="3"/>
  <c r="P522" i="3"/>
  <c r="O522" i="3"/>
  <c r="P521" i="3"/>
  <c r="O521" i="3"/>
  <c r="P520" i="3"/>
  <c r="O520" i="3"/>
  <c r="P519" i="3"/>
  <c r="O519" i="3"/>
  <c r="P518" i="3"/>
  <c r="O518" i="3"/>
  <c r="P517" i="3"/>
  <c r="O517" i="3"/>
  <c r="P516" i="3"/>
  <c r="O516" i="3"/>
  <c r="P515" i="3"/>
  <c r="O515" i="3"/>
  <c r="P514" i="3"/>
  <c r="O514" i="3"/>
  <c r="P513" i="3"/>
  <c r="O513" i="3"/>
  <c r="P512" i="3"/>
  <c r="O512" i="3"/>
  <c r="P511" i="3"/>
  <c r="O511" i="3"/>
  <c r="P510" i="3"/>
  <c r="O510" i="3"/>
  <c r="P509" i="3"/>
  <c r="O509" i="3"/>
  <c r="P508" i="3"/>
  <c r="O508" i="3"/>
  <c r="P507" i="3"/>
  <c r="O507" i="3"/>
  <c r="P506" i="3"/>
  <c r="O506" i="3"/>
  <c r="P505" i="3"/>
  <c r="O505" i="3"/>
  <c r="P504" i="3"/>
  <c r="O504" i="3"/>
  <c r="P503" i="3"/>
  <c r="O503" i="3"/>
  <c r="P502" i="3"/>
  <c r="O502" i="3"/>
  <c r="P501" i="3"/>
  <c r="O501" i="3"/>
  <c r="P500" i="3"/>
  <c r="O500" i="3"/>
  <c r="P499" i="3"/>
  <c r="O499" i="3"/>
  <c r="P498" i="3"/>
  <c r="O498" i="3"/>
  <c r="P497" i="3"/>
  <c r="O497" i="3"/>
  <c r="P496" i="3"/>
  <c r="O496" i="3"/>
  <c r="P495" i="3"/>
  <c r="O495" i="3"/>
  <c r="P494" i="3"/>
  <c r="O494" i="3"/>
  <c r="P493" i="3"/>
  <c r="O493" i="3"/>
  <c r="P492" i="3"/>
  <c r="O492" i="3"/>
  <c r="P491" i="3"/>
  <c r="O491" i="3"/>
  <c r="P490" i="3"/>
  <c r="O490" i="3"/>
  <c r="P489" i="3"/>
  <c r="O489" i="3"/>
  <c r="P488" i="3"/>
  <c r="O488" i="3"/>
  <c r="P487" i="3"/>
  <c r="O487" i="3"/>
  <c r="P486" i="3"/>
  <c r="O486" i="3"/>
  <c r="P485" i="3"/>
  <c r="O485" i="3"/>
  <c r="P484" i="3"/>
  <c r="O484" i="3"/>
  <c r="P483" i="3"/>
  <c r="O483" i="3"/>
  <c r="P482" i="3"/>
  <c r="O482" i="3"/>
  <c r="P481" i="3"/>
  <c r="O481" i="3"/>
  <c r="P480" i="3"/>
  <c r="O480" i="3"/>
  <c r="P479" i="3"/>
  <c r="O479" i="3"/>
  <c r="P478" i="3"/>
  <c r="O478" i="3"/>
  <c r="P477" i="3"/>
  <c r="O477" i="3"/>
  <c r="P476" i="3"/>
  <c r="O476" i="3"/>
  <c r="P475" i="3"/>
  <c r="O475" i="3"/>
  <c r="P474" i="3"/>
  <c r="O474" i="3"/>
  <c r="P473" i="3"/>
  <c r="O473" i="3"/>
  <c r="P472" i="3"/>
  <c r="O472" i="3"/>
  <c r="P471" i="3"/>
  <c r="O471" i="3"/>
  <c r="P470" i="3"/>
  <c r="O470" i="3"/>
  <c r="P469" i="3"/>
  <c r="O469" i="3"/>
  <c r="P468" i="3"/>
  <c r="O468" i="3"/>
  <c r="P467" i="3"/>
  <c r="O467" i="3"/>
  <c r="P466" i="3"/>
  <c r="O466" i="3"/>
  <c r="P465" i="3"/>
  <c r="O465" i="3"/>
  <c r="P464" i="3"/>
  <c r="O464" i="3"/>
  <c r="P463" i="3"/>
  <c r="O463" i="3"/>
  <c r="P462" i="3"/>
  <c r="O462" i="3"/>
  <c r="P461" i="3"/>
  <c r="O461" i="3"/>
  <c r="P460" i="3"/>
  <c r="O460" i="3"/>
  <c r="P459" i="3"/>
  <c r="O459" i="3"/>
  <c r="P458" i="3"/>
  <c r="O458" i="3"/>
  <c r="P457" i="3"/>
  <c r="O457" i="3"/>
  <c r="P456" i="3"/>
  <c r="O456" i="3"/>
  <c r="P455" i="3"/>
  <c r="O455" i="3"/>
  <c r="P454" i="3"/>
  <c r="O454" i="3"/>
  <c r="P453" i="3"/>
  <c r="O453" i="3"/>
  <c r="P452" i="3"/>
  <c r="O452" i="3"/>
  <c r="P451" i="3"/>
  <c r="O451" i="3"/>
  <c r="P450" i="3"/>
  <c r="O450" i="3"/>
  <c r="P449" i="3"/>
  <c r="O449" i="3"/>
  <c r="P448" i="3"/>
  <c r="O448" i="3"/>
  <c r="P447" i="3"/>
  <c r="O447" i="3"/>
  <c r="P446" i="3"/>
  <c r="O446" i="3"/>
  <c r="P445" i="3"/>
  <c r="O445" i="3"/>
  <c r="P444" i="3"/>
  <c r="O444" i="3"/>
  <c r="P443" i="3"/>
  <c r="O443" i="3"/>
  <c r="P442" i="3"/>
  <c r="O442" i="3"/>
  <c r="P441" i="3"/>
  <c r="O441" i="3"/>
  <c r="P440" i="3"/>
  <c r="O440" i="3"/>
  <c r="P439" i="3"/>
  <c r="O439" i="3"/>
  <c r="P438" i="3"/>
  <c r="O438" i="3"/>
  <c r="P437" i="3"/>
  <c r="O437" i="3"/>
  <c r="P436" i="3"/>
  <c r="O436" i="3"/>
  <c r="P435" i="3"/>
  <c r="O435" i="3"/>
  <c r="P434" i="3"/>
  <c r="O434" i="3"/>
  <c r="P433" i="3"/>
  <c r="O433" i="3"/>
  <c r="P432" i="3"/>
  <c r="O432" i="3"/>
  <c r="P431" i="3"/>
  <c r="O431" i="3"/>
  <c r="P430" i="3"/>
  <c r="O430" i="3"/>
  <c r="P429" i="3"/>
  <c r="O429" i="3"/>
  <c r="P428" i="3"/>
  <c r="O428" i="3"/>
  <c r="P427" i="3"/>
  <c r="O427" i="3"/>
  <c r="P426" i="3"/>
  <c r="O426" i="3"/>
  <c r="P425" i="3"/>
  <c r="O425" i="3"/>
  <c r="P424" i="3"/>
  <c r="O424" i="3"/>
  <c r="P423" i="3"/>
  <c r="O423" i="3"/>
  <c r="P422" i="3"/>
  <c r="O422" i="3"/>
  <c r="P421" i="3"/>
  <c r="O421" i="3"/>
  <c r="P420" i="3"/>
  <c r="O420" i="3"/>
  <c r="P419" i="3"/>
  <c r="O419" i="3"/>
  <c r="P418" i="3"/>
  <c r="O418" i="3"/>
  <c r="P417" i="3"/>
  <c r="O417" i="3"/>
  <c r="P416" i="3"/>
  <c r="O416" i="3"/>
  <c r="P415" i="3"/>
  <c r="O415" i="3"/>
  <c r="P414" i="3"/>
  <c r="O414" i="3"/>
  <c r="P413" i="3"/>
  <c r="O413" i="3"/>
  <c r="P412" i="3"/>
  <c r="O412" i="3"/>
  <c r="P411" i="3"/>
  <c r="O411" i="3"/>
  <c r="P410" i="3"/>
  <c r="O410" i="3"/>
  <c r="P409" i="3"/>
  <c r="O409" i="3"/>
  <c r="P408" i="3"/>
  <c r="O408" i="3"/>
  <c r="P407" i="3"/>
  <c r="O407" i="3"/>
  <c r="P406" i="3"/>
  <c r="O406" i="3"/>
  <c r="P405" i="3"/>
  <c r="O405" i="3"/>
  <c r="P404" i="3"/>
  <c r="O404" i="3"/>
  <c r="P403" i="3"/>
  <c r="O403" i="3"/>
  <c r="P402" i="3"/>
  <c r="O402" i="3"/>
  <c r="P401" i="3"/>
  <c r="O401" i="3"/>
  <c r="P400" i="3"/>
  <c r="O400" i="3"/>
  <c r="P399" i="3"/>
  <c r="O399" i="3"/>
  <c r="P398" i="3"/>
  <c r="O398" i="3"/>
  <c r="P397" i="3"/>
  <c r="O397" i="3"/>
  <c r="P396" i="3"/>
  <c r="O396" i="3"/>
  <c r="P395" i="3"/>
  <c r="O395" i="3"/>
  <c r="P394" i="3"/>
  <c r="O394" i="3"/>
  <c r="P393" i="3"/>
  <c r="O393" i="3"/>
  <c r="P392" i="3"/>
  <c r="O392" i="3"/>
  <c r="P391" i="3"/>
  <c r="O391" i="3"/>
  <c r="P390" i="3"/>
  <c r="O390" i="3"/>
  <c r="P389" i="3"/>
  <c r="O389" i="3"/>
  <c r="P388" i="3"/>
  <c r="O388" i="3"/>
  <c r="P387" i="3"/>
  <c r="O387" i="3"/>
  <c r="P386" i="3"/>
  <c r="O386" i="3"/>
  <c r="P385" i="3"/>
  <c r="O385" i="3"/>
  <c r="P384" i="3"/>
  <c r="O384" i="3"/>
  <c r="P383" i="3"/>
  <c r="O383" i="3"/>
  <c r="P382" i="3"/>
  <c r="O382" i="3"/>
  <c r="P381" i="3"/>
  <c r="O381" i="3"/>
  <c r="P380" i="3"/>
  <c r="O380" i="3"/>
  <c r="P379" i="3"/>
  <c r="O379" i="3"/>
  <c r="P378" i="3"/>
  <c r="O378" i="3"/>
  <c r="P377" i="3"/>
  <c r="O377" i="3"/>
  <c r="P376" i="3"/>
  <c r="O376" i="3"/>
  <c r="P375" i="3"/>
  <c r="O375" i="3"/>
  <c r="P374" i="3"/>
  <c r="O374" i="3"/>
  <c r="P373" i="3"/>
  <c r="O373" i="3"/>
  <c r="P372" i="3"/>
  <c r="O372" i="3"/>
  <c r="P371" i="3"/>
  <c r="O371" i="3"/>
  <c r="P370" i="3"/>
  <c r="O370" i="3"/>
  <c r="P369" i="3"/>
  <c r="O369" i="3"/>
  <c r="P368" i="3"/>
  <c r="O368" i="3"/>
  <c r="P367" i="3"/>
  <c r="O367" i="3"/>
  <c r="P366" i="3"/>
  <c r="O366" i="3"/>
  <c r="P365" i="3"/>
  <c r="O365" i="3"/>
  <c r="P364" i="3"/>
  <c r="O364" i="3"/>
  <c r="P363" i="3"/>
  <c r="O363" i="3"/>
  <c r="P362" i="3"/>
  <c r="O362" i="3"/>
  <c r="P361" i="3"/>
  <c r="O361" i="3"/>
  <c r="P360" i="3"/>
  <c r="O360" i="3"/>
  <c r="P359" i="3"/>
  <c r="O359" i="3"/>
  <c r="P358" i="3"/>
  <c r="O358" i="3"/>
  <c r="P357" i="3"/>
  <c r="O357" i="3"/>
  <c r="P356" i="3"/>
  <c r="O356" i="3"/>
  <c r="P355" i="3"/>
  <c r="O355" i="3"/>
  <c r="P354" i="3"/>
  <c r="O354" i="3"/>
  <c r="P353" i="3"/>
  <c r="O353" i="3"/>
  <c r="P352" i="3"/>
  <c r="O352" i="3"/>
  <c r="P351" i="3"/>
  <c r="O351" i="3"/>
  <c r="P350" i="3"/>
  <c r="O350" i="3"/>
  <c r="P349" i="3"/>
  <c r="O349" i="3"/>
  <c r="P348" i="3"/>
  <c r="O348" i="3"/>
  <c r="P347" i="3"/>
  <c r="O347" i="3"/>
  <c r="P346" i="3"/>
  <c r="O346" i="3"/>
  <c r="P345" i="3"/>
  <c r="O345" i="3"/>
  <c r="P344" i="3"/>
  <c r="O344" i="3"/>
  <c r="P343" i="3"/>
  <c r="O343" i="3"/>
  <c r="P342" i="3"/>
  <c r="O342" i="3"/>
  <c r="P341" i="3"/>
  <c r="O341" i="3"/>
  <c r="P340" i="3"/>
  <c r="O340" i="3"/>
  <c r="P339" i="3"/>
  <c r="O339" i="3"/>
  <c r="P338" i="3"/>
  <c r="O338" i="3"/>
  <c r="P337" i="3"/>
  <c r="O337" i="3"/>
  <c r="P336" i="3"/>
  <c r="O336" i="3"/>
  <c r="P335" i="3"/>
  <c r="O335" i="3"/>
  <c r="P334" i="3"/>
  <c r="O334" i="3"/>
  <c r="P333" i="3"/>
  <c r="O333" i="3"/>
  <c r="P332" i="3"/>
  <c r="O332" i="3"/>
  <c r="P331" i="3"/>
  <c r="O331" i="3"/>
  <c r="P330" i="3"/>
  <c r="O330" i="3"/>
  <c r="P329" i="3"/>
  <c r="O329" i="3"/>
  <c r="P328" i="3"/>
  <c r="O328" i="3"/>
  <c r="P327" i="3"/>
  <c r="O327" i="3"/>
  <c r="P326" i="3"/>
  <c r="O326" i="3"/>
  <c r="P325" i="3"/>
  <c r="O325" i="3"/>
  <c r="P324" i="3"/>
  <c r="O324" i="3"/>
  <c r="P323" i="3"/>
  <c r="O323" i="3"/>
  <c r="P322" i="3"/>
  <c r="O322" i="3"/>
  <c r="P321" i="3"/>
  <c r="O321" i="3"/>
  <c r="P320" i="3"/>
  <c r="O320" i="3"/>
  <c r="P319" i="3"/>
  <c r="O319" i="3"/>
  <c r="P318" i="3"/>
  <c r="O318" i="3"/>
  <c r="P317" i="3"/>
  <c r="O317" i="3"/>
  <c r="P316" i="3"/>
  <c r="O316" i="3"/>
  <c r="P315" i="3"/>
  <c r="O315" i="3"/>
  <c r="P314" i="3"/>
  <c r="O314" i="3"/>
  <c r="P313" i="3"/>
  <c r="O313" i="3"/>
  <c r="P312" i="3"/>
  <c r="O312" i="3"/>
  <c r="P311" i="3"/>
  <c r="O311" i="3"/>
  <c r="P310" i="3"/>
  <c r="O310" i="3"/>
  <c r="P309" i="3"/>
  <c r="O309" i="3"/>
  <c r="P308" i="3"/>
  <c r="O308" i="3"/>
  <c r="P307" i="3"/>
  <c r="O307" i="3"/>
  <c r="P306" i="3"/>
  <c r="O306" i="3"/>
  <c r="P305" i="3"/>
  <c r="O305" i="3"/>
  <c r="P304" i="3"/>
  <c r="O304" i="3"/>
  <c r="P303" i="3"/>
  <c r="O303" i="3"/>
  <c r="P302" i="3"/>
  <c r="O302" i="3"/>
  <c r="P301" i="3"/>
  <c r="O301" i="3"/>
  <c r="P300" i="3"/>
  <c r="O300" i="3"/>
  <c r="P299" i="3"/>
  <c r="O299" i="3"/>
  <c r="P298" i="3"/>
  <c r="O298" i="3"/>
  <c r="P297" i="3"/>
  <c r="O297" i="3"/>
  <c r="P296" i="3"/>
  <c r="O296" i="3"/>
  <c r="P295" i="3"/>
  <c r="O295" i="3"/>
  <c r="P294" i="3"/>
  <c r="O294" i="3"/>
  <c r="P293" i="3"/>
  <c r="O293" i="3"/>
  <c r="P292" i="3"/>
  <c r="O292" i="3"/>
  <c r="P291" i="3"/>
  <c r="O291" i="3"/>
  <c r="P290" i="3"/>
  <c r="O290" i="3"/>
  <c r="P289" i="3"/>
  <c r="O289" i="3"/>
  <c r="P288" i="3"/>
  <c r="O288" i="3"/>
  <c r="P287" i="3"/>
  <c r="O287" i="3"/>
  <c r="P286" i="3"/>
  <c r="O286" i="3"/>
  <c r="P285" i="3"/>
  <c r="O285" i="3"/>
  <c r="P284" i="3"/>
  <c r="O284" i="3"/>
  <c r="P283" i="3"/>
  <c r="O283" i="3"/>
  <c r="P282" i="3"/>
  <c r="O282" i="3"/>
  <c r="P281" i="3"/>
  <c r="O281" i="3"/>
  <c r="P280" i="3"/>
  <c r="O280" i="3"/>
  <c r="P279" i="3"/>
  <c r="O279" i="3"/>
  <c r="P278" i="3"/>
  <c r="O278" i="3"/>
  <c r="P277" i="3"/>
  <c r="O277" i="3"/>
  <c r="P276" i="3"/>
  <c r="O276" i="3"/>
  <c r="P275" i="3"/>
  <c r="O275" i="3"/>
  <c r="P274" i="3"/>
  <c r="O274" i="3"/>
  <c r="P273" i="3"/>
  <c r="O273" i="3"/>
  <c r="P272" i="3"/>
  <c r="O272" i="3"/>
  <c r="P271" i="3"/>
  <c r="O271" i="3"/>
  <c r="P270" i="3"/>
  <c r="O270" i="3"/>
  <c r="P269" i="3"/>
  <c r="O269" i="3"/>
  <c r="P268" i="3"/>
  <c r="O268" i="3"/>
  <c r="P267" i="3"/>
  <c r="O267" i="3"/>
  <c r="P266" i="3"/>
  <c r="O266" i="3"/>
  <c r="P265" i="3"/>
  <c r="O265" i="3"/>
  <c r="P264" i="3"/>
  <c r="O264" i="3"/>
  <c r="P263" i="3"/>
  <c r="O263" i="3"/>
  <c r="P262" i="3"/>
  <c r="O262" i="3"/>
  <c r="P261" i="3"/>
  <c r="O261" i="3"/>
  <c r="P260" i="3"/>
  <c r="O260" i="3"/>
  <c r="P259" i="3"/>
  <c r="O259" i="3"/>
  <c r="P258" i="3"/>
  <c r="O258" i="3"/>
  <c r="P257" i="3"/>
  <c r="O257" i="3"/>
  <c r="P256" i="3"/>
  <c r="O256" i="3"/>
  <c r="P255" i="3"/>
  <c r="O255" i="3"/>
  <c r="P254" i="3"/>
  <c r="O254" i="3"/>
  <c r="P253" i="3"/>
  <c r="O253" i="3"/>
  <c r="P252" i="3"/>
  <c r="O252" i="3"/>
  <c r="P251" i="3"/>
  <c r="O251" i="3"/>
  <c r="P250" i="3"/>
  <c r="O250" i="3"/>
  <c r="P249" i="3"/>
  <c r="O249" i="3"/>
  <c r="P248" i="3"/>
  <c r="O248" i="3"/>
  <c r="P247" i="3"/>
  <c r="O247" i="3"/>
  <c r="P246" i="3"/>
  <c r="O246" i="3"/>
  <c r="P245" i="3"/>
  <c r="O245" i="3"/>
  <c r="P244" i="3"/>
  <c r="O244" i="3"/>
  <c r="P243" i="3"/>
  <c r="O243" i="3"/>
  <c r="P242" i="3"/>
  <c r="O242" i="3"/>
  <c r="P241" i="3"/>
  <c r="O241" i="3"/>
  <c r="P240" i="3"/>
  <c r="O240" i="3"/>
  <c r="P239" i="3"/>
  <c r="O239" i="3"/>
  <c r="P238" i="3"/>
  <c r="O238" i="3"/>
  <c r="P237" i="3"/>
  <c r="O237" i="3"/>
  <c r="P236" i="3"/>
  <c r="O236" i="3"/>
  <c r="P235" i="3"/>
  <c r="O235" i="3"/>
  <c r="P234" i="3"/>
  <c r="O234" i="3"/>
  <c r="P233" i="3"/>
  <c r="O233" i="3"/>
  <c r="P232" i="3"/>
  <c r="O232" i="3"/>
  <c r="P231" i="3"/>
  <c r="O231" i="3"/>
  <c r="P230" i="3"/>
  <c r="O230" i="3"/>
  <c r="P229" i="3"/>
  <c r="O229" i="3"/>
  <c r="P228" i="3"/>
  <c r="O228" i="3"/>
  <c r="P227" i="3"/>
  <c r="O227" i="3"/>
  <c r="P226" i="3"/>
  <c r="O226" i="3"/>
  <c r="P225" i="3"/>
  <c r="O225" i="3"/>
  <c r="P224" i="3"/>
  <c r="O224" i="3"/>
  <c r="P223" i="3"/>
  <c r="O223" i="3"/>
  <c r="P222" i="3"/>
  <c r="O222" i="3"/>
  <c r="P221" i="3"/>
  <c r="O221" i="3"/>
  <c r="P220" i="3"/>
  <c r="O220" i="3"/>
  <c r="P219" i="3"/>
  <c r="O219" i="3"/>
  <c r="P218" i="3"/>
  <c r="O218" i="3"/>
  <c r="P217" i="3"/>
  <c r="O217" i="3"/>
  <c r="P216" i="3"/>
  <c r="O216" i="3"/>
  <c r="P215" i="3"/>
  <c r="O215" i="3"/>
  <c r="P214" i="3"/>
  <c r="O214" i="3"/>
  <c r="P213" i="3"/>
  <c r="O213" i="3"/>
  <c r="P212" i="3"/>
  <c r="O212" i="3"/>
  <c r="P211" i="3"/>
  <c r="O211" i="3"/>
  <c r="P210" i="3"/>
  <c r="O210" i="3"/>
  <c r="P209" i="3"/>
  <c r="O209" i="3"/>
  <c r="P208" i="3"/>
  <c r="O208" i="3"/>
  <c r="P207" i="3"/>
  <c r="O207" i="3"/>
  <c r="P206" i="3"/>
  <c r="O206" i="3"/>
  <c r="P205" i="3"/>
  <c r="O205" i="3"/>
  <c r="P204" i="3"/>
  <c r="O204" i="3"/>
  <c r="P203" i="3"/>
  <c r="O203" i="3"/>
  <c r="P202" i="3"/>
  <c r="O202" i="3"/>
  <c r="P201" i="3"/>
  <c r="O201" i="3"/>
  <c r="P200" i="3"/>
  <c r="O200" i="3"/>
  <c r="P199" i="3"/>
  <c r="O199" i="3"/>
  <c r="P198" i="3"/>
  <c r="O198" i="3"/>
  <c r="P197" i="3"/>
  <c r="O197" i="3"/>
  <c r="P196" i="3"/>
  <c r="O196" i="3"/>
  <c r="P195" i="3"/>
  <c r="O195" i="3"/>
  <c r="P194" i="3"/>
  <c r="O194" i="3"/>
  <c r="P193" i="3"/>
  <c r="O193" i="3"/>
  <c r="P192" i="3"/>
  <c r="O192" i="3"/>
  <c r="P191" i="3"/>
  <c r="O191" i="3"/>
  <c r="P190" i="3"/>
  <c r="O190" i="3"/>
  <c r="P189" i="3"/>
  <c r="O189" i="3"/>
  <c r="P188" i="3"/>
  <c r="O188" i="3"/>
  <c r="P187" i="3"/>
  <c r="O187" i="3"/>
  <c r="P186" i="3"/>
  <c r="O186" i="3"/>
  <c r="P185" i="3"/>
  <c r="O185" i="3"/>
  <c r="P184" i="3"/>
  <c r="O184" i="3"/>
  <c r="P183" i="3"/>
  <c r="O183" i="3"/>
  <c r="P182" i="3"/>
  <c r="O182" i="3"/>
  <c r="P181" i="3"/>
  <c r="O181" i="3"/>
  <c r="P180" i="3"/>
  <c r="O180" i="3"/>
  <c r="P179" i="3"/>
  <c r="O179" i="3"/>
  <c r="P178" i="3"/>
  <c r="O178" i="3"/>
  <c r="P177" i="3"/>
  <c r="O177" i="3"/>
  <c r="P176" i="3"/>
  <c r="O176" i="3"/>
  <c r="P175" i="3"/>
  <c r="O175" i="3"/>
  <c r="P174" i="3"/>
  <c r="O174" i="3"/>
  <c r="P173" i="3"/>
  <c r="O173" i="3"/>
  <c r="P172" i="3"/>
  <c r="O172" i="3"/>
  <c r="P171" i="3"/>
  <c r="O171" i="3"/>
  <c r="P170" i="3"/>
  <c r="O170" i="3"/>
  <c r="P169" i="3"/>
  <c r="O169" i="3"/>
  <c r="P168" i="3"/>
  <c r="O168" i="3"/>
  <c r="P167" i="3"/>
  <c r="O167" i="3"/>
  <c r="P166" i="3"/>
  <c r="O166" i="3"/>
  <c r="P165" i="3"/>
  <c r="O165" i="3"/>
  <c r="P164" i="3"/>
  <c r="O164" i="3"/>
  <c r="P163" i="3"/>
  <c r="O163" i="3"/>
  <c r="P162" i="3"/>
  <c r="O162" i="3"/>
  <c r="P161" i="3"/>
  <c r="O161" i="3"/>
  <c r="P160" i="3"/>
  <c r="O160" i="3"/>
  <c r="P159" i="3"/>
  <c r="O159" i="3"/>
  <c r="P158" i="3"/>
  <c r="O158" i="3"/>
  <c r="P157" i="3"/>
  <c r="O157" i="3"/>
  <c r="P156" i="3"/>
  <c r="O156" i="3"/>
  <c r="P155" i="3"/>
  <c r="O155" i="3"/>
  <c r="P154" i="3"/>
  <c r="O154" i="3"/>
  <c r="P153" i="3"/>
  <c r="O153" i="3"/>
  <c r="P152" i="3"/>
  <c r="O152" i="3"/>
  <c r="P151" i="3"/>
  <c r="O151" i="3"/>
  <c r="P150" i="3"/>
  <c r="O150" i="3"/>
  <c r="P149" i="3"/>
  <c r="O149" i="3"/>
  <c r="P148" i="3"/>
  <c r="O148" i="3"/>
  <c r="P147" i="3"/>
  <c r="O147" i="3"/>
  <c r="P146" i="3"/>
  <c r="O146" i="3"/>
  <c r="P145" i="3"/>
  <c r="O145" i="3"/>
  <c r="P144" i="3"/>
  <c r="O144" i="3"/>
  <c r="P143" i="3"/>
  <c r="O143" i="3"/>
  <c r="P142" i="3"/>
  <c r="O142" i="3"/>
  <c r="P141" i="3"/>
  <c r="O141" i="3"/>
  <c r="P140" i="3"/>
  <c r="O140" i="3"/>
  <c r="P139" i="3"/>
  <c r="O139" i="3"/>
  <c r="P138" i="3"/>
  <c r="O138" i="3"/>
  <c r="P137" i="3"/>
  <c r="O137" i="3"/>
  <c r="P136" i="3"/>
  <c r="O136" i="3"/>
  <c r="P135" i="3"/>
  <c r="O135" i="3"/>
  <c r="P134" i="3"/>
  <c r="O134" i="3"/>
  <c r="P133" i="3"/>
  <c r="O133" i="3"/>
  <c r="P132" i="3"/>
  <c r="O132" i="3"/>
  <c r="P131" i="3"/>
  <c r="O131" i="3"/>
  <c r="P130" i="3"/>
  <c r="O130" i="3"/>
  <c r="P129" i="3"/>
  <c r="O129" i="3"/>
  <c r="P128" i="3"/>
  <c r="O128" i="3"/>
  <c r="P127" i="3"/>
  <c r="O127" i="3"/>
  <c r="P126" i="3"/>
  <c r="O126" i="3"/>
  <c r="P125" i="3"/>
  <c r="O125" i="3"/>
  <c r="P124" i="3"/>
  <c r="O124" i="3"/>
  <c r="P123" i="3"/>
  <c r="O123" i="3"/>
  <c r="P122" i="3"/>
  <c r="O122" i="3"/>
  <c r="P121" i="3"/>
  <c r="O121" i="3"/>
  <c r="P120" i="3"/>
  <c r="O120" i="3"/>
  <c r="P119" i="3"/>
  <c r="O119" i="3"/>
  <c r="P118" i="3"/>
  <c r="O118" i="3"/>
  <c r="P117" i="3"/>
  <c r="O117" i="3"/>
  <c r="P116" i="3"/>
  <c r="O116" i="3"/>
  <c r="P115" i="3"/>
  <c r="O115" i="3"/>
  <c r="P114" i="3"/>
  <c r="O114" i="3"/>
  <c r="P113" i="3"/>
  <c r="O113" i="3"/>
  <c r="P112" i="3"/>
  <c r="O112" i="3"/>
  <c r="P111" i="3"/>
  <c r="O111" i="3"/>
  <c r="P110" i="3"/>
  <c r="O110" i="3"/>
  <c r="P109" i="3"/>
  <c r="O109" i="3"/>
  <c r="P108" i="3"/>
  <c r="O108" i="3"/>
  <c r="P107" i="3"/>
  <c r="O107" i="3"/>
  <c r="P106" i="3"/>
  <c r="O106" i="3"/>
  <c r="P105" i="3"/>
  <c r="O105" i="3"/>
  <c r="P104" i="3"/>
  <c r="O104" i="3"/>
  <c r="P103" i="3"/>
  <c r="O103" i="3"/>
  <c r="P102" i="3"/>
  <c r="O102" i="3"/>
  <c r="P101" i="3"/>
  <c r="O101" i="3"/>
  <c r="P100" i="3"/>
  <c r="O100" i="3"/>
  <c r="P99" i="3"/>
  <c r="O99" i="3"/>
  <c r="P98" i="3"/>
  <c r="O98" i="3"/>
  <c r="P97" i="3"/>
  <c r="O97" i="3"/>
  <c r="P96" i="3"/>
  <c r="O96" i="3"/>
  <c r="P95" i="3"/>
  <c r="O95" i="3"/>
  <c r="P94" i="3"/>
  <c r="O94" i="3"/>
  <c r="P93" i="3"/>
  <c r="O93" i="3"/>
  <c r="P92" i="3"/>
  <c r="O92" i="3"/>
  <c r="P91" i="3"/>
  <c r="O91" i="3"/>
  <c r="P90" i="3"/>
  <c r="O90" i="3"/>
  <c r="P89" i="3"/>
  <c r="O89" i="3"/>
  <c r="P88" i="3"/>
  <c r="O88" i="3"/>
  <c r="P87" i="3"/>
  <c r="O87" i="3"/>
  <c r="P86" i="3"/>
  <c r="O86" i="3"/>
  <c r="P85" i="3"/>
  <c r="O85" i="3"/>
  <c r="P84" i="3"/>
  <c r="O84" i="3"/>
  <c r="P83" i="3"/>
  <c r="O83" i="3"/>
  <c r="P82" i="3"/>
  <c r="O82" i="3"/>
  <c r="P81" i="3"/>
  <c r="O81" i="3"/>
  <c r="P80" i="3"/>
  <c r="O80" i="3"/>
  <c r="P79" i="3"/>
  <c r="O79" i="3"/>
  <c r="P78" i="3"/>
  <c r="O78" i="3"/>
  <c r="P77" i="3"/>
  <c r="O77" i="3"/>
  <c r="P76" i="3"/>
  <c r="O76" i="3"/>
  <c r="P75" i="3"/>
  <c r="O75" i="3"/>
  <c r="P74" i="3"/>
  <c r="O74" i="3"/>
  <c r="P73" i="3"/>
  <c r="O73" i="3"/>
  <c r="P72" i="3"/>
  <c r="O72" i="3"/>
  <c r="P71" i="3"/>
  <c r="O71" i="3"/>
  <c r="P70" i="3"/>
  <c r="O70" i="3"/>
  <c r="P69" i="3"/>
  <c r="O69" i="3"/>
  <c r="P68" i="3"/>
  <c r="O68" i="3"/>
  <c r="P67" i="3"/>
  <c r="O67" i="3"/>
  <c r="P66" i="3"/>
  <c r="O66" i="3"/>
  <c r="P65" i="3"/>
  <c r="O65" i="3"/>
  <c r="P64" i="3"/>
  <c r="O64" i="3"/>
  <c r="P63" i="3"/>
  <c r="O63" i="3"/>
  <c r="P62" i="3"/>
  <c r="O62" i="3"/>
  <c r="P61" i="3"/>
  <c r="O61" i="3"/>
  <c r="P60" i="3"/>
  <c r="O60" i="3"/>
  <c r="P59" i="3"/>
  <c r="O59" i="3"/>
  <c r="P58" i="3"/>
  <c r="O58" i="3"/>
  <c r="P57" i="3"/>
  <c r="O57" i="3"/>
  <c r="P56" i="3"/>
  <c r="O56" i="3"/>
  <c r="P55" i="3"/>
  <c r="O55" i="3"/>
  <c r="P54" i="3"/>
  <c r="O54" i="3"/>
  <c r="P53" i="3"/>
  <c r="O53" i="3"/>
  <c r="P52" i="3"/>
  <c r="O52" i="3"/>
  <c r="P51" i="3"/>
  <c r="O51" i="3"/>
  <c r="P50" i="3"/>
  <c r="O50" i="3"/>
  <c r="P49" i="3"/>
  <c r="O49" i="3"/>
  <c r="P48" i="3"/>
  <c r="O48" i="3"/>
  <c r="P47" i="3"/>
  <c r="O47" i="3"/>
  <c r="P46" i="3"/>
  <c r="O46" i="3"/>
  <c r="P45" i="3"/>
  <c r="O45" i="3"/>
  <c r="P44" i="3"/>
  <c r="O44" i="3"/>
  <c r="P43" i="3"/>
  <c r="O43" i="3"/>
  <c r="P42" i="3"/>
  <c r="O42" i="3"/>
  <c r="P41" i="3"/>
  <c r="O41" i="3"/>
  <c r="P40" i="3"/>
  <c r="O40" i="3"/>
  <c r="P39" i="3"/>
  <c r="O39" i="3"/>
  <c r="P38" i="3"/>
  <c r="O38" i="3"/>
  <c r="P37" i="3"/>
  <c r="O37" i="3"/>
  <c r="P36" i="3"/>
  <c r="O36" i="3"/>
  <c r="P35" i="3"/>
  <c r="O35" i="3"/>
  <c r="P34" i="3"/>
  <c r="O34" i="3"/>
  <c r="P33" i="3"/>
  <c r="O33" i="3"/>
  <c r="P32" i="3"/>
  <c r="O32" i="3"/>
  <c r="P30" i="3"/>
  <c r="O30" i="3"/>
  <c r="P29" i="3"/>
  <c r="O29" i="3"/>
  <c r="P28" i="3"/>
  <c r="O28" i="3"/>
  <c r="P27" i="3"/>
  <c r="O27" i="3"/>
  <c r="G139" i="17" l="1"/>
  <c r="C139" i="17"/>
  <c r="F139" i="17"/>
  <c r="G25" i="17"/>
  <c r="F25" i="17"/>
  <c r="C25" i="17"/>
  <c r="D25" i="17"/>
  <c r="D17" i="17"/>
  <c r="G26" i="17"/>
  <c r="F26" i="17"/>
  <c r="D26" i="17"/>
  <c r="C26" i="17"/>
  <c r="F17" i="17"/>
  <c r="G17" i="17"/>
  <c r="G19" i="17" s="1"/>
  <c r="G136" i="17" s="1"/>
  <c r="C17" i="17"/>
  <c r="F133" i="17"/>
  <c r="G133" i="17"/>
  <c r="G138" i="17" s="1"/>
  <c r="D133" i="17"/>
  <c r="C133" i="17"/>
  <c r="D139" i="17"/>
  <c r="H25" i="17" l="1"/>
  <c r="H26" i="17"/>
  <c r="F19" i="17"/>
  <c r="H17" i="17"/>
  <c r="F138" i="17"/>
  <c r="H133" i="17"/>
  <c r="H139" i="17"/>
  <c r="G34" i="17"/>
  <c r="G129" i="17" s="1"/>
  <c r="F34" i="17"/>
  <c r="E104" i="17"/>
  <c r="G131" i="17" l="1"/>
  <c r="G137" i="17" s="1"/>
  <c r="G135" i="17" s="1"/>
  <c r="F136" i="17"/>
  <c r="F129" i="17" s="1"/>
  <c r="F131" i="17" s="1"/>
  <c r="E125" i="17"/>
  <c r="E124" i="17"/>
  <c r="E118" i="17"/>
  <c r="E117" i="17"/>
  <c r="E116" i="17"/>
  <c r="E115" i="17"/>
  <c r="E114" i="17"/>
  <c r="E110" i="17"/>
  <c r="E109" i="17"/>
  <c r="E108" i="17"/>
  <c r="E103" i="17"/>
  <c r="E101" i="17"/>
  <c r="E100" i="17"/>
  <c r="E96" i="17"/>
  <c r="E95" i="17"/>
  <c r="E94" i="17"/>
  <c r="E93" i="17"/>
  <c r="E92" i="17"/>
  <c r="E91" i="17"/>
  <c r="E87" i="17"/>
  <c r="E85" i="17"/>
  <c r="E86" i="17"/>
  <c r="E84" i="17"/>
  <c r="E83" i="17"/>
  <c r="E82" i="17"/>
  <c r="E81" i="17"/>
  <c r="E76" i="17"/>
  <c r="E75" i="17"/>
  <c r="E74" i="17"/>
  <c r="E73" i="17"/>
  <c r="E67" i="17"/>
  <c r="E60" i="17"/>
  <c r="E59" i="17"/>
  <c r="E58" i="17"/>
  <c r="E57" i="17"/>
  <c r="E56" i="17"/>
  <c r="E55" i="17"/>
  <c r="E54" i="17"/>
  <c r="E50" i="17"/>
  <c r="E49" i="17"/>
  <c r="E48" i="17"/>
  <c r="E47" i="17"/>
  <c r="E46" i="17"/>
  <c r="E45" i="17"/>
  <c r="E41" i="17"/>
  <c r="E38" i="17"/>
  <c r="E33" i="17"/>
  <c r="E32" i="17"/>
  <c r="E31" i="17"/>
  <c r="E30" i="17"/>
  <c r="E29" i="17"/>
  <c r="E28" i="17"/>
  <c r="E27" i="17"/>
  <c r="E26" i="17"/>
  <c r="K277" i="3"/>
  <c r="K276" i="3"/>
  <c r="K275" i="3"/>
  <c r="K274" i="3"/>
  <c r="K273" i="3"/>
  <c r="K272" i="3"/>
  <c r="K271" i="3"/>
  <c r="K270" i="3"/>
  <c r="K269" i="3"/>
  <c r="K268" i="3"/>
  <c r="K267" i="3"/>
  <c r="K266" i="3"/>
  <c r="K265" i="3"/>
  <c r="K264" i="3"/>
  <c r="K263" i="3"/>
  <c r="K262" i="3"/>
  <c r="K261" i="3"/>
  <c r="K260" i="3"/>
  <c r="K259" i="3"/>
  <c r="K258" i="3"/>
  <c r="K257" i="3"/>
  <c r="K256" i="3"/>
  <c r="K255" i="3"/>
  <c r="K254" i="3"/>
  <c r="K253" i="3"/>
  <c r="K252" i="3"/>
  <c r="K251" i="3"/>
  <c r="K250" i="3"/>
  <c r="K249" i="3"/>
  <c r="K248" i="3"/>
  <c r="K247" i="3"/>
  <c r="K246" i="3"/>
  <c r="K245" i="3"/>
  <c r="K244" i="3"/>
  <c r="K243" i="3"/>
  <c r="K242" i="3"/>
  <c r="K241" i="3"/>
  <c r="K240" i="3"/>
  <c r="K239" i="3"/>
  <c r="K238" i="3"/>
  <c r="K237" i="3"/>
  <c r="K236" i="3"/>
  <c r="K235" i="3"/>
  <c r="K234" i="3"/>
  <c r="K233" i="3"/>
  <c r="K232" i="3"/>
  <c r="K231" i="3"/>
  <c r="K230" i="3"/>
  <c r="K229" i="3"/>
  <c r="K228" i="3"/>
  <c r="K227" i="3"/>
  <c r="K226" i="3"/>
  <c r="K225" i="3"/>
  <c r="K224" i="3"/>
  <c r="K223" i="3"/>
  <c r="K222" i="3"/>
  <c r="K221" i="3"/>
  <c r="K220" i="3"/>
  <c r="K219" i="3"/>
  <c r="K218" i="3"/>
  <c r="K217" i="3"/>
  <c r="K216" i="3"/>
  <c r="K215" i="3"/>
  <c r="K214" i="3"/>
  <c r="K213" i="3"/>
  <c r="K212" i="3"/>
  <c r="K211" i="3"/>
  <c r="K210" i="3"/>
  <c r="K209" i="3"/>
  <c r="K208" i="3"/>
  <c r="K207" i="3"/>
  <c r="K206" i="3"/>
  <c r="K205" i="3"/>
  <c r="K204" i="3"/>
  <c r="K203" i="3"/>
  <c r="K202" i="3"/>
  <c r="K201" i="3"/>
  <c r="K200" i="3"/>
  <c r="K199" i="3"/>
  <c r="K198" i="3"/>
  <c r="K197" i="3"/>
  <c r="K196" i="3"/>
  <c r="K195" i="3"/>
  <c r="K194" i="3"/>
  <c r="K193" i="3"/>
  <c r="K192" i="3"/>
  <c r="K191" i="3"/>
  <c r="K190" i="3"/>
  <c r="K189" i="3"/>
  <c r="K188" i="3"/>
  <c r="K187" i="3"/>
  <c r="K186" i="3"/>
  <c r="K185" i="3"/>
  <c r="K184" i="3"/>
  <c r="K183" i="3"/>
  <c r="K182" i="3"/>
  <c r="K181" i="3"/>
  <c r="K180" i="3"/>
  <c r="K179" i="3"/>
  <c r="K178" i="3"/>
  <c r="K177" i="3"/>
  <c r="K176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K163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F137" i="17" l="1"/>
  <c r="D138" i="17"/>
  <c r="D105" i="17"/>
  <c r="D51" i="17"/>
  <c r="E51" i="17" s="1"/>
  <c r="D119" i="17"/>
  <c r="F135" i="17" l="1"/>
  <c r="D42" i="17"/>
  <c r="D126" i="17"/>
  <c r="E126" i="17" s="1"/>
  <c r="D97" i="17"/>
  <c r="D34" i="17"/>
  <c r="D88" i="17"/>
  <c r="E88" i="17" s="1"/>
  <c r="D61" i="17"/>
  <c r="E61" i="17" s="1"/>
  <c r="D69" i="17"/>
  <c r="D77" i="17"/>
  <c r="D111" i="17"/>
  <c r="E133" i="17"/>
  <c r="E68" i="17"/>
  <c r="E40" i="17"/>
  <c r="E25" i="17"/>
  <c r="E66" i="17"/>
  <c r="E17" i="17"/>
  <c r="D57" i="5" l="1"/>
  <c r="D19" i="17"/>
  <c r="E18" i="17"/>
  <c r="E72" i="17"/>
  <c r="E37" i="17"/>
  <c r="E39" i="17"/>
  <c r="E102" i="17"/>
  <c r="E139" i="17"/>
  <c r="D136" i="17" l="1"/>
  <c r="D129" i="17" s="1"/>
  <c r="I13" i="3"/>
  <c r="J13" i="3"/>
  <c r="K1011" i="3"/>
  <c r="K1010" i="3"/>
  <c r="K1009" i="3"/>
  <c r="K1008" i="3"/>
  <c r="K1007" i="3"/>
  <c r="K1006" i="3"/>
  <c r="K1005" i="3"/>
  <c r="K1004" i="3"/>
  <c r="K1003" i="3"/>
  <c r="K1002" i="3"/>
  <c r="K1001" i="3"/>
  <c r="K1000" i="3"/>
  <c r="K999" i="3"/>
  <c r="K998" i="3"/>
  <c r="K997" i="3"/>
  <c r="K996" i="3"/>
  <c r="K995" i="3"/>
  <c r="K994" i="3"/>
  <c r="K993" i="3"/>
  <c r="K992" i="3"/>
  <c r="K991" i="3"/>
  <c r="K990" i="3"/>
  <c r="K989" i="3"/>
  <c r="K988" i="3"/>
  <c r="K987" i="3"/>
  <c r="K986" i="3"/>
  <c r="K985" i="3"/>
  <c r="K984" i="3"/>
  <c r="K983" i="3"/>
  <c r="K982" i="3"/>
  <c r="K981" i="3"/>
  <c r="K980" i="3"/>
  <c r="K979" i="3"/>
  <c r="K978" i="3"/>
  <c r="K977" i="3"/>
  <c r="K976" i="3"/>
  <c r="K975" i="3"/>
  <c r="K974" i="3"/>
  <c r="K973" i="3"/>
  <c r="K972" i="3"/>
  <c r="K971" i="3"/>
  <c r="K970" i="3"/>
  <c r="K969" i="3"/>
  <c r="K968" i="3"/>
  <c r="K967" i="3"/>
  <c r="K966" i="3"/>
  <c r="K965" i="3"/>
  <c r="K964" i="3"/>
  <c r="K963" i="3"/>
  <c r="K962" i="3"/>
  <c r="K961" i="3"/>
  <c r="K960" i="3"/>
  <c r="K959" i="3"/>
  <c r="K958" i="3"/>
  <c r="K957" i="3"/>
  <c r="K956" i="3"/>
  <c r="K955" i="3"/>
  <c r="K954" i="3"/>
  <c r="K953" i="3"/>
  <c r="K952" i="3"/>
  <c r="K951" i="3"/>
  <c r="K950" i="3"/>
  <c r="K949" i="3"/>
  <c r="K948" i="3"/>
  <c r="K947" i="3"/>
  <c r="K946" i="3"/>
  <c r="K945" i="3"/>
  <c r="K944" i="3"/>
  <c r="K943" i="3"/>
  <c r="K942" i="3"/>
  <c r="K941" i="3"/>
  <c r="K940" i="3"/>
  <c r="K939" i="3"/>
  <c r="K938" i="3"/>
  <c r="K937" i="3"/>
  <c r="K936" i="3"/>
  <c r="K935" i="3"/>
  <c r="K934" i="3"/>
  <c r="K933" i="3"/>
  <c r="K932" i="3"/>
  <c r="K931" i="3"/>
  <c r="K930" i="3"/>
  <c r="K929" i="3"/>
  <c r="K928" i="3"/>
  <c r="K927" i="3"/>
  <c r="K926" i="3"/>
  <c r="K925" i="3"/>
  <c r="K924" i="3"/>
  <c r="K923" i="3"/>
  <c r="K922" i="3"/>
  <c r="K921" i="3"/>
  <c r="K920" i="3"/>
  <c r="K919" i="3"/>
  <c r="K918" i="3"/>
  <c r="K917" i="3"/>
  <c r="K916" i="3"/>
  <c r="K915" i="3"/>
  <c r="K914" i="3"/>
  <c r="K913" i="3"/>
  <c r="K912" i="3"/>
  <c r="K911" i="3"/>
  <c r="K910" i="3"/>
  <c r="K909" i="3"/>
  <c r="K908" i="3"/>
  <c r="K907" i="3"/>
  <c r="K906" i="3"/>
  <c r="K905" i="3"/>
  <c r="K904" i="3"/>
  <c r="K903" i="3"/>
  <c r="K902" i="3"/>
  <c r="K901" i="3"/>
  <c r="K900" i="3"/>
  <c r="K899" i="3"/>
  <c r="K898" i="3"/>
  <c r="K897" i="3"/>
  <c r="K896" i="3"/>
  <c r="K895" i="3"/>
  <c r="K894" i="3"/>
  <c r="K893" i="3"/>
  <c r="K892" i="3"/>
  <c r="K891" i="3"/>
  <c r="K890" i="3"/>
  <c r="K889" i="3"/>
  <c r="K888" i="3"/>
  <c r="K887" i="3"/>
  <c r="K886" i="3"/>
  <c r="K885" i="3"/>
  <c r="K884" i="3"/>
  <c r="K883" i="3"/>
  <c r="K882" i="3"/>
  <c r="K881" i="3"/>
  <c r="K880" i="3"/>
  <c r="K879" i="3"/>
  <c r="K878" i="3"/>
  <c r="K877" i="3"/>
  <c r="K876" i="3"/>
  <c r="K875" i="3"/>
  <c r="K874" i="3"/>
  <c r="K873" i="3"/>
  <c r="K872" i="3"/>
  <c r="K871" i="3"/>
  <c r="K870" i="3"/>
  <c r="K869" i="3"/>
  <c r="K868" i="3"/>
  <c r="K867" i="3"/>
  <c r="K866" i="3"/>
  <c r="K865" i="3"/>
  <c r="K864" i="3"/>
  <c r="K863" i="3"/>
  <c r="K862" i="3"/>
  <c r="K861" i="3"/>
  <c r="K860" i="3"/>
  <c r="K859" i="3"/>
  <c r="K858" i="3"/>
  <c r="K857" i="3"/>
  <c r="K856" i="3"/>
  <c r="K855" i="3"/>
  <c r="K854" i="3"/>
  <c r="K853" i="3"/>
  <c r="K852" i="3"/>
  <c r="K851" i="3"/>
  <c r="K850" i="3"/>
  <c r="K849" i="3"/>
  <c r="K848" i="3"/>
  <c r="K847" i="3"/>
  <c r="K846" i="3"/>
  <c r="K845" i="3"/>
  <c r="K844" i="3"/>
  <c r="K843" i="3"/>
  <c r="K842" i="3"/>
  <c r="K841" i="3"/>
  <c r="K840" i="3"/>
  <c r="K839" i="3"/>
  <c r="K838" i="3"/>
  <c r="K837" i="3"/>
  <c r="K836" i="3"/>
  <c r="K835" i="3"/>
  <c r="K834" i="3"/>
  <c r="K833" i="3"/>
  <c r="K832" i="3"/>
  <c r="K831" i="3"/>
  <c r="K830" i="3"/>
  <c r="K829" i="3"/>
  <c r="K828" i="3"/>
  <c r="K827" i="3"/>
  <c r="K826" i="3"/>
  <c r="K825" i="3"/>
  <c r="K824" i="3"/>
  <c r="K823" i="3"/>
  <c r="K822" i="3"/>
  <c r="K821" i="3"/>
  <c r="K820" i="3"/>
  <c r="K819" i="3"/>
  <c r="K818" i="3"/>
  <c r="K817" i="3"/>
  <c r="K816" i="3"/>
  <c r="K815" i="3"/>
  <c r="K814" i="3"/>
  <c r="K813" i="3"/>
  <c r="K812" i="3"/>
  <c r="K811" i="3"/>
  <c r="K810" i="3"/>
  <c r="K809" i="3"/>
  <c r="K808" i="3"/>
  <c r="K807" i="3"/>
  <c r="K806" i="3"/>
  <c r="K805" i="3"/>
  <c r="K804" i="3"/>
  <c r="K803" i="3"/>
  <c r="K802" i="3"/>
  <c r="K801" i="3"/>
  <c r="K800" i="3"/>
  <c r="K799" i="3"/>
  <c r="K798" i="3"/>
  <c r="K797" i="3"/>
  <c r="K796" i="3"/>
  <c r="K795" i="3"/>
  <c r="K794" i="3"/>
  <c r="K793" i="3"/>
  <c r="K792" i="3"/>
  <c r="K791" i="3"/>
  <c r="K790" i="3"/>
  <c r="K789" i="3"/>
  <c r="K788" i="3"/>
  <c r="K787" i="3"/>
  <c r="K786" i="3"/>
  <c r="K785" i="3"/>
  <c r="K784" i="3"/>
  <c r="K783" i="3"/>
  <c r="K782" i="3"/>
  <c r="K781" i="3"/>
  <c r="K780" i="3"/>
  <c r="K779" i="3"/>
  <c r="K778" i="3"/>
  <c r="K777" i="3"/>
  <c r="K776" i="3"/>
  <c r="K775" i="3"/>
  <c r="K774" i="3"/>
  <c r="K773" i="3"/>
  <c r="K772" i="3"/>
  <c r="K771" i="3"/>
  <c r="K770" i="3"/>
  <c r="K769" i="3"/>
  <c r="K768" i="3"/>
  <c r="K767" i="3"/>
  <c r="K766" i="3"/>
  <c r="K765" i="3"/>
  <c r="K764" i="3"/>
  <c r="K763" i="3"/>
  <c r="K762" i="3"/>
  <c r="K761" i="3"/>
  <c r="K760" i="3"/>
  <c r="K759" i="3"/>
  <c r="K758" i="3"/>
  <c r="K757" i="3"/>
  <c r="K756" i="3"/>
  <c r="K755" i="3"/>
  <c r="K754" i="3"/>
  <c r="K753" i="3"/>
  <c r="K752" i="3"/>
  <c r="K751" i="3"/>
  <c r="K750" i="3"/>
  <c r="K749" i="3"/>
  <c r="K748" i="3"/>
  <c r="K747" i="3"/>
  <c r="K746" i="3"/>
  <c r="K745" i="3"/>
  <c r="K744" i="3"/>
  <c r="K743" i="3"/>
  <c r="K742" i="3"/>
  <c r="K741" i="3"/>
  <c r="K740" i="3"/>
  <c r="K739" i="3"/>
  <c r="K738" i="3"/>
  <c r="K737" i="3"/>
  <c r="K736" i="3"/>
  <c r="K735" i="3"/>
  <c r="K734" i="3"/>
  <c r="K733" i="3"/>
  <c r="K732" i="3"/>
  <c r="K731" i="3"/>
  <c r="K730" i="3"/>
  <c r="K729" i="3"/>
  <c r="K728" i="3"/>
  <c r="K727" i="3"/>
  <c r="K726" i="3"/>
  <c r="K725" i="3"/>
  <c r="K724" i="3"/>
  <c r="K723" i="3"/>
  <c r="K722" i="3"/>
  <c r="K721" i="3"/>
  <c r="K720" i="3"/>
  <c r="K719" i="3"/>
  <c r="K718" i="3"/>
  <c r="K717" i="3"/>
  <c r="K716" i="3"/>
  <c r="K715" i="3"/>
  <c r="K714" i="3"/>
  <c r="K713" i="3"/>
  <c r="K712" i="3"/>
  <c r="K711" i="3"/>
  <c r="K710" i="3"/>
  <c r="K709" i="3"/>
  <c r="K708" i="3"/>
  <c r="K707" i="3"/>
  <c r="K706" i="3"/>
  <c r="K705" i="3"/>
  <c r="K704" i="3"/>
  <c r="K703" i="3"/>
  <c r="K702" i="3"/>
  <c r="K701" i="3"/>
  <c r="K700" i="3"/>
  <c r="K699" i="3"/>
  <c r="K698" i="3"/>
  <c r="K697" i="3"/>
  <c r="K696" i="3"/>
  <c r="K695" i="3"/>
  <c r="K694" i="3"/>
  <c r="K693" i="3"/>
  <c r="K692" i="3"/>
  <c r="K691" i="3"/>
  <c r="K690" i="3"/>
  <c r="K689" i="3"/>
  <c r="K688" i="3"/>
  <c r="K687" i="3"/>
  <c r="K686" i="3"/>
  <c r="K685" i="3"/>
  <c r="K684" i="3"/>
  <c r="K683" i="3"/>
  <c r="K682" i="3"/>
  <c r="K681" i="3"/>
  <c r="K680" i="3"/>
  <c r="K679" i="3"/>
  <c r="K678" i="3"/>
  <c r="K677" i="3"/>
  <c r="K676" i="3"/>
  <c r="K675" i="3"/>
  <c r="K674" i="3"/>
  <c r="K673" i="3"/>
  <c r="K672" i="3"/>
  <c r="K671" i="3"/>
  <c r="K670" i="3"/>
  <c r="K669" i="3"/>
  <c r="K668" i="3"/>
  <c r="K667" i="3"/>
  <c r="K666" i="3"/>
  <c r="K665" i="3"/>
  <c r="K664" i="3"/>
  <c r="K663" i="3"/>
  <c r="K662" i="3"/>
  <c r="K661" i="3"/>
  <c r="K660" i="3"/>
  <c r="K659" i="3"/>
  <c r="K658" i="3"/>
  <c r="K657" i="3"/>
  <c r="K656" i="3"/>
  <c r="K655" i="3"/>
  <c r="K654" i="3"/>
  <c r="K653" i="3"/>
  <c r="K652" i="3"/>
  <c r="K651" i="3"/>
  <c r="K650" i="3"/>
  <c r="K649" i="3"/>
  <c r="K648" i="3"/>
  <c r="K647" i="3"/>
  <c r="K646" i="3"/>
  <c r="K645" i="3"/>
  <c r="K644" i="3"/>
  <c r="K643" i="3"/>
  <c r="K642" i="3"/>
  <c r="K641" i="3"/>
  <c r="K640" i="3"/>
  <c r="K639" i="3"/>
  <c r="K638" i="3"/>
  <c r="K637" i="3"/>
  <c r="K636" i="3"/>
  <c r="K635" i="3"/>
  <c r="K634" i="3"/>
  <c r="K633" i="3"/>
  <c r="K632" i="3"/>
  <c r="K631" i="3"/>
  <c r="K630" i="3"/>
  <c r="K629" i="3"/>
  <c r="K628" i="3"/>
  <c r="K627" i="3"/>
  <c r="K626" i="3"/>
  <c r="K625" i="3"/>
  <c r="K624" i="3"/>
  <c r="K623" i="3"/>
  <c r="K622" i="3"/>
  <c r="K621" i="3"/>
  <c r="K620" i="3"/>
  <c r="K619" i="3"/>
  <c r="K618" i="3"/>
  <c r="K617" i="3"/>
  <c r="K616" i="3"/>
  <c r="K615" i="3"/>
  <c r="K614" i="3"/>
  <c r="K613" i="3"/>
  <c r="K612" i="3"/>
  <c r="K611" i="3"/>
  <c r="K610" i="3"/>
  <c r="K609" i="3"/>
  <c r="K608" i="3"/>
  <c r="K607" i="3"/>
  <c r="K606" i="3"/>
  <c r="K605" i="3"/>
  <c r="K604" i="3"/>
  <c r="K603" i="3"/>
  <c r="K602" i="3"/>
  <c r="K601" i="3"/>
  <c r="K600" i="3"/>
  <c r="K599" i="3"/>
  <c r="K598" i="3"/>
  <c r="K597" i="3"/>
  <c r="K596" i="3"/>
  <c r="K595" i="3"/>
  <c r="K594" i="3"/>
  <c r="K593" i="3"/>
  <c r="K592" i="3"/>
  <c r="K591" i="3"/>
  <c r="K590" i="3"/>
  <c r="K589" i="3"/>
  <c r="K588" i="3"/>
  <c r="K587" i="3"/>
  <c r="K586" i="3"/>
  <c r="K585" i="3"/>
  <c r="K584" i="3"/>
  <c r="K583" i="3"/>
  <c r="K582" i="3"/>
  <c r="K581" i="3"/>
  <c r="K580" i="3"/>
  <c r="K579" i="3"/>
  <c r="K578" i="3"/>
  <c r="K577" i="3"/>
  <c r="K576" i="3"/>
  <c r="K575" i="3"/>
  <c r="K574" i="3"/>
  <c r="K573" i="3"/>
  <c r="K572" i="3"/>
  <c r="K571" i="3"/>
  <c r="K570" i="3"/>
  <c r="K569" i="3"/>
  <c r="K568" i="3"/>
  <c r="K567" i="3"/>
  <c r="K566" i="3"/>
  <c r="K565" i="3"/>
  <c r="K564" i="3"/>
  <c r="K563" i="3"/>
  <c r="K562" i="3"/>
  <c r="K561" i="3"/>
  <c r="K560" i="3"/>
  <c r="K559" i="3"/>
  <c r="K558" i="3"/>
  <c r="K557" i="3"/>
  <c r="K556" i="3"/>
  <c r="K555" i="3"/>
  <c r="K554" i="3"/>
  <c r="K553" i="3"/>
  <c r="K552" i="3"/>
  <c r="K551" i="3"/>
  <c r="K550" i="3"/>
  <c r="K549" i="3"/>
  <c r="K548" i="3"/>
  <c r="K547" i="3"/>
  <c r="K546" i="3"/>
  <c r="K545" i="3"/>
  <c r="K544" i="3"/>
  <c r="K543" i="3"/>
  <c r="K542" i="3"/>
  <c r="K541" i="3"/>
  <c r="K540" i="3"/>
  <c r="K539" i="3"/>
  <c r="K538" i="3"/>
  <c r="K537" i="3"/>
  <c r="K536" i="3"/>
  <c r="K535" i="3"/>
  <c r="K534" i="3"/>
  <c r="K533" i="3"/>
  <c r="K532" i="3"/>
  <c r="K531" i="3"/>
  <c r="K530" i="3"/>
  <c r="K529" i="3"/>
  <c r="K528" i="3"/>
  <c r="K527" i="3"/>
  <c r="K526" i="3"/>
  <c r="K525" i="3"/>
  <c r="K524" i="3"/>
  <c r="K523" i="3"/>
  <c r="K522" i="3"/>
  <c r="K521" i="3"/>
  <c r="K520" i="3"/>
  <c r="K519" i="3"/>
  <c r="K518" i="3"/>
  <c r="K517" i="3"/>
  <c r="K516" i="3"/>
  <c r="K515" i="3"/>
  <c r="K514" i="3"/>
  <c r="K513" i="3"/>
  <c r="K512" i="3"/>
  <c r="K511" i="3"/>
  <c r="K510" i="3"/>
  <c r="K509" i="3"/>
  <c r="K508" i="3"/>
  <c r="K507" i="3"/>
  <c r="K506" i="3"/>
  <c r="K505" i="3"/>
  <c r="K504" i="3"/>
  <c r="K503" i="3"/>
  <c r="K502" i="3"/>
  <c r="K501" i="3"/>
  <c r="K500" i="3"/>
  <c r="K499" i="3"/>
  <c r="K498" i="3"/>
  <c r="K497" i="3"/>
  <c r="K496" i="3"/>
  <c r="K495" i="3"/>
  <c r="K494" i="3"/>
  <c r="K493" i="3"/>
  <c r="K492" i="3"/>
  <c r="K491" i="3"/>
  <c r="K490" i="3"/>
  <c r="K489" i="3"/>
  <c r="K488" i="3"/>
  <c r="K487" i="3"/>
  <c r="K486" i="3"/>
  <c r="K485" i="3"/>
  <c r="K484" i="3"/>
  <c r="K483" i="3"/>
  <c r="K482" i="3"/>
  <c r="K481" i="3"/>
  <c r="K480" i="3"/>
  <c r="K479" i="3"/>
  <c r="K478" i="3"/>
  <c r="K477" i="3"/>
  <c r="K476" i="3"/>
  <c r="K475" i="3"/>
  <c r="K474" i="3"/>
  <c r="K473" i="3"/>
  <c r="K472" i="3"/>
  <c r="K471" i="3"/>
  <c r="K470" i="3"/>
  <c r="K469" i="3"/>
  <c r="K468" i="3"/>
  <c r="K467" i="3"/>
  <c r="K466" i="3"/>
  <c r="K465" i="3"/>
  <c r="K464" i="3"/>
  <c r="K463" i="3"/>
  <c r="K462" i="3"/>
  <c r="K461" i="3"/>
  <c r="K460" i="3"/>
  <c r="K459" i="3"/>
  <c r="K458" i="3"/>
  <c r="K457" i="3"/>
  <c r="K456" i="3"/>
  <c r="K455" i="3"/>
  <c r="K454" i="3"/>
  <c r="K453" i="3"/>
  <c r="K452" i="3"/>
  <c r="K451" i="3"/>
  <c r="K450" i="3"/>
  <c r="K449" i="3"/>
  <c r="K448" i="3"/>
  <c r="K447" i="3"/>
  <c r="K446" i="3"/>
  <c r="K445" i="3"/>
  <c r="K444" i="3"/>
  <c r="K443" i="3"/>
  <c r="K442" i="3"/>
  <c r="K441" i="3"/>
  <c r="K440" i="3"/>
  <c r="K439" i="3"/>
  <c r="K438" i="3"/>
  <c r="K437" i="3"/>
  <c r="K436" i="3"/>
  <c r="K435" i="3"/>
  <c r="K434" i="3"/>
  <c r="K433" i="3"/>
  <c r="K432" i="3"/>
  <c r="K431" i="3"/>
  <c r="K430" i="3"/>
  <c r="K429" i="3"/>
  <c r="K428" i="3"/>
  <c r="K427" i="3"/>
  <c r="K426" i="3"/>
  <c r="K425" i="3"/>
  <c r="K424" i="3"/>
  <c r="K423" i="3"/>
  <c r="K422" i="3"/>
  <c r="K421" i="3"/>
  <c r="K420" i="3"/>
  <c r="K419" i="3"/>
  <c r="K418" i="3"/>
  <c r="K417" i="3"/>
  <c r="K416" i="3"/>
  <c r="K415" i="3"/>
  <c r="K414" i="3"/>
  <c r="K413" i="3"/>
  <c r="K412" i="3"/>
  <c r="K411" i="3"/>
  <c r="K410" i="3"/>
  <c r="K409" i="3"/>
  <c r="K408" i="3"/>
  <c r="K407" i="3"/>
  <c r="K406" i="3"/>
  <c r="K405" i="3"/>
  <c r="K404" i="3"/>
  <c r="K403" i="3"/>
  <c r="K402" i="3"/>
  <c r="K401" i="3"/>
  <c r="K400" i="3"/>
  <c r="K399" i="3"/>
  <c r="K398" i="3"/>
  <c r="K397" i="3"/>
  <c r="K396" i="3"/>
  <c r="K395" i="3"/>
  <c r="K394" i="3"/>
  <c r="K393" i="3"/>
  <c r="K392" i="3"/>
  <c r="K391" i="3"/>
  <c r="K390" i="3"/>
  <c r="K389" i="3"/>
  <c r="K388" i="3"/>
  <c r="K387" i="3"/>
  <c r="K386" i="3"/>
  <c r="K385" i="3"/>
  <c r="K384" i="3"/>
  <c r="K383" i="3"/>
  <c r="K382" i="3"/>
  <c r="K381" i="3"/>
  <c r="K380" i="3"/>
  <c r="K379" i="3"/>
  <c r="K378" i="3"/>
  <c r="K377" i="3"/>
  <c r="K376" i="3"/>
  <c r="K375" i="3"/>
  <c r="K374" i="3"/>
  <c r="K373" i="3"/>
  <c r="K372" i="3"/>
  <c r="K371" i="3"/>
  <c r="K370" i="3"/>
  <c r="K369" i="3"/>
  <c r="K368" i="3"/>
  <c r="K367" i="3"/>
  <c r="K366" i="3"/>
  <c r="K365" i="3"/>
  <c r="K364" i="3"/>
  <c r="K363" i="3"/>
  <c r="K362" i="3"/>
  <c r="K361" i="3"/>
  <c r="K360" i="3"/>
  <c r="K359" i="3"/>
  <c r="K358" i="3"/>
  <c r="K357" i="3"/>
  <c r="K356" i="3"/>
  <c r="K355" i="3"/>
  <c r="K354" i="3"/>
  <c r="K353" i="3"/>
  <c r="K352" i="3"/>
  <c r="K351" i="3"/>
  <c r="K350" i="3"/>
  <c r="K349" i="3"/>
  <c r="K348" i="3"/>
  <c r="K347" i="3"/>
  <c r="K346" i="3"/>
  <c r="K345" i="3"/>
  <c r="K344" i="3"/>
  <c r="K343" i="3"/>
  <c r="K342" i="3"/>
  <c r="K341" i="3"/>
  <c r="K340" i="3"/>
  <c r="K339" i="3"/>
  <c r="K338" i="3"/>
  <c r="K337" i="3"/>
  <c r="K336" i="3"/>
  <c r="K335" i="3"/>
  <c r="K334" i="3"/>
  <c r="K333" i="3"/>
  <c r="K332" i="3"/>
  <c r="K331" i="3"/>
  <c r="K330" i="3"/>
  <c r="K329" i="3"/>
  <c r="K328" i="3"/>
  <c r="K327" i="3"/>
  <c r="K326" i="3"/>
  <c r="K325" i="3"/>
  <c r="K324" i="3"/>
  <c r="K323" i="3"/>
  <c r="K322" i="3"/>
  <c r="K321" i="3"/>
  <c r="K320" i="3"/>
  <c r="K319" i="3"/>
  <c r="K318" i="3"/>
  <c r="K317" i="3"/>
  <c r="K316" i="3"/>
  <c r="K315" i="3"/>
  <c r="K314" i="3"/>
  <c r="K313" i="3"/>
  <c r="K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K298" i="3"/>
  <c r="K297" i="3"/>
  <c r="K296" i="3"/>
  <c r="K295" i="3"/>
  <c r="K294" i="3"/>
  <c r="K293" i="3"/>
  <c r="K292" i="3"/>
  <c r="K291" i="3"/>
  <c r="K290" i="3"/>
  <c r="K289" i="3"/>
  <c r="K288" i="3"/>
  <c r="K287" i="3"/>
  <c r="K286" i="3"/>
  <c r="K285" i="3"/>
  <c r="K284" i="3"/>
  <c r="K283" i="3"/>
  <c r="K282" i="3"/>
  <c r="K281" i="3"/>
  <c r="K280" i="3"/>
  <c r="K279" i="3"/>
  <c r="K278" i="3"/>
  <c r="K32" i="3"/>
  <c r="K30" i="3"/>
  <c r="K29" i="3"/>
  <c r="K28" i="3"/>
  <c r="K27" i="3"/>
  <c r="K13" i="3" l="1"/>
  <c r="G30" i="12" l="1"/>
  <c r="G42" i="12"/>
  <c r="G38" i="12"/>
  <c r="B9" i="17" l="1"/>
  <c r="B12" i="17" l="1"/>
  <c r="B11" i="17"/>
  <c r="B8" i="17"/>
  <c r="F8" i="5" l="1"/>
  <c r="C138" i="17" l="1"/>
  <c r="E138" i="17" l="1"/>
  <c r="H138" i="17"/>
  <c r="C105" i="17"/>
  <c r="C126" i="17"/>
  <c r="H126" i="17" s="1"/>
  <c r="C119" i="17"/>
  <c r="C111" i="17"/>
  <c r="C69" i="17"/>
  <c r="C88" i="17"/>
  <c r="H88" i="17" s="1"/>
  <c r="C97" i="17"/>
  <c r="C77" i="17"/>
  <c r="C42" i="17"/>
  <c r="C51" i="17"/>
  <c r="H51" i="17" s="1"/>
  <c r="C61" i="17"/>
  <c r="H61" i="17" s="1"/>
  <c r="C19" i="17"/>
  <c r="H19" i="17" s="1"/>
  <c r="C34" i="17"/>
  <c r="H97" i="17" l="1"/>
  <c r="E97" i="17"/>
  <c r="H119" i="17"/>
  <c r="E119" i="17"/>
  <c r="H111" i="17"/>
  <c r="E111" i="17"/>
  <c r="E77" i="17"/>
  <c r="H77" i="17"/>
  <c r="E34" i="17"/>
  <c r="H34" i="17"/>
  <c r="E42" i="17"/>
  <c r="H42" i="17"/>
  <c r="E69" i="17"/>
  <c r="H69" i="17"/>
  <c r="E105" i="17"/>
  <c r="H105" i="17"/>
  <c r="C136" i="17"/>
  <c r="C129" i="17" s="1"/>
  <c r="E19" i="17"/>
  <c r="C57" i="5"/>
  <c r="G36" i="12"/>
  <c r="G40" i="12"/>
  <c r="G28" i="12"/>
  <c r="H129" i="17" l="1"/>
  <c r="E129" i="17"/>
  <c r="E57" i="5"/>
  <c r="E136" i="17"/>
  <c r="H136" i="17"/>
  <c r="G12" i="12"/>
  <c r="F7" i="5"/>
  <c r="F5" i="5"/>
  <c r="F6" i="5"/>
  <c r="E10" i="5"/>
  <c r="D5" i="12"/>
  <c r="D7" i="12"/>
  <c r="F9" i="5"/>
  <c r="E9" i="12"/>
  <c r="B5" i="17" s="1"/>
  <c r="G18" i="12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12"/>
  <c r="H2" i="5"/>
  <c r="F2" i="5"/>
  <c r="H13" i="3" l="1"/>
  <c r="B44" i="5"/>
  <c r="B42" i="5"/>
  <c r="B40" i="5"/>
  <c r="B38" i="5"/>
  <c r="B36" i="5"/>
  <c r="B34" i="5"/>
  <c r="B32" i="5"/>
  <c r="B30" i="5"/>
  <c r="B28" i="5"/>
  <c r="B26" i="5"/>
  <c r="B24" i="5"/>
  <c r="B22" i="5"/>
  <c r="B20" i="5"/>
  <c r="B18" i="5"/>
  <c r="B16" i="5"/>
  <c r="B45" i="5"/>
  <c r="B43" i="5"/>
  <c r="B41" i="5"/>
  <c r="B39" i="5"/>
  <c r="B37" i="5"/>
  <c r="B35" i="5"/>
  <c r="B33" i="5"/>
  <c r="B31" i="5"/>
  <c r="B29" i="5"/>
  <c r="B27" i="5"/>
  <c r="B25" i="5"/>
  <c r="B23" i="5"/>
  <c r="B21" i="5"/>
  <c r="B19" i="5"/>
  <c r="B17" i="5"/>
  <c r="B15" i="5"/>
  <c r="H41" i="5" l="1"/>
  <c r="H40" i="5"/>
  <c r="H39" i="5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45" i="5"/>
  <c r="H44" i="5"/>
  <c r="H43" i="5"/>
  <c r="H42" i="5"/>
  <c r="G16" i="12"/>
  <c r="B9" i="12"/>
  <c r="A5" i="17" s="1"/>
  <c r="F49" i="5"/>
  <c r="E49" i="5"/>
  <c r="E51" i="5" s="1"/>
  <c r="C49" i="5"/>
  <c r="C51" i="5" s="1"/>
  <c r="G34" i="12" l="1"/>
  <c r="D131" i="17"/>
  <c r="D137" i="17" s="1"/>
  <c r="D135" i="17" s="1"/>
  <c r="G7" i="12"/>
  <c r="C9" i="12" s="1"/>
  <c r="C131" i="17"/>
  <c r="H131" i="17" s="1"/>
  <c r="G24" i="12"/>
  <c r="G32" i="12"/>
  <c r="G20" i="12"/>
  <c r="E54" i="5"/>
  <c r="E55" i="5" s="1"/>
  <c r="G22" i="12"/>
  <c r="G9" i="12"/>
  <c r="G49" i="5" s="1"/>
  <c r="D49" i="5"/>
  <c r="G44" i="12" l="1"/>
  <c r="C137" i="17"/>
  <c r="H137" i="17" s="1"/>
  <c r="E131" i="17"/>
  <c r="H4" i="5"/>
  <c r="C135" i="17" l="1"/>
  <c r="E137" i="17"/>
  <c r="H49" i="5"/>
  <c r="G46" i="12" s="1"/>
  <c r="E135" i="17" l="1"/>
  <c r="H135" i="17"/>
  <c r="G26" i="12"/>
</calcChain>
</file>

<file path=xl/sharedStrings.xml><?xml version="1.0" encoding="utf-8"?>
<sst xmlns="http://schemas.openxmlformats.org/spreadsheetml/2006/main" count="1176" uniqueCount="668">
  <si>
    <t xml:space="preserve">Month of </t>
    <phoneticPr fontId="20"/>
  </si>
  <si>
    <t xml:space="preserve">Location of the establishment:  </t>
    <phoneticPr fontId="20"/>
  </si>
  <si>
    <t>Name of Municipality:</t>
    <phoneticPr fontId="20"/>
  </si>
  <si>
    <t>Number of Guests</t>
    <phoneticPr fontId="20"/>
  </si>
  <si>
    <t>Number of Room Occupied</t>
  </si>
  <si>
    <t>Room Occupancy Rate</t>
    <phoneticPr fontId="20"/>
  </si>
  <si>
    <t>Number of Guest per room</t>
    <phoneticPr fontId="20"/>
  </si>
  <si>
    <t>Date</t>
    <phoneticPr fontId="20"/>
  </si>
  <si>
    <t>Check In</t>
    <phoneticPr fontId="20"/>
  </si>
  <si>
    <t>Check Out</t>
    <phoneticPr fontId="20"/>
  </si>
  <si>
    <r>
      <t>6.</t>
    </r>
    <r>
      <rPr>
        <sz val="8"/>
        <rFont val="Arial Narrow"/>
        <family val="2"/>
      </rPr>
      <t xml:space="preserve">
Guest Nights</t>
    </r>
    <phoneticPr fontId="20"/>
  </si>
  <si>
    <r>
      <t>8.</t>
    </r>
    <r>
      <rPr>
        <sz val="8"/>
        <rFont val="Arial Narrow"/>
        <family val="2"/>
      </rPr>
      <t xml:space="preserve">
Occupancy 
Rate</t>
    </r>
    <phoneticPr fontId="20"/>
  </si>
  <si>
    <t>Total</t>
    <phoneticPr fontId="20"/>
  </si>
  <si>
    <t>Nights</t>
    <phoneticPr fontId="20"/>
  </si>
  <si>
    <t>Year</t>
    <phoneticPr fontId="20"/>
  </si>
  <si>
    <t>Day of the Week</t>
    <phoneticPr fontId="20"/>
  </si>
  <si>
    <t>July</t>
    <phoneticPr fontId="18"/>
  </si>
  <si>
    <t>January</t>
    <phoneticPr fontId="18"/>
  </si>
  <si>
    <t>February</t>
    <phoneticPr fontId="18"/>
  </si>
  <si>
    <t>March</t>
    <phoneticPr fontId="18"/>
  </si>
  <si>
    <t>April</t>
    <phoneticPr fontId="18"/>
  </si>
  <si>
    <t>June</t>
    <phoneticPr fontId="18"/>
  </si>
  <si>
    <t>August</t>
    <phoneticPr fontId="18"/>
  </si>
  <si>
    <t>September</t>
    <phoneticPr fontId="18"/>
  </si>
  <si>
    <t>October</t>
    <phoneticPr fontId="18"/>
  </si>
  <si>
    <t>November</t>
    <phoneticPr fontId="18"/>
  </si>
  <si>
    <t>December</t>
    <phoneticPr fontId="18"/>
  </si>
  <si>
    <r>
      <t>5.</t>
    </r>
    <r>
      <rPr>
        <sz val="8"/>
        <rFont val="Arial Narrow"/>
        <family val="2"/>
      </rPr>
      <t xml:space="preserve">
Checked Out</t>
    </r>
    <phoneticPr fontId="20"/>
  </si>
  <si>
    <r>
      <t>6.</t>
    </r>
    <r>
      <rPr>
        <sz val="8"/>
        <rFont val="Arial Narrow"/>
        <family val="2"/>
      </rPr>
      <t xml:space="preserve">
Checked In</t>
    </r>
    <phoneticPr fontId="20"/>
  </si>
  <si>
    <t>Monthly Reporting Format for Accommodation Establishment</t>
    <phoneticPr fontId="20"/>
  </si>
  <si>
    <t xml:space="preserve">Month of </t>
    <phoneticPr fontId="18"/>
  </si>
  <si>
    <t>Year</t>
    <phoneticPr fontId="18"/>
  </si>
  <si>
    <t>(1)</t>
    <phoneticPr fontId="18"/>
  </si>
  <si>
    <t>Identification of Accommodation Establishment</t>
    <phoneticPr fontId="18"/>
  </si>
  <si>
    <t>(2)</t>
    <phoneticPr fontId="18"/>
  </si>
  <si>
    <t>(3)</t>
    <phoneticPr fontId="18"/>
  </si>
  <si>
    <t>Total Number of Guest Checked-in</t>
    <phoneticPr fontId="18"/>
  </si>
  <si>
    <t>(6)</t>
    <phoneticPr fontId="18"/>
  </si>
  <si>
    <t>(7)</t>
    <phoneticPr fontId="18"/>
  </si>
  <si>
    <t>Total Number of Rooms Occupied During the Month</t>
    <phoneticPr fontId="18"/>
  </si>
  <si>
    <t>(8)</t>
    <phoneticPr fontId="18"/>
  </si>
  <si>
    <t>Room Occupancy Rate</t>
    <phoneticPr fontId="18"/>
  </si>
  <si>
    <t>Code</t>
    <phoneticPr fontId="18"/>
  </si>
  <si>
    <t>Type-Classification</t>
    <phoneticPr fontId="20"/>
  </si>
  <si>
    <t>Type of Accommodation-Classification</t>
    <phoneticPr fontId="18"/>
  </si>
  <si>
    <t>Classification Code</t>
    <phoneticPr fontId="18"/>
  </si>
  <si>
    <t>Total Guest-Nights During the Month</t>
    <phoneticPr fontId="18"/>
  </si>
  <si>
    <t>(5)</t>
    <phoneticPr fontId="18"/>
  </si>
  <si>
    <t>Hotel</t>
  </si>
  <si>
    <t>Others</t>
  </si>
  <si>
    <t>SER</t>
  </si>
  <si>
    <t>RES</t>
  </si>
  <si>
    <t>APA</t>
  </si>
  <si>
    <t>MOT</t>
  </si>
  <si>
    <t>PEN</t>
  </si>
  <si>
    <t>HSS</t>
  </si>
  <si>
    <t>TIN</t>
  </si>
  <si>
    <t>OTH</t>
  </si>
  <si>
    <t>Condotel</t>
  </si>
  <si>
    <t>Serviced Residence</t>
  </si>
  <si>
    <t>Resort</t>
  </si>
  <si>
    <t>Apartelle</t>
  </si>
  <si>
    <t>Pension House</t>
  </si>
  <si>
    <t>Home Stay Site</t>
  </si>
  <si>
    <t>Tourist Inn</t>
  </si>
  <si>
    <t>Tourist Inn</t>
    <phoneticPr fontId="18"/>
  </si>
  <si>
    <t>Days</t>
    <phoneticPr fontId="18"/>
  </si>
  <si>
    <t>May</t>
    <phoneticPr fontId="18"/>
  </si>
  <si>
    <t>Monthly Reporting Format for Accommodation Establishment</t>
    <phoneticPr fontId="18"/>
  </si>
  <si>
    <t>HTL</t>
    <phoneticPr fontId="18"/>
  </si>
  <si>
    <t>CON</t>
    <phoneticPr fontId="18"/>
  </si>
  <si>
    <t>Days</t>
    <phoneticPr fontId="20"/>
  </si>
  <si>
    <t>(4)</t>
    <phoneticPr fontId="18"/>
  </si>
  <si>
    <t>Domestic Guest</t>
    <phoneticPr fontId="18"/>
  </si>
  <si>
    <t>(9)</t>
    <phoneticPr fontId="18"/>
  </si>
  <si>
    <t xml:space="preserve">  </t>
  </si>
  <si>
    <t>Argentina</t>
  </si>
  <si>
    <t>Australia</t>
  </si>
  <si>
    <t>Austria</t>
  </si>
  <si>
    <t>Bahrain</t>
  </si>
  <si>
    <t>Bangladesh</t>
  </si>
  <si>
    <t>Belgium</t>
  </si>
  <si>
    <t>Brazil</t>
  </si>
  <si>
    <t>Cambodia</t>
  </si>
  <si>
    <t>Canada</t>
  </si>
  <si>
    <t>Chile</t>
  </si>
  <si>
    <t>Colombia</t>
  </si>
  <si>
    <t>Denmark</t>
  </si>
  <si>
    <t>Egypt</t>
  </si>
  <si>
    <t>Finland</t>
  </si>
  <si>
    <t>France</t>
  </si>
  <si>
    <t>Germany</t>
  </si>
  <si>
    <t>Greece</t>
  </si>
  <si>
    <t>Guam</t>
  </si>
  <si>
    <t>Hongkong</t>
  </si>
  <si>
    <t>India</t>
  </si>
  <si>
    <t>Indonesia</t>
  </si>
  <si>
    <t>Iran</t>
  </si>
  <si>
    <t>Israel</t>
  </si>
  <si>
    <t>Italy</t>
  </si>
  <si>
    <t>Japan</t>
  </si>
  <si>
    <t>Jordan</t>
  </si>
  <si>
    <t>Kuwait</t>
  </si>
  <si>
    <t>Luxembourg</t>
  </si>
  <si>
    <t>Malaysia</t>
  </si>
  <si>
    <t>Mexico</t>
  </si>
  <si>
    <t>Myanmar</t>
  </si>
  <si>
    <t>Nauru</t>
  </si>
  <si>
    <t>Nepal</t>
  </si>
  <si>
    <t>Netherlands</t>
  </si>
  <si>
    <t>New Zealand</t>
  </si>
  <si>
    <t>Nigeria</t>
  </si>
  <si>
    <t>Norway</t>
  </si>
  <si>
    <t>Pakistan</t>
  </si>
  <si>
    <t>Papua New Guinea</t>
  </si>
  <si>
    <t>Peru</t>
  </si>
  <si>
    <t>Poland</t>
  </si>
  <si>
    <t>Portugal</t>
  </si>
  <si>
    <t>Saudi Arabia</t>
  </si>
  <si>
    <t>Singapore</t>
  </si>
  <si>
    <t>South Africa</t>
  </si>
  <si>
    <t>Spain</t>
  </si>
  <si>
    <t>Sri Lanka</t>
  </si>
  <si>
    <t>Sweden</t>
  </si>
  <si>
    <t>Switzerland</t>
  </si>
  <si>
    <t>Taiwan</t>
  </si>
  <si>
    <t>Thailand</t>
  </si>
  <si>
    <t>United Arab Emirates</t>
  </si>
  <si>
    <t>United Kingdom</t>
  </si>
  <si>
    <t>Venezuela</t>
  </si>
  <si>
    <t>Vietnam</t>
  </si>
  <si>
    <t xml:space="preserve"> </t>
  </si>
  <si>
    <t>(10)</t>
    <phoneticPr fontId="18"/>
  </si>
  <si>
    <t>International Guest</t>
    <phoneticPr fontId="18"/>
  </si>
  <si>
    <t>Motel</t>
    <phoneticPr fontId="18"/>
  </si>
  <si>
    <t>DAE1-B</t>
    <phoneticPr fontId="18"/>
  </si>
  <si>
    <t>Yes</t>
    <phoneticPr fontId="18"/>
  </si>
  <si>
    <t>No</t>
    <phoneticPr fontId="18"/>
  </si>
  <si>
    <t>Date</t>
    <phoneticPr fontId="18"/>
  </si>
  <si>
    <t>Year/Month</t>
    <phoneticPr fontId="18"/>
  </si>
  <si>
    <t>Year</t>
    <phoneticPr fontId="18"/>
  </si>
  <si>
    <t>Month</t>
    <phoneticPr fontId="18"/>
  </si>
  <si>
    <t>Number of Rooms</t>
    <phoneticPr fontId="18"/>
  </si>
  <si>
    <t>Type</t>
    <phoneticPr fontId="18"/>
  </si>
  <si>
    <t>Do not delete</t>
    <phoneticPr fontId="18"/>
  </si>
  <si>
    <t>No of Rooms</t>
    <phoneticPr fontId="18"/>
  </si>
  <si>
    <t>Number of Guest on the last day of the previous month</t>
    <phoneticPr fontId="18"/>
  </si>
  <si>
    <t>Province</t>
    <phoneticPr fontId="18"/>
  </si>
  <si>
    <t>Municipality</t>
    <phoneticPr fontId="18"/>
  </si>
  <si>
    <t>AE</t>
    <phoneticPr fontId="18"/>
  </si>
  <si>
    <t>Date</t>
    <phoneticPr fontId="18"/>
  </si>
  <si>
    <t>Room</t>
    <phoneticPr fontId="18"/>
  </si>
  <si>
    <t>Nationality</t>
    <phoneticPr fontId="18"/>
  </si>
  <si>
    <t>Checked In Day</t>
    <phoneticPr fontId="18"/>
  </si>
  <si>
    <t>No of Guest</t>
    <phoneticPr fontId="18"/>
  </si>
  <si>
    <t>Daily Rate</t>
    <phoneticPr fontId="18"/>
  </si>
  <si>
    <t>NoOfGuestPrevisousDay</t>
    <phoneticPr fontId="18"/>
  </si>
  <si>
    <t>Number of Guest</t>
    <phoneticPr fontId="18"/>
  </si>
  <si>
    <t>Room No.</t>
    <phoneticPr fontId="18"/>
  </si>
  <si>
    <t>Total Available Rooms</t>
  </si>
  <si>
    <t>Rate</t>
  </si>
  <si>
    <t>(11)</t>
    <phoneticPr fontId="18"/>
  </si>
  <si>
    <t>Unknown</t>
    <phoneticPr fontId="18"/>
  </si>
  <si>
    <t>Afghanistan</t>
  </si>
  <si>
    <t>Albania</t>
  </si>
  <si>
    <t>Algeria</t>
  </si>
  <si>
    <t>Andorra</t>
  </si>
  <si>
    <t>Angola</t>
  </si>
  <si>
    <t>Anguilla</t>
  </si>
  <si>
    <t>Antigua and Barbuda</t>
  </si>
  <si>
    <t>Armenia</t>
  </si>
  <si>
    <t>Aruba</t>
  </si>
  <si>
    <t>Azerbaijan</t>
  </si>
  <si>
    <t>Bahamas</t>
  </si>
  <si>
    <t>Barbados</t>
  </si>
  <si>
    <t>Belarus</t>
  </si>
  <si>
    <t>Belize</t>
  </si>
  <si>
    <t>Benin, Republic of</t>
  </si>
  <si>
    <t>Bermuda</t>
  </si>
  <si>
    <t>Bhutan</t>
  </si>
  <si>
    <t>Bolivia</t>
  </si>
  <si>
    <t>Bonaire</t>
  </si>
  <si>
    <t>Bosnia/Herzegovina</t>
  </si>
  <si>
    <t>Botswana</t>
  </si>
  <si>
    <t>Brunei</t>
  </si>
  <si>
    <t>Bulgaria</t>
  </si>
  <si>
    <t>Burkina Faso</t>
  </si>
  <si>
    <t>Burundi</t>
  </si>
  <si>
    <t>Cameroon</t>
  </si>
  <si>
    <t>Cape Verde</t>
  </si>
  <si>
    <t>Cayman Island</t>
  </si>
  <si>
    <t>Central African Republic</t>
  </si>
  <si>
    <t>Chad</t>
  </si>
  <si>
    <t>China</t>
  </si>
  <si>
    <t>Comoros</t>
  </si>
  <si>
    <t>Congo</t>
  </si>
  <si>
    <t>Cook Islands</t>
  </si>
  <si>
    <t>Costa Rica</t>
  </si>
  <si>
    <t>Cote D'Lvoire</t>
  </si>
  <si>
    <t>Croatia</t>
  </si>
  <si>
    <t>Cuba</t>
  </si>
  <si>
    <t>Curacao</t>
  </si>
  <si>
    <t>Cyprus</t>
  </si>
  <si>
    <t>Czech</t>
  </si>
  <si>
    <t>Djibouti</t>
  </si>
  <si>
    <t>Dominica</t>
  </si>
  <si>
    <t>Dominican Republic</t>
  </si>
  <si>
    <t>East Timor</t>
  </si>
  <si>
    <t>Ecuador</t>
  </si>
  <si>
    <t>El Salvador</t>
  </si>
  <si>
    <t>Equatorial Guinea</t>
  </si>
  <si>
    <t>Eritrea</t>
  </si>
  <si>
    <t>Estonia</t>
  </si>
  <si>
    <t>Ethiopia</t>
  </si>
  <si>
    <t>Fiji</t>
  </si>
  <si>
    <t>French Polynesia</t>
  </si>
  <si>
    <t>Gabon</t>
  </si>
  <si>
    <t>Gambia</t>
  </si>
  <si>
    <t>Georgia</t>
  </si>
  <si>
    <t>Ghana</t>
  </si>
  <si>
    <t>Gibraltar</t>
  </si>
  <si>
    <t>Greenland</t>
  </si>
  <si>
    <t>Grenada</t>
  </si>
  <si>
    <t>Guadeloupe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</si>
  <si>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</si>
  <si>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</si>
  <si>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</si>
  <si>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</si>
  <si>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</si>
  <si>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</si>
  <si>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</si>
  <si>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</si>
  <si>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Iraq</t>
  </si>
  <si>
    <t>Ireland, Republic of</t>
  </si>
  <si>
    <t>Jamaica</t>
  </si>
  <si>
    <t>Kazakhstan</t>
  </si>
  <si>
    <t>Kenya</t>
  </si>
  <si>
    <t>Kiribati</t>
  </si>
  <si>
    <t>Korea (North)</t>
  </si>
  <si>
    <t>Korea (South)</t>
  </si>
  <si>
    <t>Kyrgyzstan</t>
  </si>
  <si>
    <t>Laos</t>
  </si>
  <si>
    <t>Latvia</t>
  </si>
  <si>
    <t>Lebanon</t>
  </si>
  <si>
    <t>Lesotho</t>
  </si>
  <si>
    <t>Liberia</t>
  </si>
  <si>
    <t>Libyan Arab Jamahira</t>
  </si>
  <si>
    <t>Liechtenstein</t>
  </si>
  <si>
    <t>Lithuania</t>
  </si>
  <si>
    <t>Macau</t>
  </si>
  <si>
    <t>Macedonia</t>
  </si>
  <si>
    <t>Madagascar</t>
  </si>
  <si>
    <t>Malawi</t>
  </si>
  <si>
    <t>Maldives</t>
  </si>
  <si>
    <t>Mali</t>
  </si>
  <si>
    <t>Malta</t>
  </si>
  <si>
    <t>Marshall Islands</t>
  </si>
  <si>
    <t>Martinique</t>
  </si>
  <si>
    <t>Mauritania</t>
  </si>
  <si>
    <t>Mauritius</t>
  </si>
  <si>
    <t>Micronesia, Fed. Sta</t>
  </si>
  <si>
    <t>Moldova</t>
  </si>
  <si>
    <t>Monaco</t>
  </si>
  <si>
    <t>Mongolia</t>
  </si>
  <si>
    <t>Montenegro, Rep</t>
  </si>
  <si>
    <t>Montserrat</t>
  </si>
  <si>
    <t>Morocco</t>
  </si>
  <si>
    <t>Mozambique</t>
  </si>
  <si>
    <t>Namibia</t>
  </si>
  <si>
    <t>New Caledonia</t>
  </si>
  <si>
    <t>Nicaragua</t>
  </si>
  <si>
    <t>Nieu</t>
  </si>
  <si>
    <t>Niger</t>
  </si>
  <si>
    <t>Northern Mariana Islands</t>
  </si>
  <si>
    <t>Oman</t>
  </si>
  <si>
    <t>Palau</t>
  </si>
  <si>
    <t>Panama, Republic of</t>
  </si>
  <si>
    <t>Paraguay</t>
  </si>
  <si>
    <t>Pohnpei State</t>
  </si>
  <si>
    <t>Puerto Rico</t>
  </si>
  <si>
    <t>Qatar</t>
  </si>
  <si>
    <t>Reunion</t>
  </si>
  <si>
    <t>Romania</t>
  </si>
  <si>
    <t>Russian Federation</t>
  </si>
  <si>
    <t>Rwanda</t>
  </si>
  <si>
    <t>Saba</t>
  </si>
  <si>
    <t>Samoa (American)</t>
  </si>
  <si>
    <t>Samoa (Western)</t>
  </si>
  <si>
    <t>San Marino</t>
  </si>
  <si>
    <t>Sao Tome and Pricipe</t>
  </si>
  <si>
    <t>Senegal</t>
  </si>
  <si>
    <t>Serbia, Rep</t>
  </si>
  <si>
    <t>Seychelles Islands</t>
  </si>
  <si>
    <t>Sierra Leone</t>
  </si>
  <si>
    <t>Slovakia</t>
  </si>
  <si>
    <t>Slovenia</t>
  </si>
  <si>
    <t>Solomon Islands</t>
  </si>
  <si>
    <t>Somalia</t>
  </si>
  <si>
    <t>St. Eustatius</t>
  </si>
  <si>
    <t>St. Kitts and Nevis</t>
  </si>
  <si>
    <t>St. Lucia</t>
  </si>
  <si>
    <t>St. Marten</t>
  </si>
  <si>
    <t xml:space="preserve">St. Vincent &amp; Grenae </t>
  </si>
  <si>
    <t>Sudan</t>
  </si>
  <si>
    <t>Suriname</t>
  </si>
  <si>
    <t xml:space="preserve">Swaziland </t>
  </si>
  <si>
    <t>Syrian Arab Republic</t>
  </si>
  <si>
    <t>Tajikistan</t>
  </si>
  <si>
    <t>Togo</t>
  </si>
  <si>
    <t>Tonga</t>
  </si>
  <si>
    <t>Trinidad and Tobago</t>
  </si>
  <si>
    <t>Truk State</t>
  </si>
  <si>
    <t>Tunisia</t>
  </si>
  <si>
    <t>Turkey</t>
  </si>
  <si>
    <t>Turks and Caicos Island</t>
  </si>
  <si>
    <t>Tuvalu</t>
  </si>
  <si>
    <t>U.S.A.</t>
  </si>
  <si>
    <t>Uganda</t>
  </si>
  <si>
    <t>United Rep Tanzania</t>
  </si>
  <si>
    <t>Uruguay</t>
  </si>
  <si>
    <t>Vanuatu</t>
  </si>
  <si>
    <t>Virgin Island, British</t>
  </si>
  <si>
    <t>Virgin Island, U.S.</t>
  </si>
  <si>
    <t>Yap State</t>
  </si>
  <si>
    <t>Yemen Arab Republic</t>
  </si>
  <si>
    <t>Yugoslavia</t>
  </si>
  <si>
    <t>Zaire</t>
  </si>
  <si>
    <t>Zambia</t>
  </si>
  <si>
    <t>Zimbabwe</t>
  </si>
  <si>
    <t>Ukraine</t>
    <phoneticPr fontId="18"/>
  </si>
  <si>
    <t>Uzbekistan</t>
    <phoneticPr fontId="18"/>
  </si>
  <si>
    <t>Overseas Filipinos</t>
    <phoneticPr fontId="18"/>
  </si>
  <si>
    <t>(12)</t>
    <phoneticPr fontId="18"/>
  </si>
  <si>
    <t>Province All</t>
  </si>
  <si>
    <t>Abra</t>
  </si>
  <si>
    <t>Agusan del Norte</t>
  </si>
  <si>
    <t>Agusan del Sur</t>
  </si>
  <si>
    <t>Aklan</t>
  </si>
  <si>
    <t>Albay</t>
  </si>
  <si>
    <t>Antique</t>
  </si>
  <si>
    <t>Apayao</t>
  </si>
  <si>
    <t>Aurora</t>
  </si>
  <si>
    <t>Basilan</t>
  </si>
  <si>
    <t>Bataan</t>
  </si>
  <si>
    <t>Batanes</t>
  </si>
  <si>
    <t>Batangas</t>
  </si>
  <si>
    <t>Benguet</t>
  </si>
  <si>
    <t>Biliran</t>
  </si>
  <si>
    <t>Bohol</t>
  </si>
  <si>
    <t>Bukidnon</t>
  </si>
  <si>
    <t>Bulacan</t>
  </si>
  <si>
    <t>Cagayan</t>
  </si>
  <si>
    <t>Camarines Norte</t>
  </si>
  <si>
    <t>Camarines Sur</t>
  </si>
  <si>
    <t>Camiguin</t>
  </si>
  <si>
    <t>Capiz</t>
  </si>
  <si>
    <t>Catanduanes</t>
  </si>
  <si>
    <t>Cavite</t>
  </si>
  <si>
    <t>Cebu</t>
  </si>
  <si>
    <t>Compostela Valley</t>
  </si>
  <si>
    <t>Davao Del Norte</t>
  </si>
  <si>
    <t>Davao Del Sur</t>
  </si>
  <si>
    <t>Davao Oriental</t>
  </si>
  <si>
    <t>Eastern Samar</t>
  </si>
  <si>
    <t>Guimaras</t>
  </si>
  <si>
    <t>Ifugao</t>
  </si>
  <si>
    <t>Ilocos Norte</t>
  </si>
  <si>
    <t>Ilocos Sur</t>
  </si>
  <si>
    <t>Iloilo</t>
  </si>
  <si>
    <t>Isabela</t>
  </si>
  <si>
    <t>Kalinga</t>
  </si>
  <si>
    <t>La Union</t>
  </si>
  <si>
    <t>Laguna</t>
  </si>
  <si>
    <t>Lanao Del Norte</t>
  </si>
  <si>
    <t>Lanao Del Sur</t>
  </si>
  <si>
    <t>Leyte</t>
  </si>
  <si>
    <t>Marinduque</t>
  </si>
  <si>
    <t>Masbate</t>
  </si>
  <si>
    <t>Metropolitan Manila</t>
  </si>
  <si>
    <t>Misamis Occidental</t>
  </si>
  <si>
    <t>Misamis Oriental</t>
  </si>
  <si>
    <t>Mountain Province</t>
  </si>
  <si>
    <t>Negros Occidental</t>
  </si>
  <si>
    <t>Negros Oriental</t>
  </si>
  <si>
    <t>North Cotabato</t>
  </si>
  <si>
    <t>Northern Samar</t>
  </si>
  <si>
    <t>Nueva Ecija</t>
  </si>
  <si>
    <t>Nueva Vizcaya</t>
  </si>
  <si>
    <t>Occidental Mindoro</t>
  </si>
  <si>
    <t>Oriental Mindoro</t>
  </si>
  <si>
    <t>Palawan</t>
  </si>
  <si>
    <t>Pampanga</t>
  </si>
  <si>
    <t>Pangasinan</t>
  </si>
  <si>
    <t>Quezon</t>
  </si>
  <si>
    <t>Quirino</t>
  </si>
  <si>
    <t>Rizal</t>
  </si>
  <si>
    <t>Romblon</t>
  </si>
  <si>
    <t>Samar</t>
  </si>
  <si>
    <t>Sarangani</t>
  </si>
  <si>
    <t>Siquijor</t>
  </si>
  <si>
    <t>Sorsogon</t>
  </si>
  <si>
    <t>South Cotabato</t>
  </si>
  <si>
    <t>Southern Leyte</t>
  </si>
  <si>
    <t>Sultan Kudarat</t>
  </si>
  <si>
    <t>Sulu</t>
  </si>
  <si>
    <t>Surigao Del Norte</t>
  </si>
  <si>
    <t>Surigao Del Sur</t>
  </si>
  <si>
    <t>Tarlac</t>
  </si>
  <si>
    <t>Tawi-Tawi</t>
  </si>
  <si>
    <t>Zambales</t>
  </si>
  <si>
    <t>Zamboanga Del Norte</t>
  </si>
  <si>
    <t>Zamboanga Del Sur</t>
  </si>
  <si>
    <t>Zamboanga Sibugay</t>
  </si>
  <si>
    <t>Number of Guests
(Guest Nights)</t>
  </si>
  <si>
    <t>Domestic Guest Arrival</t>
  </si>
  <si>
    <t>Foreign Guest Arrival</t>
  </si>
  <si>
    <t>Overseas Filipinos Arrival</t>
  </si>
  <si>
    <t>Unknown/Unspecified Guest Arrival</t>
  </si>
  <si>
    <t>REPORT ON THE REGIONAL DISTRIBUTION OF TRAVELERS</t>
  </si>
  <si>
    <t>COUNTRY OF RESIDENCE</t>
  </si>
  <si>
    <t>PHILIPPINE RESIDENTS</t>
  </si>
  <si>
    <t xml:space="preserve">   FILIPINO NATIONALITY</t>
  </si>
  <si>
    <t xml:space="preserve">   FOREIGN NATIONALITY</t>
  </si>
  <si>
    <t>TOTAL PHILIPPINE RESIDENTS</t>
  </si>
  <si>
    <t>NON-PHILIPPINE RESIDENTS</t>
  </si>
  <si>
    <t>ASIA</t>
  </si>
  <si>
    <t xml:space="preserve">   ASEAN</t>
  </si>
  <si>
    <t xml:space="preserve">       BRUNEI</t>
  </si>
  <si>
    <t xml:space="preserve">       CAMBODIA</t>
  </si>
  <si>
    <t xml:space="preserve">       INDONESIA</t>
  </si>
  <si>
    <t xml:space="preserve">       LAOS</t>
  </si>
  <si>
    <t xml:space="preserve">       MALAYSIA</t>
  </si>
  <si>
    <t xml:space="preserve">       MYANMAR</t>
  </si>
  <si>
    <t xml:space="preserve">       SINGAPORE</t>
  </si>
  <si>
    <t xml:space="preserve">       THAILAND</t>
  </si>
  <si>
    <t xml:space="preserve">       VIETNAM</t>
  </si>
  <si>
    <t xml:space="preserve">                 SUB-TOTAL</t>
  </si>
  <si>
    <t xml:space="preserve">   EAST ASIA</t>
  </si>
  <si>
    <t xml:space="preserve">       CHINA</t>
  </si>
  <si>
    <t xml:space="preserve">       HONGKONG</t>
  </si>
  <si>
    <t xml:space="preserve">       JAPAN</t>
  </si>
  <si>
    <t xml:space="preserve">       KOREA</t>
  </si>
  <si>
    <t xml:space="preserve">       TAIWAN</t>
  </si>
  <si>
    <t xml:space="preserve">                SUB-TOTAL</t>
  </si>
  <si>
    <t xml:space="preserve">   SOUTH ASIA</t>
  </si>
  <si>
    <t xml:space="preserve">       BANGLADESH</t>
  </si>
  <si>
    <t xml:space="preserve">       INDIA</t>
  </si>
  <si>
    <t xml:space="preserve">       IRAN</t>
  </si>
  <si>
    <t xml:space="preserve">       NEPAL</t>
  </si>
  <si>
    <t xml:space="preserve">       PAKISTAN</t>
  </si>
  <si>
    <t xml:space="preserve">       SRI LANKA</t>
  </si>
  <si>
    <t xml:space="preserve">   MIDDLE EAST</t>
  </si>
  <si>
    <t xml:space="preserve">       BAHRAIN</t>
  </si>
  <si>
    <t xml:space="preserve">       EGYPT</t>
  </si>
  <si>
    <t xml:space="preserve">       ISRAEL</t>
  </si>
  <si>
    <t xml:space="preserve">       JORDAN</t>
  </si>
  <si>
    <t xml:space="preserve">       KUWAIT</t>
  </si>
  <si>
    <t xml:space="preserve">       SAUDI ARABIA</t>
  </si>
  <si>
    <t xml:space="preserve">      UNITED ARAB EMIRATES</t>
  </si>
  <si>
    <t>AMERICA</t>
  </si>
  <si>
    <t xml:space="preserve">   NORTH AMERICA</t>
  </si>
  <si>
    <t xml:space="preserve">       CANADA</t>
  </si>
  <si>
    <t xml:space="preserve">       MEXICO</t>
  </si>
  <si>
    <t xml:space="preserve">       USA</t>
  </si>
  <si>
    <t xml:space="preserve">   SOUTH AMERICA</t>
  </si>
  <si>
    <t xml:space="preserve">       ARGENTINA</t>
  </si>
  <si>
    <t xml:space="preserve">       BRAZIL</t>
  </si>
  <si>
    <t xml:space="preserve">       COLOMBIA</t>
  </si>
  <si>
    <t xml:space="preserve">       PERU</t>
  </si>
  <si>
    <t xml:space="preserve">       VENEZUELA</t>
  </si>
  <si>
    <t>EUROPE</t>
  </si>
  <si>
    <t xml:space="preserve">   WESTERN EUROPE</t>
  </si>
  <si>
    <t xml:space="preserve">       AUSTRIA</t>
  </si>
  <si>
    <t xml:space="preserve">       BELGIUM</t>
  </si>
  <si>
    <t xml:space="preserve">       FRANCE</t>
  </si>
  <si>
    <t xml:space="preserve">       GERMANY</t>
  </si>
  <si>
    <t xml:space="preserve">       LUXEMBOURG</t>
  </si>
  <si>
    <t xml:space="preserve">       NETHERLANDS</t>
  </si>
  <si>
    <t xml:space="preserve">       SWITZERLAND</t>
  </si>
  <si>
    <t xml:space="preserve">   NORTHERN EUROPE</t>
  </si>
  <si>
    <t xml:space="preserve">       DENMARK</t>
  </si>
  <si>
    <t xml:space="preserve">       FINLAND</t>
  </si>
  <si>
    <t xml:space="preserve">       IRELAND</t>
  </si>
  <si>
    <t xml:space="preserve">       NORWAY</t>
  </si>
  <si>
    <t xml:space="preserve">       SWEDEN </t>
  </si>
  <si>
    <t xml:space="preserve">       UNITED KINGDOM</t>
  </si>
  <si>
    <t xml:space="preserve">   SOUTHERN EUROPE</t>
  </si>
  <si>
    <t xml:space="preserve">       GREECE</t>
  </si>
  <si>
    <t xml:space="preserve">       ITALY</t>
  </si>
  <si>
    <t xml:space="preserve">       PORTUGAL</t>
  </si>
  <si>
    <t xml:space="preserve">       SPAIN</t>
  </si>
  <si>
    <t xml:space="preserve">       UNION OF SERBIA AND MONTENEGRO</t>
  </si>
  <si>
    <t xml:space="preserve">   EASTERN EUROPE</t>
  </si>
  <si>
    <t xml:space="preserve">       COMMONWEALTH OF INDEPENDENT STATES </t>
  </si>
  <si>
    <t xml:space="preserve">       POLAND</t>
  </si>
  <si>
    <t xml:space="preserve">       RUSSIA</t>
  </si>
  <si>
    <t>AUSTRALASIA/PACIFIC</t>
  </si>
  <si>
    <t xml:space="preserve">       AUSTRALIA</t>
  </si>
  <si>
    <t xml:space="preserve">       GUAM</t>
  </si>
  <si>
    <t xml:space="preserve">       NAURU</t>
  </si>
  <si>
    <t xml:space="preserve">       NEW ZEALAND</t>
  </si>
  <si>
    <t xml:space="preserve">       PAPUA NEW GUINEA</t>
  </si>
  <si>
    <t>AFRICA</t>
  </si>
  <si>
    <t xml:space="preserve">       NIGERIA</t>
  </si>
  <si>
    <t xml:space="preserve">       SOUTH AFRICA</t>
  </si>
  <si>
    <t xml:space="preserve">OTHERS AND UNSPECIFIED </t>
  </si>
  <si>
    <t>TOTAL NON-PHILIPPINE RESIDENTS</t>
  </si>
  <si>
    <t>OVERSEAS FILIPINOS*</t>
  </si>
  <si>
    <t>GRAND TOTAL GUEST ARRIVALS</t>
  </si>
  <si>
    <t xml:space="preserve">   Total Philippine Residents</t>
  </si>
  <si>
    <t xml:space="preserve">   Total Non-Philippine Residents</t>
  </si>
  <si>
    <t xml:space="preserve">   Total Overseas Filipinos</t>
  </si>
  <si>
    <t>* Philippine passport holders permanently residing abroad; excludes overseas Filipino workers</t>
  </si>
  <si>
    <t xml:space="preserve">Prepared by:            ____________________________________                         </t>
  </si>
  <si>
    <t xml:space="preserve">                                           Signature over Printed Name                                                    </t>
  </si>
  <si>
    <t xml:space="preserve">                              _____________________________________</t>
  </si>
  <si>
    <t xml:space="preserve">                                                Position/Designation                                        </t>
  </si>
  <si>
    <t>Philippines (Filipino)</t>
  </si>
  <si>
    <t>Philippines (Foreign Nationality)</t>
  </si>
  <si>
    <t>Number of guests in Previous Day 
(Last day of the previous month)</t>
  </si>
  <si>
    <t>Total</t>
  </si>
  <si>
    <t>Specified Foreign Guests</t>
  </si>
  <si>
    <t>Kyrgystan</t>
  </si>
  <si>
    <t>Turkmenistan</t>
  </si>
  <si>
    <t>Ukraine</t>
  </si>
  <si>
    <t>Uzbekistan</t>
  </si>
  <si>
    <t>Russia</t>
  </si>
  <si>
    <t>Turkministan</t>
  </si>
  <si>
    <t>Commonwealth of I. S.</t>
  </si>
  <si>
    <t>FOREIGN RESIDENCES</t>
  </si>
  <si>
    <t xml:space="preserve">   Total Guests with Unspecified Residence</t>
  </si>
  <si>
    <r>
      <t>7</t>
    </r>
    <r>
      <rPr>
        <sz val="8"/>
        <rFont val="Arial Narrow"/>
        <family val="2"/>
      </rPr>
      <t>.
Number of rooms occupied</t>
    </r>
  </si>
  <si>
    <t>Average Number of Guest per Room</t>
  </si>
  <si>
    <t>Average Length of Stay (Ave. Guest Nights)</t>
  </si>
  <si>
    <t>Year)</t>
    <phoneticPr fontId="18"/>
  </si>
  <si>
    <t xml:space="preserve">(Month, </t>
    <phoneticPr fontId="18"/>
  </si>
  <si>
    <t xml:space="preserve">City/Municipality: </t>
    <phoneticPr fontId="18"/>
  </si>
  <si>
    <t>Total Sales of the Month:</t>
  </si>
  <si>
    <t xml:space="preserve">AE Type: </t>
  </si>
  <si>
    <t xml:space="preserve">AE ID Code (LGU Assigned): </t>
  </si>
  <si>
    <t>DAE-1B (Sum)</t>
  </si>
  <si>
    <t>AE Type</t>
  </si>
  <si>
    <t>Average Visitor Days</t>
  </si>
  <si>
    <t>Total Number of Rooms:</t>
  </si>
  <si>
    <t>AE Type:</t>
  </si>
  <si>
    <t>Dinagat Islands</t>
  </si>
  <si>
    <t>City / Municipality</t>
  </si>
  <si>
    <t>Name of AE:</t>
  </si>
  <si>
    <t>Angeles City</t>
  </si>
  <si>
    <t>Antipolo City</t>
  </si>
  <si>
    <t>Bacolod City</t>
  </si>
  <si>
    <t>Baguio City</t>
  </si>
  <si>
    <t>Butuan City</t>
  </si>
  <si>
    <t>Cagayan de Oro City</t>
  </si>
  <si>
    <t>Caloocan City</t>
  </si>
  <si>
    <t>Cebu City</t>
  </si>
  <si>
    <t>Cotabato City</t>
  </si>
  <si>
    <t>Dagupan City</t>
  </si>
  <si>
    <t>Davao City</t>
  </si>
  <si>
    <t>General Santos City</t>
  </si>
  <si>
    <t>Iligan City</t>
  </si>
  <si>
    <t>Iloilo City</t>
  </si>
  <si>
    <t>Isabela City</t>
  </si>
  <si>
    <t>Lapu-lapu City</t>
  </si>
  <si>
    <t>Las Piñas City</t>
  </si>
  <si>
    <t>Lucena City</t>
  </si>
  <si>
    <t>Makati City</t>
  </si>
  <si>
    <t>Malabon City</t>
  </si>
  <si>
    <t>Mandaluyong City</t>
  </si>
  <si>
    <t>Mandaue City</t>
  </si>
  <si>
    <t>Manila</t>
  </si>
  <si>
    <t>Marikina City</t>
  </si>
  <si>
    <t>Muntinlupa City</t>
  </si>
  <si>
    <t>Naga City</t>
  </si>
  <si>
    <t>Olongapo City</t>
  </si>
  <si>
    <t>Ormoc City</t>
  </si>
  <si>
    <t>Paranaque City</t>
  </si>
  <si>
    <t>Pasay City</t>
  </si>
  <si>
    <t>Pasig City</t>
  </si>
  <si>
    <t>Pateros</t>
  </si>
  <si>
    <t>Puerto Princesa City</t>
  </si>
  <si>
    <t>Quezon City</t>
  </si>
  <si>
    <t>San Juan City</t>
  </si>
  <si>
    <t>Santiago City</t>
  </si>
  <si>
    <t>Tacloban City</t>
  </si>
  <si>
    <t>Taguig City</t>
  </si>
  <si>
    <t>Valenzuela City</t>
  </si>
  <si>
    <t>Zamboanga City</t>
  </si>
  <si>
    <t>Province / HUC/ICC:</t>
  </si>
  <si>
    <t xml:space="preserve">Province / HUC/ICC: </t>
  </si>
  <si>
    <t>Name of Province / HUC/ICC:</t>
  </si>
  <si>
    <t>Name of Municipality/City:</t>
  </si>
  <si>
    <t>Name of Establishment:</t>
  </si>
  <si>
    <t>Navotas City</t>
  </si>
  <si>
    <t>(13)</t>
  </si>
  <si>
    <t>Foreign Guest Nights</t>
  </si>
  <si>
    <t>Overseas Filipinos Guest Nights</t>
  </si>
  <si>
    <t>(14)</t>
  </si>
  <si>
    <t>(15)</t>
  </si>
  <si>
    <t>Unknown/Unspecified Guest Nights</t>
  </si>
  <si>
    <t>(16)</t>
  </si>
  <si>
    <t>Overall Average Length of Stay</t>
  </si>
  <si>
    <t>(17)</t>
  </si>
  <si>
    <t>Overall Average Persons per Room</t>
  </si>
  <si>
    <t>Domestic Guest Nights</t>
  </si>
  <si>
    <t>(18)</t>
  </si>
  <si>
    <t>Subtotal</t>
  </si>
  <si>
    <t>Grand Total</t>
  </si>
  <si>
    <t>Put a check-mark if it's the day the guest(s) checked-in.</t>
  </si>
  <si>
    <t>Charges (B):</t>
  </si>
  <si>
    <t>Charges (A):</t>
  </si>
  <si>
    <t>Total (A)</t>
  </si>
  <si>
    <t>Total (B)</t>
  </si>
  <si>
    <t>Note:</t>
  </si>
  <si>
    <t>Form DAE - 2</t>
  </si>
  <si>
    <t>* (1) it is not necessary to disclose the name of the AE in the report if the AE does not want to disclose its name.</t>
  </si>
  <si>
    <t>** (8), (17) and (18) are important business performance indicators.</t>
  </si>
  <si>
    <t>*** When guest arrivals and guest nights is segrated according to residence [(9) to (16)], these numbers should be the ones reported and not just the total volume.</t>
  </si>
  <si>
    <t>TOTAL Guest Arrivals</t>
  </si>
  <si>
    <t>TOTAL Guest Nights</t>
  </si>
  <si>
    <t>ALOS</t>
  </si>
  <si>
    <t>(Region) NCR</t>
  </si>
  <si>
    <t>(Region) CAR</t>
  </si>
  <si>
    <t>(Region) 1 Ilocos</t>
  </si>
  <si>
    <t>(Region) 2 Cagayan</t>
  </si>
  <si>
    <t>(Region) 3  Central Luzon</t>
  </si>
  <si>
    <t>(Region) 4 CALABARZON</t>
  </si>
  <si>
    <t>(Region) 4 MIMAROPA</t>
  </si>
  <si>
    <t>(Region) 5 Bicol</t>
  </si>
  <si>
    <t>(Region) 6 Western Visayas</t>
  </si>
  <si>
    <t>(Region) 7 Central Visayas</t>
  </si>
  <si>
    <t>(Region) 8 Eastern Visayas</t>
  </si>
  <si>
    <t>(Region) 9 Zamboanga</t>
  </si>
  <si>
    <t>(Region) 10 Northern Mindanao</t>
  </si>
  <si>
    <t>(Region) 11 Davao</t>
  </si>
  <si>
    <t>(Region) 12 SOCCKSARGEN</t>
  </si>
  <si>
    <t>(Region) 13 CARAGA</t>
  </si>
  <si>
    <t>(Region) BARMM</t>
  </si>
  <si>
    <t>Davao Occidental</t>
  </si>
  <si>
    <t>Sex Disaggregation</t>
  </si>
  <si>
    <t>Female</t>
  </si>
  <si>
    <t>Male</t>
  </si>
  <si>
    <t>Validation</t>
  </si>
  <si>
    <t>Female Arrivals</t>
  </si>
  <si>
    <t>Male Arrivals</t>
  </si>
  <si>
    <t>Others/Unspecified Foreigner</t>
  </si>
  <si>
    <t>Others/Unspecified Guest</t>
  </si>
  <si>
    <t>Validation for Sex Disaggregation VS Total Guest  Arrival</t>
  </si>
  <si>
    <t>CIS</t>
  </si>
  <si>
    <t>=SUMIFS(DailyRecord!$E$15:$E$10000,DailyRecord!$D$15:$D$10000,"Commonwealth of I. S.",DailyRecord!$F$15:$F$10000,"Yes",DailyRecord!$O$15:$O$10000,YearMaster,DailyRecord!$P$15:$P$10000,MonthMaster)+SUMIFS(DailyRecord!$E$15:$E$10000,DailyRecord!$D$15:$D$10000,"Armenia",DailyRecord!$F$15:$F$10000,"Yes",DailyRecord!$O$15:$O$10000,YearMaster,DailyRecord!$P$15:$P$10000,MonthMaster)+SUMIFS(DailyRecord!$E$15:$E$10000,DailyRecord!$D$15:$D$10000,"Azerbaijan",DailyRecord!$F$15:$F$10000,"Yes",DailyRecord!$O$15:$O$10000,YearMaster,DailyRecord!$P$15:$P$10000,MonthMaster)+SUMIFS(DailyRecord!$E$15:$E$10000,DailyRecord!$D$15:$D$10000,"Belarus",DailyRecord!$F$15:$F$10000,"Yes",DailyRecord!$O$15:$O$10000,YearMaster,DailyRecord!$P$15:$P$10000,MonthMaster)+SUMIFS(DailyRecord!$E$15:$E$10000,DailyRecord!$D$15:$D$10000,"Estonia",DailyRecord!$F$15:$F$10000,"Yes",DailyRecord!$O$15:$O$10000,YearMaster,DailyRecord!$P$15:$P$10000,MonthMaster)+SUMIFS(DailyRecord!$E$15:$E$10000,DailyRecord!$D$15:$D$10000,"Ukraine",DailyRecord!$F$15:$F$10000,"Yes",DailyRecord!$O$15:$O$10000,YearMaster,DailyRecord!$P$15:$P$10000,MonthMaster)+SUMIFS(DailyRecord!$E$15:$E$10000,DailyRecord!$D$15:$D$10000,"Uzbekistan",DailyRecord!$F$15:$F$10000,"Yes",DailyRecord!$O$15:$O$10000,YearMaster,DailyRecord!$P$15:$P$10000,MonthMaster)+SUMIFS(DailyRecord!$E$15:$E$10000,DailyRecord!$D$15:$D$10000,"Georgia",DailyRecord!$F$15:$F$10000,"Yes",DailyRecord!$O$15:$O$10000,YearMaster,DailyRecord!$P$15:$P$10000,MonthMaster)+SUMIFS(DailyRecord!$E$15:$E$10000,DailyRecord!$D$15:$D$10000,"Kazakhstan",DailyRecord!$F$15:$F$10000,"Yes",DailyRecord!$O$15:$O$10000,YearMaster,DailyRecord!$P$15:$P$10000,MonthMaster)+SUMIFS(DailyRecord!$E$15:$E$10000,DailyRecord!$D$15:$D$10000,"Kyrgystan",DailyRecord!$F$15:$F$10000,"Yes",DailyRecord!$O$15:$O$10000,YearMaster,DailyRecord!$P$15:$P$10000,MonthMaster)+SUMIFS(DailyRecord!$E$15:$E$10000,DailyRecord!$D$15:$D$10000,"Latvia",DailyRecord!$F$15:$F$10000,"Yes",DailyRecord!$O$15:$O$10000,YearMaster,DailyRecord!$P$15:$P$10000,MonthMaster)+SUMIFS(DailyRecord!$E$15:$E$10000,DailyRecord!$D$15:$D$10000,"Moldova",DailyRecord!$F$15:$F$10000,"Yes",DailyRecord!$O$15:$O$10000,YearMaster,DailyRecord!$P$15:$P$10000,MonthMaster)+SUMIFS(DailyRecord!$E$15:$E$10000,DailyRecord!$D$15:$D$10000,"Tajikistan",DailyRecord!$F$15:$F$10000,"Yes",DailyRecord!$O$15:$O$10000,YearMaster,DailyRecord!$P$15:$P$10000,MonthMaster)+SUMIFS(DailyRecord!$E$15:$E$10000,DailyRecord!$D$15:$D$10000,"Turkmenistan",DailyRecord!$F$15:$F$10000,"Yes",DailyRecord!$O$15:$O$10000,YearMaster,DailyRecord!$P$15:$P$10000,MonthMaster)</t>
  </si>
  <si>
    <t>GA</t>
  </si>
  <si>
    <t>GN</t>
  </si>
  <si>
    <t>=SUMIFS(DailyRecord!$R$15:$R$10000,DailyRecord!$D$15:$D$10000,"Commonwealth of I. S.",DailyRecord!$F$15:$F$10000,"Yes",DailyRecord!$O$15:$O$10000,YearMaster,DailyRecord!$P$15:$P$10000,MonthMaster)+SUMIFS(DailyRecord!$R$15:$R$10000,DailyRecord!$D$15:$D$10000,"Armenia",DailyRecord!$F$15:$F$10000,"Yes",DailyRecord!$O$15:$O$10000,YearMaster,DailyRecord!$P$15:$P$10000,MonthMaster)+SUMIFS(DailyRecord!$R$15:$R$10000,DailyRecord!$D$15:$D$10000,"Azerbaijan",DailyRecord!$F$15:$F$10000,"Yes",DailyRecord!$O$15:$O$10000,YearMaster,DailyRecord!$P$15:$P$10000,MonthMaster)+SUMIFS(DailyRecord!$R$15:$R$10000,DailyRecord!$D$15:$D$10000,"Belarus",DailyRecord!$F$15:$F$10000,"Yes",DailyRecord!$O$15:$O$10000,YearMaster,DailyRecord!$P$15:$P$10000,MonthMaster)+SUMIFS(DailyRecord!$R$15:$R$10000,DailyRecord!$D$15:$D$10000,"Estonia",DailyRecord!$F$15:$F$10000,"Yes",DailyRecord!$O$15:$O$10000,YearMaster,DailyRecord!$P$15:$P$10000,MonthMaster)+SUMIFS(DailyRecord!$R$15:$R$10000,DailyRecord!$D$15:$D$10000,"Ukraine",DailyRecord!$F$15:$F$10000,"Yes",DailyRecord!$O$15:$O$10000,YearMaster,DailyRecord!$P$15:$P$10000,MonthMaster)+SUMIFS(DailyRecord!$R$15:$R$10000,DailyRecord!$D$15:$D$10000,"Uzbekistan",DailyRecord!$F$15:$F$10000,"Yes",DailyRecord!$O$15:$O$10000,YearMaster,DailyRecord!$P$15:$P$10000,MonthMaster)+SUMIFS(DailyRecord!$R$15:$R$10000,DailyRecord!$D$15:$D$10000,"Georgia",DailyRecord!$F$15:$F$10000,"Yes",DailyRecord!$O$15:$O$10000,YearMaster,DailyRecord!$P$15:$P$10000,MonthMaster)+SUMIFS(DailyRecord!$R$15:$R$10000,DailyRecord!$D$15:$D$10000,"Kazakhstan",DailyRecord!$F$15:$F$10000,"Yes",DailyRecord!$O$15:$O$10000,YearMaster,DailyRecord!$P$15:$P$10000,MonthMaster)+SUMIFS(DailyRecord!$R$15:$R$10000,DailyRecord!$D$15:$D$10000,"Kyrgystan",DailyRecord!$F$15:$F$10000,"Yes",DailyRecord!$O$15:$O$10000,YearMaster,DailyRecord!$P$15:$P$10000,MonthMaster)+SUMIFS(DailyRecord!$R$15:$R$10000,DailyRecord!$D$15:$D$10000,"Latvia",DailyRecord!$F$15:$F$10000,"Yes",DailyRecord!$O$15:$O$10000,YearMaster,DailyRecord!$P$15:$P$10000,MonthMaster)+SUMIFS(DailyRecord!$R$15:$R$10000,DailyRecord!$D$15:$D$10000,"Moldova",DailyRecord!$F$15:$F$10000,"Yes",DailyRecord!$O$15:$O$10000,YearMaster,DailyRecord!$P$15:$P$10000,MonthMaster)+SUMIFS(DailyRecord!$R$15:$R$10000,DailyRecord!$D$15:$D$10000,"Tajikistan",DailyRecord!$F$15:$F$10000,"Yes",DailyRecord!$O$15:$O$10000,YearMaster,DailyRecord!$P$15:$P$10000,MonthMaster)+SUMIFS(DailyRecord!$R$15:$R$10000,DailyRecord!$D$15:$D$10000,"Turkmenistan",DailyRecord!$F$15:$F$10000,"Yes",DailyRecord!$O$15:$O$10000,YearMaster,DailyRecord!$P$15:$P$10000,MonthMaster)</t>
  </si>
  <si>
    <t>=SUMIFS(DailyRecord!$S$15:$S$10000,DailyRecord!$D$15:$D$10000,"Commonwealth of I. S.",DailyRecord!$F$15:$F$10000,"Yes",DailyRecord!$O$15:$O$10000,YearMaster,DailyRecord!$P$15:$P$10000,MonthMaster)+SUMIFS(DailyRecord!$S$15:$S$10000,DailyRecord!$D$15:$D$10000,"Armenia",DailyRecord!$F$15:$F$10000,"Yes",DailyRecord!$O$15:$O$10000,YearMaster,DailyRecord!$P$15:$P$10000,MonthMaster)+SUMIFS(DailyRecord!$S$15:$S$10000,DailyRecord!$D$15:$D$10000,"Azerbaijan",DailyRecord!$F$15:$F$10000,"Yes",DailyRecord!$O$15:$O$10000,YearMaster,DailyRecord!$P$15:$P$10000,MonthMaster)+SUMIFS(DailyRecord!$S$15:$S$10000,DailyRecord!$D$15:$D$10000,"Belarus",DailyRecord!$F$15:$F$10000,"Yes",DailyRecord!$O$15:$O$10000,YearMaster,DailyRecord!$P$15:$P$10000,MonthMaster)+SUMIFS(DailyRecord!$S$15:$S$10000,DailyRecord!$D$15:$D$10000,"Estonia",DailyRecord!$F$15:$F$10000,"Yes",DailyRecord!$O$15:$O$10000,YearMaster,DailyRecord!$P$15:$P$10000,MonthMaster)+SUMIFS(DailyRecord!$S$15:$S$10000,DailyRecord!$D$15:$D$10000,"Ukraine",DailyRecord!$F$15:$F$10000,"Yes",DailyRecord!$O$15:$O$10000,YearMaster,DailyRecord!$P$15:$P$10000,MonthMaster)+SUMIFS(DailyRecord!$S$15:$S$10000,DailyRecord!$D$15:$D$10000,"Uzbekistan",DailyRecord!$F$15:$F$10000,"Yes",DailyRecord!$O$15:$O$10000,YearMaster,DailyRecord!$P$15:$P$10000,MonthMaster)+SUMIFS(DailyRecord!$S$15:$S$10000,DailyRecord!$D$15:$D$10000,"Georgia",DailyRecord!$F$15:$F$10000,"Yes",DailyRecord!$O$15:$O$10000,YearMaster,DailyRecord!$P$15:$P$10000,MonthMaster)+SUMIFS(DailyRecord!$S$15:$S$10000,DailyRecord!$D$15:$D$10000,"Kazakhstan",DailyRecord!$F$15:$F$10000,"Yes",DailyRecord!$O$15:$O$10000,YearMaster,DailyRecord!$P$15:$P$10000,MonthMaster)+SUMIFS(DailyRecord!$S$15:$S$10000,DailyRecord!$D$15:$D$10000,"Kyrgystan",DailyRecord!$F$15:$F$10000,"Yes",DailyRecord!$O$15:$O$10000,YearMaster,DailyRecord!$P$15:$P$10000,MonthMaster)+SUMIFS(DailyRecord!$S$15:$S$10000,DailyRecord!$D$15:$D$10000,"Latvia",DailyRecord!$F$15:$F$10000,"Yes",DailyRecord!$O$15:$O$10000,YearMaster,DailyRecord!$P$15:$P$10000,MonthMaster)+SUMIFS(DailyRecord!$S$15:$S$10000,DailyRecord!$D$15:$D$10000,"Moldova",DailyRecord!$F$15:$F$10000,"Yes",DailyRecord!$O$15:$O$10000,YearMaster,DailyRecord!$P$15:$P$10000,MonthMaster)+SUMIFS(DailyRecord!$S$15:$S$10000,DailyRecord!$D$15:$D$10000,"Tajikistan",DailyRecord!$F$15:$F$10000,"Yes",DailyRecord!$O$15:$O$10000,YearMaster,DailyRecord!$P$15:$P$10000,MonthMaster)+SUMIFS(DailyRecord!$S$15:$S$10000,DailyRecord!$D$15:$D$10000,"Turkmenistan",DailyRecord!$F$15:$F$10000,"Yes",DailyRecord!$O$15:$O$10000,YearMaster,DailyRecord!$P$15:$P$10000,MonthMaster)</t>
  </si>
  <si>
    <t>Other Countries</t>
  </si>
  <si>
    <t>=SUMIFS(DailyRecord!$E$15:$E$10000,DailyRecord!$D$15:$D$10000,"",DailyRecord!$F$15:$F$10000,"Yes",DailyRecord!$O$15:$O$10000,YearMaster,DailyRecord!$P$15:$P$10000,MonthMaster)+SUMIFS(DailyRecord!$E$15:$E$10000,DailyRecord!$D$15:$D$10000,"Others/Unspecified Foreigner",DailyRecord!$F$15:$F$10000,"Yes",DailyRecord!$O$15:$O$10000,YearMaster,DailyRecord!$P$15:$P$10000,MonthMaster)</t>
  </si>
  <si>
    <t>=SUMIFS(DailyRecord!$E$15:$E$10000,DailyRecord!$D$15:$D$10000,"Commonwealth of I. S.",DailyRecord!$O$15:$O$10000,YearMaster,DailyRecord!$P$15:$P$10000,MonthMaster)+SUMIFS(DailyRecord!$E$15:$E$10000,DailyRecord!$D$15:$D$10000,"Armenia",DailyRecord!$O$15:$O$10000,YearMaster,DailyRecord!$P$15:$P$10000,MonthMaster)+SUMIFS(DailyRecord!$E$15:$E$10000,DailyRecord!$D$15:$D$10000,"Azerbaijan",DailyRecord!$O$15:$O$10000,YearMaster,DailyRecord!$P$15:$P$10000,MonthMaster)+SUMIFS(DailyRecord!$E$15:$E$10000,DailyRecord!$D$15:$D$10000,"Belarus",DailyRecord!$O$15:$O$10000,YearMaster,DailyRecord!$P$15:$P$10000,MonthMaster)+SUMIFS(DailyRecord!$E$15:$E$10000,DailyRecord!$D$15:$D$10000,"Estonia",DailyRecord!$O$15:$O$10000,YearMaster,DailyRecord!$P$15:$P$10000,MonthMaster)+SUMIFS(DailyRecord!$E$15:$E$10000,DailyRecord!$D$15:$D$10000,"Ukraine",DailyRecord!$O$15:$O$10000,YearMaster,DailyRecord!$P$15:$P$10000,MonthMaster)+SUMIFS(DailyRecord!$E$15:$E$10000,DailyRecord!$D$15:$D$10000,"Uzbekistan",DailyRecord!$O$15:$O$10000,YearMaster,DailyRecord!$P$15:$P$10000,MonthMaster)+SUMIFS(DailyRecord!$E$15:$E$10000,DailyRecord!$D$15:$D$10000,"Georgia",DailyRecord!$O$15:$O$10000,YearMaster,DailyRecord!$P$15:$P$10000,MonthMaster)+SUMIFS(DailyRecord!$E$15:$E$10000,DailyRecord!$D$15:$D$10000,"Kazakhstan",DailyRecord!$O$15:$O$10000,YearMaster,DailyRecord!$P$15:$P$10000,MonthMaster)+SUMIFS(DailyRecord!$E$15:$E$10000,DailyRecord!$D$15:$D$10000,"Kyrgystan",DailyRecord!$O$15:$O$10000,YearMaster,DailyRecord!$P$15:$P$10000,MonthMaster)+SUMIFS(DailyRecord!$E$15:$E$10000,DailyRecord!$D$15:$D$10000,"Latvia",DailyRecord!$O$15:$O$10000,YearMaster,DailyRecord!$P$15:$P$10000,MonthMaster)+SUMIFS(DailyRecord!$E$15:$E$10000,DailyRecord!$D$15:$D$10000,"Moldova",DailyRecord!$O$15:$O$10000,YearMaster,DailyRecord!$P$15:$P$10000,MonthMaster)+SUMIFS(DailyRecord!$E$15:$E$10000,DailyRecord!$D$15:$D$10000,"Tajikistan",DailyRecord!$O$15:$O$10000,YearMaster,DailyRecord!$P$15:$P$10000,MonthMaster)+SUMIFS(DailyRecord!$E$15:$E$10000,DailyRecord!$D$15:$D$10000,"Turkmenistan",DailyRecord!$O$15:$O$10000,YearMaster,DailyRecord!$P$15:$P$10000,MonthMaster)</t>
  </si>
  <si>
    <t>=SUMIFS(DailyRecord!$E$15:$E$10000,DailyRecord!$D$15:$D$10000,vlookup(Q1,N1:P230,3,TRUE),DailyRecord!$F$15:$F$10000,"Yes",DailyRecord!$O$15:$O$10000,YearMaster,DailyRecord!$P$15:$P$10000,MonthMaster)</t>
  </si>
  <si>
    <t>=SUMIFS(DailyRecord!$E$15:$E$10000,DailyRecord!$D$15:$D$10000,"",DailyRecord!$F$15:$F$10000,"Yes",DailyRecord!$O$15:$O$10000,YearMaster,DailyRecord!$P$15:$P$10000,MonthMaster)+SUMIFS(DailyRecord!$E$15:$E$10000,DailyRecord!$D$15:$D$10000,"Others/Unspecified Foreigner",DailyRecord!$F$15:$F$10000,"Yes",DailyRecord!$O$15:$O$10000,YearMaster,DailyRecord!$P$15:$P$10000,MonthMaster)+SUMIFS(DailyRecord!$E$15:$E$10000,DailyRecord!$D$15:$D$10000,"Afghanistan",DailyRecord!$F$15:$F$10000,"Yes",DailyRecord!$O$15:$O$10000,YearMaster,DailyRecord!$P$15:$P$10000,MonthMaster)+SUMIFS(DailyRecord!$E$15:$E$10000,DailyRecord!$D$15:$D$10000,"Albania",DailyRecord!$F$15:$F$10000,"Yes",DailyRecord!$O$15:$O$10000,YearMaster,DailyRecord!$P$15:$P$10000,MonthMaster)+SUMIFS(DailyRecord!$E$15:$E$10000,DailyRecord!$D$15:$D$10000,"Algeria",DailyRecord!$F$15:$F$10000,"Yes",DailyRecord!$O$15:$O$10000,YearMaster,DailyRecord!$P$15:$P$10000,MonthMaster)SUMIFS(DailyRecord!$E$15:$E$10000,DailyRecord!$D$15:$D$10000,"Andorra",DailyRecord!$F$15:$F$10000,"Yes",DailyRecord!$O$15:$O$10000,YearMaster,DailyRecord!$P$15:$P$10000,MonthMaster)SUMIFS(DailyRecord!$E$15:$E$10000,DailyRecord!$D$15:$D$10000,"Angola",DailyRecord!$F$15:$F$10000,"Yes",DailyRecord!$O$15:$O$10000,YearMaster,DailyRecord!$P$15:$P$10000,MonthMaster)SUMIFS(DailyRecord!$E$15:$E$10000,DailyRecord!$D$15:$D$10000,"Anguilla",DailyRecord!$F$15:$F$10000,"Yes",DailyRecord!$O$15:$O$10000,YearMaster,DailyRecord!$P$15:$P$10000,MonthMaster)SUMIFS(DailyRecord!$E$15:$E$10000,DailyRecord!$D$15:$D$10000,"Antigua and Barbuda",DailyRecord!$F$15:$F$10000,"Yes",DailyRecord!$O$15:$O$10000,YearMaster,DailyRecord!$P$15:$P$10000,MonthMaster)SUMIFS(DailyRecord!$E$15:$E$10000,DailyRecord!$D$15:$D$10000,"Aruba",DailyRecord!$F$15:$F$10000,"Yes",DailyRecord!$O$15:$O$10000,YearMaster,DailyRecord!$P$15:$P$10000,MonthMaster)SUMIFS(DailyRecord!$E$15:$E$10000,DailyRecord!$D$15:$D$10000,"Bahamas",DailyRecord!$F$15:$F$10000,"Yes",DailyRecord!$O$15:$O$10000,YearMaster,DailyRecord!$P$15:$P$10000,MonthMaster)SUMIFS(DailyRecord!$E$15:$E$10000,DailyRecord!$D$15:$D$10000,"Belize",DailyRecord!$F$15:$F$10000,"Yes",DailyRecord!$O$15:$O$10000,YearMaster,DailyRecord!$P$15:$P$10000,MonthMaster)SUMIFS(DailyRecord!$E$15:$E$10000,DailyRecord!$D$15:$D$10000,"Barbados",DailyRecord!$F$15:$F$10000,"Yes",DailyRecord!$O$15:$O$10000,YearMaster,DailyRecord!$P$15:$P$10000,MonthMaster)SUMIFS(DailyRecord!$E$15:$E$10000,DailyRecord!$D$15:$D$10000,"Benin, Republic of",DailyRecord!$F$15:$F$10000,"Yes",DailyRecord!$O$15:$O$10000,YearMaster,DailyRecord!$P$15:$P$10000,MonthMaster)SUMIFS(DailyRecord!$E$15:$E$10000,DailyRecord!$D$15:$D$10000,"Bermuda",DailyRecord!$F$15:$F$10000,"Yes",DailyRecord!$O$15:$O$10000,YearMaster,DailyRecord!$P$15:$P$10000,MonthMaster)SUMIFS(DailyRecord!$E$15:$E$10000,DailyRecord!$D$15:$D$10000,"Bhutan",DailyRecord!$F$15:$F$10000,"Yes",DailyRecord!$O$15:$O$10000,YearMaster,DailyRecord!$P$15:$P$10000,MonthMaster)SUMIFS(DailyRecord!$E$15:$E$10000,DailyRecord!$D$15:$D$10000,"Bolivia",DailyRecord!$F$15:$F$10000,"Yes",DailyRecord!$O$15:$O$10000,YearMaster,DailyRecord!$P$15:$P$10000,MonthMaster)SUMIFS(DailyRecord!$E$15:$E$10000,DailyRecord!$D$15:$D$10000,"Bonaire",DailyRecord!$F$15:$F$10000,"Yes",DailyRecord!$O$15:$O$10000,YearMaster,DailyRecord!$P$15:$P$10000,MonthMaster)SUMIFS(DailyRecord!$E$15:$E$10000,DailyRecord!$D$15:$D$10000,"Bosnia/Herzegovina",DailyRecord!$F$15:$F$10000,"Yes",DailyRecord!$O$15:$O$10000,YearMaster,DailyRecord!$P$15:$P$10000,MonthMaster)SUMIFS(DailyRecord!$E$15:$E$10000,DailyRecord!$D$15:$D$10000,"Botswana",DailyRecord!$F$15:$F$10000,"Yes",DailyRecord!$O$15:$O$10000,YearMaster,DailyRecord!$P$15:$P$10000,MonthMaster)SUMIFS(DailyRecord!$E$15:$E$10000,DailyRecord!$D$15:$D$10000,"Bulgaria",DailyRecord!$F$15:$F$10000,"Yes",DailyRecord!$O$15:$O$10000,YearMaster,DailyRecord!$P$15:$P$10000,MonthMaster)SUMIFS(DailyRecord!$E$15:$E$10000,DailyRecord!$D$15:$D$10000,"Burkina Faso",DailyRecord!$F$15:$F$10000,"Yes",DailyRecord!$O$15:$O$10000,YearMaster,DailyRecord!$P$15:$P$10000,MonthMaster)SUMIFS(DailyRecord!$E$15:$E$10000,DailyRecord!$D$15:$D$10000,"Burundi",DailyRecord!$F$15:$F$10000,"Yes",DailyRecord!$O$15:$O$10000,YearMaster,DailyRecord!$P$15:$P$10000,MonthMaster)SUMIFS(DailyRecord!$E$15:$E$10000,DailyRecord!$D$15:$D$10000,"Cameroon",DailyRecord!$F$15:$F$10000,"Yes",DailyRecord!$O$15:$O$10000,YearMaster,DailyRecord!$P$15:$P$10000,MonthMaster)SUMIFS(DailyRecord!$E$15:$E$10000,DailyRecord!$D$15:$D$10000,"Cape Verde",DailyRecord!$F$15:$F$10000,"Yes",DailyRecord!$O$15:$O$10000,YearMaster,DailyRecord!$P$15:$P$10000,MonthMaster)SUMIFS(DailyRecord!$E$15:$E$10000,DailyRecord!$D$15:$D$10000,"Cayman Island",DailyRecord!$F$15:$F$10000,"Yes",DailyRecord!$O$15:$O$10000,YearMaster,DailyRecord!$P$15:$P$10000,MonthMaster)SUMIFS(DailyRecord!$E$15:$E$10000,DailyRecord!$D$15:$D$10000,"Central African Republic",DailyRecord!$F$15:$F$10000,"Yes",DailyRecord!$O$15:$O$10000,YearMaster,DailyRecord!$P$15:$P$10000,MonthMaster)SUMIFS(DailyRecord!$E$15:$E$10000,DailyRecord!$D$15:$D$10000,"Chad",DailyRecord!$F$15:$F$10000,"Yes",DailyRecord!$O$15:$O$10000,YearMaster,DailyRecord!$P$15:$P$10000,MonthMaster)SUMIFS(DailyRecord!$E$15:$E$10000,DailyRecord!$D$15:$D$10000,"Chile",DailyRecord!$F$15:$F$10000,"Yes",DailyRecord!$O$15:$O$10000,YearMaster,DailyRecord!$P$15:$P$10000,MonthMaster)SUMIFS(DailyRecord!$E$15:$E$10000,DailyRecord!$D$15:$D$10000,"Comoros",DailyRecord!$F$15:$F$10000,"Yes",DailyRecord!$O$15:$O$10000,YearMaster,DailyRecord!$P$15:$P$10000,MonthMaster)SUMIFS(DailyRecord!$E$15:$E$10000,DailyRecord!$D$15:$D$10000,"Congo",DailyRecord!$F$15:$F$10000,"Yes",DailyRecord!$O$15:$O$10000,YearMaster,DailyRecord!$P$15:$P$10000,MonthMaster)SUMIFS(DailyRecord!$E$15:$E$10000,DailyRecord!$D$15:$D$10000,"Cook Islands",DailyRecord!$F$15:$F$10000,"Yes",DailyRecord!$O$15:$O$10000,YearMaster,DailyRecord!$P$15:$P$10000,MonthMaster)SUMIFS(DailyRecord!$E$15:$E$10000,DailyRecord!$D$15:$D$10000,"Costa Rica",DailyRecord!$F$15:$F$10000,"Yes",DailyRecord!$O$15:$O$10000,YearMaster,DailyRecord!$P$15:$P$10000,MonthMaster)SUMIFS(DailyRecord!$E$15:$E$10000,DailyRecord!$D$15:$D$10000,"Cota D'Lvoire",DailyRecord!$F$15:$F$10000,"Yes",DailyRecord!$O$15:$O$10000,YearMaster,DailyRecord!$P$15:$P$10000,MonthMaster)SUMIFS(DailyRecord!$E$15:$E$10000,DailyRecord!$D$15:$D$10000,"Croatia",DailyRecord!$F$15:$F$10000,"Yes",DailyRecord!$O$15:$O$10000,YearMaster,DailyRecord!$P$15:$P$10000,MonthMaster)SUMIFS(DailyRecord!$E$15:$E$10000,DailyRecord!$D$15:$D$10000,"Cuba",DailyRecord!$F$15:$F$10000,"Yes",DailyRecord!$O$15:$O$10000,YearMaster,DailyRecord!$P$15:$P$10000,MonthMaster)SUMIFS(DailyRecord!$E$15:$E$10000,DailyRecord!$D$15:$D$10000,"Curacao",DailyRecord!$F$15:$F$10000,"Yes",DailyRecord!$O$15:$O$10000,YearMaster,DailyRecord!$P$15:$P$10000,MonthMaster)SUMIFS(DailyRecord!$E$15:$E$10000,DailyRecord!$D$15:$D$10000,"Cyprus",DailyRecord!$F$15:$F$10000,"Yes",DailyRecord!$O$15:$O$10000,YearMaster,DailyRecord!$P$15:$P$10000,MonthMaster)SUMIFS(DailyRecord!$E$15:$E$10000,DailyRecord!$D$15:$D$10000,"Czech",DailyRecord!$F$15:$F$10000,"Yes",DailyRecord!$O$15:$O$10000,YearMaster,DailyRecord!$P$15:$P$10000,MonthMaster)</t>
  </si>
  <si>
    <t>Maguindanao del Norte</t>
  </si>
  <si>
    <t>Maguindanao del Sur</t>
  </si>
  <si>
    <t>2024</t>
  </si>
  <si>
    <t>PANAON</t>
  </si>
  <si>
    <t>NAY MORENA</t>
  </si>
  <si>
    <t>5</t>
  </si>
  <si>
    <t>No</t>
  </si>
  <si>
    <t>15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</si>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</sst>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_);_(* \(#,##0\);_(* &quot;-&quot;_);_(@_)"/>
    <numFmt numFmtId="165" formatCode="_(* #,##0.00_);_(* \(#,##0.00\);_(* &quot;-&quot;??_);_(@_)"/>
    <numFmt numFmtId="166" formatCode="0.00_ "/>
    <numFmt numFmtId="167" formatCode="#,##0_ "/>
    <numFmt numFmtId="168" formatCode="ddd"/>
    <numFmt numFmtId="169" formatCode="m/d/yyyy;@"/>
    <numFmt numFmtId="170" formatCode="#,##0.000;[Red]\-#,##0.000"/>
    <numFmt numFmtId="171" formatCode="_(* #,##0.00_);_(* \(#,##0.00\);_(* &quot;-&quot;_);_(@_)"/>
    <numFmt numFmtId="172" formatCode="_(* #,##0_);_(* \(#,##0\);_(* &quot;-&quot;??_);_(@_)"/>
  </numFmts>
  <fonts count="6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6"/>
      <name val="Calibri"/>
      <family val="3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0"/>
      <name val="Arial Narrow"/>
      <family val="2"/>
    </font>
    <font>
      <sz val="10"/>
      <name val="Arial Narrow"/>
      <family val="2"/>
    </font>
    <font>
      <b/>
      <i/>
      <sz val="10"/>
      <name val="Arial Narrow"/>
      <family val="2"/>
    </font>
    <font>
      <sz val="9"/>
      <name val="Arial Narrow"/>
      <family val="2"/>
    </font>
    <font>
      <b/>
      <sz val="9"/>
      <name val="Arial Narrow"/>
      <family val="2"/>
    </font>
    <font>
      <b/>
      <i/>
      <sz val="9"/>
      <name val="Arial Narrow"/>
      <family val="2"/>
    </font>
    <font>
      <sz val="8"/>
      <name val="Arial Narrow"/>
      <family val="2"/>
    </font>
    <font>
      <b/>
      <sz val="8"/>
      <name val="Arial Narrow"/>
      <family val="2"/>
    </font>
    <font>
      <b/>
      <sz val="10"/>
      <color indexed="10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"/>
      <family val="2"/>
    </font>
    <font>
      <b/>
      <sz val="4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sz val="12"/>
      <name val="Arial Narrow"/>
      <family val="2"/>
    </font>
    <font>
      <b/>
      <sz val="12"/>
      <name val="Arial Narrow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u/>
      <sz val="10"/>
      <name val="Arial Narrow"/>
      <family val="2"/>
    </font>
    <font>
      <sz val="11"/>
      <name val="Arial"/>
      <family val="2"/>
    </font>
    <font>
      <sz val="11"/>
      <color theme="0"/>
      <name val="Arial"/>
      <family val="2"/>
    </font>
    <font>
      <b/>
      <sz val="11"/>
      <color rgb="FFFF0000"/>
      <name val="Arial"/>
      <family val="2"/>
    </font>
    <font>
      <sz val="10"/>
      <color theme="0"/>
      <name val="Arial Narrow"/>
      <family val="2"/>
    </font>
    <font>
      <b/>
      <sz val="14"/>
      <color theme="3" tint="0.59999389629810485"/>
      <name val="Arial"/>
      <family val="2"/>
    </font>
    <font>
      <b/>
      <sz val="10"/>
      <color rgb="FFFF0000"/>
      <name val="Arial Narrow"/>
      <family val="2"/>
    </font>
    <font>
      <sz val="10"/>
      <color rgb="FFFF0000"/>
      <name val="Arial Narrow"/>
      <family val="2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i/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9"/>
      <color theme="1"/>
      <name val="Arial"/>
      <family val="2"/>
    </font>
    <font>
      <i/>
      <sz val="11"/>
      <color theme="1"/>
      <name val="Arial"/>
      <family val="2"/>
    </font>
    <font>
      <b/>
      <u/>
      <sz val="11"/>
      <color theme="1"/>
      <name val="Arial"/>
      <family val="2"/>
    </font>
    <font>
      <i/>
      <sz val="8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9C2C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49" fillId="0" borderId="0"/>
  </cellStyleXfs>
  <cellXfs count="317">
    <xf numFmtId="0" fontId="0" fillId="0" borderId="0" xfId="0"/>
    <xf numFmtId="0" fontId="21" fillId="0" borderId="0" xfId="0" applyFont="1" applyAlignment="1">
      <alignment horizontal="center"/>
    </xf>
    <xf numFmtId="0" fontId="22" fillId="0" borderId="0" xfId="0" applyFont="1"/>
    <xf numFmtId="0" fontId="21" fillId="0" borderId="0" xfId="0" applyFont="1"/>
    <xf numFmtId="0" fontId="22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19" fillId="0" borderId="0" xfId="0" applyFont="1" applyAlignment="1">
      <alignment horizontal="center" vertical="center"/>
    </xf>
    <xf numFmtId="0" fontId="21" fillId="0" borderId="0" xfId="0" applyFont="1" applyAlignment="1">
      <alignment horizontal="right"/>
    </xf>
    <xf numFmtId="0" fontId="35" fillId="0" borderId="0" xfId="0" applyFont="1"/>
    <xf numFmtId="0" fontId="22" fillId="0" borderId="0" xfId="0" applyFont="1" applyProtection="1">
      <protection hidden="1"/>
    </xf>
    <xf numFmtId="0" fontId="38" fillId="0" borderId="0" xfId="0" applyFont="1"/>
    <xf numFmtId="0" fontId="38" fillId="0" borderId="0" xfId="0" quotePrefix="1" applyFont="1"/>
    <xf numFmtId="0" fontId="39" fillId="0" borderId="0" xfId="0" applyFont="1"/>
    <xf numFmtId="0" fontId="38" fillId="0" borderId="0" xfId="0" applyFont="1" applyAlignment="1">
      <alignment horizontal="right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vertical="top" wrapText="1"/>
    </xf>
    <xf numFmtId="0" fontId="22" fillId="0" borderId="0" xfId="0" applyFont="1" applyAlignment="1">
      <alignment wrapText="1"/>
    </xf>
    <xf numFmtId="0" fontId="22" fillId="0" borderId="0" xfId="0" applyFont="1" applyAlignment="1">
      <alignment horizontal="left"/>
    </xf>
    <xf numFmtId="0" fontId="35" fillId="0" borderId="0" xfId="0" applyFont="1" applyAlignment="1">
      <alignment horizontal="center" vertical="center"/>
    </xf>
    <xf numFmtId="0" fontId="35" fillId="0" borderId="0" xfId="0" applyFont="1" applyAlignment="1">
      <alignment vertical="center" wrapText="1"/>
    </xf>
    <xf numFmtId="0" fontId="35" fillId="0" borderId="0" xfId="0" applyFont="1" applyAlignment="1">
      <alignment horizontal="left" vertical="center" wrapText="1"/>
    </xf>
    <xf numFmtId="0" fontId="36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0" fontId="42" fillId="0" borderId="0" xfId="0" applyFont="1"/>
    <xf numFmtId="0" fontId="41" fillId="0" borderId="0" xfId="0" applyFont="1"/>
    <xf numFmtId="0" fontId="33" fillId="0" borderId="0" xfId="0" applyFont="1"/>
    <xf numFmtId="0" fontId="38" fillId="0" borderId="0" xfId="0" applyFont="1" applyAlignment="1">
      <alignment wrapText="1"/>
    </xf>
    <xf numFmtId="0" fontId="38" fillId="36" borderId="10" xfId="0" applyFont="1" applyFill="1" applyBorder="1" applyAlignment="1">
      <alignment horizontal="left"/>
    </xf>
    <xf numFmtId="0" fontId="38" fillId="36" borderId="10" xfId="0" applyFont="1" applyFill="1" applyBorder="1" applyAlignment="1">
      <alignment horizontal="center"/>
    </xf>
    <xf numFmtId="0" fontId="38" fillId="36" borderId="10" xfId="0" applyFont="1" applyFill="1" applyBorder="1"/>
    <xf numFmtId="0" fontId="34" fillId="0" borderId="0" xfId="0" applyFont="1"/>
    <xf numFmtId="0" fontId="38" fillId="36" borderId="12" xfId="0" applyFont="1" applyFill="1" applyBorder="1"/>
    <xf numFmtId="0" fontId="38" fillId="36" borderId="14" xfId="0" applyFont="1" applyFill="1" applyBorder="1"/>
    <xf numFmtId="0" fontId="38" fillId="36" borderId="13" xfId="0" applyFont="1" applyFill="1" applyBorder="1"/>
    <xf numFmtId="0" fontId="35" fillId="0" borderId="0" xfId="0" applyFont="1" applyAlignment="1">
      <alignment horizontal="left" vertical="center"/>
    </xf>
    <xf numFmtId="0" fontId="30" fillId="0" borderId="10" xfId="0" applyFont="1" applyBorder="1" applyProtection="1">
      <protection locked="0"/>
    </xf>
    <xf numFmtId="0" fontId="24" fillId="34" borderId="0" xfId="0" applyFont="1" applyFill="1" applyAlignment="1" applyProtection="1">
      <alignment horizontal="center"/>
      <protection locked="0"/>
    </xf>
    <xf numFmtId="0" fontId="25" fillId="33" borderId="0" xfId="0" applyFont="1" applyFill="1" applyProtection="1">
      <protection locked="0"/>
    </xf>
    <xf numFmtId="0" fontId="26" fillId="33" borderId="0" xfId="0" applyFont="1" applyFill="1" applyProtection="1">
      <protection locked="0"/>
    </xf>
    <xf numFmtId="0" fontId="22" fillId="0" borderId="0" xfId="0" applyFont="1" applyProtection="1">
      <protection locked="0"/>
    </xf>
    <xf numFmtId="166" fontId="24" fillId="34" borderId="0" xfId="0" applyNumberFormat="1" applyFont="1" applyFill="1" applyAlignment="1" applyProtection="1">
      <alignment horizontal="center"/>
      <protection locked="0"/>
    </xf>
    <xf numFmtId="170" fontId="22" fillId="0" borderId="0" xfId="43" applyNumberFormat="1" applyFont="1" applyBorder="1" applyAlignment="1" applyProtection="1">
      <protection hidden="1"/>
    </xf>
    <xf numFmtId="0" fontId="38" fillId="36" borderId="10" xfId="0" applyFont="1" applyFill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0" fontId="43" fillId="0" borderId="0" xfId="0" applyFont="1" applyProtection="1">
      <protection hidden="1"/>
    </xf>
    <xf numFmtId="0" fontId="43" fillId="0" borderId="0" xfId="0" applyFont="1"/>
    <xf numFmtId="14" fontId="43" fillId="0" borderId="0" xfId="0" applyNumberFormat="1" applyFont="1" applyProtection="1">
      <protection hidden="1"/>
    </xf>
    <xf numFmtId="9" fontId="38" fillId="0" borderId="0" xfId="42" applyFont="1" applyAlignment="1"/>
    <xf numFmtId="166" fontId="30" fillId="0" borderId="10" xfId="0" applyNumberFormat="1" applyFont="1" applyBorder="1"/>
    <xf numFmtId="168" fontId="30" fillId="0" borderId="10" xfId="0" applyNumberFormat="1" applyFont="1" applyBorder="1" applyAlignment="1">
      <alignment horizontal="center"/>
    </xf>
    <xf numFmtId="49" fontId="38" fillId="0" borderId="0" xfId="0" quotePrefix="1" applyNumberFormat="1" applyFont="1"/>
    <xf numFmtId="49" fontId="38" fillId="0" borderId="0" xfId="0" applyNumberFormat="1" applyFont="1"/>
    <xf numFmtId="169" fontId="31" fillId="0" borderId="10" xfId="0" applyNumberFormat="1" applyFont="1" applyBorder="1" applyAlignment="1" applyProtection="1">
      <alignment horizontal="center" vertical="center"/>
      <protection locked="0"/>
    </xf>
    <xf numFmtId="0" fontId="31" fillId="0" borderId="10" xfId="0" applyFont="1" applyBorder="1" applyAlignment="1" applyProtection="1">
      <alignment horizontal="center" vertical="center"/>
      <protection locked="0"/>
    </xf>
    <xf numFmtId="0" fontId="31" fillId="0" borderId="10" xfId="0" applyFont="1" applyBorder="1" applyAlignment="1" applyProtection="1">
      <alignment horizontal="center"/>
      <protection locked="0"/>
    </xf>
    <xf numFmtId="49" fontId="31" fillId="0" borderId="10" xfId="0" applyNumberFormat="1" applyFont="1" applyBorder="1" applyAlignment="1" applyProtection="1">
      <alignment horizontal="center" vertical="center"/>
      <protection locked="0"/>
    </xf>
    <xf numFmtId="169" fontId="31" fillId="0" borderId="10" xfId="0" applyNumberFormat="1" applyFont="1" applyBorder="1" applyAlignment="1" applyProtection="1">
      <alignment horizontal="center"/>
      <protection locked="0"/>
    </xf>
    <xf numFmtId="0" fontId="31" fillId="0" borderId="0" xfId="0" applyFont="1" applyAlignment="1" applyProtection="1">
      <alignment horizontal="center"/>
      <protection locked="0"/>
    </xf>
    <xf numFmtId="0" fontId="31" fillId="0" borderId="0" xfId="0" applyFont="1" applyAlignment="1" applyProtection="1">
      <alignment horizontal="right"/>
      <protection locked="0"/>
    </xf>
    <xf numFmtId="0" fontId="31" fillId="0" borderId="0" xfId="0" applyFont="1" applyAlignment="1" applyProtection="1">
      <alignment horizontal="right" vertical="center"/>
      <protection locked="0"/>
    </xf>
    <xf numFmtId="0" fontId="31" fillId="0" borderId="0" xfId="0" applyFont="1" applyProtection="1">
      <protection locked="0"/>
    </xf>
    <xf numFmtId="0" fontId="31" fillId="0" borderId="0" xfId="0" applyFont="1" applyAlignment="1" applyProtection="1">
      <alignment vertical="top"/>
      <protection locked="0"/>
    </xf>
    <xf numFmtId="14" fontId="31" fillId="0" borderId="0" xfId="0" applyNumberFormat="1" applyFont="1" applyAlignment="1" applyProtection="1">
      <alignment horizontal="center"/>
      <protection locked="0"/>
    </xf>
    <xf numFmtId="0" fontId="31" fillId="0" borderId="0" xfId="0" applyFont="1"/>
    <xf numFmtId="0" fontId="34" fillId="0" borderId="0" xfId="0" applyFont="1" applyAlignment="1">
      <alignment horizontal="center" vertical="center"/>
    </xf>
    <xf numFmtId="0" fontId="33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31" fillId="0" borderId="0" xfId="0" applyFont="1" applyAlignment="1">
      <alignment vertical="top"/>
    </xf>
    <xf numFmtId="0" fontId="38" fillId="39" borderId="26" xfId="0" applyFont="1" applyFill="1" applyBorder="1"/>
    <xf numFmtId="0" fontId="33" fillId="41" borderId="19" xfId="0" applyFont="1" applyFill="1" applyBorder="1" applyAlignment="1">
      <alignment horizontal="center" vertical="top"/>
    </xf>
    <xf numFmtId="0" fontId="31" fillId="41" borderId="19" xfId="0" applyFont="1" applyFill="1" applyBorder="1" applyAlignment="1">
      <alignment horizontal="right" vertical="top"/>
    </xf>
    <xf numFmtId="0" fontId="31" fillId="41" borderId="20" xfId="0" applyFont="1" applyFill="1" applyBorder="1" applyAlignment="1">
      <alignment horizontal="right" vertical="top"/>
    </xf>
    <xf numFmtId="0" fontId="44" fillId="41" borderId="19" xfId="0" applyFont="1" applyFill="1" applyBorder="1" applyAlignment="1">
      <alignment horizontal="center" vertical="top"/>
    </xf>
    <xf numFmtId="0" fontId="31" fillId="41" borderId="19" xfId="0" applyFont="1" applyFill="1" applyBorder="1" applyAlignment="1">
      <alignment horizontal="center" vertical="top"/>
    </xf>
    <xf numFmtId="0" fontId="33" fillId="41" borderId="0" xfId="0" applyFont="1" applyFill="1" applyAlignment="1">
      <alignment horizontal="center" vertical="top"/>
    </xf>
    <xf numFmtId="0" fontId="31" fillId="41" borderId="0" xfId="0" applyFont="1" applyFill="1" applyAlignment="1">
      <alignment horizontal="right" vertical="top"/>
    </xf>
    <xf numFmtId="0" fontId="31" fillId="41" borderId="0" xfId="0" applyFont="1" applyFill="1" applyAlignment="1">
      <alignment horizontal="center" vertical="top"/>
    </xf>
    <xf numFmtId="0" fontId="33" fillId="41" borderId="24" xfId="0" applyFont="1" applyFill="1" applyBorder="1" applyAlignment="1">
      <alignment horizontal="center" vertical="top"/>
    </xf>
    <xf numFmtId="0" fontId="44" fillId="41" borderId="24" xfId="0" applyFont="1" applyFill="1" applyBorder="1" applyAlignment="1">
      <alignment horizontal="center" vertical="top"/>
    </xf>
    <xf numFmtId="0" fontId="31" fillId="41" borderId="24" xfId="0" applyFont="1" applyFill="1" applyBorder="1" applyAlignment="1">
      <alignment horizontal="center" vertical="top"/>
    </xf>
    <xf numFmtId="0" fontId="31" fillId="41" borderId="24" xfId="0" applyFont="1" applyFill="1" applyBorder="1" applyAlignment="1">
      <alignment horizontal="right" vertical="top"/>
    </xf>
    <xf numFmtId="0" fontId="31" fillId="41" borderId="25" xfId="0" applyFont="1" applyFill="1" applyBorder="1" applyAlignment="1">
      <alignment horizontal="right" vertical="top"/>
    </xf>
    <xf numFmtId="0" fontId="31" fillId="37" borderId="0" xfId="0" applyFont="1" applyFill="1" applyAlignment="1">
      <alignment horizontal="center" vertical="top"/>
    </xf>
    <xf numFmtId="0" fontId="31" fillId="37" borderId="22" xfId="0" applyFont="1" applyFill="1" applyBorder="1" applyAlignment="1">
      <alignment horizontal="right" vertical="top"/>
    </xf>
    <xf numFmtId="0" fontId="31" fillId="41" borderId="22" xfId="0" applyFont="1" applyFill="1" applyBorder="1" applyAlignment="1">
      <alignment horizontal="right" vertical="top"/>
    </xf>
    <xf numFmtId="0" fontId="34" fillId="37" borderId="0" xfId="0" applyFont="1" applyFill="1" applyAlignment="1">
      <alignment horizontal="right"/>
    </xf>
    <xf numFmtId="0" fontId="32" fillId="37" borderId="0" xfId="0" applyFont="1" applyFill="1" applyAlignment="1">
      <alignment horizontal="right" vertical="top"/>
    </xf>
    <xf numFmtId="0" fontId="31" fillId="37" borderId="19" xfId="0" applyFont="1" applyFill="1" applyBorder="1" applyAlignment="1">
      <alignment horizontal="center" vertical="top"/>
    </xf>
    <xf numFmtId="0" fontId="31" fillId="37" borderId="19" xfId="0" applyFont="1" applyFill="1" applyBorder="1" applyAlignment="1" applyProtection="1">
      <alignment vertical="top"/>
      <protection locked="0"/>
    </xf>
    <xf numFmtId="0" fontId="31" fillId="37" borderId="19" xfId="0" applyFont="1" applyFill="1" applyBorder="1" applyAlignment="1">
      <alignment horizontal="right" vertical="top"/>
    </xf>
    <xf numFmtId="0" fontId="31" fillId="37" borderId="20" xfId="0" applyFont="1" applyFill="1" applyBorder="1" applyAlignment="1">
      <alignment horizontal="right" vertical="top"/>
    </xf>
    <xf numFmtId="0" fontId="31" fillId="37" borderId="24" xfId="0" applyFont="1" applyFill="1" applyBorder="1" applyAlignment="1">
      <alignment horizontal="center"/>
    </xf>
    <xf numFmtId="0" fontId="32" fillId="37" borderId="24" xfId="0" applyFont="1" applyFill="1" applyBorder="1" applyAlignment="1">
      <alignment horizontal="right"/>
    </xf>
    <xf numFmtId="0" fontId="31" fillId="37" borderId="25" xfId="0" applyFont="1" applyFill="1" applyBorder="1" applyAlignment="1">
      <alignment horizontal="right" vertical="center"/>
    </xf>
    <xf numFmtId="0" fontId="31" fillId="37" borderId="24" xfId="0" applyFont="1" applyFill="1" applyBorder="1" applyAlignment="1">
      <alignment horizontal="right"/>
    </xf>
    <xf numFmtId="0" fontId="34" fillId="37" borderId="18" xfId="0" applyFont="1" applyFill="1" applyBorder="1" applyAlignment="1">
      <alignment horizontal="left" vertical="center"/>
    </xf>
    <xf numFmtId="14" fontId="34" fillId="37" borderId="21" xfId="0" applyNumberFormat="1" applyFont="1" applyFill="1" applyBorder="1" applyAlignment="1">
      <alignment horizontal="left" vertical="center"/>
    </xf>
    <xf numFmtId="0" fontId="34" fillId="37" borderId="23" xfId="0" applyFont="1" applyFill="1" applyBorder="1" applyAlignment="1">
      <alignment horizontal="left" vertical="center"/>
    </xf>
    <xf numFmtId="14" fontId="34" fillId="37" borderId="19" xfId="0" applyNumberFormat="1" applyFont="1" applyFill="1" applyBorder="1" applyAlignment="1">
      <alignment horizontal="right" vertical="center"/>
    </xf>
    <xf numFmtId="0" fontId="31" fillId="37" borderId="24" xfId="0" applyFont="1" applyFill="1" applyBorder="1" applyAlignment="1">
      <alignment horizontal="right" vertical="center"/>
    </xf>
    <xf numFmtId="0" fontId="34" fillId="41" borderId="18" xfId="0" applyFont="1" applyFill="1" applyBorder="1" applyAlignment="1" applyProtection="1">
      <alignment vertical="center"/>
      <protection locked="0"/>
    </xf>
    <xf numFmtId="0" fontId="21" fillId="40" borderId="10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top"/>
    </xf>
    <xf numFmtId="0" fontId="44" fillId="0" borderId="0" xfId="0" applyFont="1" applyAlignment="1">
      <alignment horizontal="center" vertical="top"/>
    </xf>
    <xf numFmtId="0" fontId="31" fillId="0" borderId="0" xfId="0" applyFont="1" applyAlignment="1">
      <alignment horizontal="center" vertical="top"/>
    </xf>
    <xf numFmtId="0" fontId="31" fillId="0" borderId="0" xfId="0" applyFont="1" applyAlignment="1">
      <alignment horizontal="right" vertical="top"/>
    </xf>
    <xf numFmtId="0" fontId="34" fillId="0" borderId="0" xfId="0" applyFont="1" applyAlignment="1" applyProtection="1">
      <alignment vertical="top"/>
      <protection locked="0"/>
    </xf>
    <xf numFmtId="0" fontId="31" fillId="35" borderId="0" xfId="0" applyFont="1" applyFill="1" applyAlignment="1">
      <alignment horizontal="right" vertical="top"/>
    </xf>
    <xf numFmtId="0" fontId="44" fillId="35" borderId="0" xfId="0" applyFont="1" applyFill="1" applyAlignment="1">
      <alignment horizontal="center" vertical="center"/>
    </xf>
    <xf numFmtId="0" fontId="31" fillId="35" borderId="0" xfId="0" applyFont="1" applyFill="1" applyAlignment="1">
      <alignment horizontal="center" vertical="top"/>
    </xf>
    <xf numFmtId="0" fontId="33" fillId="35" borderId="19" xfId="0" applyFont="1" applyFill="1" applyBorder="1" applyAlignment="1">
      <alignment horizontal="center" vertical="center"/>
    </xf>
    <xf numFmtId="0" fontId="33" fillId="35" borderId="19" xfId="0" applyFont="1" applyFill="1" applyBorder="1" applyAlignment="1">
      <alignment horizontal="center" vertical="top"/>
    </xf>
    <xf numFmtId="0" fontId="31" fillId="35" borderId="19" xfId="0" applyFont="1" applyFill="1" applyBorder="1" applyAlignment="1">
      <alignment horizontal="right" vertical="top"/>
    </xf>
    <xf numFmtId="0" fontId="31" fillId="35" borderId="20" xfId="0" applyFont="1" applyFill="1" applyBorder="1" applyAlignment="1">
      <alignment horizontal="right" vertical="top"/>
    </xf>
    <xf numFmtId="0" fontId="31" fillId="35" borderId="22" xfId="0" applyFont="1" applyFill="1" applyBorder="1" applyAlignment="1">
      <alignment horizontal="right" vertical="top"/>
    </xf>
    <xf numFmtId="0" fontId="44" fillId="35" borderId="24" xfId="0" applyFont="1" applyFill="1" applyBorder="1" applyAlignment="1">
      <alignment horizontal="center" vertical="center"/>
    </xf>
    <xf numFmtId="0" fontId="31" fillId="35" borderId="24" xfId="0" applyFont="1" applyFill="1" applyBorder="1" applyAlignment="1">
      <alignment horizontal="center" vertical="top"/>
    </xf>
    <xf numFmtId="0" fontId="31" fillId="35" borderId="24" xfId="0" applyFont="1" applyFill="1" applyBorder="1" applyAlignment="1">
      <alignment horizontal="right" vertical="top"/>
    </xf>
    <xf numFmtId="0" fontId="31" fillId="35" borderId="25" xfId="0" applyFont="1" applyFill="1" applyBorder="1" applyAlignment="1">
      <alignment horizontal="right" vertical="top"/>
    </xf>
    <xf numFmtId="0" fontId="31" fillId="0" borderId="0" xfId="0" applyFont="1" applyAlignment="1" applyProtection="1">
      <alignment vertical="center"/>
      <protection locked="0"/>
    </xf>
    <xf numFmtId="0" fontId="22" fillId="40" borderId="16" xfId="0" applyFont="1" applyFill="1" applyBorder="1"/>
    <xf numFmtId="0" fontId="23" fillId="40" borderId="10" xfId="0" applyFont="1" applyFill="1" applyBorder="1" applyAlignment="1">
      <alignment horizontal="center" vertical="center"/>
    </xf>
    <xf numFmtId="0" fontId="0" fillId="39" borderId="10" xfId="0" applyFill="1" applyBorder="1"/>
    <xf numFmtId="0" fontId="21" fillId="40" borderId="15" xfId="0" applyFont="1" applyFill="1" applyBorder="1" applyAlignment="1">
      <alignment horizontal="center"/>
    </xf>
    <xf numFmtId="0" fontId="22" fillId="0" borderId="10" xfId="0" applyFont="1" applyBorder="1" applyAlignment="1" applyProtection="1">
      <alignment horizontal="right"/>
      <protection locked="0"/>
    </xf>
    <xf numFmtId="38" fontId="29" fillId="0" borderId="10" xfId="43" applyFont="1" applyBorder="1" applyAlignment="1" applyProtection="1">
      <alignment horizontal="right"/>
      <protection locked="0"/>
    </xf>
    <xf numFmtId="0" fontId="21" fillId="0" borderId="10" xfId="0" applyFont="1" applyBorder="1" applyAlignment="1" applyProtection="1">
      <alignment horizontal="left" vertical="top" wrapText="1"/>
      <protection locked="0"/>
    </xf>
    <xf numFmtId="9" fontId="21" fillId="0" borderId="10" xfId="0" applyNumberFormat="1" applyFont="1" applyBorder="1" applyAlignment="1" applyProtection="1">
      <alignment vertical="top" wrapText="1"/>
      <protection locked="0"/>
    </xf>
    <xf numFmtId="0" fontId="22" fillId="0" borderId="10" xfId="0" applyFont="1" applyBorder="1" applyProtection="1">
      <protection locked="0"/>
    </xf>
    <xf numFmtId="167" fontId="29" fillId="0" borderId="10" xfId="0" applyNumberFormat="1" applyFont="1" applyBorder="1" applyProtection="1">
      <protection locked="0"/>
    </xf>
    <xf numFmtId="166" fontId="46" fillId="0" borderId="10" xfId="0" applyNumberFormat="1" applyFont="1" applyBorder="1" applyProtection="1">
      <protection locked="0"/>
    </xf>
    <xf numFmtId="167" fontId="22" fillId="0" borderId="10" xfId="0" applyNumberFormat="1" applyFont="1" applyBorder="1" applyProtection="1">
      <protection locked="0"/>
    </xf>
    <xf numFmtId="0" fontId="38" fillId="0" borderId="0" xfId="0" applyFont="1" applyAlignment="1">
      <alignment vertical="center"/>
    </xf>
    <xf numFmtId="0" fontId="38" fillId="36" borderId="10" xfId="42" applyNumberFormat="1" applyFont="1" applyFill="1" applyBorder="1" applyAlignment="1"/>
    <xf numFmtId="0" fontId="38" fillId="0" borderId="0" xfId="42" applyNumberFormat="1" applyFont="1" applyFill="1" applyBorder="1" applyAlignment="1"/>
    <xf numFmtId="0" fontId="38" fillId="36" borderId="10" xfId="43" applyNumberFormat="1" applyFont="1" applyFill="1" applyBorder="1" applyAlignment="1"/>
    <xf numFmtId="0" fontId="22" fillId="0" borderId="10" xfId="43" applyNumberFormat="1" applyFont="1" applyBorder="1" applyAlignment="1" applyProtection="1">
      <alignment horizontal="right"/>
      <protection locked="0"/>
    </xf>
    <xf numFmtId="0" fontId="22" fillId="0" borderId="10" xfId="43" applyNumberFormat="1" applyFont="1" applyBorder="1" applyAlignment="1" applyProtection="1">
      <alignment horizontal="right" vertical="center"/>
      <protection locked="0"/>
    </xf>
    <xf numFmtId="0" fontId="22" fillId="40" borderId="12" xfId="0" applyFont="1" applyFill="1" applyBorder="1"/>
    <xf numFmtId="0" fontId="22" fillId="40" borderId="10" xfId="0" applyFont="1" applyFill="1" applyBorder="1" applyAlignment="1">
      <alignment horizontal="center"/>
    </xf>
    <xf numFmtId="10" fontId="21" fillId="0" borderId="0" xfId="0" applyNumberFormat="1" applyFont="1" applyAlignment="1">
      <alignment horizontal="right"/>
    </xf>
    <xf numFmtId="10" fontId="43" fillId="0" borderId="0" xfId="0" applyNumberFormat="1" applyFont="1"/>
    <xf numFmtId="10" fontId="22" fillId="40" borderId="17" xfId="0" applyNumberFormat="1" applyFont="1" applyFill="1" applyBorder="1"/>
    <xf numFmtId="10" fontId="0" fillId="40" borderId="17" xfId="0" applyNumberFormat="1" applyFill="1" applyBorder="1"/>
    <xf numFmtId="10" fontId="22" fillId="40" borderId="13" xfId="0" applyNumberFormat="1" applyFont="1" applyFill="1" applyBorder="1"/>
    <xf numFmtId="10" fontId="0" fillId="0" borderId="0" xfId="0" applyNumberFormat="1"/>
    <xf numFmtId="10" fontId="22" fillId="0" borderId="0" xfId="0" applyNumberFormat="1" applyFont="1"/>
    <xf numFmtId="10" fontId="0" fillId="0" borderId="0" xfId="0" applyNumberFormat="1" applyAlignment="1">
      <alignment horizontal="center" wrapText="1"/>
    </xf>
    <xf numFmtId="10" fontId="30" fillId="0" borderId="10" xfId="42" applyNumberFormat="1" applyFont="1" applyBorder="1" applyAlignment="1" applyProtection="1"/>
    <xf numFmtId="10" fontId="24" fillId="34" borderId="0" xfId="0" applyNumberFormat="1" applyFont="1" applyFill="1" applyAlignment="1" applyProtection="1">
      <alignment horizontal="center"/>
      <protection locked="0"/>
    </xf>
    <xf numFmtId="10" fontId="28" fillId="0" borderId="10" xfId="0" applyNumberFormat="1" applyFont="1" applyBorder="1" applyAlignment="1" applyProtection="1">
      <alignment vertical="top" wrapText="1"/>
      <protection locked="0"/>
    </xf>
    <xf numFmtId="10" fontId="45" fillId="0" borderId="10" xfId="0" applyNumberFormat="1" applyFont="1" applyBorder="1" applyProtection="1">
      <protection locked="0"/>
    </xf>
    <xf numFmtId="10" fontId="0" fillId="0" borderId="10" xfId="0" applyNumberFormat="1" applyBorder="1" applyProtection="1">
      <protection locked="0"/>
    </xf>
    <xf numFmtId="10" fontId="22" fillId="0" borderId="0" xfId="0" applyNumberFormat="1" applyFont="1" applyProtection="1">
      <protection locked="0"/>
    </xf>
    <xf numFmtId="166" fontId="21" fillId="0" borderId="10" xfId="0" applyNumberFormat="1" applyFont="1" applyBorder="1" applyProtection="1">
      <protection locked="0"/>
    </xf>
    <xf numFmtId="0" fontId="50" fillId="33" borderId="0" xfId="44" applyFont="1" applyFill="1"/>
    <xf numFmtId="0" fontId="51" fillId="33" borderId="0" xfId="44" applyFont="1" applyFill="1"/>
    <xf numFmtId="0" fontId="49" fillId="0" borderId="0" xfId="44"/>
    <xf numFmtId="0" fontId="49" fillId="33" borderId="0" xfId="44" applyFill="1"/>
    <xf numFmtId="0" fontId="49" fillId="43" borderId="0" xfId="44" applyFill="1"/>
    <xf numFmtId="0" fontId="49" fillId="35" borderId="0" xfId="44" applyFill="1"/>
    <xf numFmtId="0" fontId="51" fillId="44" borderId="10" xfId="44" applyFont="1" applyFill="1" applyBorder="1"/>
    <xf numFmtId="0" fontId="49" fillId="44" borderId="0" xfId="44" applyFill="1"/>
    <xf numFmtId="0" fontId="49" fillId="45" borderId="0" xfId="44" applyFill="1"/>
    <xf numFmtId="0" fontId="51" fillId="35" borderId="10" xfId="44" applyFont="1" applyFill="1" applyBorder="1"/>
    <xf numFmtId="0" fontId="49" fillId="46" borderId="0" xfId="44" applyFill="1"/>
    <xf numFmtId="0" fontId="49" fillId="44" borderId="11" xfId="44" applyFill="1" applyBorder="1"/>
    <xf numFmtId="0" fontId="55" fillId="45" borderId="10" xfId="44" applyFont="1" applyFill="1" applyBorder="1"/>
    <xf numFmtId="0" fontId="57" fillId="33" borderId="0" xfId="44" applyFont="1" applyFill="1"/>
    <xf numFmtId="0" fontId="58" fillId="33" borderId="0" xfId="44" applyFont="1" applyFill="1"/>
    <xf numFmtId="0" fontId="59" fillId="0" borderId="0" xfId="0" applyFont="1"/>
    <xf numFmtId="0" fontId="60" fillId="0" borderId="0" xfId="0" applyFont="1"/>
    <xf numFmtId="166" fontId="27" fillId="0" borderId="10" xfId="0" applyNumberFormat="1" applyFont="1" applyBorder="1" applyAlignment="1" applyProtection="1">
      <alignment wrapText="1"/>
      <protection locked="0"/>
    </xf>
    <xf numFmtId="0" fontId="22" fillId="0" borderId="0" xfId="0" applyFont="1" applyAlignment="1" applyProtection="1">
      <alignment horizontal="right"/>
      <protection locked="0"/>
    </xf>
    <xf numFmtId="0" fontId="31" fillId="47" borderId="10" xfId="0" applyFont="1" applyFill="1" applyBorder="1" applyAlignment="1" applyProtection="1">
      <alignment horizontal="center" vertical="center"/>
      <protection locked="0"/>
    </xf>
    <xf numFmtId="0" fontId="31" fillId="47" borderId="10" xfId="0" applyFont="1" applyFill="1" applyBorder="1" applyAlignment="1" applyProtection="1">
      <alignment horizontal="center"/>
      <protection locked="0"/>
    </xf>
    <xf numFmtId="49" fontId="31" fillId="47" borderId="10" xfId="0" applyNumberFormat="1" applyFont="1" applyFill="1" applyBorder="1" applyAlignment="1" applyProtection="1">
      <alignment horizontal="center" vertical="center"/>
      <protection locked="0"/>
    </xf>
    <xf numFmtId="0" fontId="49" fillId="33" borderId="0" xfId="44" applyFill="1" applyAlignment="1">
      <alignment vertical="center"/>
    </xf>
    <xf numFmtId="0" fontId="51" fillId="35" borderId="16" xfId="44" applyFont="1" applyFill="1" applyBorder="1"/>
    <xf numFmtId="0" fontId="55" fillId="44" borderId="28" xfId="44" applyFont="1" applyFill="1" applyBorder="1"/>
    <xf numFmtId="0" fontId="56" fillId="33" borderId="28" xfId="44" applyFont="1" applyFill="1" applyBorder="1"/>
    <xf numFmtId="0" fontId="55" fillId="45" borderId="28" xfId="44" applyFont="1" applyFill="1" applyBorder="1"/>
    <xf numFmtId="0" fontId="51" fillId="35" borderId="28" xfId="44" applyFont="1" applyFill="1" applyBorder="1"/>
    <xf numFmtId="0" fontId="56" fillId="44" borderId="28" xfId="44" applyFont="1" applyFill="1" applyBorder="1"/>
    <xf numFmtId="0" fontId="56" fillId="46" borderId="28" xfId="44" applyFont="1" applyFill="1" applyBorder="1"/>
    <xf numFmtId="0" fontId="56" fillId="35" borderId="28" xfId="44" applyFont="1" applyFill="1" applyBorder="1"/>
    <xf numFmtId="0" fontId="56" fillId="35" borderId="27" xfId="44" applyFont="1" applyFill="1" applyBorder="1"/>
    <xf numFmtId="0" fontId="55" fillId="35" borderId="28" xfId="44" applyFont="1" applyFill="1" applyBorder="1"/>
    <xf numFmtId="0" fontId="55" fillId="39" borderId="12" xfId="44" applyFont="1" applyFill="1" applyBorder="1"/>
    <xf numFmtId="0" fontId="55" fillId="45" borderId="12" xfId="44" applyFont="1" applyFill="1" applyBorder="1"/>
    <xf numFmtId="0" fontId="55" fillId="43" borderId="13" xfId="44" applyFont="1" applyFill="1" applyBorder="1"/>
    <xf numFmtId="0" fontId="51" fillId="35" borderId="29" xfId="44" applyFont="1" applyFill="1" applyBorder="1"/>
    <xf numFmtId="0" fontId="55" fillId="44" borderId="29" xfId="44" applyFont="1" applyFill="1" applyBorder="1"/>
    <xf numFmtId="0" fontId="56" fillId="33" borderId="29" xfId="44" applyFont="1" applyFill="1" applyBorder="1"/>
    <xf numFmtId="0" fontId="55" fillId="45" borderId="29" xfId="44" applyFont="1" applyFill="1" applyBorder="1"/>
    <xf numFmtId="0" fontId="56" fillId="44" borderId="29" xfId="44" applyFont="1" applyFill="1" applyBorder="1"/>
    <xf numFmtId="0" fontId="56" fillId="46" borderId="29" xfId="44" applyFont="1" applyFill="1" applyBorder="1"/>
    <xf numFmtId="0" fontId="56" fillId="35" borderId="29" xfId="44" applyFont="1" applyFill="1" applyBorder="1"/>
    <xf numFmtId="0" fontId="56" fillId="35" borderId="30" xfId="44" applyFont="1" applyFill="1" applyBorder="1"/>
    <xf numFmtId="0" fontId="55" fillId="35" borderId="29" xfId="44" applyFont="1" applyFill="1" applyBorder="1"/>
    <xf numFmtId="0" fontId="55" fillId="39" borderId="13" xfId="44" applyFont="1" applyFill="1" applyBorder="1"/>
    <xf numFmtId="0" fontId="55" fillId="45" borderId="13" xfId="44" applyFont="1" applyFill="1" applyBorder="1"/>
    <xf numFmtId="0" fontId="62" fillId="0" borderId="0" xfId="0" applyFont="1" applyAlignment="1">
      <alignment vertical="center"/>
    </xf>
    <xf numFmtId="0" fontId="34" fillId="41" borderId="0" xfId="0" applyFont="1" applyFill="1" applyAlignment="1">
      <alignment horizontal="center" vertical="center"/>
    </xf>
    <xf numFmtId="0" fontId="34" fillId="41" borderId="21" xfId="0" applyFont="1" applyFill="1" applyBorder="1" applyAlignment="1" applyProtection="1">
      <alignment vertical="center"/>
      <protection locked="0"/>
    </xf>
    <xf numFmtId="0" fontId="63" fillId="0" borderId="0" xfId="0" applyFont="1" applyAlignment="1">
      <alignment vertical="center"/>
    </xf>
    <xf numFmtId="0" fontId="64" fillId="0" borderId="0" xfId="0" applyFont="1"/>
    <xf numFmtId="0" fontId="63" fillId="0" borderId="0" xfId="0" applyFont="1"/>
    <xf numFmtId="0" fontId="64" fillId="0" borderId="0" xfId="0" applyFont="1" applyAlignment="1">
      <alignment vertical="center"/>
    </xf>
    <xf numFmtId="0" fontId="38" fillId="0" borderId="0" xfId="0" applyFont="1" applyAlignment="1">
      <alignment horizontal="left" wrapText="1"/>
    </xf>
    <xf numFmtId="0" fontId="62" fillId="0" borderId="0" xfId="0" applyFont="1"/>
    <xf numFmtId="165" fontId="31" fillId="0" borderId="10" xfId="0" applyNumberFormat="1" applyFont="1" applyBorder="1" applyProtection="1">
      <protection locked="0"/>
    </xf>
    <xf numFmtId="171" fontId="31" fillId="0" borderId="10" xfId="0" applyNumberFormat="1" applyFont="1" applyBorder="1" applyProtection="1">
      <protection locked="0"/>
    </xf>
    <xf numFmtId="0" fontId="31" fillId="48" borderId="10" xfId="0" applyFont="1" applyFill="1" applyBorder="1" applyAlignment="1" applyProtection="1">
      <alignment horizontal="center"/>
      <protection locked="0"/>
    </xf>
    <xf numFmtId="0" fontId="65" fillId="41" borderId="23" xfId="0" applyFont="1" applyFill="1" applyBorder="1" applyAlignment="1" applyProtection="1">
      <alignment vertical="center"/>
      <protection locked="0"/>
    </xf>
    <xf numFmtId="165" fontId="34" fillId="48" borderId="10" xfId="0" applyNumberFormat="1" applyFont="1" applyFill="1" applyBorder="1" applyAlignment="1" applyProtection="1">
      <alignment vertical="center"/>
      <protection locked="0"/>
    </xf>
    <xf numFmtId="0" fontId="31" fillId="48" borderId="10" xfId="0" applyFont="1" applyFill="1" applyBorder="1" applyAlignment="1" applyProtection="1">
      <alignment horizontal="left"/>
      <protection locked="0"/>
    </xf>
    <xf numFmtId="0" fontId="38" fillId="46" borderId="10" xfId="43" applyNumberFormat="1" applyFont="1" applyFill="1" applyBorder="1" applyAlignment="1"/>
    <xf numFmtId="0" fontId="38" fillId="46" borderId="10" xfId="42" applyNumberFormat="1" applyFont="1" applyFill="1" applyBorder="1" applyAlignment="1"/>
    <xf numFmtId="0" fontId="66" fillId="0" borderId="0" xfId="0" applyFont="1"/>
    <xf numFmtId="0" fontId="66" fillId="0" borderId="0" xfId="0" applyFont="1" applyAlignment="1">
      <alignment horizontal="left"/>
    </xf>
    <xf numFmtId="38" fontId="40" fillId="49" borderId="10" xfId="43" applyFont="1" applyFill="1" applyBorder="1" applyAlignment="1">
      <alignment horizontal="right"/>
    </xf>
    <xf numFmtId="0" fontId="67" fillId="0" borderId="10" xfId="0" applyFont="1" applyBorder="1" applyAlignment="1">
      <alignment vertical="center"/>
    </xf>
    <xf numFmtId="0" fontId="62" fillId="37" borderId="10" xfId="0" applyFont="1" applyFill="1" applyBorder="1"/>
    <xf numFmtId="10" fontId="62" fillId="45" borderId="10" xfId="0" applyNumberFormat="1" applyFont="1" applyFill="1" applyBorder="1"/>
    <xf numFmtId="2" fontId="62" fillId="45" borderId="10" xfId="43" applyNumberFormat="1" applyFont="1" applyFill="1" applyBorder="1" applyAlignment="1"/>
    <xf numFmtId="0" fontId="33" fillId="0" borderId="0" xfId="0" applyFont="1" applyAlignment="1" applyProtection="1">
      <alignment horizontal="center"/>
      <protection locked="0"/>
    </xf>
    <xf numFmtId="0" fontId="49" fillId="35" borderId="10" xfId="44" applyFill="1" applyBorder="1"/>
    <xf numFmtId="0" fontId="49" fillId="44" borderId="10" xfId="44" applyFill="1" applyBorder="1"/>
    <xf numFmtId="0" fontId="55" fillId="43" borderId="10" xfId="44" applyFont="1" applyFill="1" applyBorder="1" applyAlignment="1">
      <alignment horizontal="center" vertical="center" wrapText="1"/>
    </xf>
    <xf numFmtId="39" fontId="49" fillId="0" borderId="10" xfId="44" applyNumberFormat="1" applyBorder="1" applyAlignment="1">
      <alignment horizontal="right"/>
    </xf>
    <xf numFmtId="0" fontId="49" fillId="0" borderId="10" xfId="44" applyBorder="1"/>
    <xf numFmtId="0" fontId="61" fillId="47" borderId="0" xfId="44" applyFont="1" applyFill="1" applyProtection="1">
      <protection locked="0"/>
    </xf>
    <xf numFmtId="0" fontId="52" fillId="47" borderId="0" xfId="44" applyFont="1" applyFill="1" applyProtection="1">
      <protection locked="0"/>
    </xf>
    <xf numFmtId="0" fontId="51" fillId="47" borderId="0" xfId="44" applyFont="1" applyFill="1" applyProtection="1">
      <protection locked="0"/>
    </xf>
    <xf numFmtId="0" fontId="49" fillId="47" borderId="0" xfId="44" applyFill="1"/>
    <xf numFmtId="0" fontId="50" fillId="47" borderId="0" xfId="44" applyFont="1" applyFill="1" applyProtection="1">
      <protection locked="0"/>
    </xf>
    <xf numFmtId="0" fontId="54" fillId="47" borderId="0" xfId="44" applyFont="1" applyFill="1" applyAlignment="1" applyProtection="1">
      <alignment horizontal="center"/>
      <protection locked="0"/>
    </xf>
    <xf numFmtId="0" fontId="52" fillId="47" borderId="0" xfId="44" applyFont="1" applyFill="1" applyAlignment="1" applyProtection="1">
      <alignment horizontal="right" vertical="top"/>
      <protection locked="0"/>
    </xf>
    <xf numFmtId="0" fontId="52" fillId="47" borderId="0" xfId="44" applyFont="1" applyFill="1" applyAlignment="1" applyProtection="1">
      <alignment horizontal="left" vertical="top"/>
      <protection locked="0"/>
    </xf>
    <xf numFmtId="0" fontId="49" fillId="47" borderId="0" xfId="44" applyFill="1" applyAlignment="1" applyProtection="1">
      <alignment vertical="top"/>
      <protection locked="0"/>
    </xf>
    <xf numFmtId="0" fontId="53" fillId="47" borderId="0" xfId="44" applyFont="1" applyFill="1" applyAlignment="1" applyProtection="1">
      <alignment horizontal="right" vertical="top"/>
      <protection locked="0"/>
    </xf>
    <xf numFmtId="0" fontId="53" fillId="47" borderId="0" xfId="44" applyFont="1" applyFill="1" applyAlignment="1" applyProtection="1">
      <alignment vertical="top"/>
      <protection locked="0"/>
    </xf>
    <xf numFmtId="0" fontId="52" fillId="47" borderId="0" xfId="44" applyFont="1" applyFill="1" applyAlignment="1" applyProtection="1">
      <alignment horizontal="right"/>
      <protection locked="0"/>
    </xf>
    <xf numFmtId="0" fontId="37" fillId="47" borderId="10" xfId="44" applyFont="1" applyFill="1" applyBorder="1" applyProtection="1">
      <protection locked="0"/>
    </xf>
    <xf numFmtId="0" fontId="49" fillId="47" borderId="0" xfId="44" applyFill="1" applyProtection="1">
      <protection locked="0"/>
    </xf>
    <xf numFmtId="0" fontId="55" fillId="43" borderId="12" xfId="44" applyFont="1" applyFill="1" applyBorder="1" applyAlignment="1">
      <alignment vertical="center"/>
    </xf>
    <xf numFmtId="39" fontId="52" fillId="0" borderId="10" xfId="44" applyNumberFormat="1" applyFont="1" applyBorder="1" applyAlignment="1">
      <alignment horizontal="right"/>
    </xf>
    <xf numFmtId="164" fontId="51" fillId="33" borderId="10" xfId="44" applyNumberFormat="1" applyFont="1" applyFill="1" applyBorder="1"/>
    <xf numFmtId="164" fontId="51" fillId="35" borderId="10" xfId="44" applyNumberFormat="1" applyFont="1" applyFill="1" applyBorder="1"/>
    <xf numFmtId="164" fontId="51" fillId="44" borderId="10" xfId="44" applyNumberFormat="1" applyFont="1" applyFill="1" applyBorder="1"/>
    <xf numFmtId="164" fontId="55" fillId="43" borderId="10" xfId="44" applyNumberFormat="1" applyFont="1" applyFill="1" applyBorder="1" applyAlignment="1">
      <alignment horizontal="center" vertical="center" wrapText="1"/>
    </xf>
    <xf numFmtId="164" fontId="51" fillId="47" borderId="10" xfId="44" applyNumberFormat="1" applyFont="1" applyFill="1" applyBorder="1"/>
    <xf numFmtId="164" fontId="55" fillId="33" borderId="10" xfId="44" applyNumberFormat="1" applyFont="1" applyFill="1" applyBorder="1"/>
    <xf numFmtId="165" fontId="31" fillId="0" borderId="0" xfId="0" applyNumberFormat="1" applyFont="1" applyAlignment="1" applyProtection="1">
      <alignment horizontal="center"/>
      <protection locked="0"/>
    </xf>
    <xf numFmtId="0" fontId="47" fillId="42" borderId="21" xfId="0" applyFont="1" applyFill="1" applyBorder="1" applyAlignment="1">
      <alignment horizontal="left" vertical="center" wrapText="1"/>
    </xf>
    <xf numFmtId="0" fontId="47" fillId="42" borderId="0" xfId="0" applyFont="1" applyFill="1" applyAlignment="1">
      <alignment horizontal="center"/>
    </xf>
    <xf numFmtId="0" fontId="47" fillId="42" borderId="0" xfId="0" applyFont="1" applyFill="1" applyAlignment="1">
      <alignment horizontal="center" vertical="center"/>
    </xf>
    <xf numFmtId="0" fontId="48" fillId="42" borderId="0" xfId="0" applyFont="1" applyFill="1" applyAlignment="1">
      <alignment vertical="center"/>
    </xf>
    <xf numFmtId="0" fontId="47" fillId="42" borderId="0" xfId="0" applyFont="1" applyFill="1" applyAlignment="1">
      <alignment horizontal="right"/>
    </xf>
    <xf numFmtId="0" fontId="48" fillId="42" borderId="0" xfId="0" applyFont="1" applyFill="1" applyAlignment="1">
      <alignment horizontal="right" vertical="center"/>
    </xf>
    <xf numFmtId="38" fontId="48" fillId="42" borderId="22" xfId="0" applyNumberFormat="1" applyFont="1" applyFill="1" applyBorder="1" applyAlignment="1">
      <alignment vertical="center"/>
    </xf>
    <xf numFmtId="171" fontId="31" fillId="0" borderId="15" xfId="0" applyNumberFormat="1" applyFont="1" applyBorder="1" applyProtection="1">
      <protection locked="0"/>
    </xf>
    <xf numFmtId="0" fontId="31" fillId="0" borderId="10" xfId="0" applyFont="1" applyBorder="1" applyAlignment="1">
      <alignment vertical="center"/>
    </xf>
    <xf numFmtId="0" fontId="31" fillId="38" borderId="10" xfId="0" applyFont="1" applyFill="1" applyBorder="1" applyAlignment="1">
      <alignment horizontal="left" vertical="center"/>
    </xf>
    <xf numFmtId="0" fontId="31" fillId="38" borderId="10" xfId="0" applyFont="1" applyFill="1" applyBorder="1" applyAlignment="1">
      <alignment horizontal="center" vertical="center"/>
    </xf>
    <xf numFmtId="0" fontId="33" fillId="38" borderId="10" xfId="0" applyFont="1" applyFill="1" applyBorder="1" applyAlignment="1">
      <alignment horizontal="right" vertical="center"/>
    </xf>
    <xf numFmtId="38" fontId="33" fillId="38" borderId="10" xfId="0" applyNumberFormat="1" applyFont="1" applyFill="1" applyBorder="1" applyAlignment="1">
      <alignment horizontal="right" vertical="center"/>
    </xf>
    <xf numFmtId="0" fontId="31" fillId="0" borderId="10" xfId="0" applyFont="1" applyBorder="1" applyProtection="1">
      <protection locked="0"/>
    </xf>
    <xf numFmtId="14" fontId="31" fillId="0" borderId="10" xfId="0" applyNumberFormat="1" applyFont="1" applyBorder="1" applyAlignment="1" applyProtection="1">
      <alignment horizontal="center" vertical="center"/>
      <protection locked="0"/>
    </xf>
    <xf numFmtId="38" fontId="31" fillId="0" borderId="10" xfId="43" applyFont="1" applyBorder="1" applyAlignment="1" applyProtection="1">
      <alignment horizontal="right" vertical="center"/>
      <protection locked="0"/>
    </xf>
    <xf numFmtId="172" fontId="31" fillId="0" borderId="10" xfId="0" applyNumberFormat="1" applyFont="1" applyBorder="1" applyProtection="1">
      <protection locked="0"/>
    </xf>
    <xf numFmtId="165" fontId="31" fillId="0" borderId="10" xfId="0" applyNumberFormat="1" applyFont="1" applyBorder="1" applyAlignment="1" applyProtection="1">
      <alignment horizontal="center"/>
      <protection locked="0"/>
    </xf>
    <xf numFmtId="38" fontId="31" fillId="0" borderId="10" xfId="43" applyFont="1" applyBorder="1" applyAlignment="1" applyProtection="1">
      <alignment horizontal="right"/>
      <protection locked="0"/>
    </xf>
    <xf numFmtId="0" fontId="31" fillId="0" borderId="10" xfId="0" applyFont="1" applyBorder="1" applyAlignment="1" applyProtection="1">
      <alignment horizontal="right"/>
      <protection locked="0"/>
    </xf>
    <xf numFmtId="0" fontId="31" fillId="0" borderId="10" xfId="0" applyFont="1" applyBorder="1" applyAlignment="1" applyProtection="1">
      <alignment horizontal="right" vertical="center"/>
      <protection locked="0"/>
    </xf>
    <xf numFmtId="14" fontId="31" fillId="0" borderId="10" xfId="0" applyNumberFormat="1" applyFont="1" applyBorder="1" applyAlignment="1" applyProtection="1">
      <alignment horizontal="center"/>
      <protection locked="0"/>
    </xf>
    <xf numFmtId="165" fontId="31" fillId="0" borderId="10" xfId="0" applyNumberFormat="1" applyFont="1" applyBorder="1" applyAlignment="1">
      <alignment horizontal="center"/>
    </xf>
    <xf numFmtId="0" fontId="51" fillId="43" borderId="0" xfId="44" applyFont="1" applyFill="1" applyAlignment="1">
      <alignment wrapText="1"/>
    </xf>
    <xf numFmtId="0" fontId="51" fillId="0" borderId="0" xfId="44" applyFont="1"/>
    <xf numFmtId="0" fontId="68" fillId="43" borderId="28" xfId="44" applyFont="1" applyFill="1" applyBorder="1" applyAlignment="1">
      <alignment wrapText="1"/>
    </xf>
    <xf numFmtId="0" fontId="0" fillId="0" borderId="0" xfId="0" quotePrefix="1"/>
    <xf numFmtId="0" fontId="16" fillId="0" borderId="0" xfId="0" applyFont="1"/>
    <xf numFmtId="164" fontId="51" fillId="33" borderId="10" xfId="44" quotePrefix="1" applyNumberFormat="1" applyFont="1" applyFill="1" applyBorder="1"/>
    <xf numFmtId="38" fontId="22" fillId="0" borderId="10" xfId="43" applyFont="1" applyBorder="1" applyAlignment="1" applyProtection="1">
      <alignment horizontal="right"/>
      <protection locked="0"/>
    </xf>
    <xf numFmtId="165" fontId="34" fillId="48" borderId="10" xfId="0" applyNumberFormat="1" applyFont="1" applyFill="1" applyBorder="1" applyAlignment="1" applyProtection="1">
      <alignment horizontal="center" vertical="center"/>
      <protection locked="0"/>
    </xf>
    <xf numFmtId="165" fontId="34" fillId="0" borderId="10" xfId="0" applyNumberFormat="1" applyFont="1" applyBorder="1" applyAlignment="1" applyProtection="1">
      <alignment horizontal="center" vertical="center"/>
      <protection locked="0"/>
    </xf>
    <xf numFmtId="0" fontId="31" fillId="0" borderId="10" xfId="0" applyFont="1" applyBorder="1" applyAlignment="1" applyProtection="1">
      <alignment horizontal="center" vertical="center"/>
      <protection locked="0"/>
    </xf>
    <xf numFmtId="0" fontId="33" fillId="0" borderId="16" xfId="0" applyFont="1" applyBorder="1" applyAlignment="1">
      <alignment horizontal="center"/>
    </xf>
    <xf numFmtId="0" fontId="33" fillId="0" borderId="17" xfId="0" applyFont="1" applyBorder="1" applyAlignment="1">
      <alignment horizontal="center"/>
    </xf>
    <xf numFmtId="14" fontId="31" fillId="38" borderId="10" xfId="0" applyNumberFormat="1" applyFont="1" applyFill="1" applyBorder="1" applyAlignment="1">
      <alignment horizontal="left" vertical="center" wrapText="1"/>
    </xf>
    <xf numFmtId="0" fontId="34" fillId="35" borderId="23" xfId="0" applyFont="1" applyFill="1" applyBorder="1" applyAlignment="1">
      <alignment horizontal="left" vertical="center" wrapText="1"/>
    </xf>
    <xf numFmtId="0" fontId="34" fillId="35" borderId="24" xfId="0" applyFont="1" applyFill="1" applyBorder="1" applyAlignment="1">
      <alignment horizontal="left" vertical="center" wrapText="1"/>
    </xf>
    <xf numFmtId="0" fontId="34" fillId="35" borderId="18" xfId="0" applyFont="1" applyFill="1" applyBorder="1" applyAlignment="1">
      <alignment horizontal="left" vertical="center"/>
    </xf>
    <xf numFmtId="0" fontId="34" fillId="35" borderId="19" xfId="0" applyFont="1" applyFill="1" applyBorder="1" applyAlignment="1">
      <alignment horizontal="left" vertical="center"/>
    </xf>
    <xf numFmtId="0" fontId="34" fillId="35" borderId="21" xfId="0" applyFont="1" applyFill="1" applyBorder="1" applyAlignment="1">
      <alignment horizontal="left" vertical="center"/>
    </xf>
    <xf numFmtId="0" fontId="34" fillId="35" borderId="0" xfId="0" applyFont="1" applyFill="1" applyAlignment="1">
      <alignment horizontal="left" vertical="center"/>
    </xf>
    <xf numFmtId="0" fontId="38" fillId="0" borderId="0" xfId="0" applyFont="1" applyAlignment="1">
      <alignment horizontal="left" wrapText="1"/>
    </xf>
    <xf numFmtId="0" fontId="38" fillId="0" borderId="0" xfId="0" applyFont="1" applyAlignment="1">
      <alignment horizontal="center" vertical="center" wrapText="1"/>
    </xf>
    <xf numFmtId="0" fontId="38" fillId="0" borderId="0" xfId="0" applyFont="1" applyAlignment="1">
      <alignment horizontal="left" vertical="center" wrapText="1"/>
    </xf>
    <xf numFmtId="0" fontId="22" fillId="0" borderId="12" xfId="0" applyFont="1" applyBorder="1" applyAlignment="1" applyProtection="1">
      <alignment horizontal="left"/>
      <protection locked="0"/>
    </xf>
    <xf numFmtId="0" fontId="22" fillId="0" borderId="13" xfId="0" applyFont="1" applyBorder="1" applyAlignment="1" applyProtection="1">
      <alignment horizontal="left"/>
      <protection locked="0"/>
    </xf>
    <xf numFmtId="0" fontId="37" fillId="0" borderId="0" xfId="0" applyFont="1" applyAlignment="1">
      <alignment horizontal="center"/>
    </xf>
    <xf numFmtId="0" fontId="22" fillId="0" borderId="0" xfId="0" applyFont="1" applyAlignment="1">
      <alignment horizontal="center" wrapText="1"/>
    </xf>
    <xf numFmtId="0" fontId="22" fillId="0" borderId="0" xfId="0" applyFont="1" applyAlignment="1">
      <alignment horizontal="left" wrapText="1"/>
    </xf>
    <xf numFmtId="0" fontId="30" fillId="0" borderId="10" xfId="0" applyFont="1" applyBorder="1" applyAlignment="1">
      <alignment vertical="center"/>
    </xf>
    <xf numFmtId="0" fontId="30" fillId="0" borderId="10" xfId="0" applyFont="1" applyBorder="1" applyAlignment="1">
      <alignment vertical="center" wrapText="1"/>
    </xf>
    <xf numFmtId="10" fontId="30" fillId="0" borderId="10" xfId="0" applyNumberFormat="1" applyFont="1" applyBorder="1" applyAlignment="1">
      <alignment vertical="center" wrapText="1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54" fillId="47" borderId="0" xfId="44" applyFont="1" applyFill="1" applyAlignment="1" applyProtection="1">
      <alignment horizontal="center"/>
      <protection locked="0"/>
    </xf>
    <xf numFmtId="0" fontId="52" fillId="0" borderId="10" xfId="44" applyFont="1" applyBorder="1" applyAlignment="1">
      <alignment horizontal="center"/>
    </xf>
    <xf numFmtId="0" fontId="49" fillId="33" borderId="0" xfId="44" applyFill="1" applyAlignment="1">
      <alignment vertical="center"/>
    </xf>
    <xf numFmtId="0" fontId="50" fillId="47" borderId="0" xfId="44" applyFont="1" applyFill="1"/>
    <xf numFmtId="0" fontId="49" fillId="47" borderId="0" xfId="44" applyFill="1"/>
    <xf numFmtId="0" fontId="50" fillId="33" borderId="0" xfId="44" applyFont="1" applyFill="1"/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[0]" xfId="43" builtinId="6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4" xr:uid="{00000000-0005-0000-0000-000026000000}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FFFFCC"/>
      <color rgb="FFE9C2C1"/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image" Target="../media/image13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6" Type="http://schemas.openxmlformats.org/officeDocument/2006/relationships/image" Target="../media/image16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6.emf"/><Relationship Id="rId9" Type="http://schemas.openxmlformats.org/officeDocument/2006/relationships/image" Target="../media/image1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190500</xdr:rowOff>
        </xdr:from>
        <xdr:to>
          <xdr:col>7</xdr:col>
          <xdr:colOff>746760</xdr:colOff>
          <xdr:row>9</xdr:row>
          <xdr:rowOff>205740</xdr:rowOff>
        </xdr:to>
        <xdr:sp macro="" textlink="">
          <xdr:nvSpPr>
            <xdr:cNvPr id="2061" name="cbCheckInDay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10</xdr:row>
          <xdr:rowOff>76200</xdr:rowOff>
        </xdr:from>
        <xdr:to>
          <xdr:col>4</xdr:col>
          <xdr:colOff>30480</xdr:colOff>
          <xdr:row>10</xdr:row>
          <xdr:rowOff>350520</xdr:rowOff>
        </xdr:to>
        <xdr:sp macro="" textlink="">
          <xdr:nvSpPr>
            <xdr:cNvPr id="2062" name="cmbCountr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792480</xdr:colOff>
          <xdr:row>10</xdr:row>
          <xdr:rowOff>358140</xdr:rowOff>
        </xdr:to>
        <xdr:sp macro="" textlink="">
          <xdr:nvSpPr>
            <xdr:cNvPr id="2067" name="cmdAdd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144780</xdr:colOff>
          <xdr:row>9</xdr:row>
          <xdr:rowOff>38100</xdr:rowOff>
        </xdr:from>
        <xdr:to>
          <xdr:col>3</xdr:col>
          <xdr:colOff>114300</xdr:colOff>
          <xdr:row>10</xdr:row>
          <xdr:rowOff>7620</xdr:rowOff>
        </xdr:to>
        <xdr:sp macro="" textlink="">
          <xdr:nvSpPr>
            <xdr:cNvPr id="2068" name="cmbRoomNo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1607820</xdr:colOff>
          <xdr:row>5</xdr:row>
          <xdr:rowOff>7620</xdr:rowOff>
        </xdr:from>
        <xdr:to>
          <xdr:col>4</xdr:col>
          <xdr:colOff>876300</xdr:colOff>
          <xdr:row>6</xdr:row>
          <xdr:rowOff>0</xdr:rowOff>
        </xdr:to>
        <xdr:sp macro="" textlink="">
          <xdr:nvSpPr>
            <xdr:cNvPr id="2069" name="cmbMonth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518160</xdr:colOff>
          <xdr:row>5</xdr:row>
          <xdr:rowOff>22860</xdr:rowOff>
        </xdr:from>
        <xdr:to>
          <xdr:col>3</xdr:col>
          <xdr:colOff>975360</xdr:colOff>
          <xdr:row>6</xdr:row>
          <xdr:rowOff>15240</xdr:rowOff>
        </xdr:to>
        <xdr:sp macro="" textlink="">
          <xdr:nvSpPr>
            <xdr:cNvPr id="2070" name="cmbYear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144780</xdr:colOff>
          <xdr:row>8</xdr:row>
          <xdr:rowOff>30480</xdr:rowOff>
        </xdr:from>
        <xdr:to>
          <xdr:col>3</xdr:col>
          <xdr:colOff>114300</xdr:colOff>
          <xdr:row>8</xdr:row>
          <xdr:rowOff>304800</xdr:rowOff>
        </xdr:to>
        <xdr:sp macro="" textlink="">
          <xdr:nvSpPr>
            <xdr:cNvPr id="2071" name="cmbDay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9</xdr:row>
          <xdr:rowOff>38100</xdr:rowOff>
        </xdr:from>
        <xdr:to>
          <xdr:col>4</xdr:col>
          <xdr:colOff>769620</xdr:colOff>
          <xdr:row>10</xdr:row>
          <xdr:rowOff>7620</xdr:rowOff>
        </xdr:to>
        <xdr:sp macro="" textlink="">
          <xdr:nvSpPr>
            <xdr:cNvPr id="2072" name="cmbNoGuest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518160</xdr:colOff>
          <xdr:row>6</xdr:row>
          <xdr:rowOff>30480</xdr:rowOff>
        </xdr:from>
        <xdr:to>
          <xdr:col>3</xdr:col>
          <xdr:colOff>601980</xdr:colOff>
          <xdr:row>7</xdr:row>
          <xdr:rowOff>15240</xdr:rowOff>
        </xdr:to>
        <xdr:sp macro="" textlink="">
          <xdr:nvSpPr>
            <xdr:cNvPr id="2074" name="cmbNoOfRoom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121920</xdr:colOff>
          <xdr:row>5</xdr:row>
          <xdr:rowOff>76200</xdr:rowOff>
        </xdr:from>
        <xdr:to>
          <xdr:col>7</xdr:col>
          <xdr:colOff>137160</xdr:colOff>
          <xdr:row>7</xdr:row>
          <xdr:rowOff>243840</xdr:rowOff>
        </xdr:to>
        <xdr:sp macro="" textlink="">
          <xdr:nvSpPr>
            <xdr:cNvPr id="2078" name="cmdSummaryReport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144780</xdr:colOff>
          <xdr:row>10</xdr:row>
          <xdr:rowOff>83820</xdr:rowOff>
        </xdr:from>
        <xdr:to>
          <xdr:col>5</xdr:col>
          <xdr:colOff>800100</xdr:colOff>
          <xdr:row>10</xdr:row>
          <xdr:rowOff>342900</xdr:rowOff>
        </xdr:to>
        <xdr:sp macro="" textlink="">
          <xdr:nvSpPr>
            <xdr:cNvPr id="2085" name="txtDailyRate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1623060</xdr:colOff>
          <xdr:row>6</xdr:row>
          <xdr:rowOff>30480</xdr:rowOff>
        </xdr:from>
        <xdr:to>
          <xdr:col>4</xdr:col>
          <xdr:colOff>891540</xdr:colOff>
          <xdr:row>7</xdr:row>
          <xdr:rowOff>22860</xdr:rowOff>
        </xdr:to>
        <xdr:sp macro="" textlink="">
          <xdr:nvSpPr>
            <xdr:cNvPr id="2093" name="ComboBox1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289560</xdr:colOff>
          <xdr:row>7</xdr:row>
          <xdr:rowOff>30480</xdr:rowOff>
        </xdr:from>
        <xdr:to>
          <xdr:col>4</xdr:col>
          <xdr:colOff>944880</xdr:colOff>
          <xdr:row>7</xdr:row>
          <xdr:rowOff>259080</xdr:rowOff>
        </xdr:to>
        <xdr:sp macro="" textlink="">
          <xdr:nvSpPr>
            <xdr:cNvPr id="2100" name="txtNoPreviousDay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2</xdr:row>
          <xdr:rowOff>38100</xdr:rowOff>
        </xdr:from>
        <xdr:to>
          <xdr:col>5</xdr:col>
          <xdr:colOff>1089660</xdr:colOff>
          <xdr:row>2</xdr:row>
          <xdr:rowOff>373380</xdr:rowOff>
        </xdr:to>
        <xdr:sp macro="" textlink="">
          <xdr:nvSpPr>
            <xdr:cNvPr id="2103" name="txtMunicipality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3</xdr:row>
          <xdr:rowOff>0</xdr:rowOff>
        </xdr:from>
        <xdr:to>
          <xdr:col>5</xdr:col>
          <xdr:colOff>1089660</xdr:colOff>
          <xdr:row>3</xdr:row>
          <xdr:rowOff>335280</xdr:rowOff>
        </xdr:to>
        <xdr:sp macro="" textlink="">
          <xdr:nvSpPr>
            <xdr:cNvPr id="2104" name="txtAE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1</xdr:row>
          <xdr:rowOff>83820</xdr:rowOff>
        </xdr:from>
        <xdr:to>
          <xdr:col>5</xdr:col>
          <xdr:colOff>1104900</xdr:colOff>
          <xdr:row>1</xdr:row>
          <xdr:rowOff>419100</xdr:rowOff>
        </xdr:to>
        <xdr:sp macro="" textlink="">
          <xdr:nvSpPr>
            <xdr:cNvPr id="2105" name="ComboBox2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365760</xdr:colOff>
          <xdr:row>9</xdr:row>
          <xdr:rowOff>38100</xdr:rowOff>
        </xdr:from>
        <xdr:to>
          <xdr:col>7</xdr:col>
          <xdr:colOff>480060</xdr:colOff>
          <xdr:row>10</xdr:row>
          <xdr:rowOff>0</xdr:rowOff>
        </xdr:to>
        <xdr:sp macro="" textlink="">
          <xdr:nvSpPr>
            <xdr:cNvPr id="14338" name="cmdGenerateDailyReport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2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T10000"/>
  <sheetViews>
    <sheetView showGridLines="0" topLeftCell="A7" zoomScale="115" zoomScaleNormal="115" zoomScaleSheetLayoutView="80" workbookViewId="0">
      <selection activeCell="D16" sqref="D16"/>
    </sheetView>
  </sheetViews>
  <sheetFormatPr defaultColWidth="9" defaultRowHeight="13.2"/>
  <cols>
    <col min="1" max="1" width="1" style="61" customWidth="1"/>
    <col min="2" max="2" width="17" style="58" customWidth="1"/>
    <col min="3" max="3" width="10.5546875" style="58" customWidth="1"/>
    <col min="4" max="4" width="33.6640625" style="58" customWidth="1"/>
    <col min="5" max="5" width="14.109375" style="58" customWidth="1"/>
    <col min="6" max="6" width="19.6640625" style="58" customWidth="1"/>
    <col min="7" max="7" width="12.88671875" style="59" customWidth="1"/>
    <col min="8" max="8" width="12.88671875" style="60" customWidth="1"/>
    <col min="9" max="10" width="21.33203125" style="61" customWidth="1"/>
    <col min="11" max="11" width="21.5546875" style="61" customWidth="1"/>
    <col min="12" max="12" width="8.88671875" style="61" hidden="1" customWidth="1"/>
    <col min="13" max="13" width="7.5546875" style="61" hidden="1" customWidth="1"/>
    <col min="14" max="14" width="10.44140625" style="61" customWidth="1"/>
    <col min="15" max="16" width="9" style="61" hidden="1" customWidth="1"/>
    <col min="17" max="17" width="3.5546875" style="61" customWidth="1"/>
    <col min="18" max="16384" width="9" style="61"/>
  </cols>
  <sheetData>
    <row r="1" spans="1:20" ht="23.25" customHeight="1" thickBot="1">
      <c r="A1" s="64"/>
      <c r="B1" s="65"/>
      <c r="C1" s="66"/>
      <c r="D1" s="66"/>
      <c r="E1" s="67"/>
      <c r="F1" s="67"/>
      <c r="G1" s="289" t="s">
        <v>135</v>
      </c>
      <c r="H1" s="290"/>
    </row>
    <row r="2" spans="1:20" s="62" customFormat="1" ht="35.25" customHeight="1">
      <c r="A2" s="68"/>
      <c r="B2" s="294" t="s">
        <v>588</v>
      </c>
      <c r="C2" s="295"/>
      <c r="D2" s="111"/>
      <c r="E2" s="112"/>
      <c r="F2" s="112"/>
      <c r="G2" s="113"/>
      <c r="H2" s="114"/>
    </row>
    <row r="3" spans="1:20" s="62" customFormat="1" ht="30.75" customHeight="1">
      <c r="A3" s="68"/>
      <c r="B3" s="296" t="s">
        <v>546</v>
      </c>
      <c r="C3" s="297"/>
      <c r="D3" s="109"/>
      <c r="E3" s="110"/>
      <c r="F3" s="110"/>
      <c r="G3" s="108"/>
      <c r="H3" s="115"/>
    </row>
    <row r="4" spans="1:20" s="62" customFormat="1" ht="31.5" customHeight="1" thickBot="1">
      <c r="A4" s="68"/>
      <c r="B4" s="292" t="s">
        <v>547</v>
      </c>
      <c r="C4" s="293"/>
      <c r="D4" s="116"/>
      <c r="E4" s="117"/>
      <c r="F4" s="117"/>
      <c r="G4" s="118"/>
      <c r="H4" s="119"/>
    </row>
    <row r="5" spans="1:20" s="62" customFormat="1" ht="6.75" customHeight="1" thickBot="1">
      <c r="A5" s="68"/>
      <c r="B5" s="107"/>
      <c r="C5" s="103"/>
      <c r="D5" s="104"/>
      <c r="E5" s="105"/>
      <c r="F5" s="105"/>
      <c r="G5" s="106"/>
      <c r="H5" s="106"/>
    </row>
    <row r="6" spans="1:20" s="62" customFormat="1" ht="22.5" customHeight="1">
      <c r="A6" s="68"/>
      <c r="B6" s="101" t="s">
        <v>139</v>
      </c>
      <c r="C6" s="70"/>
      <c r="D6" s="73"/>
      <c r="E6" s="74"/>
      <c r="F6" s="74"/>
      <c r="G6" s="71"/>
      <c r="H6" s="72"/>
    </row>
    <row r="7" spans="1:20" s="62" customFormat="1" ht="22.5" customHeight="1">
      <c r="A7" s="68"/>
      <c r="B7" s="205" t="s">
        <v>142</v>
      </c>
      <c r="C7" s="75"/>
      <c r="D7" s="204" t="s">
        <v>541</v>
      </c>
      <c r="E7" s="77"/>
      <c r="F7" s="77"/>
      <c r="G7" s="76"/>
      <c r="H7" s="85"/>
    </row>
    <row r="8" spans="1:20" s="62" customFormat="1" ht="22.5" customHeight="1" thickBot="1">
      <c r="A8" s="68"/>
      <c r="B8" s="215" t="s">
        <v>146</v>
      </c>
      <c r="C8" s="78"/>
      <c r="D8" s="79"/>
      <c r="E8" s="80"/>
      <c r="F8" s="80"/>
      <c r="G8" s="81"/>
      <c r="H8" s="82"/>
    </row>
    <row r="9" spans="1:20" s="62" customFormat="1" ht="26.25" customHeight="1">
      <c r="A9" s="68"/>
      <c r="B9" s="96" t="s">
        <v>138</v>
      </c>
      <c r="C9" s="88"/>
      <c r="D9" s="99"/>
      <c r="E9" s="89"/>
      <c r="F9" s="88"/>
      <c r="G9" s="90"/>
      <c r="H9" s="91" t="s">
        <v>608</v>
      </c>
    </row>
    <row r="10" spans="1:20" s="62" customFormat="1" ht="24" customHeight="1">
      <c r="A10" s="68"/>
      <c r="B10" s="97" t="s">
        <v>158</v>
      </c>
      <c r="C10" s="83"/>
      <c r="D10" s="86" t="s">
        <v>157</v>
      </c>
      <c r="E10" s="83"/>
      <c r="F10" s="83"/>
      <c r="G10" s="87"/>
      <c r="H10" s="84"/>
    </row>
    <row r="11" spans="1:20" ht="30" customHeight="1" thickBot="1">
      <c r="A11" s="64"/>
      <c r="B11" s="98" t="s">
        <v>152</v>
      </c>
      <c r="C11" s="92"/>
      <c r="D11" s="95"/>
      <c r="E11" s="100" t="s">
        <v>155</v>
      </c>
      <c r="F11" s="92"/>
      <c r="G11" s="93"/>
      <c r="H11" s="94"/>
    </row>
    <row r="12" spans="1:20" ht="53.25" customHeight="1">
      <c r="A12" s="64"/>
      <c r="B12" s="256"/>
      <c r="C12" s="257"/>
      <c r="D12" s="258"/>
      <c r="E12" s="259"/>
      <c r="F12" s="260"/>
      <c r="G12" s="261"/>
      <c r="H12" s="262"/>
      <c r="I12" s="227" t="s">
        <v>611</v>
      </c>
      <c r="J12" s="227" t="s">
        <v>612</v>
      </c>
      <c r="K12" s="227" t="s">
        <v>607</v>
      </c>
      <c r="L12" s="227"/>
      <c r="M12" s="227"/>
      <c r="N12" s="227"/>
    </row>
    <row r="13" spans="1:20" s="120" customFormat="1" ht="17.399999999999999">
      <c r="A13" s="264"/>
      <c r="B13" s="291"/>
      <c r="C13" s="291"/>
      <c r="D13" s="265"/>
      <c r="E13" s="266"/>
      <c r="F13" s="267" t="s">
        <v>537</v>
      </c>
      <c r="G13" s="267"/>
      <c r="H13" s="268">
        <f>SUM(H15:H1001)</f>
        <v>3800</v>
      </c>
      <c r="I13" s="216">
        <f>SUM(I15:I636)</f>
        <v>2000</v>
      </c>
      <c r="J13" s="216">
        <f>SUM(J15:J636)</f>
        <v>3000</v>
      </c>
      <c r="K13" s="216">
        <f>SUM(K15:K636)</f>
        <v>8800</v>
      </c>
      <c r="L13" s="287"/>
      <c r="M13" s="287"/>
      <c r="N13" s="287"/>
      <c r="R13" s="286" t="s">
        <v>639</v>
      </c>
      <c r="S13" s="286"/>
      <c r="T13" s="286"/>
    </row>
    <row r="14" spans="1:20" ht="17.25" customHeight="1">
      <c r="A14" s="269"/>
      <c r="B14" s="270" t="s">
        <v>150</v>
      </c>
      <c r="C14" s="54" t="s">
        <v>151</v>
      </c>
      <c r="D14" s="54" t="s">
        <v>152</v>
      </c>
      <c r="E14" s="54" t="s">
        <v>154</v>
      </c>
      <c r="F14" s="54" t="s">
        <v>153</v>
      </c>
      <c r="G14" s="288" t="s">
        <v>160</v>
      </c>
      <c r="H14" s="288"/>
      <c r="I14" s="217" t="s">
        <v>610</v>
      </c>
      <c r="J14" s="217" t="s">
        <v>609</v>
      </c>
      <c r="K14" s="214" t="s">
        <v>606</v>
      </c>
      <c r="L14" s="55"/>
      <c r="M14" s="55"/>
      <c r="N14" s="55"/>
      <c r="R14" s="214" t="s">
        <v>640</v>
      </c>
      <c r="S14" s="214" t="s">
        <v>641</v>
      </c>
      <c r="T14" s="214" t="s">
        <v>642</v>
      </c>
    </row>
    <row r="15" spans="1:20">
      <c r="A15" s="269"/>
      <c r="B15" s="53">
        <v>45292</v>
      </c>
      <c r="C15" s="175">
        <v>1</v>
      </c>
      <c r="D15" s="55" t="s">
        <v>198</v>
      </c>
      <c r="E15" s="175">
        <v>1</v>
      </c>
      <c r="F15" s="56" t="s">
        <v>665</v>
      </c>
      <c r="G15" s="271"/>
      <c r="H15" s="271">
        <v>950</v>
      </c>
      <c r="I15" s="213">
        <v>200</v>
      </c>
      <c r="J15" s="213">
        <v>300</v>
      </c>
      <c r="K15" s="212">
        <f t="shared" ref="K15:K16" si="0">I15+H15+J15</f>
        <v>1450</v>
      </c>
      <c r="L15" s="272">
        <f>YEAR(B15)</f>
        <v>2024</v>
      </c>
      <c r="M15" s="272">
        <f>MONTH(B15)</f>
        <v>1</v>
      </c>
      <c r="N15" s="273"/>
      <c r="O15" s="61">
        <f t="shared" ref="O15:O16" si="1">YEAR(B15)</f>
        <v>2024</v>
      </c>
      <c r="P15" s="61">
        <f t="shared" ref="P15:P16" si="2">MONTH(B15)</f>
        <v>1</v>
      </c>
      <c r="R15" s="272">
        <v>1</v>
      </c>
      <c r="S15" s="272"/>
      <c r="T15" s="278" t="str">
        <f>IF($E15&gt;0,IF((R15+S15)=$E15,"OK","Error"),"-")</f>
        <v>OK</v>
      </c>
    </row>
    <row r="16" spans="1:20">
      <c r="A16" s="269"/>
      <c r="B16" s="53">
        <v>45292</v>
      </c>
      <c r="C16" s="175">
        <v>4</v>
      </c>
      <c r="D16" s="55" t="s">
        <v>202</v>
      </c>
      <c r="E16" s="175">
        <v>2</v>
      </c>
      <c r="F16" s="56" t="s">
        <v>665</v>
      </c>
      <c r="G16" s="271"/>
      <c r="H16" s="271">
        <v>950</v>
      </c>
      <c r="I16" s="213">
        <v>200</v>
      </c>
      <c r="J16" s="213">
        <v>300</v>
      </c>
      <c r="K16" s="212">
        <f t="shared" si="0"/>
        <v>1450</v>
      </c>
      <c r="L16" s="272">
        <f t="shared" ref="L16:L79" si="3">YEAR(B16)</f>
        <v>2024</v>
      </c>
      <c r="M16" s="272">
        <f t="shared" ref="M16:M79" si="4">MONTH(B16)</f>
        <v>1</v>
      </c>
      <c r="N16" s="273"/>
      <c r="O16" s="61">
        <f t="shared" si="1"/>
        <v>2024</v>
      </c>
      <c r="P16" s="61">
        <f t="shared" si="2"/>
        <v>1</v>
      </c>
      <c r="R16" s="272">
        <v>1</v>
      </c>
      <c r="S16" s="272">
        <v>1</v>
      </c>
      <c r="T16" s="278" t="str">
        <f t="shared" ref="T16:T79" si="5">IF($E16&gt;0,IF((R16+S16)=$E16,"OK","Error"),"-")</f>
        <v>OK</v>
      </c>
    </row>
    <row r="17" spans="1:20">
      <c r="A17" s="269"/>
      <c r="B17" s="53">
        <v>45306</v>
      </c>
      <c r="C17" s="175">
        <v>2</v>
      </c>
      <c r="D17" s="55" t="s">
        <v>128</v>
      </c>
      <c r="E17" s="175">
        <v>2</v>
      </c>
      <c r="F17" s="56" t="s">
        <v>665</v>
      </c>
      <c r="G17" s="271"/>
      <c r="H17" s="271">
        <v>950</v>
      </c>
      <c r="I17" s="213">
        <v>200</v>
      </c>
      <c r="J17" s="213">
        <v>300</v>
      </c>
      <c r="K17" s="212">
        <f t="shared" ref="K17:K26" si="6">I17+H17+J17</f>
        <v>1450</v>
      </c>
      <c r="L17" s="272">
        <f t="shared" si="3"/>
        <v>2024</v>
      </c>
      <c r="M17" s="272">
        <f t="shared" si="4"/>
        <v>1</v>
      </c>
      <c r="N17" s="273"/>
      <c r="O17" s="61">
        <f t="shared" ref="O17:O26" si="7">YEAR(B17)</f>
        <v>2024</v>
      </c>
      <c r="P17" s="61">
        <f t="shared" ref="P17:P26" si="8">MONTH(B17)</f>
        <v>1</v>
      </c>
      <c r="R17" s="272">
        <v>1</v>
      </c>
      <c r="S17" s="272">
        <v>1</v>
      </c>
      <c r="T17" s="278" t="str">
        <f t="shared" si="5"/>
        <v>OK</v>
      </c>
    </row>
    <row r="18" spans="1:20">
      <c r="A18" s="269"/>
      <c r="B18" s="53">
        <v>45302</v>
      </c>
      <c r="C18" s="175">
        <v>4</v>
      </c>
      <c r="D18" s="55" t="s">
        <v>319</v>
      </c>
      <c r="E18" s="175">
        <v>2</v>
      </c>
      <c r="F18" s="56" t="s">
        <v>667</v>
      </c>
      <c r="G18" s="271"/>
      <c r="H18" s="271">
        <v>950</v>
      </c>
      <c r="I18" s="213">
        <v>200</v>
      </c>
      <c r="J18" s="213">
        <v>300</v>
      </c>
      <c r="K18" s="212">
        <f t="shared" si="6"/>
        <v>1450</v>
      </c>
      <c r="L18" s="272">
        <f t="shared" si="3"/>
        <v>2024</v>
      </c>
      <c r="M18" s="272">
        <f t="shared" si="4"/>
        <v>1</v>
      </c>
      <c r="N18" s="273"/>
      <c r="O18" s="61">
        <f t="shared" si="7"/>
        <v>2024</v>
      </c>
      <c r="P18" s="61">
        <f t="shared" si="8"/>
        <v>1</v>
      </c>
      <c r="R18" s="272">
        <v>1</v>
      </c>
      <c r="S18" s="272">
        <v>1</v>
      </c>
      <c r="T18" s="278" t="str">
        <f t="shared" si="5"/>
        <v>OK</v>
      </c>
    </row>
    <row r="19" spans="1:20">
      <c r="A19" s="269"/>
      <c r="B19" s="53"/>
      <c r="C19" s="175"/>
      <c r="D19" s="55"/>
      <c r="E19" s="175"/>
      <c r="F19" s="56"/>
      <c r="G19" s="271"/>
      <c r="H19" s="271"/>
      <c r="I19" s="213">
        <v>200</v>
      </c>
      <c r="J19" s="213">
        <v>300</v>
      </c>
      <c r="K19" s="212">
        <f t="shared" si="6"/>
        <v>500</v>
      </c>
      <c r="L19" s="272">
        <f t="shared" si="3"/>
        <v>1900</v>
      </c>
      <c r="M19" s="272">
        <f t="shared" si="4"/>
        <v>1</v>
      </c>
      <c r="N19" s="273"/>
      <c r="O19" s="61">
        <f t="shared" si="7"/>
        <v>1900</v>
      </c>
      <c r="P19" s="61">
        <f t="shared" si="8"/>
        <v>1</v>
      </c>
      <c r="R19" s="272"/>
      <c r="S19" s="272"/>
      <c r="T19" s="278" t="str">
        <f t="shared" si="5"/>
        <v>-</v>
      </c>
    </row>
    <row r="20" spans="1:20">
      <c r="A20" s="269">
        <v>1</v>
      </c>
      <c r="B20" s="53"/>
      <c r="C20" s="175"/>
      <c r="D20" s="55"/>
      <c r="E20" s="175"/>
      <c r="F20" s="56"/>
      <c r="G20" s="271"/>
      <c r="H20" s="271"/>
      <c r="I20" s="213">
        <v>200</v>
      </c>
      <c r="J20" s="213">
        <v>300</v>
      </c>
      <c r="K20" s="212">
        <f t="shared" si="6"/>
        <v>500</v>
      </c>
      <c r="L20" s="272">
        <f t="shared" si="3"/>
        <v>1900</v>
      </c>
      <c r="M20" s="272">
        <f t="shared" si="4"/>
        <v>1</v>
      </c>
      <c r="N20" s="273"/>
      <c r="O20" s="61">
        <f t="shared" si="7"/>
        <v>1900</v>
      </c>
      <c r="P20" s="61">
        <f t="shared" si="8"/>
        <v>1</v>
      </c>
      <c r="R20" s="272"/>
      <c r="S20" s="272"/>
      <c r="T20" s="278" t="str">
        <f t="shared" si="5"/>
        <v>-</v>
      </c>
    </row>
    <row r="21" spans="1:20">
      <c r="A21" s="269">
        <v>2</v>
      </c>
      <c r="B21" s="53"/>
      <c r="C21" s="175"/>
      <c r="D21" s="55"/>
      <c r="E21" s="175"/>
      <c r="F21" s="56"/>
      <c r="G21" s="271"/>
      <c r="H21" s="271"/>
      <c r="I21" s="213">
        <v>200</v>
      </c>
      <c r="J21" s="213">
        <v>300</v>
      </c>
      <c r="K21" s="212">
        <f t="shared" si="6"/>
        <v>500</v>
      </c>
      <c r="L21" s="272">
        <f t="shared" si="3"/>
        <v>1900</v>
      </c>
      <c r="M21" s="272">
        <f t="shared" si="4"/>
        <v>1</v>
      </c>
      <c r="N21" s="273"/>
      <c r="O21" s="61">
        <f t="shared" si="7"/>
        <v>1900</v>
      </c>
      <c r="P21" s="61">
        <f t="shared" si="8"/>
        <v>1</v>
      </c>
      <c r="R21" s="272"/>
      <c r="S21" s="272"/>
      <c r="T21" s="278" t="str">
        <f t="shared" si="5"/>
        <v>-</v>
      </c>
    </row>
    <row r="22" spans="1:20">
      <c r="A22" s="269">
        <v>3</v>
      </c>
      <c r="B22" s="53"/>
      <c r="C22" s="175"/>
      <c r="D22" s="55"/>
      <c r="E22" s="175"/>
      <c r="F22" s="56"/>
      <c r="G22" s="271"/>
      <c r="H22" s="271"/>
      <c r="I22" s="213">
        <v>200</v>
      </c>
      <c r="J22" s="213">
        <v>300</v>
      </c>
      <c r="K22" s="212">
        <f t="shared" si="6"/>
        <v>500</v>
      </c>
      <c r="L22" s="272">
        <f t="shared" si="3"/>
        <v>1900</v>
      </c>
      <c r="M22" s="272">
        <f t="shared" si="4"/>
        <v>1</v>
      </c>
      <c r="N22" s="273"/>
      <c r="O22" s="61">
        <f t="shared" si="7"/>
        <v>1900</v>
      </c>
      <c r="P22" s="61">
        <f t="shared" si="8"/>
        <v>1</v>
      </c>
      <c r="R22" s="272"/>
      <c r="S22" s="272"/>
      <c r="T22" s="278" t="str">
        <f t="shared" si="5"/>
        <v>-</v>
      </c>
    </row>
    <row r="23" spans="1:20">
      <c r="A23" s="269">
        <v>4</v>
      </c>
      <c r="B23" s="53"/>
      <c r="C23" s="175"/>
      <c r="D23" s="55"/>
      <c r="E23" s="175"/>
      <c r="F23" s="56"/>
      <c r="G23" s="271"/>
      <c r="H23" s="271"/>
      <c r="I23" s="213">
        <v>200</v>
      </c>
      <c r="J23" s="213">
        <v>300</v>
      </c>
      <c r="K23" s="212">
        <f t="shared" si="6"/>
        <v>500</v>
      </c>
      <c r="L23" s="272">
        <f t="shared" si="3"/>
        <v>1900</v>
      </c>
      <c r="M23" s="272">
        <f t="shared" si="4"/>
        <v>1</v>
      </c>
      <c r="N23" s="273"/>
      <c r="O23" s="61">
        <f t="shared" si="7"/>
        <v>1900</v>
      </c>
      <c r="P23" s="61">
        <f t="shared" si="8"/>
        <v>1</v>
      </c>
      <c r="R23" s="272"/>
      <c r="S23" s="272"/>
      <c r="T23" s="278" t="str">
        <f t="shared" ref="T23" si="9">IF($E23&gt;0,IF((R23+S23)=$E23,"OK","Error"),"-")</f>
        <v>-</v>
      </c>
    </row>
    <row r="24" spans="1:20">
      <c r="A24" s="269">
        <v>5</v>
      </c>
      <c r="B24" s="53"/>
      <c r="C24" s="175"/>
      <c r="D24" s="55"/>
      <c r="E24" s="175"/>
      <c r="F24" s="56"/>
      <c r="G24" s="271"/>
      <c r="H24" s="271"/>
      <c r="I24" s="213">
        <v>200</v>
      </c>
      <c r="J24" s="213">
        <v>300</v>
      </c>
      <c r="K24" s="212">
        <f t="shared" si="6"/>
        <v>500</v>
      </c>
      <c r="L24" s="272">
        <f t="shared" si="3"/>
        <v>1900</v>
      </c>
      <c r="M24" s="272">
        <f t="shared" si="4"/>
        <v>1</v>
      </c>
      <c r="N24" s="273"/>
      <c r="O24" s="61">
        <f t="shared" si="7"/>
        <v>1900</v>
      </c>
      <c r="P24" s="61">
        <f t="shared" si="8"/>
        <v>1</v>
      </c>
      <c r="R24" s="272"/>
      <c r="S24" s="272"/>
      <c r="T24" s="278" t="str">
        <f t="shared" si="5"/>
        <v>-</v>
      </c>
    </row>
    <row r="25" spans="1:20">
      <c r="A25" s="269">
        <v>6</v>
      </c>
      <c r="B25" s="53"/>
      <c r="C25" s="175"/>
      <c r="D25" s="55"/>
      <c r="E25" s="175"/>
      <c r="F25" s="56"/>
      <c r="G25" s="271"/>
      <c r="H25" s="271"/>
      <c r="I25" s="213"/>
      <c r="J25" s="213"/>
      <c r="K25" s="212">
        <f t="shared" si="6"/>
        <v>0</v>
      </c>
      <c r="L25" s="272">
        <f t="shared" si="3"/>
        <v>1900</v>
      </c>
      <c r="M25" s="272">
        <f t="shared" si="4"/>
        <v>1</v>
      </c>
      <c r="N25" s="273"/>
      <c r="O25" s="61">
        <f t="shared" si="7"/>
        <v>1900</v>
      </c>
      <c r="P25" s="61">
        <f t="shared" si="8"/>
        <v>1</v>
      </c>
      <c r="R25" s="272"/>
      <c r="S25" s="272"/>
      <c r="T25" s="278" t="str">
        <f t="shared" si="5"/>
        <v>-</v>
      </c>
    </row>
    <row r="26" spans="1:20">
      <c r="A26" s="269">
        <v>7</v>
      </c>
      <c r="B26" s="53"/>
      <c r="C26" s="175"/>
      <c r="D26" s="55"/>
      <c r="E26" s="175"/>
      <c r="F26" s="56"/>
      <c r="G26" s="271"/>
      <c r="H26" s="271"/>
      <c r="I26" s="213"/>
      <c r="J26" s="213"/>
      <c r="K26" s="212">
        <f t="shared" si="6"/>
        <v>0</v>
      </c>
      <c r="L26" s="272">
        <f t="shared" si="3"/>
        <v>1900</v>
      </c>
      <c r="M26" s="272">
        <f t="shared" si="4"/>
        <v>1</v>
      </c>
      <c r="N26" s="273"/>
      <c r="O26" s="61">
        <f t="shared" si="7"/>
        <v>1900</v>
      </c>
      <c r="P26" s="61">
        <f t="shared" si="8"/>
        <v>1</v>
      </c>
      <c r="R26" s="272"/>
      <c r="S26" s="272"/>
      <c r="T26" s="278" t="str">
        <f t="shared" si="5"/>
        <v>-</v>
      </c>
    </row>
    <row r="27" spans="1:20">
      <c r="A27" s="269">
        <v>8</v>
      </c>
      <c r="B27" s="53"/>
      <c r="C27" s="175"/>
      <c r="D27" s="176"/>
      <c r="E27" s="175"/>
      <c r="F27" s="56"/>
      <c r="G27" s="271"/>
      <c r="H27" s="271"/>
      <c r="I27" s="213"/>
      <c r="J27" s="213"/>
      <c r="K27" s="212">
        <f t="shared" ref="K27:K78" si="10">I27+H27+J27</f>
        <v>0</v>
      </c>
      <c r="L27" s="272">
        <f t="shared" si="3"/>
        <v>1900</v>
      </c>
      <c r="M27" s="272">
        <f t="shared" si="4"/>
        <v>1</v>
      </c>
      <c r="N27" s="273"/>
      <c r="O27" s="61">
        <f t="shared" ref="O27:O79" si="11">YEAR(B27)</f>
        <v>1900</v>
      </c>
      <c r="P27" s="61">
        <f t="shared" ref="P27:P79" si="12">MONTH(B27)</f>
        <v>1</v>
      </c>
      <c r="R27" s="272"/>
      <c r="S27" s="272"/>
      <c r="T27" s="278" t="str">
        <f t="shared" si="5"/>
        <v>-</v>
      </c>
    </row>
    <row r="28" spans="1:20">
      <c r="A28" s="269">
        <v>9</v>
      </c>
      <c r="B28" s="53"/>
      <c r="C28" s="175"/>
      <c r="D28" s="176"/>
      <c r="E28" s="175"/>
      <c r="F28" s="56"/>
      <c r="G28" s="271"/>
      <c r="H28" s="271"/>
      <c r="I28" s="213"/>
      <c r="J28" s="213"/>
      <c r="K28" s="212">
        <f t="shared" si="10"/>
        <v>0</v>
      </c>
      <c r="L28" s="272">
        <f t="shared" si="3"/>
        <v>1900</v>
      </c>
      <c r="M28" s="272">
        <f t="shared" si="4"/>
        <v>1</v>
      </c>
      <c r="N28" s="273"/>
      <c r="O28" s="61">
        <f t="shared" si="11"/>
        <v>1900</v>
      </c>
      <c r="P28" s="61">
        <f t="shared" si="12"/>
        <v>1</v>
      </c>
      <c r="R28" s="272"/>
      <c r="S28" s="272"/>
      <c r="T28" s="278" t="str">
        <f t="shared" si="5"/>
        <v>-</v>
      </c>
    </row>
    <row r="29" spans="1:20">
      <c r="A29" s="269">
        <v>10</v>
      </c>
      <c r="B29" s="53"/>
      <c r="C29" s="175"/>
      <c r="D29" s="176"/>
      <c r="E29" s="175"/>
      <c r="F29" s="56"/>
      <c r="G29" s="271"/>
      <c r="H29" s="271"/>
      <c r="I29" s="213"/>
      <c r="J29" s="213"/>
      <c r="K29" s="212">
        <f t="shared" si="10"/>
        <v>0</v>
      </c>
      <c r="L29" s="272">
        <f t="shared" si="3"/>
        <v>1900</v>
      </c>
      <c r="M29" s="272">
        <f t="shared" si="4"/>
        <v>1</v>
      </c>
      <c r="N29" s="273"/>
      <c r="O29" s="61">
        <f t="shared" si="11"/>
        <v>1900</v>
      </c>
      <c r="P29" s="61">
        <f t="shared" si="12"/>
        <v>1</v>
      </c>
      <c r="R29" s="272"/>
      <c r="S29" s="272"/>
      <c r="T29" s="278" t="str">
        <f t="shared" si="5"/>
        <v>-</v>
      </c>
    </row>
    <row r="30" spans="1:20">
      <c r="A30" s="269">
        <v>11</v>
      </c>
      <c r="B30" s="53"/>
      <c r="C30" s="175"/>
      <c r="D30" s="176"/>
      <c r="E30" s="175"/>
      <c r="F30" s="56"/>
      <c r="G30" s="271"/>
      <c r="H30" s="271"/>
      <c r="I30" s="213"/>
      <c r="J30" s="213"/>
      <c r="K30" s="212">
        <f t="shared" si="10"/>
        <v>0</v>
      </c>
      <c r="L30" s="272">
        <f t="shared" si="3"/>
        <v>1900</v>
      </c>
      <c r="M30" s="272">
        <f t="shared" si="4"/>
        <v>1</v>
      </c>
      <c r="N30" s="273"/>
      <c r="O30" s="61">
        <f t="shared" si="11"/>
        <v>1900</v>
      </c>
      <c r="P30" s="61">
        <f t="shared" si="12"/>
        <v>1</v>
      </c>
      <c r="R30" s="272"/>
      <c r="S30" s="272"/>
      <c r="T30" s="278" t="str">
        <f t="shared" si="5"/>
        <v>-</v>
      </c>
    </row>
    <row r="31" spans="1:20">
      <c r="A31" s="269">
        <v>12</v>
      </c>
      <c r="B31" s="53"/>
      <c r="C31" s="175"/>
      <c r="D31" s="176"/>
      <c r="E31" s="175"/>
      <c r="F31" s="56"/>
      <c r="G31" s="271"/>
      <c r="H31" s="271"/>
      <c r="I31" s="213"/>
      <c r="J31" s="213"/>
      <c r="K31" s="212">
        <f t="shared" ref="K31" si="13">I31+H31+J31</f>
        <v>0</v>
      </c>
      <c r="L31" s="272">
        <f t="shared" si="3"/>
        <v>1900</v>
      </c>
      <c r="M31" s="272">
        <f t="shared" si="4"/>
        <v>1</v>
      </c>
      <c r="N31" s="273"/>
      <c r="O31" s="61">
        <f t="shared" ref="O31" si="14">YEAR(B31)</f>
        <v>1900</v>
      </c>
      <c r="P31" s="61">
        <f t="shared" ref="P31" si="15">MONTH(B31)</f>
        <v>1</v>
      </c>
      <c r="R31" s="272"/>
      <c r="S31" s="272"/>
      <c r="T31" s="278" t="str">
        <f t="shared" si="5"/>
        <v>-</v>
      </c>
    </row>
    <row r="32" spans="1:20">
      <c r="A32" s="269">
        <v>13</v>
      </c>
      <c r="B32" s="53"/>
      <c r="C32" s="175"/>
      <c r="D32" s="176"/>
      <c r="E32" s="175"/>
      <c r="F32" s="56"/>
      <c r="G32" s="271"/>
      <c r="H32" s="271"/>
      <c r="I32" s="213"/>
      <c r="J32" s="213"/>
      <c r="K32" s="212">
        <f t="shared" si="10"/>
        <v>0</v>
      </c>
      <c r="L32" s="272">
        <f t="shared" si="3"/>
        <v>1900</v>
      </c>
      <c r="M32" s="272">
        <f t="shared" si="4"/>
        <v>1</v>
      </c>
      <c r="N32" s="273"/>
      <c r="O32" s="61">
        <f t="shared" si="11"/>
        <v>1900</v>
      </c>
      <c r="P32" s="61">
        <f t="shared" si="12"/>
        <v>1</v>
      </c>
      <c r="R32" s="272"/>
      <c r="S32" s="272"/>
      <c r="T32" s="278" t="str">
        <f t="shared" si="5"/>
        <v>-</v>
      </c>
    </row>
    <row r="33" spans="1:20" ht="13.5" customHeight="1">
      <c r="A33" s="269">
        <v>14</v>
      </c>
      <c r="B33" s="53"/>
      <c r="C33" s="175"/>
      <c r="D33" s="176"/>
      <c r="E33" s="175"/>
      <c r="F33" s="56"/>
      <c r="G33" s="271"/>
      <c r="H33" s="271"/>
      <c r="I33" s="213"/>
      <c r="J33" s="213"/>
      <c r="K33" s="212">
        <f t="shared" si="10"/>
        <v>0</v>
      </c>
      <c r="L33" s="272">
        <f t="shared" si="3"/>
        <v>1900</v>
      </c>
      <c r="M33" s="272">
        <f t="shared" si="4"/>
        <v>1</v>
      </c>
      <c r="N33" s="273"/>
      <c r="O33" s="61">
        <f t="shared" si="11"/>
        <v>1900</v>
      </c>
      <c r="P33" s="61">
        <f t="shared" si="12"/>
        <v>1</v>
      </c>
      <c r="R33" s="272"/>
      <c r="S33" s="272"/>
      <c r="T33" s="278" t="str">
        <f t="shared" si="5"/>
        <v>-</v>
      </c>
    </row>
    <row r="34" spans="1:20">
      <c r="A34" s="269">
        <v>15</v>
      </c>
      <c r="B34" s="53"/>
      <c r="C34" s="175"/>
      <c r="D34" s="176"/>
      <c r="E34" s="175"/>
      <c r="F34" s="56"/>
      <c r="G34" s="271"/>
      <c r="H34" s="271"/>
      <c r="I34" s="213"/>
      <c r="J34" s="213"/>
      <c r="K34" s="212">
        <f t="shared" si="10"/>
        <v>0</v>
      </c>
      <c r="L34" s="272">
        <f t="shared" si="3"/>
        <v>1900</v>
      </c>
      <c r="M34" s="272">
        <f t="shared" si="4"/>
        <v>1</v>
      </c>
      <c r="N34" s="273"/>
      <c r="O34" s="61">
        <f t="shared" si="11"/>
        <v>1900</v>
      </c>
      <c r="P34" s="61">
        <f t="shared" si="12"/>
        <v>1</v>
      </c>
      <c r="R34" s="272"/>
      <c r="S34" s="272"/>
      <c r="T34" s="278" t="str">
        <f t="shared" si="5"/>
        <v>-</v>
      </c>
    </row>
    <row r="35" spans="1:20">
      <c r="A35" s="269">
        <v>16</v>
      </c>
      <c r="B35" s="53"/>
      <c r="C35" s="175"/>
      <c r="D35" s="176"/>
      <c r="E35" s="175"/>
      <c r="F35" s="56"/>
      <c r="G35" s="271"/>
      <c r="H35" s="271"/>
      <c r="I35" s="213"/>
      <c r="J35" s="213"/>
      <c r="K35" s="212">
        <f t="shared" si="10"/>
        <v>0</v>
      </c>
      <c r="L35" s="272">
        <f t="shared" si="3"/>
        <v>1900</v>
      </c>
      <c r="M35" s="272">
        <f t="shared" si="4"/>
        <v>1</v>
      </c>
      <c r="N35" s="273"/>
      <c r="O35" s="61">
        <f t="shared" si="11"/>
        <v>1900</v>
      </c>
      <c r="P35" s="61">
        <f t="shared" si="12"/>
        <v>1</v>
      </c>
      <c r="R35" s="272"/>
      <c r="S35" s="272"/>
      <c r="T35" s="278" t="str">
        <f t="shared" si="5"/>
        <v>-</v>
      </c>
    </row>
    <row r="36" spans="1:20">
      <c r="A36" s="269">
        <v>17</v>
      </c>
      <c r="B36" s="53"/>
      <c r="C36" s="175"/>
      <c r="D36" s="176"/>
      <c r="E36" s="175"/>
      <c r="F36" s="56"/>
      <c r="G36" s="271"/>
      <c r="H36" s="271"/>
      <c r="I36" s="213"/>
      <c r="J36" s="213"/>
      <c r="K36" s="212">
        <f t="shared" si="10"/>
        <v>0</v>
      </c>
      <c r="L36" s="272">
        <f t="shared" si="3"/>
        <v>1900</v>
      </c>
      <c r="M36" s="272">
        <f t="shared" si="4"/>
        <v>1</v>
      </c>
      <c r="N36" s="273"/>
      <c r="O36" s="61">
        <f t="shared" si="11"/>
        <v>1900</v>
      </c>
      <c r="P36" s="61">
        <f t="shared" si="12"/>
        <v>1</v>
      </c>
      <c r="R36" s="272"/>
      <c r="S36" s="272"/>
      <c r="T36" s="278" t="str">
        <f t="shared" si="5"/>
        <v>-</v>
      </c>
    </row>
    <row r="37" spans="1:20">
      <c r="A37" s="269">
        <v>18</v>
      </c>
      <c r="B37" s="53"/>
      <c r="C37" s="175"/>
      <c r="D37" s="176"/>
      <c r="E37" s="175"/>
      <c r="F37" s="56"/>
      <c r="G37" s="271"/>
      <c r="H37" s="271"/>
      <c r="I37" s="213"/>
      <c r="J37" s="213"/>
      <c r="K37" s="212">
        <f t="shared" si="10"/>
        <v>0</v>
      </c>
      <c r="L37" s="272">
        <f t="shared" si="3"/>
        <v>1900</v>
      </c>
      <c r="M37" s="272">
        <f t="shared" si="4"/>
        <v>1</v>
      </c>
      <c r="N37" s="273"/>
      <c r="O37" s="61">
        <f t="shared" si="11"/>
        <v>1900</v>
      </c>
      <c r="P37" s="61">
        <f t="shared" si="12"/>
        <v>1</v>
      </c>
      <c r="R37" s="272"/>
      <c r="S37" s="272"/>
      <c r="T37" s="278" t="str">
        <f t="shared" si="5"/>
        <v>-</v>
      </c>
    </row>
    <row r="38" spans="1:20">
      <c r="A38" s="269">
        <v>19</v>
      </c>
      <c r="B38" s="53"/>
      <c r="C38" s="175"/>
      <c r="D38" s="176"/>
      <c r="E38" s="175"/>
      <c r="F38" s="56"/>
      <c r="G38" s="271"/>
      <c r="H38" s="271"/>
      <c r="I38" s="213"/>
      <c r="J38" s="213"/>
      <c r="K38" s="212">
        <f t="shared" si="10"/>
        <v>0</v>
      </c>
      <c r="L38" s="272">
        <f t="shared" si="3"/>
        <v>1900</v>
      </c>
      <c r="M38" s="272">
        <f t="shared" si="4"/>
        <v>1</v>
      </c>
      <c r="N38" s="273"/>
      <c r="O38" s="61">
        <f t="shared" si="11"/>
        <v>1900</v>
      </c>
      <c r="P38" s="61">
        <f t="shared" si="12"/>
        <v>1</v>
      </c>
      <c r="R38" s="272"/>
      <c r="S38" s="272"/>
      <c r="T38" s="278" t="str">
        <f t="shared" si="5"/>
        <v>-</v>
      </c>
    </row>
    <row r="39" spans="1:20">
      <c r="A39" s="269">
        <v>20</v>
      </c>
      <c r="B39" s="53"/>
      <c r="C39" s="175"/>
      <c r="D39" s="176"/>
      <c r="E39" s="175"/>
      <c r="F39" s="56"/>
      <c r="G39" s="271"/>
      <c r="H39" s="271"/>
      <c r="I39" s="213"/>
      <c r="J39" s="213"/>
      <c r="K39" s="212">
        <f t="shared" si="10"/>
        <v>0</v>
      </c>
      <c r="L39" s="272">
        <f t="shared" si="3"/>
        <v>1900</v>
      </c>
      <c r="M39" s="272">
        <f t="shared" si="4"/>
        <v>1</v>
      </c>
      <c r="N39" s="273"/>
      <c r="O39" s="61">
        <f t="shared" si="11"/>
        <v>1900</v>
      </c>
      <c r="P39" s="61">
        <f t="shared" si="12"/>
        <v>1</v>
      </c>
      <c r="R39" s="272"/>
      <c r="S39" s="272"/>
      <c r="T39" s="278" t="str">
        <f t="shared" si="5"/>
        <v>-</v>
      </c>
    </row>
    <row r="40" spans="1:20">
      <c r="A40" s="269">
        <v>21</v>
      </c>
      <c r="B40" s="53"/>
      <c r="C40" s="175"/>
      <c r="D40" s="176"/>
      <c r="E40" s="175"/>
      <c r="F40" s="56"/>
      <c r="G40" s="271"/>
      <c r="H40" s="271"/>
      <c r="I40" s="213"/>
      <c r="J40" s="213"/>
      <c r="K40" s="212">
        <f t="shared" si="10"/>
        <v>0</v>
      </c>
      <c r="L40" s="272">
        <f t="shared" si="3"/>
        <v>1900</v>
      </c>
      <c r="M40" s="272">
        <f t="shared" si="4"/>
        <v>1</v>
      </c>
      <c r="N40" s="273"/>
      <c r="O40" s="61">
        <f t="shared" si="11"/>
        <v>1900</v>
      </c>
      <c r="P40" s="61">
        <f t="shared" si="12"/>
        <v>1</v>
      </c>
      <c r="R40" s="272"/>
      <c r="S40" s="272"/>
      <c r="T40" s="278" t="str">
        <f t="shared" si="5"/>
        <v>-</v>
      </c>
    </row>
    <row r="41" spans="1:20">
      <c r="A41" s="269">
        <v>22</v>
      </c>
      <c r="B41" s="53"/>
      <c r="C41" s="175"/>
      <c r="D41" s="176"/>
      <c r="E41" s="175"/>
      <c r="F41" s="56"/>
      <c r="G41" s="271"/>
      <c r="H41" s="271"/>
      <c r="I41" s="213"/>
      <c r="J41" s="213"/>
      <c r="K41" s="212">
        <f t="shared" si="10"/>
        <v>0</v>
      </c>
      <c r="L41" s="272">
        <f t="shared" si="3"/>
        <v>1900</v>
      </c>
      <c r="M41" s="272">
        <f t="shared" si="4"/>
        <v>1</v>
      </c>
      <c r="N41" s="273"/>
      <c r="O41" s="61">
        <f t="shared" si="11"/>
        <v>1900</v>
      </c>
      <c r="P41" s="61">
        <f t="shared" si="12"/>
        <v>1</v>
      </c>
      <c r="R41" s="272"/>
      <c r="S41" s="272"/>
      <c r="T41" s="278" t="str">
        <f t="shared" si="5"/>
        <v>-</v>
      </c>
    </row>
    <row r="42" spans="1:20">
      <c r="A42" s="269">
        <v>23</v>
      </c>
      <c r="B42" s="53"/>
      <c r="C42" s="175"/>
      <c r="D42" s="176"/>
      <c r="E42" s="175"/>
      <c r="F42" s="177"/>
      <c r="G42" s="271"/>
      <c r="H42" s="271"/>
      <c r="I42" s="213"/>
      <c r="J42" s="213"/>
      <c r="K42" s="212">
        <f t="shared" si="10"/>
        <v>0</v>
      </c>
      <c r="L42" s="272">
        <f t="shared" si="3"/>
        <v>1900</v>
      </c>
      <c r="M42" s="272">
        <f t="shared" si="4"/>
        <v>1</v>
      </c>
      <c r="N42" s="273"/>
      <c r="O42" s="61">
        <f t="shared" si="11"/>
        <v>1900</v>
      </c>
      <c r="P42" s="61">
        <f t="shared" si="12"/>
        <v>1</v>
      </c>
      <c r="R42" s="272"/>
      <c r="S42" s="272"/>
      <c r="T42" s="278" t="str">
        <f t="shared" si="5"/>
        <v>-</v>
      </c>
    </row>
    <row r="43" spans="1:20">
      <c r="A43" s="269">
        <v>24</v>
      </c>
      <c r="B43" s="53"/>
      <c r="C43" s="175"/>
      <c r="D43" s="176"/>
      <c r="E43" s="175"/>
      <c r="F43" s="177"/>
      <c r="G43" s="271"/>
      <c r="H43" s="271"/>
      <c r="I43" s="213"/>
      <c r="J43" s="213"/>
      <c r="K43" s="212">
        <f t="shared" si="10"/>
        <v>0</v>
      </c>
      <c r="L43" s="272">
        <f t="shared" si="3"/>
        <v>1900</v>
      </c>
      <c r="M43" s="272">
        <f t="shared" si="4"/>
        <v>1</v>
      </c>
      <c r="N43" s="273"/>
      <c r="O43" s="61">
        <f t="shared" si="11"/>
        <v>1900</v>
      </c>
      <c r="P43" s="61">
        <f t="shared" si="12"/>
        <v>1</v>
      </c>
      <c r="R43" s="272"/>
      <c r="S43" s="272"/>
      <c r="T43" s="278" t="str">
        <f t="shared" si="5"/>
        <v>-</v>
      </c>
    </row>
    <row r="44" spans="1:20">
      <c r="A44" s="269">
        <v>25</v>
      </c>
      <c r="B44" s="53"/>
      <c r="C44" s="54"/>
      <c r="D44" s="55"/>
      <c r="E44" s="54"/>
      <c r="F44" s="56"/>
      <c r="G44" s="271"/>
      <c r="H44" s="271"/>
      <c r="I44" s="213"/>
      <c r="J44" s="213"/>
      <c r="K44" s="212">
        <f t="shared" si="10"/>
        <v>0</v>
      </c>
      <c r="L44" s="272">
        <f t="shared" si="3"/>
        <v>1900</v>
      </c>
      <c r="M44" s="272">
        <f t="shared" si="4"/>
        <v>1</v>
      </c>
      <c r="N44" s="273"/>
      <c r="O44" s="61">
        <f t="shared" si="11"/>
        <v>1900</v>
      </c>
      <c r="P44" s="61">
        <f t="shared" si="12"/>
        <v>1</v>
      </c>
      <c r="R44" s="272"/>
      <c r="S44" s="272"/>
      <c r="T44" s="278" t="str">
        <f t="shared" si="5"/>
        <v>-</v>
      </c>
    </row>
    <row r="45" spans="1:20">
      <c r="A45" s="269">
        <v>26</v>
      </c>
      <c r="B45" s="53"/>
      <c r="C45" s="54"/>
      <c r="D45" s="55"/>
      <c r="E45" s="54"/>
      <c r="F45" s="56"/>
      <c r="G45" s="271"/>
      <c r="H45" s="271"/>
      <c r="I45" s="213"/>
      <c r="J45" s="213"/>
      <c r="K45" s="212">
        <f t="shared" si="10"/>
        <v>0</v>
      </c>
      <c r="L45" s="272">
        <f t="shared" si="3"/>
        <v>1900</v>
      </c>
      <c r="M45" s="272">
        <f t="shared" si="4"/>
        <v>1</v>
      </c>
      <c r="N45" s="273"/>
      <c r="O45" s="61">
        <f t="shared" si="11"/>
        <v>1900</v>
      </c>
      <c r="P45" s="61">
        <f t="shared" si="12"/>
        <v>1</v>
      </c>
      <c r="R45" s="272"/>
      <c r="S45" s="272"/>
      <c r="T45" s="278" t="str">
        <f t="shared" si="5"/>
        <v>-</v>
      </c>
    </row>
    <row r="46" spans="1:20">
      <c r="A46" s="269">
        <v>27</v>
      </c>
      <c r="B46" s="53"/>
      <c r="C46" s="175"/>
      <c r="D46" s="176"/>
      <c r="E46" s="175"/>
      <c r="F46" s="177"/>
      <c r="G46" s="271"/>
      <c r="H46" s="271"/>
      <c r="I46" s="213"/>
      <c r="J46" s="213"/>
      <c r="K46" s="212">
        <f t="shared" si="10"/>
        <v>0</v>
      </c>
      <c r="L46" s="272">
        <f t="shared" si="3"/>
        <v>1900</v>
      </c>
      <c r="M46" s="272">
        <f t="shared" si="4"/>
        <v>1</v>
      </c>
      <c r="N46" s="273"/>
      <c r="O46" s="61">
        <f t="shared" si="11"/>
        <v>1900</v>
      </c>
      <c r="P46" s="61">
        <f t="shared" si="12"/>
        <v>1</v>
      </c>
      <c r="R46" s="272"/>
      <c r="S46" s="272"/>
      <c r="T46" s="278" t="str">
        <f t="shared" si="5"/>
        <v>-</v>
      </c>
    </row>
    <row r="47" spans="1:20">
      <c r="A47" s="269">
        <v>28</v>
      </c>
      <c r="B47" s="53"/>
      <c r="C47" s="175"/>
      <c r="D47" s="176"/>
      <c r="E47" s="175"/>
      <c r="F47" s="177"/>
      <c r="G47" s="271"/>
      <c r="H47" s="271"/>
      <c r="I47" s="213"/>
      <c r="J47" s="213"/>
      <c r="K47" s="212">
        <f t="shared" si="10"/>
        <v>0</v>
      </c>
      <c r="L47" s="272">
        <f t="shared" si="3"/>
        <v>1900</v>
      </c>
      <c r="M47" s="272">
        <f t="shared" si="4"/>
        <v>1</v>
      </c>
      <c r="N47" s="273"/>
      <c r="O47" s="61">
        <f t="shared" si="11"/>
        <v>1900</v>
      </c>
      <c r="P47" s="61">
        <f t="shared" si="12"/>
        <v>1</v>
      </c>
      <c r="R47" s="272"/>
      <c r="S47" s="272"/>
      <c r="T47" s="278" t="str">
        <f t="shared" si="5"/>
        <v>-</v>
      </c>
    </row>
    <row r="48" spans="1:20">
      <c r="A48" s="269"/>
      <c r="B48" s="53"/>
      <c r="C48" s="175"/>
      <c r="D48" s="176"/>
      <c r="E48" s="175"/>
      <c r="F48" s="177"/>
      <c r="G48" s="271"/>
      <c r="H48" s="271"/>
      <c r="I48" s="213"/>
      <c r="J48" s="213"/>
      <c r="K48" s="212">
        <f t="shared" si="10"/>
        <v>0</v>
      </c>
      <c r="L48" s="272">
        <f t="shared" si="3"/>
        <v>1900</v>
      </c>
      <c r="M48" s="272">
        <f t="shared" si="4"/>
        <v>1</v>
      </c>
      <c r="N48" s="273"/>
      <c r="O48" s="61">
        <f t="shared" si="11"/>
        <v>1900</v>
      </c>
      <c r="P48" s="61">
        <f t="shared" si="12"/>
        <v>1</v>
      </c>
      <c r="R48" s="272"/>
      <c r="S48" s="272"/>
      <c r="T48" s="278" t="str">
        <f t="shared" si="5"/>
        <v>-</v>
      </c>
    </row>
    <row r="49" spans="1:20">
      <c r="A49" s="269"/>
      <c r="B49" s="53"/>
      <c r="C49" s="175"/>
      <c r="D49" s="176"/>
      <c r="E49" s="175"/>
      <c r="F49" s="177"/>
      <c r="G49" s="271"/>
      <c r="H49" s="271"/>
      <c r="I49" s="213"/>
      <c r="J49" s="213"/>
      <c r="K49" s="212">
        <f t="shared" si="10"/>
        <v>0</v>
      </c>
      <c r="L49" s="272">
        <f t="shared" si="3"/>
        <v>1900</v>
      </c>
      <c r="M49" s="272">
        <f t="shared" si="4"/>
        <v>1</v>
      </c>
      <c r="N49" s="273"/>
      <c r="O49" s="61">
        <f t="shared" si="11"/>
        <v>1900</v>
      </c>
      <c r="P49" s="61">
        <f t="shared" si="12"/>
        <v>1</v>
      </c>
      <c r="R49" s="272"/>
      <c r="S49" s="272"/>
      <c r="T49" s="278" t="str">
        <f t="shared" si="5"/>
        <v>-</v>
      </c>
    </row>
    <row r="50" spans="1:20">
      <c r="A50" s="269"/>
      <c r="B50" s="53"/>
      <c r="C50" s="175"/>
      <c r="D50" s="176"/>
      <c r="E50" s="175"/>
      <c r="F50" s="177"/>
      <c r="G50" s="271"/>
      <c r="H50" s="271"/>
      <c r="I50" s="213"/>
      <c r="J50" s="213"/>
      <c r="K50" s="212">
        <f t="shared" si="10"/>
        <v>0</v>
      </c>
      <c r="L50" s="272">
        <f t="shared" si="3"/>
        <v>1900</v>
      </c>
      <c r="M50" s="272">
        <f t="shared" si="4"/>
        <v>1</v>
      </c>
      <c r="N50" s="273"/>
      <c r="O50" s="61">
        <f t="shared" si="11"/>
        <v>1900</v>
      </c>
      <c r="P50" s="61">
        <f t="shared" si="12"/>
        <v>1</v>
      </c>
      <c r="R50" s="272"/>
      <c r="S50" s="272"/>
      <c r="T50" s="278" t="str">
        <f t="shared" si="5"/>
        <v>-</v>
      </c>
    </row>
    <row r="51" spans="1:20">
      <c r="A51" s="269"/>
      <c r="B51" s="53"/>
      <c r="C51" s="175"/>
      <c r="D51" s="176"/>
      <c r="E51" s="175"/>
      <c r="F51" s="177"/>
      <c r="G51" s="271"/>
      <c r="H51" s="271"/>
      <c r="I51" s="213"/>
      <c r="J51" s="213"/>
      <c r="K51" s="212">
        <f t="shared" si="10"/>
        <v>0</v>
      </c>
      <c r="L51" s="272">
        <f t="shared" si="3"/>
        <v>1900</v>
      </c>
      <c r="M51" s="272">
        <f t="shared" si="4"/>
        <v>1</v>
      </c>
      <c r="N51" s="273"/>
      <c r="O51" s="61">
        <f t="shared" si="11"/>
        <v>1900</v>
      </c>
      <c r="P51" s="61">
        <f t="shared" si="12"/>
        <v>1</v>
      </c>
      <c r="R51" s="272"/>
      <c r="S51" s="272"/>
      <c r="T51" s="278" t="str">
        <f t="shared" si="5"/>
        <v>-</v>
      </c>
    </row>
    <row r="52" spans="1:20">
      <c r="A52" s="269"/>
      <c r="B52" s="53"/>
      <c r="C52" s="175"/>
      <c r="D52" s="176"/>
      <c r="E52" s="175"/>
      <c r="F52" s="177"/>
      <c r="G52" s="271"/>
      <c r="H52" s="271"/>
      <c r="I52" s="213"/>
      <c r="J52" s="213"/>
      <c r="K52" s="212">
        <f t="shared" si="10"/>
        <v>0</v>
      </c>
      <c r="L52" s="272">
        <f t="shared" si="3"/>
        <v>1900</v>
      </c>
      <c r="M52" s="272">
        <f t="shared" si="4"/>
        <v>1</v>
      </c>
      <c r="N52" s="273"/>
      <c r="O52" s="61">
        <f t="shared" si="11"/>
        <v>1900</v>
      </c>
      <c r="P52" s="61">
        <f t="shared" si="12"/>
        <v>1</v>
      </c>
      <c r="R52" s="272"/>
      <c r="S52" s="272"/>
      <c r="T52" s="278" t="str">
        <f t="shared" si="5"/>
        <v>-</v>
      </c>
    </row>
    <row r="53" spans="1:20">
      <c r="A53" s="269"/>
      <c r="B53" s="53"/>
      <c r="C53" s="175"/>
      <c r="D53" s="176"/>
      <c r="E53" s="175"/>
      <c r="F53" s="177"/>
      <c r="G53" s="271"/>
      <c r="H53" s="271"/>
      <c r="I53" s="213"/>
      <c r="J53" s="213"/>
      <c r="K53" s="212">
        <f t="shared" si="10"/>
        <v>0</v>
      </c>
      <c r="L53" s="272">
        <f t="shared" si="3"/>
        <v>1900</v>
      </c>
      <c r="M53" s="272">
        <f t="shared" si="4"/>
        <v>1</v>
      </c>
      <c r="N53" s="273"/>
      <c r="O53" s="61">
        <f t="shared" si="11"/>
        <v>1900</v>
      </c>
      <c r="P53" s="61">
        <f t="shared" si="12"/>
        <v>1</v>
      </c>
      <c r="R53" s="272"/>
      <c r="S53" s="272"/>
      <c r="T53" s="278" t="str">
        <f t="shared" si="5"/>
        <v>-</v>
      </c>
    </row>
    <row r="54" spans="1:20">
      <c r="A54" s="269"/>
      <c r="B54" s="53"/>
      <c r="C54" s="175"/>
      <c r="D54" s="176"/>
      <c r="E54" s="175"/>
      <c r="F54" s="177"/>
      <c r="G54" s="271"/>
      <c r="H54" s="271"/>
      <c r="I54" s="213"/>
      <c r="J54" s="213"/>
      <c r="K54" s="212">
        <f t="shared" si="10"/>
        <v>0</v>
      </c>
      <c r="L54" s="272">
        <f t="shared" si="3"/>
        <v>1900</v>
      </c>
      <c r="M54" s="272">
        <f t="shared" si="4"/>
        <v>1</v>
      </c>
      <c r="N54" s="273"/>
      <c r="O54" s="61">
        <f t="shared" si="11"/>
        <v>1900</v>
      </c>
      <c r="P54" s="61">
        <f t="shared" si="12"/>
        <v>1</v>
      </c>
      <c r="R54" s="272"/>
      <c r="S54" s="272"/>
      <c r="T54" s="278" t="str">
        <f t="shared" si="5"/>
        <v>-</v>
      </c>
    </row>
    <row r="55" spans="1:20">
      <c r="A55" s="269"/>
      <c r="B55" s="53"/>
      <c r="C55" s="175"/>
      <c r="D55" s="176"/>
      <c r="E55" s="175"/>
      <c r="F55" s="177"/>
      <c r="G55" s="271"/>
      <c r="H55" s="271"/>
      <c r="I55" s="213"/>
      <c r="J55" s="213"/>
      <c r="K55" s="212">
        <f t="shared" si="10"/>
        <v>0</v>
      </c>
      <c r="L55" s="272">
        <f t="shared" si="3"/>
        <v>1900</v>
      </c>
      <c r="M55" s="272">
        <f t="shared" si="4"/>
        <v>1</v>
      </c>
      <c r="N55" s="273"/>
      <c r="O55" s="61">
        <f t="shared" si="11"/>
        <v>1900</v>
      </c>
      <c r="P55" s="61">
        <f t="shared" si="12"/>
        <v>1</v>
      </c>
      <c r="R55" s="272"/>
      <c r="S55" s="272"/>
      <c r="T55" s="278" t="str">
        <f t="shared" si="5"/>
        <v>-</v>
      </c>
    </row>
    <row r="56" spans="1:20">
      <c r="A56" s="269"/>
      <c r="B56" s="53"/>
      <c r="C56" s="175"/>
      <c r="D56" s="176"/>
      <c r="E56" s="175"/>
      <c r="F56" s="177"/>
      <c r="G56" s="271"/>
      <c r="H56" s="271"/>
      <c r="I56" s="213"/>
      <c r="J56" s="213"/>
      <c r="K56" s="212">
        <f t="shared" si="10"/>
        <v>0</v>
      </c>
      <c r="L56" s="272">
        <f t="shared" si="3"/>
        <v>1900</v>
      </c>
      <c r="M56" s="272">
        <f t="shared" si="4"/>
        <v>1</v>
      </c>
      <c r="N56" s="273"/>
      <c r="O56" s="61">
        <f t="shared" si="11"/>
        <v>1900</v>
      </c>
      <c r="P56" s="61">
        <f t="shared" si="12"/>
        <v>1</v>
      </c>
      <c r="R56" s="272"/>
      <c r="S56" s="272"/>
      <c r="T56" s="278" t="str">
        <f t="shared" si="5"/>
        <v>-</v>
      </c>
    </row>
    <row r="57" spans="1:20">
      <c r="A57" s="269"/>
      <c r="B57" s="53"/>
      <c r="C57" s="175"/>
      <c r="D57" s="176"/>
      <c r="E57" s="175"/>
      <c r="F57" s="177"/>
      <c r="G57" s="271"/>
      <c r="H57" s="271"/>
      <c r="I57" s="213"/>
      <c r="J57" s="213"/>
      <c r="K57" s="212">
        <f t="shared" si="10"/>
        <v>0</v>
      </c>
      <c r="L57" s="272">
        <f t="shared" si="3"/>
        <v>1900</v>
      </c>
      <c r="M57" s="272">
        <f t="shared" si="4"/>
        <v>1</v>
      </c>
      <c r="N57" s="273"/>
      <c r="O57" s="61">
        <f t="shared" si="11"/>
        <v>1900</v>
      </c>
      <c r="P57" s="61">
        <f t="shared" si="12"/>
        <v>1</v>
      </c>
      <c r="R57" s="272"/>
      <c r="S57" s="272"/>
      <c r="T57" s="278" t="str">
        <f t="shared" si="5"/>
        <v>-</v>
      </c>
    </row>
    <row r="58" spans="1:20">
      <c r="A58" s="269"/>
      <c r="B58" s="53"/>
      <c r="C58" s="175"/>
      <c r="D58" s="176"/>
      <c r="E58" s="175"/>
      <c r="F58" s="177"/>
      <c r="G58" s="271"/>
      <c r="H58" s="271"/>
      <c r="I58" s="213"/>
      <c r="J58" s="213"/>
      <c r="K58" s="212">
        <f t="shared" si="10"/>
        <v>0</v>
      </c>
      <c r="L58" s="272">
        <f t="shared" si="3"/>
        <v>1900</v>
      </c>
      <c r="M58" s="272">
        <f t="shared" si="4"/>
        <v>1</v>
      </c>
      <c r="N58" s="273"/>
      <c r="O58" s="61">
        <f t="shared" si="11"/>
        <v>1900</v>
      </c>
      <c r="P58" s="61">
        <f t="shared" si="12"/>
        <v>1</v>
      </c>
      <c r="R58" s="272"/>
      <c r="S58" s="272"/>
      <c r="T58" s="278" t="str">
        <f t="shared" si="5"/>
        <v>-</v>
      </c>
    </row>
    <row r="59" spans="1:20">
      <c r="A59" s="269"/>
      <c r="B59" s="53"/>
      <c r="C59" s="175"/>
      <c r="D59" s="176"/>
      <c r="E59" s="175"/>
      <c r="F59" s="177"/>
      <c r="G59" s="271"/>
      <c r="H59" s="271"/>
      <c r="I59" s="213"/>
      <c r="J59" s="213"/>
      <c r="K59" s="212">
        <f t="shared" si="10"/>
        <v>0</v>
      </c>
      <c r="L59" s="272">
        <f t="shared" si="3"/>
        <v>1900</v>
      </c>
      <c r="M59" s="272">
        <f t="shared" si="4"/>
        <v>1</v>
      </c>
      <c r="N59" s="273"/>
      <c r="O59" s="61">
        <f t="shared" si="11"/>
        <v>1900</v>
      </c>
      <c r="P59" s="61">
        <f t="shared" si="12"/>
        <v>1</v>
      </c>
      <c r="R59" s="272"/>
      <c r="S59" s="272"/>
      <c r="T59" s="278" t="str">
        <f t="shared" si="5"/>
        <v>-</v>
      </c>
    </row>
    <row r="60" spans="1:20">
      <c r="A60" s="269"/>
      <c r="B60" s="53"/>
      <c r="C60" s="175"/>
      <c r="D60" s="176"/>
      <c r="E60" s="175"/>
      <c r="F60" s="177"/>
      <c r="G60" s="271"/>
      <c r="H60" s="271"/>
      <c r="I60" s="213"/>
      <c r="J60" s="213"/>
      <c r="K60" s="212">
        <f t="shared" si="10"/>
        <v>0</v>
      </c>
      <c r="L60" s="272">
        <f t="shared" si="3"/>
        <v>1900</v>
      </c>
      <c r="M60" s="272">
        <f t="shared" si="4"/>
        <v>1</v>
      </c>
      <c r="N60" s="273"/>
      <c r="O60" s="61">
        <f t="shared" si="11"/>
        <v>1900</v>
      </c>
      <c r="P60" s="61">
        <f t="shared" si="12"/>
        <v>1</v>
      </c>
      <c r="R60" s="272"/>
      <c r="S60" s="272"/>
      <c r="T60" s="278" t="str">
        <f t="shared" si="5"/>
        <v>-</v>
      </c>
    </row>
    <row r="61" spans="1:20">
      <c r="A61" s="269"/>
      <c r="B61" s="53"/>
      <c r="C61" s="175"/>
      <c r="D61" s="176"/>
      <c r="E61" s="175"/>
      <c r="F61" s="177"/>
      <c r="G61" s="271"/>
      <c r="H61" s="271"/>
      <c r="I61" s="213"/>
      <c r="J61" s="213"/>
      <c r="K61" s="212">
        <f t="shared" si="10"/>
        <v>0</v>
      </c>
      <c r="L61" s="272">
        <f t="shared" si="3"/>
        <v>1900</v>
      </c>
      <c r="M61" s="272">
        <f t="shared" si="4"/>
        <v>1</v>
      </c>
      <c r="N61" s="273"/>
      <c r="O61" s="61">
        <f t="shared" si="11"/>
        <v>1900</v>
      </c>
      <c r="P61" s="61">
        <f t="shared" si="12"/>
        <v>1</v>
      </c>
      <c r="R61" s="272"/>
      <c r="S61" s="272"/>
      <c r="T61" s="278" t="str">
        <f t="shared" si="5"/>
        <v>-</v>
      </c>
    </row>
    <row r="62" spans="1:20">
      <c r="A62" s="269"/>
      <c r="B62" s="53"/>
      <c r="C62" s="175"/>
      <c r="D62" s="176"/>
      <c r="E62" s="175"/>
      <c r="F62" s="177"/>
      <c r="G62" s="271"/>
      <c r="H62" s="271"/>
      <c r="I62" s="213"/>
      <c r="J62" s="213"/>
      <c r="K62" s="212">
        <f t="shared" si="10"/>
        <v>0</v>
      </c>
      <c r="L62" s="272">
        <f t="shared" si="3"/>
        <v>1900</v>
      </c>
      <c r="M62" s="272">
        <f t="shared" si="4"/>
        <v>1</v>
      </c>
      <c r="N62" s="273"/>
      <c r="O62" s="61">
        <f t="shared" si="11"/>
        <v>1900</v>
      </c>
      <c r="P62" s="61">
        <f t="shared" si="12"/>
        <v>1</v>
      </c>
      <c r="R62" s="272"/>
      <c r="S62" s="272"/>
      <c r="T62" s="278" t="str">
        <f t="shared" si="5"/>
        <v>-</v>
      </c>
    </row>
    <row r="63" spans="1:20">
      <c r="A63" s="269"/>
      <c r="B63" s="53"/>
      <c r="C63" s="175"/>
      <c r="D63" s="176"/>
      <c r="E63" s="175"/>
      <c r="F63" s="177"/>
      <c r="G63" s="271"/>
      <c r="H63" s="271"/>
      <c r="I63" s="213"/>
      <c r="J63" s="213"/>
      <c r="K63" s="212">
        <f t="shared" si="10"/>
        <v>0</v>
      </c>
      <c r="L63" s="272">
        <f t="shared" si="3"/>
        <v>1900</v>
      </c>
      <c r="M63" s="272">
        <f t="shared" si="4"/>
        <v>1</v>
      </c>
      <c r="N63" s="273"/>
      <c r="O63" s="61">
        <f t="shared" si="11"/>
        <v>1900</v>
      </c>
      <c r="P63" s="61">
        <f t="shared" si="12"/>
        <v>1</v>
      </c>
      <c r="R63" s="272"/>
      <c r="S63" s="272"/>
      <c r="T63" s="278" t="str">
        <f t="shared" si="5"/>
        <v>-</v>
      </c>
    </row>
    <row r="64" spans="1:20">
      <c r="A64" s="269"/>
      <c r="B64" s="53"/>
      <c r="C64" s="175"/>
      <c r="D64" s="176"/>
      <c r="E64" s="175"/>
      <c r="F64" s="177"/>
      <c r="G64" s="271"/>
      <c r="H64" s="271"/>
      <c r="I64" s="213"/>
      <c r="J64" s="213"/>
      <c r="K64" s="212">
        <f t="shared" si="10"/>
        <v>0</v>
      </c>
      <c r="L64" s="272">
        <f t="shared" si="3"/>
        <v>1900</v>
      </c>
      <c r="M64" s="272">
        <f t="shared" si="4"/>
        <v>1</v>
      </c>
      <c r="N64" s="273"/>
      <c r="O64" s="61">
        <f t="shared" si="11"/>
        <v>1900</v>
      </c>
      <c r="P64" s="61">
        <f t="shared" si="12"/>
        <v>1</v>
      </c>
      <c r="R64" s="272"/>
      <c r="S64" s="272"/>
      <c r="T64" s="278" t="str">
        <f t="shared" si="5"/>
        <v>-</v>
      </c>
    </row>
    <row r="65" spans="1:20">
      <c r="A65" s="269"/>
      <c r="B65" s="53"/>
      <c r="C65" s="175"/>
      <c r="D65" s="176"/>
      <c r="E65" s="175"/>
      <c r="F65" s="177"/>
      <c r="G65" s="271"/>
      <c r="H65" s="271"/>
      <c r="I65" s="213"/>
      <c r="J65" s="213"/>
      <c r="K65" s="212">
        <f t="shared" si="10"/>
        <v>0</v>
      </c>
      <c r="L65" s="272">
        <f t="shared" si="3"/>
        <v>1900</v>
      </c>
      <c r="M65" s="272">
        <f t="shared" si="4"/>
        <v>1</v>
      </c>
      <c r="N65" s="273"/>
      <c r="O65" s="61">
        <f t="shared" si="11"/>
        <v>1900</v>
      </c>
      <c r="P65" s="61">
        <f t="shared" si="12"/>
        <v>1</v>
      </c>
      <c r="R65" s="272"/>
      <c r="S65" s="272"/>
      <c r="T65" s="278" t="str">
        <f t="shared" si="5"/>
        <v>-</v>
      </c>
    </row>
    <row r="66" spans="1:20">
      <c r="A66" s="269"/>
      <c r="B66" s="53"/>
      <c r="C66" s="175"/>
      <c r="D66" s="176"/>
      <c r="E66" s="175"/>
      <c r="F66" s="177"/>
      <c r="G66" s="271"/>
      <c r="H66" s="271"/>
      <c r="I66" s="213"/>
      <c r="J66" s="213"/>
      <c r="K66" s="212">
        <f t="shared" si="10"/>
        <v>0</v>
      </c>
      <c r="L66" s="272">
        <f t="shared" si="3"/>
        <v>1900</v>
      </c>
      <c r="M66" s="272">
        <f t="shared" si="4"/>
        <v>1</v>
      </c>
      <c r="N66" s="273"/>
      <c r="O66" s="61">
        <f t="shared" si="11"/>
        <v>1900</v>
      </c>
      <c r="P66" s="61">
        <f t="shared" si="12"/>
        <v>1</v>
      </c>
      <c r="R66" s="272"/>
      <c r="S66" s="272"/>
      <c r="T66" s="278" t="str">
        <f t="shared" si="5"/>
        <v>-</v>
      </c>
    </row>
    <row r="67" spans="1:20">
      <c r="A67" s="269"/>
      <c r="B67" s="53"/>
      <c r="C67" s="175"/>
      <c r="D67" s="176"/>
      <c r="E67" s="175"/>
      <c r="F67" s="177"/>
      <c r="G67" s="271"/>
      <c r="H67" s="271"/>
      <c r="I67" s="213"/>
      <c r="J67" s="213"/>
      <c r="K67" s="212">
        <f t="shared" si="10"/>
        <v>0</v>
      </c>
      <c r="L67" s="272">
        <f t="shared" si="3"/>
        <v>1900</v>
      </c>
      <c r="M67" s="272">
        <f t="shared" si="4"/>
        <v>1</v>
      </c>
      <c r="N67" s="273"/>
      <c r="O67" s="61">
        <f t="shared" si="11"/>
        <v>1900</v>
      </c>
      <c r="P67" s="61">
        <f t="shared" si="12"/>
        <v>1</v>
      </c>
      <c r="R67" s="272"/>
      <c r="S67" s="272"/>
      <c r="T67" s="278" t="str">
        <f t="shared" si="5"/>
        <v>-</v>
      </c>
    </row>
    <row r="68" spans="1:20">
      <c r="A68" s="269"/>
      <c r="B68" s="53"/>
      <c r="C68" s="175"/>
      <c r="D68" s="176"/>
      <c r="E68" s="175"/>
      <c r="F68" s="177"/>
      <c r="G68" s="271"/>
      <c r="H68" s="271"/>
      <c r="I68" s="213"/>
      <c r="J68" s="213"/>
      <c r="K68" s="212">
        <f t="shared" si="10"/>
        <v>0</v>
      </c>
      <c r="L68" s="272">
        <f t="shared" si="3"/>
        <v>1900</v>
      </c>
      <c r="M68" s="272">
        <f t="shared" si="4"/>
        <v>1</v>
      </c>
      <c r="N68" s="273"/>
      <c r="O68" s="61">
        <f t="shared" si="11"/>
        <v>1900</v>
      </c>
      <c r="P68" s="61">
        <f t="shared" si="12"/>
        <v>1</v>
      </c>
      <c r="R68" s="272"/>
      <c r="S68" s="272"/>
      <c r="T68" s="278" t="str">
        <f t="shared" si="5"/>
        <v>-</v>
      </c>
    </row>
    <row r="69" spans="1:20">
      <c r="A69" s="269"/>
      <c r="B69" s="53"/>
      <c r="C69" s="175"/>
      <c r="D69" s="176"/>
      <c r="E69" s="175"/>
      <c r="F69" s="177"/>
      <c r="G69" s="271"/>
      <c r="H69" s="271"/>
      <c r="I69" s="213"/>
      <c r="J69" s="213"/>
      <c r="K69" s="212">
        <f t="shared" si="10"/>
        <v>0</v>
      </c>
      <c r="L69" s="272">
        <f t="shared" si="3"/>
        <v>1900</v>
      </c>
      <c r="M69" s="272">
        <f t="shared" si="4"/>
        <v>1</v>
      </c>
      <c r="N69" s="273"/>
      <c r="O69" s="61">
        <f t="shared" si="11"/>
        <v>1900</v>
      </c>
      <c r="P69" s="61">
        <f t="shared" si="12"/>
        <v>1</v>
      </c>
      <c r="R69" s="272"/>
      <c r="S69" s="272"/>
      <c r="T69" s="278" t="str">
        <f t="shared" si="5"/>
        <v>-</v>
      </c>
    </row>
    <row r="70" spans="1:20">
      <c r="A70" s="269"/>
      <c r="B70" s="53"/>
      <c r="C70" s="175"/>
      <c r="D70" s="176"/>
      <c r="E70" s="175"/>
      <c r="F70" s="177"/>
      <c r="G70" s="271"/>
      <c r="H70" s="271"/>
      <c r="I70" s="213"/>
      <c r="J70" s="213"/>
      <c r="K70" s="212">
        <f t="shared" si="10"/>
        <v>0</v>
      </c>
      <c r="L70" s="272">
        <f t="shared" si="3"/>
        <v>1900</v>
      </c>
      <c r="M70" s="272">
        <f t="shared" si="4"/>
        <v>1</v>
      </c>
      <c r="N70" s="273"/>
      <c r="O70" s="61">
        <f t="shared" si="11"/>
        <v>1900</v>
      </c>
      <c r="P70" s="61">
        <f t="shared" si="12"/>
        <v>1</v>
      </c>
      <c r="R70" s="272"/>
      <c r="S70" s="272"/>
      <c r="T70" s="278" t="str">
        <f t="shared" si="5"/>
        <v>-</v>
      </c>
    </row>
    <row r="71" spans="1:20">
      <c r="A71" s="269"/>
      <c r="B71" s="53"/>
      <c r="C71" s="175"/>
      <c r="D71" s="176"/>
      <c r="E71" s="175"/>
      <c r="F71" s="177"/>
      <c r="G71" s="271"/>
      <c r="H71" s="271"/>
      <c r="I71" s="213"/>
      <c r="J71" s="213"/>
      <c r="K71" s="212">
        <f t="shared" si="10"/>
        <v>0</v>
      </c>
      <c r="L71" s="272">
        <f t="shared" si="3"/>
        <v>1900</v>
      </c>
      <c r="M71" s="272">
        <f t="shared" si="4"/>
        <v>1</v>
      </c>
      <c r="N71" s="273"/>
      <c r="O71" s="61">
        <f t="shared" si="11"/>
        <v>1900</v>
      </c>
      <c r="P71" s="61">
        <f t="shared" si="12"/>
        <v>1</v>
      </c>
      <c r="R71" s="272"/>
      <c r="S71" s="272"/>
      <c r="T71" s="278" t="str">
        <f t="shared" si="5"/>
        <v>-</v>
      </c>
    </row>
    <row r="72" spans="1:20">
      <c r="A72" s="269"/>
      <c r="B72" s="53"/>
      <c r="C72" s="175"/>
      <c r="D72" s="176"/>
      <c r="E72" s="175"/>
      <c r="F72" s="177"/>
      <c r="G72" s="271"/>
      <c r="H72" s="271"/>
      <c r="I72" s="213"/>
      <c r="J72" s="213"/>
      <c r="K72" s="212">
        <f t="shared" si="10"/>
        <v>0</v>
      </c>
      <c r="L72" s="272">
        <f t="shared" si="3"/>
        <v>1900</v>
      </c>
      <c r="M72" s="272">
        <f t="shared" si="4"/>
        <v>1</v>
      </c>
      <c r="N72" s="273"/>
      <c r="O72" s="61">
        <f t="shared" si="11"/>
        <v>1900</v>
      </c>
      <c r="P72" s="61">
        <f t="shared" si="12"/>
        <v>1</v>
      </c>
      <c r="R72" s="272"/>
      <c r="S72" s="272"/>
      <c r="T72" s="278" t="str">
        <f t="shared" si="5"/>
        <v>-</v>
      </c>
    </row>
    <row r="73" spans="1:20">
      <c r="A73" s="269"/>
      <c r="B73" s="53"/>
      <c r="C73" s="175"/>
      <c r="D73" s="176"/>
      <c r="E73" s="175"/>
      <c r="F73" s="177"/>
      <c r="G73" s="271"/>
      <c r="H73" s="271"/>
      <c r="I73" s="213"/>
      <c r="J73" s="213"/>
      <c r="K73" s="212">
        <f t="shared" si="10"/>
        <v>0</v>
      </c>
      <c r="L73" s="272">
        <f t="shared" si="3"/>
        <v>1900</v>
      </c>
      <c r="M73" s="272">
        <f t="shared" si="4"/>
        <v>1</v>
      </c>
      <c r="N73" s="273"/>
      <c r="O73" s="61">
        <f t="shared" si="11"/>
        <v>1900</v>
      </c>
      <c r="P73" s="61">
        <f t="shared" si="12"/>
        <v>1</v>
      </c>
      <c r="R73" s="272"/>
      <c r="S73" s="272"/>
      <c r="T73" s="278" t="str">
        <f t="shared" si="5"/>
        <v>-</v>
      </c>
    </row>
    <row r="74" spans="1:20">
      <c r="A74" s="269"/>
      <c r="B74" s="53"/>
      <c r="C74" s="175"/>
      <c r="D74" s="176"/>
      <c r="E74" s="175"/>
      <c r="F74" s="177"/>
      <c r="G74" s="271"/>
      <c r="H74" s="271"/>
      <c r="I74" s="213"/>
      <c r="J74" s="213"/>
      <c r="K74" s="212">
        <f t="shared" si="10"/>
        <v>0</v>
      </c>
      <c r="L74" s="272">
        <f t="shared" si="3"/>
        <v>1900</v>
      </c>
      <c r="M74" s="272">
        <f t="shared" si="4"/>
        <v>1</v>
      </c>
      <c r="N74" s="273"/>
      <c r="O74" s="61">
        <f t="shared" si="11"/>
        <v>1900</v>
      </c>
      <c r="P74" s="61">
        <f t="shared" si="12"/>
        <v>1</v>
      </c>
      <c r="R74" s="272"/>
      <c r="S74" s="272"/>
      <c r="T74" s="278" t="str">
        <f t="shared" si="5"/>
        <v>-</v>
      </c>
    </row>
    <row r="75" spans="1:20">
      <c r="A75" s="269"/>
      <c r="B75" s="53"/>
      <c r="C75" s="175"/>
      <c r="D75" s="176"/>
      <c r="E75" s="175"/>
      <c r="F75" s="177"/>
      <c r="G75" s="271"/>
      <c r="H75" s="271"/>
      <c r="I75" s="213"/>
      <c r="J75" s="213"/>
      <c r="K75" s="212">
        <f t="shared" si="10"/>
        <v>0</v>
      </c>
      <c r="L75" s="272">
        <f t="shared" si="3"/>
        <v>1900</v>
      </c>
      <c r="M75" s="272">
        <f t="shared" si="4"/>
        <v>1</v>
      </c>
      <c r="N75" s="273"/>
      <c r="O75" s="61">
        <f t="shared" si="11"/>
        <v>1900</v>
      </c>
      <c r="P75" s="61">
        <f t="shared" si="12"/>
        <v>1</v>
      </c>
      <c r="R75" s="272"/>
      <c r="S75" s="272"/>
      <c r="T75" s="278" t="str">
        <f t="shared" si="5"/>
        <v>-</v>
      </c>
    </row>
    <row r="76" spans="1:20">
      <c r="A76" s="269"/>
      <c r="B76" s="53"/>
      <c r="C76" s="175"/>
      <c r="D76" s="176"/>
      <c r="E76" s="175"/>
      <c r="F76" s="177"/>
      <c r="G76" s="271"/>
      <c r="H76" s="271"/>
      <c r="I76" s="213"/>
      <c r="J76" s="213"/>
      <c r="K76" s="212">
        <f t="shared" si="10"/>
        <v>0</v>
      </c>
      <c r="L76" s="272">
        <f t="shared" si="3"/>
        <v>1900</v>
      </c>
      <c r="M76" s="272">
        <f t="shared" si="4"/>
        <v>1</v>
      </c>
      <c r="N76" s="273"/>
      <c r="O76" s="61">
        <f t="shared" si="11"/>
        <v>1900</v>
      </c>
      <c r="P76" s="61">
        <f t="shared" si="12"/>
        <v>1</v>
      </c>
      <c r="R76" s="272"/>
      <c r="S76" s="272"/>
      <c r="T76" s="278" t="str">
        <f t="shared" si="5"/>
        <v>-</v>
      </c>
    </row>
    <row r="77" spans="1:20">
      <c r="A77" s="269"/>
      <c r="B77" s="53"/>
      <c r="C77" s="175"/>
      <c r="D77" s="176"/>
      <c r="E77" s="175"/>
      <c r="F77" s="177"/>
      <c r="G77" s="271"/>
      <c r="H77" s="271"/>
      <c r="I77" s="213"/>
      <c r="J77" s="213"/>
      <c r="K77" s="212">
        <f t="shared" si="10"/>
        <v>0</v>
      </c>
      <c r="L77" s="272">
        <f t="shared" si="3"/>
        <v>1900</v>
      </c>
      <c r="M77" s="272">
        <f t="shared" si="4"/>
        <v>1</v>
      </c>
      <c r="N77" s="273"/>
      <c r="O77" s="61">
        <f t="shared" si="11"/>
        <v>1900</v>
      </c>
      <c r="P77" s="61">
        <f t="shared" si="12"/>
        <v>1</v>
      </c>
      <c r="R77" s="272"/>
      <c r="S77" s="272"/>
      <c r="T77" s="278" t="str">
        <f t="shared" si="5"/>
        <v>-</v>
      </c>
    </row>
    <row r="78" spans="1:20">
      <c r="A78" s="269"/>
      <c r="B78" s="53"/>
      <c r="C78" s="175"/>
      <c r="D78" s="176"/>
      <c r="E78" s="175"/>
      <c r="F78" s="177"/>
      <c r="G78" s="271"/>
      <c r="H78" s="271"/>
      <c r="I78" s="213"/>
      <c r="J78" s="213"/>
      <c r="K78" s="212">
        <f t="shared" si="10"/>
        <v>0</v>
      </c>
      <c r="L78" s="272">
        <f t="shared" si="3"/>
        <v>1900</v>
      </c>
      <c r="M78" s="272">
        <f t="shared" si="4"/>
        <v>1</v>
      </c>
      <c r="N78" s="273"/>
      <c r="O78" s="61">
        <f t="shared" si="11"/>
        <v>1900</v>
      </c>
      <c r="P78" s="61">
        <f t="shared" si="12"/>
        <v>1</v>
      </c>
      <c r="R78" s="272"/>
      <c r="S78" s="272"/>
      <c r="T78" s="278" t="str">
        <f t="shared" si="5"/>
        <v>-</v>
      </c>
    </row>
    <row r="79" spans="1:20">
      <c r="A79" s="269"/>
      <c r="B79" s="53"/>
      <c r="C79" s="175"/>
      <c r="D79" s="176"/>
      <c r="E79" s="175"/>
      <c r="F79" s="177"/>
      <c r="G79" s="271"/>
      <c r="H79" s="271"/>
      <c r="I79" s="213"/>
      <c r="J79" s="213"/>
      <c r="K79" s="212">
        <f t="shared" ref="K79:K142" si="16">I79+H79+J79</f>
        <v>0</v>
      </c>
      <c r="L79" s="272">
        <f t="shared" si="3"/>
        <v>1900</v>
      </c>
      <c r="M79" s="272">
        <f t="shared" si="4"/>
        <v>1</v>
      </c>
      <c r="N79" s="273"/>
      <c r="O79" s="61">
        <f t="shared" si="11"/>
        <v>1900</v>
      </c>
      <c r="P79" s="61">
        <f t="shared" si="12"/>
        <v>1</v>
      </c>
      <c r="R79" s="272"/>
      <c r="S79" s="272"/>
      <c r="T79" s="278" t="str">
        <f t="shared" si="5"/>
        <v>-</v>
      </c>
    </row>
    <row r="80" spans="1:20">
      <c r="A80" s="269"/>
      <c r="B80" s="53"/>
      <c r="C80" s="175"/>
      <c r="D80" s="176"/>
      <c r="E80" s="175"/>
      <c r="F80" s="177"/>
      <c r="G80" s="271"/>
      <c r="H80" s="271"/>
      <c r="I80" s="213"/>
      <c r="J80" s="213"/>
      <c r="K80" s="212">
        <f t="shared" si="16"/>
        <v>0</v>
      </c>
      <c r="L80" s="272">
        <f t="shared" ref="L80:L143" si="17">YEAR(B80)</f>
        <v>1900</v>
      </c>
      <c r="M80" s="272">
        <f t="shared" ref="M80:M143" si="18">MONTH(B80)</f>
        <v>1</v>
      </c>
      <c r="N80" s="273"/>
      <c r="O80" s="61">
        <f t="shared" ref="O80:O143" si="19">YEAR(B80)</f>
        <v>1900</v>
      </c>
      <c r="P80" s="61">
        <f t="shared" ref="P80:P143" si="20">MONTH(B80)</f>
        <v>1</v>
      </c>
      <c r="R80" s="272"/>
      <c r="S80" s="272"/>
      <c r="T80" s="278" t="str">
        <f t="shared" ref="T80:T143" si="21">IF($E80&gt;0,IF((R80+S80)=$E80,"OK","Error"),"-")</f>
        <v>-</v>
      </c>
    </row>
    <row r="81" spans="1:20">
      <c r="A81" s="269"/>
      <c r="B81" s="53"/>
      <c r="C81" s="175"/>
      <c r="D81" s="176"/>
      <c r="E81" s="175"/>
      <c r="F81" s="177"/>
      <c r="G81" s="271"/>
      <c r="H81" s="271"/>
      <c r="I81" s="213"/>
      <c r="J81" s="213"/>
      <c r="K81" s="212">
        <f t="shared" si="16"/>
        <v>0</v>
      </c>
      <c r="L81" s="272">
        <f t="shared" si="17"/>
        <v>1900</v>
      </c>
      <c r="M81" s="272">
        <f t="shared" si="18"/>
        <v>1</v>
      </c>
      <c r="N81" s="273"/>
      <c r="O81" s="61">
        <f t="shared" si="19"/>
        <v>1900</v>
      </c>
      <c r="P81" s="61">
        <f t="shared" si="20"/>
        <v>1</v>
      </c>
      <c r="R81" s="272"/>
      <c r="S81" s="272"/>
      <c r="T81" s="278" t="str">
        <f t="shared" si="21"/>
        <v>-</v>
      </c>
    </row>
    <row r="82" spans="1:20">
      <c r="A82" s="269"/>
      <c r="B82" s="53"/>
      <c r="C82" s="175"/>
      <c r="D82" s="176"/>
      <c r="E82" s="175"/>
      <c r="F82" s="177"/>
      <c r="G82" s="271"/>
      <c r="H82" s="271"/>
      <c r="I82" s="213"/>
      <c r="J82" s="213"/>
      <c r="K82" s="212">
        <f t="shared" si="16"/>
        <v>0</v>
      </c>
      <c r="L82" s="272">
        <f t="shared" si="17"/>
        <v>1900</v>
      </c>
      <c r="M82" s="272">
        <f t="shared" si="18"/>
        <v>1</v>
      </c>
      <c r="N82" s="273"/>
      <c r="O82" s="61">
        <f t="shared" si="19"/>
        <v>1900</v>
      </c>
      <c r="P82" s="61">
        <f t="shared" si="20"/>
        <v>1</v>
      </c>
      <c r="R82" s="272"/>
      <c r="S82" s="272"/>
      <c r="T82" s="278" t="str">
        <f t="shared" si="21"/>
        <v>-</v>
      </c>
    </row>
    <row r="83" spans="1:20">
      <c r="A83" s="269"/>
      <c r="B83" s="53"/>
      <c r="C83" s="175"/>
      <c r="D83" s="176"/>
      <c r="E83" s="175"/>
      <c r="F83" s="177"/>
      <c r="G83" s="271"/>
      <c r="H83" s="271"/>
      <c r="I83" s="213"/>
      <c r="J83" s="213"/>
      <c r="K83" s="212">
        <f t="shared" si="16"/>
        <v>0</v>
      </c>
      <c r="L83" s="272">
        <f t="shared" si="17"/>
        <v>1900</v>
      </c>
      <c r="M83" s="272">
        <f t="shared" si="18"/>
        <v>1</v>
      </c>
      <c r="N83" s="273"/>
      <c r="O83" s="61">
        <f t="shared" si="19"/>
        <v>1900</v>
      </c>
      <c r="P83" s="61">
        <f t="shared" si="20"/>
        <v>1</v>
      </c>
      <c r="R83" s="272"/>
      <c r="S83" s="272"/>
      <c r="T83" s="278" t="str">
        <f t="shared" si="21"/>
        <v>-</v>
      </c>
    </row>
    <row r="84" spans="1:20">
      <c r="A84" s="269"/>
      <c r="B84" s="57"/>
      <c r="C84" s="176"/>
      <c r="D84" s="176"/>
      <c r="E84" s="176"/>
      <c r="F84" s="177"/>
      <c r="G84" s="271"/>
      <c r="H84" s="271"/>
      <c r="I84" s="213"/>
      <c r="J84" s="213"/>
      <c r="K84" s="212">
        <f t="shared" si="16"/>
        <v>0</v>
      </c>
      <c r="L84" s="272">
        <f t="shared" si="17"/>
        <v>1900</v>
      </c>
      <c r="M84" s="272">
        <f t="shared" si="18"/>
        <v>1</v>
      </c>
      <c r="N84" s="273"/>
      <c r="O84" s="61">
        <f t="shared" si="19"/>
        <v>1900</v>
      </c>
      <c r="P84" s="61">
        <f t="shared" si="20"/>
        <v>1</v>
      </c>
      <c r="R84" s="272"/>
      <c r="S84" s="272"/>
      <c r="T84" s="278" t="str">
        <f t="shared" si="21"/>
        <v>-</v>
      </c>
    </row>
    <row r="85" spans="1:20">
      <c r="A85" s="269"/>
      <c r="B85" s="57"/>
      <c r="C85" s="176"/>
      <c r="D85" s="176"/>
      <c r="E85" s="176"/>
      <c r="F85" s="177"/>
      <c r="G85" s="271"/>
      <c r="H85" s="271"/>
      <c r="I85" s="213"/>
      <c r="J85" s="213"/>
      <c r="K85" s="212">
        <f t="shared" si="16"/>
        <v>0</v>
      </c>
      <c r="L85" s="272">
        <f t="shared" si="17"/>
        <v>1900</v>
      </c>
      <c r="M85" s="272">
        <f t="shared" si="18"/>
        <v>1</v>
      </c>
      <c r="N85" s="273"/>
      <c r="O85" s="61">
        <f t="shared" si="19"/>
        <v>1900</v>
      </c>
      <c r="P85" s="61">
        <f t="shared" si="20"/>
        <v>1</v>
      </c>
      <c r="R85" s="272"/>
      <c r="S85" s="272"/>
      <c r="T85" s="278" t="str">
        <f t="shared" si="21"/>
        <v>-</v>
      </c>
    </row>
    <row r="86" spans="1:20">
      <c r="A86" s="269"/>
      <c r="B86" s="57"/>
      <c r="C86" s="176"/>
      <c r="D86" s="176"/>
      <c r="E86" s="176"/>
      <c r="F86" s="177"/>
      <c r="G86" s="271"/>
      <c r="H86" s="271"/>
      <c r="I86" s="213"/>
      <c r="J86" s="213"/>
      <c r="K86" s="212">
        <f t="shared" si="16"/>
        <v>0</v>
      </c>
      <c r="L86" s="272">
        <f t="shared" si="17"/>
        <v>1900</v>
      </c>
      <c r="M86" s="272">
        <f t="shared" si="18"/>
        <v>1</v>
      </c>
      <c r="N86" s="273"/>
      <c r="O86" s="61">
        <f t="shared" si="19"/>
        <v>1900</v>
      </c>
      <c r="P86" s="61">
        <f t="shared" si="20"/>
        <v>1</v>
      </c>
      <c r="R86" s="272"/>
      <c r="S86" s="272"/>
      <c r="T86" s="278" t="str">
        <f t="shared" si="21"/>
        <v>-</v>
      </c>
    </row>
    <row r="87" spans="1:20">
      <c r="A87" s="269"/>
      <c r="B87" s="57"/>
      <c r="C87" s="176"/>
      <c r="D87" s="176"/>
      <c r="E87" s="176"/>
      <c r="F87" s="177"/>
      <c r="G87" s="271"/>
      <c r="H87" s="271"/>
      <c r="I87" s="213"/>
      <c r="J87" s="213"/>
      <c r="K87" s="212">
        <f t="shared" si="16"/>
        <v>0</v>
      </c>
      <c r="L87" s="272">
        <f t="shared" si="17"/>
        <v>1900</v>
      </c>
      <c r="M87" s="272">
        <f t="shared" si="18"/>
        <v>1</v>
      </c>
      <c r="N87" s="273"/>
      <c r="O87" s="61">
        <f t="shared" si="19"/>
        <v>1900</v>
      </c>
      <c r="P87" s="61">
        <f t="shared" si="20"/>
        <v>1</v>
      </c>
      <c r="R87" s="272"/>
      <c r="S87" s="272"/>
      <c r="T87" s="278" t="str">
        <f t="shared" si="21"/>
        <v>-</v>
      </c>
    </row>
    <row r="88" spans="1:20">
      <c r="A88" s="269"/>
      <c r="B88" s="57"/>
      <c r="C88" s="176"/>
      <c r="D88" s="176"/>
      <c r="E88" s="176"/>
      <c r="F88" s="177"/>
      <c r="G88" s="271"/>
      <c r="H88" s="271"/>
      <c r="I88" s="213"/>
      <c r="J88" s="213"/>
      <c r="K88" s="212">
        <f t="shared" si="16"/>
        <v>0</v>
      </c>
      <c r="L88" s="272">
        <f t="shared" si="17"/>
        <v>1900</v>
      </c>
      <c r="M88" s="272">
        <f t="shared" si="18"/>
        <v>1</v>
      </c>
      <c r="N88" s="273"/>
      <c r="O88" s="61">
        <f t="shared" si="19"/>
        <v>1900</v>
      </c>
      <c r="P88" s="61">
        <f t="shared" si="20"/>
        <v>1</v>
      </c>
      <c r="R88" s="272"/>
      <c r="S88" s="272"/>
      <c r="T88" s="278" t="str">
        <f t="shared" si="21"/>
        <v>-</v>
      </c>
    </row>
    <row r="89" spans="1:20">
      <c r="A89" s="269"/>
      <c r="B89" s="57"/>
      <c r="C89" s="176"/>
      <c r="D89" s="176"/>
      <c r="E89" s="176"/>
      <c r="F89" s="177"/>
      <c r="G89" s="271"/>
      <c r="H89" s="271"/>
      <c r="I89" s="213"/>
      <c r="J89" s="213"/>
      <c r="K89" s="212">
        <f t="shared" si="16"/>
        <v>0</v>
      </c>
      <c r="L89" s="272">
        <f t="shared" si="17"/>
        <v>1900</v>
      </c>
      <c r="M89" s="272">
        <f t="shared" si="18"/>
        <v>1</v>
      </c>
      <c r="N89" s="273"/>
      <c r="O89" s="61">
        <f t="shared" si="19"/>
        <v>1900</v>
      </c>
      <c r="P89" s="61">
        <f t="shared" si="20"/>
        <v>1</v>
      </c>
      <c r="R89" s="272"/>
      <c r="S89" s="272"/>
      <c r="T89" s="278" t="str">
        <f t="shared" si="21"/>
        <v>-</v>
      </c>
    </row>
    <row r="90" spans="1:20">
      <c r="A90" s="269"/>
      <c r="B90" s="57"/>
      <c r="C90" s="176"/>
      <c r="D90" s="176"/>
      <c r="E90" s="176"/>
      <c r="F90" s="177"/>
      <c r="G90" s="271"/>
      <c r="H90" s="271"/>
      <c r="I90" s="213"/>
      <c r="J90" s="213"/>
      <c r="K90" s="212">
        <f t="shared" si="16"/>
        <v>0</v>
      </c>
      <c r="L90" s="272">
        <f t="shared" si="17"/>
        <v>1900</v>
      </c>
      <c r="M90" s="272">
        <f t="shared" si="18"/>
        <v>1</v>
      </c>
      <c r="N90" s="273"/>
      <c r="O90" s="61">
        <f t="shared" si="19"/>
        <v>1900</v>
      </c>
      <c r="P90" s="61">
        <f t="shared" si="20"/>
        <v>1</v>
      </c>
      <c r="R90" s="272"/>
      <c r="S90" s="272"/>
      <c r="T90" s="278" t="str">
        <f t="shared" si="21"/>
        <v>-</v>
      </c>
    </row>
    <row r="91" spans="1:20">
      <c r="A91" s="269"/>
      <c r="B91" s="57"/>
      <c r="C91" s="176"/>
      <c r="D91" s="176"/>
      <c r="E91" s="176"/>
      <c r="F91" s="177"/>
      <c r="G91" s="271"/>
      <c r="H91" s="271"/>
      <c r="I91" s="213"/>
      <c r="J91" s="213"/>
      <c r="K91" s="212">
        <f t="shared" si="16"/>
        <v>0</v>
      </c>
      <c r="L91" s="272">
        <f t="shared" si="17"/>
        <v>1900</v>
      </c>
      <c r="M91" s="272">
        <f t="shared" si="18"/>
        <v>1</v>
      </c>
      <c r="N91" s="273"/>
      <c r="O91" s="61">
        <f t="shared" si="19"/>
        <v>1900</v>
      </c>
      <c r="P91" s="61">
        <f t="shared" si="20"/>
        <v>1</v>
      </c>
      <c r="R91" s="272"/>
      <c r="S91" s="272"/>
      <c r="T91" s="278" t="str">
        <f t="shared" si="21"/>
        <v>-</v>
      </c>
    </row>
    <row r="92" spans="1:20">
      <c r="A92" s="269"/>
      <c r="B92" s="57"/>
      <c r="C92" s="176"/>
      <c r="D92" s="176"/>
      <c r="E92" s="176"/>
      <c r="F92" s="177"/>
      <c r="G92" s="271"/>
      <c r="H92" s="271"/>
      <c r="I92" s="213"/>
      <c r="J92" s="213"/>
      <c r="K92" s="212">
        <f t="shared" si="16"/>
        <v>0</v>
      </c>
      <c r="L92" s="272">
        <f t="shared" si="17"/>
        <v>1900</v>
      </c>
      <c r="M92" s="272">
        <f t="shared" si="18"/>
        <v>1</v>
      </c>
      <c r="N92" s="273"/>
      <c r="O92" s="61">
        <f t="shared" si="19"/>
        <v>1900</v>
      </c>
      <c r="P92" s="61">
        <f t="shared" si="20"/>
        <v>1</v>
      </c>
      <c r="R92" s="272"/>
      <c r="S92" s="272"/>
      <c r="T92" s="278" t="str">
        <f t="shared" si="21"/>
        <v>-</v>
      </c>
    </row>
    <row r="93" spans="1:20">
      <c r="A93" s="269"/>
      <c r="B93" s="57"/>
      <c r="C93" s="176"/>
      <c r="D93" s="176"/>
      <c r="E93" s="176"/>
      <c r="F93" s="177"/>
      <c r="G93" s="271"/>
      <c r="H93" s="271"/>
      <c r="I93" s="213"/>
      <c r="J93" s="213"/>
      <c r="K93" s="212">
        <f t="shared" si="16"/>
        <v>0</v>
      </c>
      <c r="L93" s="272">
        <f t="shared" si="17"/>
        <v>1900</v>
      </c>
      <c r="M93" s="272">
        <f t="shared" si="18"/>
        <v>1</v>
      </c>
      <c r="N93" s="273"/>
      <c r="O93" s="61">
        <f t="shared" si="19"/>
        <v>1900</v>
      </c>
      <c r="P93" s="61">
        <f t="shared" si="20"/>
        <v>1</v>
      </c>
      <c r="R93" s="272"/>
      <c r="S93" s="272"/>
      <c r="T93" s="278" t="str">
        <f t="shared" si="21"/>
        <v>-</v>
      </c>
    </row>
    <row r="94" spans="1:20">
      <c r="A94" s="269"/>
      <c r="B94" s="57"/>
      <c r="C94" s="176"/>
      <c r="D94" s="176"/>
      <c r="E94" s="176"/>
      <c r="F94" s="177"/>
      <c r="G94" s="271"/>
      <c r="H94" s="271"/>
      <c r="I94" s="213"/>
      <c r="J94" s="213"/>
      <c r="K94" s="212">
        <f t="shared" si="16"/>
        <v>0</v>
      </c>
      <c r="L94" s="272">
        <f t="shared" si="17"/>
        <v>1900</v>
      </c>
      <c r="M94" s="272">
        <f t="shared" si="18"/>
        <v>1</v>
      </c>
      <c r="N94" s="273"/>
      <c r="O94" s="61">
        <f t="shared" si="19"/>
        <v>1900</v>
      </c>
      <c r="P94" s="61">
        <f t="shared" si="20"/>
        <v>1</v>
      </c>
      <c r="R94" s="272"/>
      <c r="S94" s="272"/>
      <c r="T94" s="278" t="str">
        <f t="shared" si="21"/>
        <v>-</v>
      </c>
    </row>
    <row r="95" spans="1:20">
      <c r="A95" s="269"/>
      <c r="B95" s="57"/>
      <c r="C95" s="176"/>
      <c r="D95" s="176"/>
      <c r="E95" s="176"/>
      <c r="F95" s="177"/>
      <c r="G95" s="271"/>
      <c r="H95" s="271"/>
      <c r="I95" s="213"/>
      <c r="J95" s="213"/>
      <c r="K95" s="212">
        <f t="shared" si="16"/>
        <v>0</v>
      </c>
      <c r="L95" s="272">
        <f t="shared" si="17"/>
        <v>1900</v>
      </c>
      <c r="M95" s="272">
        <f t="shared" si="18"/>
        <v>1</v>
      </c>
      <c r="N95" s="273"/>
      <c r="O95" s="61">
        <f t="shared" si="19"/>
        <v>1900</v>
      </c>
      <c r="P95" s="61">
        <f t="shared" si="20"/>
        <v>1</v>
      </c>
      <c r="R95" s="272"/>
      <c r="S95" s="272"/>
      <c r="T95" s="278" t="str">
        <f t="shared" si="21"/>
        <v>-</v>
      </c>
    </row>
    <row r="96" spans="1:20">
      <c r="A96" s="269"/>
      <c r="B96" s="57"/>
      <c r="C96" s="176"/>
      <c r="D96" s="176"/>
      <c r="E96" s="176"/>
      <c r="F96" s="177"/>
      <c r="G96" s="271"/>
      <c r="H96" s="271"/>
      <c r="I96" s="213"/>
      <c r="J96" s="213"/>
      <c r="K96" s="212">
        <f t="shared" si="16"/>
        <v>0</v>
      </c>
      <c r="L96" s="272">
        <f t="shared" si="17"/>
        <v>1900</v>
      </c>
      <c r="M96" s="272">
        <f t="shared" si="18"/>
        <v>1</v>
      </c>
      <c r="N96" s="273"/>
      <c r="O96" s="61">
        <f t="shared" si="19"/>
        <v>1900</v>
      </c>
      <c r="P96" s="61">
        <f t="shared" si="20"/>
        <v>1</v>
      </c>
      <c r="R96" s="272"/>
      <c r="S96" s="272"/>
      <c r="T96" s="278" t="str">
        <f t="shared" si="21"/>
        <v>-</v>
      </c>
    </row>
    <row r="97" spans="1:20">
      <c r="A97" s="269"/>
      <c r="B97" s="57"/>
      <c r="C97" s="176"/>
      <c r="D97" s="176"/>
      <c r="E97" s="176"/>
      <c r="F97" s="177"/>
      <c r="G97" s="271"/>
      <c r="H97" s="271"/>
      <c r="I97" s="213"/>
      <c r="J97" s="213"/>
      <c r="K97" s="212">
        <f t="shared" si="16"/>
        <v>0</v>
      </c>
      <c r="L97" s="272">
        <f t="shared" si="17"/>
        <v>1900</v>
      </c>
      <c r="M97" s="272">
        <f t="shared" si="18"/>
        <v>1</v>
      </c>
      <c r="N97" s="273"/>
      <c r="O97" s="61">
        <f t="shared" si="19"/>
        <v>1900</v>
      </c>
      <c r="P97" s="61">
        <f t="shared" si="20"/>
        <v>1</v>
      </c>
      <c r="R97" s="272"/>
      <c r="S97" s="272"/>
      <c r="T97" s="278" t="str">
        <f t="shared" si="21"/>
        <v>-</v>
      </c>
    </row>
    <row r="98" spans="1:20">
      <c r="A98" s="269"/>
      <c r="B98" s="53"/>
      <c r="C98" s="176"/>
      <c r="D98" s="176"/>
      <c r="E98" s="176"/>
      <c r="F98" s="177"/>
      <c r="G98" s="271"/>
      <c r="H98" s="271"/>
      <c r="I98" s="213"/>
      <c r="J98" s="213"/>
      <c r="K98" s="212">
        <f t="shared" si="16"/>
        <v>0</v>
      </c>
      <c r="L98" s="272">
        <f t="shared" si="17"/>
        <v>1900</v>
      </c>
      <c r="M98" s="272">
        <f t="shared" si="18"/>
        <v>1</v>
      </c>
      <c r="N98" s="273"/>
      <c r="O98" s="61">
        <f t="shared" si="19"/>
        <v>1900</v>
      </c>
      <c r="P98" s="61">
        <f t="shared" si="20"/>
        <v>1</v>
      </c>
      <c r="R98" s="272"/>
      <c r="S98" s="272"/>
      <c r="T98" s="278" t="str">
        <f t="shared" si="21"/>
        <v>-</v>
      </c>
    </row>
    <row r="99" spans="1:20">
      <c r="A99" s="269"/>
      <c r="B99" s="53"/>
      <c r="C99" s="176"/>
      <c r="D99" s="176"/>
      <c r="E99" s="176"/>
      <c r="F99" s="177"/>
      <c r="G99" s="271"/>
      <c r="H99" s="271"/>
      <c r="I99" s="213"/>
      <c r="J99" s="213"/>
      <c r="K99" s="212">
        <f t="shared" si="16"/>
        <v>0</v>
      </c>
      <c r="L99" s="272">
        <f t="shared" si="17"/>
        <v>1900</v>
      </c>
      <c r="M99" s="272">
        <f t="shared" si="18"/>
        <v>1</v>
      </c>
      <c r="N99" s="273"/>
      <c r="O99" s="61">
        <f t="shared" si="19"/>
        <v>1900</v>
      </c>
      <c r="P99" s="61">
        <f t="shared" si="20"/>
        <v>1</v>
      </c>
      <c r="R99" s="272"/>
      <c r="S99" s="272"/>
      <c r="T99" s="278" t="str">
        <f t="shared" si="21"/>
        <v>-</v>
      </c>
    </row>
    <row r="100" spans="1:20">
      <c r="A100" s="269"/>
      <c r="B100" s="53"/>
      <c r="C100" s="176"/>
      <c r="D100" s="176"/>
      <c r="E100" s="176"/>
      <c r="F100" s="177"/>
      <c r="G100" s="271"/>
      <c r="H100" s="271"/>
      <c r="I100" s="213"/>
      <c r="J100" s="213"/>
      <c r="K100" s="212">
        <f t="shared" si="16"/>
        <v>0</v>
      </c>
      <c r="L100" s="272">
        <f t="shared" si="17"/>
        <v>1900</v>
      </c>
      <c r="M100" s="272">
        <f t="shared" si="18"/>
        <v>1</v>
      </c>
      <c r="N100" s="273"/>
      <c r="O100" s="61">
        <f t="shared" si="19"/>
        <v>1900</v>
      </c>
      <c r="P100" s="61">
        <f t="shared" si="20"/>
        <v>1</v>
      </c>
      <c r="R100" s="272"/>
      <c r="S100" s="272"/>
      <c r="T100" s="278" t="str">
        <f t="shared" si="21"/>
        <v>-</v>
      </c>
    </row>
    <row r="101" spans="1:20">
      <c r="A101" s="269"/>
      <c r="B101" s="53"/>
      <c r="C101" s="175"/>
      <c r="D101" s="175"/>
      <c r="E101" s="175"/>
      <c r="F101" s="177"/>
      <c r="G101" s="271"/>
      <c r="H101" s="271"/>
      <c r="I101" s="213"/>
      <c r="J101" s="213"/>
      <c r="K101" s="212">
        <f t="shared" si="16"/>
        <v>0</v>
      </c>
      <c r="L101" s="272">
        <f t="shared" si="17"/>
        <v>1900</v>
      </c>
      <c r="M101" s="272">
        <f t="shared" si="18"/>
        <v>1</v>
      </c>
      <c r="N101" s="273"/>
      <c r="O101" s="61">
        <f t="shared" si="19"/>
        <v>1900</v>
      </c>
      <c r="P101" s="61">
        <f t="shared" si="20"/>
        <v>1</v>
      </c>
      <c r="R101" s="272"/>
      <c r="S101" s="272"/>
      <c r="T101" s="278" t="str">
        <f t="shared" si="21"/>
        <v>-</v>
      </c>
    </row>
    <row r="102" spans="1:20">
      <c r="A102" s="269"/>
      <c r="B102" s="53"/>
      <c r="C102" s="175"/>
      <c r="D102" s="175"/>
      <c r="E102" s="175"/>
      <c r="F102" s="177"/>
      <c r="G102" s="271"/>
      <c r="H102" s="271"/>
      <c r="I102" s="213"/>
      <c r="J102" s="213"/>
      <c r="K102" s="212">
        <f t="shared" si="16"/>
        <v>0</v>
      </c>
      <c r="L102" s="272">
        <f t="shared" si="17"/>
        <v>1900</v>
      </c>
      <c r="M102" s="272">
        <f t="shared" si="18"/>
        <v>1</v>
      </c>
      <c r="N102" s="273"/>
      <c r="O102" s="61">
        <f t="shared" si="19"/>
        <v>1900</v>
      </c>
      <c r="P102" s="61">
        <f t="shared" si="20"/>
        <v>1</v>
      </c>
      <c r="R102" s="272"/>
      <c r="S102" s="272"/>
      <c r="T102" s="278" t="str">
        <f t="shared" si="21"/>
        <v>-</v>
      </c>
    </row>
    <row r="103" spans="1:20">
      <c r="A103" s="269"/>
      <c r="B103" s="53"/>
      <c r="C103" s="176"/>
      <c r="D103" s="176"/>
      <c r="E103" s="176"/>
      <c r="F103" s="177"/>
      <c r="G103" s="271"/>
      <c r="H103" s="271"/>
      <c r="I103" s="213"/>
      <c r="J103" s="213"/>
      <c r="K103" s="212">
        <f t="shared" si="16"/>
        <v>0</v>
      </c>
      <c r="L103" s="272">
        <f t="shared" si="17"/>
        <v>1900</v>
      </c>
      <c r="M103" s="272">
        <f t="shared" si="18"/>
        <v>1</v>
      </c>
      <c r="N103" s="273"/>
      <c r="O103" s="61">
        <f t="shared" si="19"/>
        <v>1900</v>
      </c>
      <c r="P103" s="61">
        <f t="shared" si="20"/>
        <v>1</v>
      </c>
      <c r="R103" s="272"/>
      <c r="S103" s="272"/>
      <c r="T103" s="278" t="str">
        <f t="shared" si="21"/>
        <v>-</v>
      </c>
    </row>
    <row r="104" spans="1:20">
      <c r="A104" s="269"/>
      <c r="B104" s="53"/>
      <c r="C104" s="176"/>
      <c r="D104" s="176"/>
      <c r="E104" s="176"/>
      <c r="F104" s="177"/>
      <c r="G104" s="271"/>
      <c r="H104" s="271"/>
      <c r="I104" s="213"/>
      <c r="J104" s="213"/>
      <c r="K104" s="212">
        <f t="shared" si="16"/>
        <v>0</v>
      </c>
      <c r="L104" s="272">
        <f t="shared" si="17"/>
        <v>1900</v>
      </c>
      <c r="M104" s="272">
        <f t="shared" si="18"/>
        <v>1</v>
      </c>
      <c r="N104" s="273"/>
      <c r="O104" s="61">
        <f t="shared" si="19"/>
        <v>1900</v>
      </c>
      <c r="P104" s="61">
        <f t="shared" si="20"/>
        <v>1</v>
      </c>
      <c r="R104" s="272"/>
      <c r="S104" s="272"/>
      <c r="T104" s="278" t="str">
        <f t="shared" si="21"/>
        <v>-</v>
      </c>
    </row>
    <row r="105" spans="1:20">
      <c r="A105" s="269"/>
      <c r="B105" s="53"/>
      <c r="C105" s="175"/>
      <c r="D105" s="175"/>
      <c r="E105" s="175"/>
      <c r="F105" s="177"/>
      <c r="G105" s="271"/>
      <c r="H105" s="271"/>
      <c r="I105" s="213"/>
      <c r="J105" s="213"/>
      <c r="K105" s="212">
        <f t="shared" si="16"/>
        <v>0</v>
      </c>
      <c r="L105" s="272">
        <f t="shared" si="17"/>
        <v>1900</v>
      </c>
      <c r="M105" s="272">
        <f t="shared" si="18"/>
        <v>1</v>
      </c>
      <c r="N105" s="273"/>
      <c r="O105" s="61">
        <f t="shared" si="19"/>
        <v>1900</v>
      </c>
      <c r="P105" s="61">
        <f t="shared" si="20"/>
        <v>1</v>
      </c>
      <c r="R105" s="272"/>
      <c r="S105" s="272"/>
      <c r="T105" s="278" t="str">
        <f t="shared" si="21"/>
        <v>-</v>
      </c>
    </row>
    <row r="106" spans="1:20">
      <c r="A106" s="269"/>
      <c r="B106" s="53"/>
      <c r="C106" s="175"/>
      <c r="D106" s="175"/>
      <c r="E106" s="175"/>
      <c r="F106" s="177"/>
      <c r="G106" s="271"/>
      <c r="H106" s="271"/>
      <c r="I106" s="213"/>
      <c r="J106" s="213"/>
      <c r="K106" s="212">
        <f t="shared" si="16"/>
        <v>0</v>
      </c>
      <c r="L106" s="272">
        <f t="shared" si="17"/>
        <v>1900</v>
      </c>
      <c r="M106" s="272">
        <f t="shared" si="18"/>
        <v>1</v>
      </c>
      <c r="N106" s="273"/>
      <c r="O106" s="61">
        <f t="shared" si="19"/>
        <v>1900</v>
      </c>
      <c r="P106" s="61">
        <f t="shared" si="20"/>
        <v>1</v>
      </c>
      <c r="R106" s="272"/>
      <c r="S106" s="272"/>
      <c r="T106" s="278" t="str">
        <f t="shared" si="21"/>
        <v>-</v>
      </c>
    </row>
    <row r="107" spans="1:20">
      <c r="A107" s="269"/>
      <c r="B107" s="53"/>
      <c r="C107" s="176"/>
      <c r="D107" s="176"/>
      <c r="E107" s="176"/>
      <c r="F107" s="177"/>
      <c r="G107" s="271"/>
      <c r="H107" s="271"/>
      <c r="I107" s="213"/>
      <c r="J107" s="213"/>
      <c r="K107" s="212">
        <f t="shared" si="16"/>
        <v>0</v>
      </c>
      <c r="L107" s="272">
        <f t="shared" si="17"/>
        <v>1900</v>
      </c>
      <c r="M107" s="272">
        <f t="shared" si="18"/>
        <v>1</v>
      </c>
      <c r="N107" s="273"/>
      <c r="O107" s="61">
        <f t="shared" si="19"/>
        <v>1900</v>
      </c>
      <c r="P107" s="61">
        <f t="shared" si="20"/>
        <v>1</v>
      </c>
      <c r="R107" s="272"/>
      <c r="S107" s="272"/>
      <c r="T107" s="278" t="str">
        <f t="shared" si="21"/>
        <v>-</v>
      </c>
    </row>
    <row r="108" spans="1:20">
      <c r="A108" s="269"/>
      <c r="B108" s="53"/>
      <c r="C108" s="175"/>
      <c r="D108" s="175"/>
      <c r="E108" s="175"/>
      <c r="F108" s="177"/>
      <c r="G108" s="271"/>
      <c r="H108" s="271"/>
      <c r="I108" s="213"/>
      <c r="J108" s="213"/>
      <c r="K108" s="212">
        <f t="shared" si="16"/>
        <v>0</v>
      </c>
      <c r="L108" s="272">
        <f t="shared" si="17"/>
        <v>1900</v>
      </c>
      <c r="M108" s="272">
        <f t="shared" si="18"/>
        <v>1</v>
      </c>
      <c r="N108" s="273"/>
      <c r="O108" s="61">
        <f t="shared" si="19"/>
        <v>1900</v>
      </c>
      <c r="P108" s="61">
        <f t="shared" si="20"/>
        <v>1</v>
      </c>
      <c r="R108" s="272"/>
      <c r="S108" s="272"/>
      <c r="T108" s="278" t="str">
        <f t="shared" si="21"/>
        <v>-</v>
      </c>
    </row>
    <row r="109" spans="1:20">
      <c r="A109" s="269"/>
      <c r="B109" s="53"/>
      <c r="C109" s="175"/>
      <c r="D109" s="175"/>
      <c r="E109" s="175"/>
      <c r="F109" s="177"/>
      <c r="G109" s="271"/>
      <c r="H109" s="271"/>
      <c r="I109" s="213"/>
      <c r="J109" s="213"/>
      <c r="K109" s="212">
        <f t="shared" si="16"/>
        <v>0</v>
      </c>
      <c r="L109" s="272">
        <f t="shared" si="17"/>
        <v>1900</v>
      </c>
      <c r="M109" s="272">
        <f t="shared" si="18"/>
        <v>1</v>
      </c>
      <c r="N109" s="273"/>
      <c r="O109" s="61">
        <f t="shared" si="19"/>
        <v>1900</v>
      </c>
      <c r="P109" s="61">
        <f t="shared" si="20"/>
        <v>1</v>
      </c>
      <c r="R109" s="272"/>
      <c r="S109" s="272"/>
      <c r="T109" s="278" t="str">
        <f t="shared" si="21"/>
        <v>-</v>
      </c>
    </row>
    <row r="110" spans="1:20">
      <c r="A110" s="269"/>
      <c r="B110" s="53"/>
      <c r="C110" s="176"/>
      <c r="D110" s="176"/>
      <c r="E110" s="176"/>
      <c r="F110" s="177"/>
      <c r="G110" s="271"/>
      <c r="H110" s="271"/>
      <c r="I110" s="213"/>
      <c r="J110" s="213"/>
      <c r="K110" s="212">
        <f t="shared" si="16"/>
        <v>0</v>
      </c>
      <c r="L110" s="272">
        <f t="shared" si="17"/>
        <v>1900</v>
      </c>
      <c r="M110" s="272">
        <f t="shared" si="18"/>
        <v>1</v>
      </c>
      <c r="N110" s="273"/>
      <c r="O110" s="61">
        <f t="shared" si="19"/>
        <v>1900</v>
      </c>
      <c r="P110" s="61">
        <f t="shared" si="20"/>
        <v>1</v>
      </c>
      <c r="R110" s="272"/>
      <c r="S110" s="272"/>
      <c r="T110" s="278" t="str">
        <f t="shared" si="21"/>
        <v>-</v>
      </c>
    </row>
    <row r="111" spans="1:20">
      <c r="A111" s="269"/>
      <c r="B111" s="53"/>
      <c r="C111" s="176"/>
      <c r="D111" s="176"/>
      <c r="E111" s="176"/>
      <c r="F111" s="177"/>
      <c r="G111" s="274"/>
      <c r="H111" s="271"/>
      <c r="I111" s="213"/>
      <c r="J111" s="213"/>
      <c r="K111" s="212">
        <f t="shared" si="16"/>
        <v>0</v>
      </c>
      <c r="L111" s="272">
        <f t="shared" si="17"/>
        <v>1900</v>
      </c>
      <c r="M111" s="272">
        <f t="shared" si="18"/>
        <v>1</v>
      </c>
      <c r="N111" s="273"/>
      <c r="O111" s="61">
        <f t="shared" si="19"/>
        <v>1900</v>
      </c>
      <c r="P111" s="61">
        <f t="shared" si="20"/>
        <v>1</v>
      </c>
      <c r="R111" s="272"/>
      <c r="S111" s="272"/>
      <c r="T111" s="278" t="str">
        <f t="shared" si="21"/>
        <v>-</v>
      </c>
    </row>
    <row r="112" spans="1:20">
      <c r="A112" s="269"/>
      <c r="B112" s="53"/>
      <c r="C112" s="176"/>
      <c r="D112" s="176"/>
      <c r="E112" s="176"/>
      <c r="F112" s="177"/>
      <c r="G112" s="274"/>
      <c r="H112" s="271"/>
      <c r="I112" s="213"/>
      <c r="J112" s="213"/>
      <c r="K112" s="212">
        <f t="shared" si="16"/>
        <v>0</v>
      </c>
      <c r="L112" s="272">
        <f t="shared" si="17"/>
        <v>1900</v>
      </c>
      <c r="M112" s="272">
        <f t="shared" si="18"/>
        <v>1</v>
      </c>
      <c r="N112" s="273"/>
      <c r="O112" s="61">
        <f t="shared" si="19"/>
        <v>1900</v>
      </c>
      <c r="P112" s="61">
        <f t="shared" si="20"/>
        <v>1</v>
      </c>
      <c r="R112" s="272"/>
      <c r="S112" s="272"/>
      <c r="T112" s="278" t="str">
        <f t="shared" si="21"/>
        <v>-</v>
      </c>
    </row>
    <row r="113" spans="1:20">
      <c r="A113" s="269"/>
      <c r="B113" s="53"/>
      <c r="C113" s="176"/>
      <c r="D113" s="176"/>
      <c r="E113" s="176"/>
      <c r="F113" s="177"/>
      <c r="G113" s="274"/>
      <c r="H113" s="271"/>
      <c r="I113" s="213"/>
      <c r="J113" s="213"/>
      <c r="K113" s="212">
        <f t="shared" si="16"/>
        <v>0</v>
      </c>
      <c r="L113" s="272">
        <f t="shared" si="17"/>
        <v>1900</v>
      </c>
      <c r="M113" s="272">
        <f t="shared" si="18"/>
        <v>1</v>
      </c>
      <c r="N113" s="273"/>
      <c r="O113" s="61">
        <f t="shared" si="19"/>
        <v>1900</v>
      </c>
      <c r="P113" s="61">
        <f t="shared" si="20"/>
        <v>1</v>
      </c>
      <c r="R113" s="272"/>
      <c r="S113" s="272"/>
      <c r="T113" s="278" t="str">
        <f t="shared" si="21"/>
        <v>-</v>
      </c>
    </row>
    <row r="114" spans="1:20">
      <c r="A114" s="269"/>
      <c r="B114" s="53"/>
      <c r="C114" s="175"/>
      <c r="D114" s="175"/>
      <c r="E114" s="175"/>
      <c r="F114" s="177"/>
      <c r="G114" s="274"/>
      <c r="H114" s="271"/>
      <c r="I114" s="213"/>
      <c r="J114" s="213"/>
      <c r="K114" s="212">
        <f t="shared" si="16"/>
        <v>0</v>
      </c>
      <c r="L114" s="272">
        <f t="shared" si="17"/>
        <v>1900</v>
      </c>
      <c r="M114" s="272">
        <f t="shared" si="18"/>
        <v>1</v>
      </c>
      <c r="N114" s="273"/>
      <c r="O114" s="61">
        <f t="shared" si="19"/>
        <v>1900</v>
      </c>
      <c r="P114" s="61">
        <f t="shared" si="20"/>
        <v>1</v>
      </c>
      <c r="R114" s="272"/>
      <c r="S114" s="272"/>
      <c r="T114" s="278" t="str">
        <f t="shared" si="21"/>
        <v>-</v>
      </c>
    </row>
    <row r="115" spans="1:20">
      <c r="A115" s="269"/>
      <c r="B115" s="53"/>
      <c r="C115" s="176"/>
      <c r="D115" s="176"/>
      <c r="E115" s="176"/>
      <c r="F115" s="177"/>
      <c r="G115" s="274"/>
      <c r="H115" s="271"/>
      <c r="I115" s="213"/>
      <c r="J115" s="213"/>
      <c r="K115" s="212">
        <f t="shared" si="16"/>
        <v>0</v>
      </c>
      <c r="L115" s="272">
        <f t="shared" si="17"/>
        <v>1900</v>
      </c>
      <c r="M115" s="272">
        <f t="shared" si="18"/>
        <v>1</v>
      </c>
      <c r="N115" s="273"/>
      <c r="O115" s="61">
        <f t="shared" si="19"/>
        <v>1900</v>
      </c>
      <c r="P115" s="61">
        <f t="shared" si="20"/>
        <v>1</v>
      </c>
      <c r="R115" s="272"/>
      <c r="S115" s="272"/>
      <c r="T115" s="278" t="str">
        <f t="shared" si="21"/>
        <v>-</v>
      </c>
    </row>
    <row r="116" spans="1:20">
      <c r="A116" s="269"/>
      <c r="B116" s="53"/>
      <c r="C116" s="176"/>
      <c r="D116" s="176"/>
      <c r="E116" s="176"/>
      <c r="F116" s="177"/>
      <c r="G116" s="274"/>
      <c r="H116" s="271"/>
      <c r="I116" s="213"/>
      <c r="J116" s="213"/>
      <c r="K116" s="212">
        <f t="shared" si="16"/>
        <v>0</v>
      </c>
      <c r="L116" s="272">
        <f t="shared" si="17"/>
        <v>1900</v>
      </c>
      <c r="M116" s="272">
        <f t="shared" si="18"/>
        <v>1</v>
      </c>
      <c r="N116" s="273"/>
      <c r="O116" s="61">
        <f t="shared" si="19"/>
        <v>1900</v>
      </c>
      <c r="P116" s="61">
        <f t="shared" si="20"/>
        <v>1</v>
      </c>
      <c r="R116" s="272"/>
      <c r="S116" s="272"/>
      <c r="T116" s="278" t="str">
        <f t="shared" si="21"/>
        <v>-</v>
      </c>
    </row>
    <row r="117" spans="1:20">
      <c r="A117" s="269"/>
      <c r="B117" s="53"/>
      <c r="C117" s="176"/>
      <c r="D117" s="176"/>
      <c r="E117" s="176"/>
      <c r="F117" s="177"/>
      <c r="G117" s="274"/>
      <c r="H117" s="271"/>
      <c r="I117" s="213"/>
      <c r="J117" s="213"/>
      <c r="K117" s="212">
        <f t="shared" si="16"/>
        <v>0</v>
      </c>
      <c r="L117" s="272">
        <f t="shared" si="17"/>
        <v>1900</v>
      </c>
      <c r="M117" s="272">
        <f t="shared" si="18"/>
        <v>1</v>
      </c>
      <c r="N117" s="273"/>
      <c r="O117" s="61">
        <f t="shared" si="19"/>
        <v>1900</v>
      </c>
      <c r="P117" s="61">
        <f t="shared" si="20"/>
        <v>1</v>
      </c>
      <c r="R117" s="272"/>
      <c r="S117" s="272"/>
      <c r="T117" s="278" t="str">
        <f t="shared" si="21"/>
        <v>-</v>
      </c>
    </row>
    <row r="118" spans="1:20">
      <c r="A118" s="269"/>
      <c r="B118" s="53"/>
      <c r="C118" s="175"/>
      <c r="D118" s="175"/>
      <c r="E118" s="175"/>
      <c r="F118" s="177"/>
      <c r="G118" s="274"/>
      <c r="H118" s="271"/>
      <c r="I118" s="213"/>
      <c r="J118" s="213"/>
      <c r="K118" s="212">
        <f t="shared" si="16"/>
        <v>0</v>
      </c>
      <c r="L118" s="272">
        <f t="shared" si="17"/>
        <v>1900</v>
      </c>
      <c r="M118" s="272">
        <f t="shared" si="18"/>
        <v>1</v>
      </c>
      <c r="N118" s="273"/>
      <c r="O118" s="61">
        <f t="shared" si="19"/>
        <v>1900</v>
      </c>
      <c r="P118" s="61">
        <f t="shared" si="20"/>
        <v>1</v>
      </c>
      <c r="R118" s="272"/>
      <c r="S118" s="272"/>
      <c r="T118" s="278" t="str">
        <f t="shared" si="21"/>
        <v>-</v>
      </c>
    </row>
    <row r="119" spans="1:20">
      <c r="A119" s="269"/>
      <c r="B119" s="53"/>
      <c r="C119" s="176"/>
      <c r="D119" s="176"/>
      <c r="E119" s="176"/>
      <c r="F119" s="177"/>
      <c r="G119" s="274"/>
      <c r="H119" s="271"/>
      <c r="I119" s="213"/>
      <c r="J119" s="213"/>
      <c r="K119" s="212">
        <f t="shared" si="16"/>
        <v>0</v>
      </c>
      <c r="L119" s="272">
        <f t="shared" si="17"/>
        <v>1900</v>
      </c>
      <c r="M119" s="272">
        <f t="shared" si="18"/>
        <v>1</v>
      </c>
      <c r="N119" s="273"/>
      <c r="O119" s="61">
        <f t="shared" si="19"/>
        <v>1900</v>
      </c>
      <c r="P119" s="61">
        <f t="shared" si="20"/>
        <v>1</v>
      </c>
      <c r="R119" s="272"/>
      <c r="S119" s="272"/>
      <c r="T119" s="278" t="str">
        <f t="shared" si="21"/>
        <v>-</v>
      </c>
    </row>
    <row r="120" spans="1:20">
      <c r="A120" s="269"/>
      <c r="B120" s="53"/>
      <c r="C120" s="175"/>
      <c r="D120" s="175"/>
      <c r="E120" s="175"/>
      <c r="F120" s="177"/>
      <c r="G120" s="274"/>
      <c r="H120" s="271"/>
      <c r="I120" s="213"/>
      <c r="J120" s="213"/>
      <c r="K120" s="212">
        <f t="shared" si="16"/>
        <v>0</v>
      </c>
      <c r="L120" s="272">
        <f t="shared" si="17"/>
        <v>1900</v>
      </c>
      <c r="M120" s="272">
        <f t="shared" si="18"/>
        <v>1</v>
      </c>
      <c r="N120" s="273"/>
      <c r="O120" s="61">
        <f t="shared" si="19"/>
        <v>1900</v>
      </c>
      <c r="P120" s="61">
        <f t="shared" si="20"/>
        <v>1</v>
      </c>
      <c r="R120" s="272"/>
      <c r="S120" s="272"/>
      <c r="T120" s="278" t="str">
        <f t="shared" si="21"/>
        <v>-</v>
      </c>
    </row>
    <row r="121" spans="1:20">
      <c r="A121" s="269"/>
      <c r="B121" s="53"/>
      <c r="C121" s="176"/>
      <c r="D121" s="176"/>
      <c r="E121" s="176"/>
      <c r="F121" s="177"/>
      <c r="G121" s="274"/>
      <c r="H121" s="271"/>
      <c r="I121" s="213"/>
      <c r="J121" s="213"/>
      <c r="K121" s="212">
        <f t="shared" si="16"/>
        <v>0</v>
      </c>
      <c r="L121" s="272">
        <f t="shared" si="17"/>
        <v>1900</v>
      </c>
      <c r="M121" s="272">
        <f t="shared" si="18"/>
        <v>1</v>
      </c>
      <c r="N121" s="273"/>
      <c r="O121" s="61">
        <f t="shared" si="19"/>
        <v>1900</v>
      </c>
      <c r="P121" s="61">
        <f t="shared" si="20"/>
        <v>1</v>
      </c>
      <c r="R121" s="272"/>
      <c r="S121" s="272"/>
      <c r="T121" s="278" t="str">
        <f t="shared" si="21"/>
        <v>-</v>
      </c>
    </row>
    <row r="122" spans="1:20">
      <c r="A122" s="269"/>
      <c r="B122" s="53"/>
      <c r="C122" s="175"/>
      <c r="D122" s="175"/>
      <c r="E122" s="175"/>
      <c r="F122" s="177"/>
      <c r="G122" s="274"/>
      <c r="H122" s="271"/>
      <c r="I122" s="213"/>
      <c r="J122" s="213"/>
      <c r="K122" s="212">
        <f t="shared" si="16"/>
        <v>0</v>
      </c>
      <c r="L122" s="272">
        <f t="shared" si="17"/>
        <v>1900</v>
      </c>
      <c r="M122" s="272">
        <f t="shared" si="18"/>
        <v>1</v>
      </c>
      <c r="N122" s="273"/>
      <c r="O122" s="61">
        <f t="shared" si="19"/>
        <v>1900</v>
      </c>
      <c r="P122" s="61">
        <f t="shared" si="20"/>
        <v>1</v>
      </c>
      <c r="R122" s="272"/>
      <c r="S122" s="272"/>
      <c r="T122" s="278" t="str">
        <f t="shared" si="21"/>
        <v>-</v>
      </c>
    </row>
    <row r="123" spans="1:20">
      <c r="A123" s="269"/>
      <c r="B123" s="53"/>
      <c r="C123" s="175"/>
      <c r="D123" s="175"/>
      <c r="E123" s="175"/>
      <c r="F123" s="177"/>
      <c r="G123" s="274"/>
      <c r="H123" s="271"/>
      <c r="I123" s="213"/>
      <c r="J123" s="213"/>
      <c r="K123" s="212">
        <f t="shared" si="16"/>
        <v>0</v>
      </c>
      <c r="L123" s="272">
        <f t="shared" si="17"/>
        <v>1900</v>
      </c>
      <c r="M123" s="272">
        <f t="shared" si="18"/>
        <v>1</v>
      </c>
      <c r="N123" s="273"/>
      <c r="O123" s="61">
        <f t="shared" si="19"/>
        <v>1900</v>
      </c>
      <c r="P123" s="61">
        <f t="shared" si="20"/>
        <v>1</v>
      </c>
      <c r="R123" s="272"/>
      <c r="S123" s="272"/>
      <c r="T123" s="278" t="str">
        <f t="shared" si="21"/>
        <v>-</v>
      </c>
    </row>
    <row r="124" spans="1:20">
      <c r="A124" s="269"/>
      <c r="B124" s="53"/>
      <c r="C124" s="176"/>
      <c r="D124" s="176"/>
      <c r="E124" s="176"/>
      <c r="F124" s="177"/>
      <c r="G124" s="274"/>
      <c r="H124" s="271"/>
      <c r="I124" s="213"/>
      <c r="J124" s="213"/>
      <c r="K124" s="212">
        <f t="shared" si="16"/>
        <v>0</v>
      </c>
      <c r="L124" s="272">
        <f t="shared" si="17"/>
        <v>1900</v>
      </c>
      <c r="M124" s="272">
        <f t="shared" si="18"/>
        <v>1</v>
      </c>
      <c r="N124" s="273"/>
      <c r="O124" s="61">
        <f t="shared" si="19"/>
        <v>1900</v>
      </c>
      <c r="P124" s="61">
        <f t="shared" si="20"/>
        <v>1</v>
      </c>
      <c r="R124" s="272"/>
      <c r="S124" s="272"/>
      <c r="T124" s="278" t="str">
        <f t="shared" si="21"/>
        <v>-</v>
      </c>
    </row>
    <row r="125" spans="1:20">
      <c r="A125" s="269"/>
      <c r="B125" s="53"/>
      <c r="C125" s="176"/>
      <c r="D125" s="176"/>
      <c r="E125" s="176"/>
      <c r="F125" s="177"/>
      <c r="G125" s="274"/>
      <c r="H125" s="271"/>
      <c r="I125" s="213"/>
      <c r="J125" s="213"/>
      <c r="K125" s="212">
        <f t="shared" si="16"/>
        <v>0</v>
      </c>
      <c r="L125" s="272">
        <f t="shared" si="17"/>
        <v>1900</v>
      </c>
      <c r="M125" s="272">
        <f t="shared" si="18"/>
        <v>1</v>
      </c>
      <c r="N125" s="273"/>
      <c r="O125" s="61">
        <f t="shared" si="19"/>
        <v>1900</v>
      </c>
      <c r="P125" s="61">
        <f t="shared" si="20"/>
        <v>1</v>
      </c>
      <c r="R125" s="272"/>
      <c r="S125" s="272"/>
      <c r="T125" s="278" t="str">
        <f t="shared" si="21"/>
        <v>-</v>
      </c>
    </row>
    <row r="126" spans="1:20">
      <c r="A126" s="269"/>
      <c r="B126" s="53"/>
      <c r="C126" s="176"/>
      <c r="D126" s="176"/>
      <c r="E126" s="176"/>
      <c r="F126" s="177"/>
      <c r="G126" s="274"/>
      <c r="H126" s="271"/>
      <c r="I126" s="213"/>
      <c r="J126" s="213"/>
      <c r="K126" s="212">
        <f t="shared" si="16"/>
        <v>0</v>
      </c>
      <c r="L126" s="272">
        <f t="shared" si="17"/>
        <v>1900</v>
      </c>
      <c r="M126" s="272">
        <f t="shared" si="18"/>
        <v>1</v>
      </c>
      <c r="N126" s="273"/>
      <c r="O126" s="61">
        <f t="shared" si="19"/>
        <v>1900</v>
      </c>
      <c r="P126" s="61">
        <f t="shared" si="20"/>
        <v>1</v>
      </c>
      <c r="R126" s="272"/>
      <c r="S126" s="272"/>
      <c r="T126" s="278" t="str">
        <f t="shared" si="21"/>
        <v>-</v>
      </c>
    </row>
    <row r="127" spans="1:20">
      <c r="A127" s="269"/>
      <c r="B127" s="53"/>
      <c r="C127" s="175"/>
      <c r="D127" s="175"/>
      <c r="E127" s="175"/>
      <c r="F127" s="177"/>
      <c r="G127" s="274"/>
      <c r="H127" s="271"/>
      <c r="I127" s="213"/>
      <c r="J127" s="213"/>
      <c r="K127" s="212">
        <f t="shared" si="16"/>
        <v>0</v>
      </c>
      <c r="L127" s="272">
        <f t="shared" si="17"/>
        <v>1900</v>
      </c>
      <c r="M127" s="272">
        <f t="shared" si="18"/>
        <v>1</v>
      </c>
      <c r="N127" s="273"/>
      <c r="O127" s="61">
        <f t="shared" si="19"/>
        <v>1900</v>
      </c>
      <c r="P127" s="61">
        <f t="shared" si="20"/>
        <v>1</v>
      </c>
      <c r="R127" s="272"/>
      <c r="S127" s="272"/>
      <c r="T127" s="278" t="str">
        <f t="shared" si="21"/>
        <v>-</v>
      </c>
    </row>
    <row r="128" spans="1:20">
      <c r="A128" s="269"/>
      <c r="B128" s="53"/>
      <c r="C128" s="176"/>
      <c r="D128" s="176"/>
      <c r="E128" s="176"/>
      <c r="F128" s="177"/>
      <c r="G128" s="274"/>
      <c r="H128" s="271"/>
      <c r="I128" s="213"/>
      <c r="J128" s="213"/>
      <c r="K128" s="212">
        <f t="shared" si="16"/>
        <v>0</v>
      </c>
      <c r="L128" s="272">
        <f t="shared" si="17"/>
        <v>1900</v>
      </c>
      <c r="M128" s="272">
        <f t="shared" si="18"/>
        <v>1</v>
      </c>
      <c r="N128" s="273"/>
      <c r="O128" s="61">
        <f t="shared" si="19"/>
        <v>1900</v>
      </c>
      <c r="P128" s="61">
        <f t="shared" si="20"/>
        <v>1</v>
      </c>
      <c r="R128" s="272"/>
      <c r="S128" s="272"/>
      <c r="T128" s="278" t="str">
        <f t="shared" si="21"/>
        <v>-</v>
      </c>
    </row>
    <row r="129" spans="1:20">
      <c r="A129" s="269"/>
      <c r="B129" s="53"/>
      <c r="C129" s="175"/>
      <c r="D129" s="175"/>
      <c r="E129" s="175"/>
      <c r="F129" s="177"/>
      <c r="G129" s="274"/>
      <c r="H129" s="271"/>
      <c r="I129" s="213"/>
      <c r="J129" s="213"/>
      <c r="K129" s="212">
        <f t="shared" si="16"/>
        <v>0</v>
      </c>
      <c r="L129" s="272">
        <f t="shared" si="17"/>
        <v>1900</v>
      </c>
      <c r="M129" s="272">
        <f t="shared" si="18"/>
        <v>1</v>
      </c>
      <c r="N129" s="273"/>
      <c r="O129" s="61">
        <f t="shared" si="19"/>
        <v>1900</v>
      </c>
      <c r="P129" s="61">
        <f t="shared" si="20"/>
        <v>1</v>
      </c>
      <c r="R129" s="272"/>
      <c r="S129" s="272"/>
      <c r="T129" s="278" t="str">
        <f t="shared" si="21"/>
        <v>-</v>
      </c>
    </row>
    <row r="130" spans="1:20">
      <c r="A130" s="269"/>
      <c r="B130" s="53"/>
      <c r="C130" s="176"/>
      <c r="D130" s="176"/>
      <c r="E130" s="176"/>
      <c r="F130" s="177"/>
      <c r="G130" s="274"/>
      <c r="H130" s="271"/>
      <c r="I130" s="213"/>
      <c r="J130" s="213"/>
      <c r="K130" s="212">
        <f t="shared" si="16"/>
        <v>0</v>
      </c>
      <c r="L130" s="272">
        <f t="shared" si="17"/>
        <v>1900</v>
      </c>
      <c r="M130" s="272">
        <f t="shared" si="18"/>
        <v>1</v>
      </c>
      <c r="N130" s="273"/>
      <c r="O130" s="61">
        <f t="shared" si="19"/>
        <v>1900</v>
      </c>
      <c r="P130" s="61">
        <f t="shared" si="20"/>
        <v>1</v>
      </c>
      <c r="R130" s="272"/>
      <c r="S130" s="272"/>
      <c r="T130" s="278" t="str">
        <f t="shared" si="21"/>
        <v>-</v>
      </c>
    </row>
    <row r="131" spans="1:20">
      <c r="A131" s="269"/>
      <c r="B131" s="53"/>
      <c r="C131" s="176"/>
      <c r="D131" s="176"/>
      <c r="E131" s="176"/>
      <c r="F131" s="177"/>
      <c r="G131" s="274"/>
      <c r="H131" s="271"/>
      <c r="I131" s="213"/>
      <c r="J131" s="213"/>
      <c r="K131" s="212">
        <f t="shared" si="16"/>
        <v>0</v>
      </c>
      <c r="L131" s="272">
        <f t="shared" si="17"/>
        <v>1900</v>
      </c>
      <c r="M131" s="272">
        <f t="shared" si="18"/>
        <v>1</v>
      </c>
      <c r="N131" s="273"/>
      <c r="O131" s="61">
        <f t="shared" si="19"/>
        <v>1900</v>
      </c>
      <c r="P131" s="61">
        <f t="shared" si="20"/>
        <v>1</v>
      </c>
      <c r="R131" s="272"/>
      <c r="S131" s="272"/>
      <c r="T131" s="278" t="str">
        <f t="shared" si="21"/>
        <v>-</v>
      </c>
    </row>
    <row r="132" spans="1:20">
      <c r="A132" s="269"/>
      <c r="B132" s="53"/>
      <c r="C132" s="176"/>
      <c r="D132" s="176"/>
      <c r="E132" s="176"/>
      <c r="F132" s="177"/>
      <c r="G132" s="274"/>
      <c r="H132" s="271"/>
      <c r="I132" s="213"/>
      <c r="J132" s="213"/>
      <c r="K132" s="212">
        <f t="shared" si="16"/>
        <v>0</v>
      </c>
      <c r="L132" s="272">
        <f t="shared" si="17"/>
        <v>1900</v>
      </c>
      <c r="M132" s="272">
        <f t="shared" si="18"/>
        <v>1</v>
      </c>
      <c r="N132" s="273"/>
      <c r="O132" s="61">
        <f t="shared" si="19"/>
        <v>1900</v>
      </c>
      <c r="P132" s="61">
        <f t="shared" si="20"/>
        <v>1</v>
      </c>
      <c r="R132" s="272"/>
      <c r="S132" s="272"/>
      <c r="T132" s="278" t="str">
        <f t="shared" si="21"/>
        <v>-</v>
      </c>
    </row>
    <row r="133" spans="1:20">
      <c r="A133" s="269"/>
      <c r="B133" s="53"/>
      <c r="C133" s="176"/>
      <c r="D133" s="176"/>
      <c r="E133" s="176"/>
      <c r="F133" s="177"/>
      <c r="G133" s="274"/>
      <c r="H133" s="271"/>
      <c r="I133" s="213"/>
      <c r="J133" s="213"/>
      <c r="K133" s="212">
        <f t="shared" si="16"/>
        <v>0</v>
      </c>
      <c r="L133" s="272">
        <f t="shared" si="17"/>
        <v>1900</v>
      </c>
      <c r="M133" s="272">
        <f t="shared" si="18"/>
        <v>1</v>
      </c>
      <c r="N133" s="273"/>
      <c r="O133" s="61">
        <f t="shared" si="19"/>
        <v>1900</v>
      </c>
      <c r="P133" s="61">
        <f t="shared" si="20"/>
        <v>1</v>
      </c>
      <c r="R133" s="272"/>
      <c r="S133" s="272"/>
      <c r="T133" s="278" t="str">
        <f t="shared" si="21"/>
        <v>-</v>
      </c>
    </row>
    <row r="134" spans="1:20">
      <c r="A134" s="269"/>
      <c r="B134" s="53"/>
      <c r="C134" s="176"/>
      <c r="D134" s="176"/>
      <c r="E134" s="176"/>
      <c r="F134" s="177"/>
      <c r="G134" s="274"/>
      <c r="H134" s="271"/>
      <c r="I134" s="213"/>
      <c r="J134" s="213"/>
      <c r="K134" s="212">
        <f t="shared" si="16"/>
        <v>0</v>
      </c>
      <c r="L134" s="272">
        <f t="shared" si="17"/>
        <v>1900</v>
      </c>
      <c r="M134" s="272">
        <f t="shared" si="18"/>
        <v>1</v>
      </c>
      <c r="N134" s="273"/>
      <c r="O134" s="61">
        <f t="shared" si="19"/>
        <v>1900</v>
      </c>
      <c r="P134" s="61">
        <f t="shared" si="20"/>
        <v>1</v>
      </c>
      <c r="R134" s="272"/>
      <c r="S134" s="272"/>
      <c r="T134" s="278" t="str">
        <f t="shared" si="21"/>
        <v>-</v>
      </c>
    </row>
    <row r="135" spans="1:20">
      <c r="A135" s="269"/>
      <c r="B135" s="53"/>
      <c r="C135" s="175"/>
      <c r="D135" s="175"/>
      <c r="E135" s="175"/>
      <c r="F135" s="177"/>
      <c r="G135" s="274"/>
      <c r="H135" s="271"/>
      <c r="I135" s="213"/>
      <c r="J135" s="213"/>
      <c r="K135" s="212">
        <f t="shared" si="16"/>
        <v>0</v>
      </c>
      <c r="L135" s="272">
        <f t="shared" si="17"/>
        <v>1900</v>
      </c>
      <c r="M135" s="272">
        <f t="shared" si="18"/>
        <v>1</v>
      </c>
      <c r="N135" s="273"/>
      <c r="O135" s="61">
        <f t="shared" si="19"/>
        <v>1900</v>
      </c>
      <c r="P135" s="61">
        <f t="shared" si="20"/>
        <v>1</v>
      </c>
      <c r="R135" s="272"/>
      <c r="S135" s="272"/>
      <c r="T135" s="278" t="str">
        <f t="shared" si="21"/>
        <v>-</v>
      </c>
    </row>
    <row r="136" spans="1:20">
      <c r="A136" s="269"/>
      <c r="B136" s="53"/>
      <c r="C136" s="176"/>
      <c r="D136" s="176"/>
      <c r="E136" s="176"/>
      <c r="F136" s="177"/>
      <c r="G136" s="274"/>
      <c r="H136" s="271"/>
      <c r="I136" s="213"/>
      <c r="J136" s="213"/>
      <c r="K136" s="212">
        <f t="shared" si="16"/>
        <v>0</v>
      </c>
      <c r="L136" s="272">
        <f t="shared" si="17"/>
        <v>1900</v>
      </c>
      <c r="M136" s="272">
        <f t="shared" si="18"/>
        <v>1</v>
      </c>
      <c r="N136" s="273"/>
      <c r="O136" s="61">
        <f t="shared" si="19"/>
        <v>1900</v>
      </c>
      <c r="P136" s="61">
        <f t="shared" si="20"/>
        <v>1</v>
      </c>
      <c r="R136" s="272"/>
      <c r="S136" s="272"/>
      <c r="T136" s="278" t="str">
        <f t="shared" si="21"/>
        <v>-</v>
      </c>
    </row>
    <row r="137" spans="1:20">
      <c r="A137" s="269"/>
      <c r="B137" s="53"/>
      <c r="C137" s="175"/>
      <c r="D137" s="175"/>
      <c r="E137" s="175"/>
      <c r="F137" s="177"/>
      <c r="G137" s="274"/>
      <c r="H137" s="271"/>
      <c r="I137" s="213"/>
      <c r="J137" s="213"/>
      <c r="K137" s="212">
        <f t="shared" si="16"/>
        <v>0</v>
      </c>
      <c r="L137" s="272">
        <f t="shared" si="17"/>
        <v>1900</v>
      </c>
      <c r="M137" s="272">
        <f t="shared" si="18"/>
        <v>1</v>
      </c>
      <c r="N137" s="273"/>
      <c r="O137" s="61">
        <f t="shared" si="19"/>
        <v>1900</v>
      </c>
      <c r="P137" s="61">
        <f t="shared" si="20"/>
        <v>1</v>
      </c>
      <c r="R137" s="272"/>
      <c r="S137" s="272"/>
      <c r="T137" s="278" t="str">
        <f t="shared" si="21"/>
        <v>-</v>
      </c>
    </row>
    <row r="138" spans="1:20">
      <c r="A138" s="269"/>
      <c r="B138" s="53"/>
      <c r="C138" s="175"/>
      <c r="D138" s="175"/>
      <c r="E138" s="175"/>
      <c r="F138" s="177"/>
      <c r="G138" s="274"/>
      <c r="H138" s="271"/>
      <c r="I138" s="213"/>
      <c r="J138" s="213"/>
      <c r="K138" s="212">
        <f t="shared" si="16"/>
        <v>0</v>
      </c>
      <c r="L138" s="272">
        <f t="shared" si="17"/>
        <v>1900</v>
      </c>
      <c r="M138" s="272">
        <f t="shared" si="18"/>
        <v>1</v>
      </c>
      <c r="N138" s="273"/>
      <c r="O138" s="61">
        <f t="shared" si="19"/>
        <v>1900</v>
      </c>
      <c r="P138" s="61">
        <f t="shared" si="20"/>
        <v>1</v>
      </c>
      <c r="R138" s="272"/>
      <c r="S138" s="272"/>
      <c r="T138" s="278" t="str">
        <f t="shared" si="21"/>
        <v>-</v>
      </c>
    </row>
    <row r="139" spans="1:20">
      <c r="A139" s="269"/>
      <c r="B139" s="53"/>
      <c r="C139" s="176"/>
      <c r="D139" s="176"/>
      <c r="E139" s="176"/>
      <c r="F139" s="177"/>
      <c r="G139" s="274"/>
      <c r="H139" s="271"/>
      <c r="I139" s="213"/>
      <c r="J139" s="213"/>
      <c r="K139" s="212">
        <f t="shared" si="16"/>
        <v>0</v>
      </c>
      <c r="L139" s="272">
        <f t="shared" si="17"/>
        <v>1900</v>
      </c>
      <c r="M139" s="272">
        <f t="shared" si="18"/>
        <v>1</v>
      </c>
      <c r="N139" s="273"/>
      <c r="O139" s="61">
        <f t="shared" si="19"/>
        <v>1900</v>
      </c>
      <c r="P139" s="61">
        <f t="shared" si="20"/>
        <v>1</v>
      </c>
      <c r="R139" s="272"/>
      <c r="S139" s="272"/>
      <c r="T139" s="278" t="str">
        <f t="shared" si="21"/>
        <v>-</v>
      </c>
    </row>
    <row r="140" spans="1:20">
      <c r="A140" s="269"/>
      <c r="B140" s="53"/>
      <c r="C140" s="176"/>
      <c r="D140" s="176"/>
      <c r="E140" s="176"/>
      <c r="F140" s="177"/>
      <c r="G140" s="274"/>
      <c r="H140" s="271"/>
      <c r="I140" s="213"/>
      <c r="J140" s="213"/>
      <c r="K140" s="212">
        <f t="shared" si="16"/>
        <v>0</v>
      </c>
      <c r="L140" s="272">
        <f t="shared" si="17"/>
        <v>1900</v>
      </c>
      <c r="M140" s="272">
        <f t="shared" si="18"/>
        <v>1</v>
      </c>
      <c r="N140" s="273"/>
      <c r="O140" s="61">
        <f t="shared" si="19"/>
        <v>1900</v>
      </c>
      <c r="P140" s="61">
        <f t="shared" si="20"/>
        <v>1</v>
      </c>
      <c r="R140" s="272"/>
      <c r="S140" s="272"/>
      <c r="T140" s="278" t="str">
        <f t="shared" si="21"/>
        <v>-</v>
      </c>
    </row>
    <row r="141" spans="1:20">
      <c r="A141" s="269"/>
      <c r="B141" s="53"/>
      <c r="C141" s="176"/>
      <c r="D141" s="176"/>
      <c r="E141" s="176"/>
      <c r="F141" s="177"/>
      <c r="G141" s="274"/>
      <c r="H141" s="271"/>
      <c r="I141" s="213"/>
      <c r="J141" s="213"/>
      <c r="K141" s="212">
        <f t="shared" si="16"/>
        <v>0</v>
      </c>
      <c r="L141" s="272">
        <f t="shared" si="17"/>
        <v>1900</v>
      </c>
      <c r="M141" s="272">
        <f t="shared" si="18"/>
        <v>1</v>
      </c>
      <c r="N141" s="273"/>
      <c r="O141" s="61">
        <f t="shared" si="19"/>
        <v>1900</v>
      </c>
      <c r="P141" s="61">
        <f t="shared" si="20"/>
        <v>1</v>
      </c>
      <c r="R141" s="272"/>
      <c r="S141" s="272"/>
      <c r="T141" s="278" t="str">
        <f t="shared" si="21"/>
        <v>-</v>
      </c>
    </row>
    <row r="142" spans="1:20">
      <c r="A142" s="269"/>
      <c r="B142" s="53"/>
      <c r="C142" s="175"/>
      <c r="D142" s="175"/>
      <c r="E142" s="175"/>
      <c r="F142" s="177"/>
      <c r="G142" s="274"/>
      <c r="H142" s="271"/>
      <c r="I142" s="213"/>
      <c r="J142" s="213"/>
      <c r="K142" s="212">
        <f t="shared" si="16"/>
        <v>0</v>
      </c>
      <c r="L142" s="272">
        <f t="shared" si="17"/>
        <v>1900</v>
      </c>
      <c r="M142" s="272">
        <f t="shared" si="18"/>
        <v>1</v>
      </c>
      <c r="N142" s="273"/>
      <c r="O142" s="61">
        <f t="shared" si="19"/>
        <v>1900</v>
      </c>
      <c r="P142" s="61">
        <f t="shared" si="20"/>
        <v>1</v>
      </c>
      <c r="R142" s="272"/>
      <c r="S142" s="272"/>
      <c r="T142" s="278" t="str">
        <f t="shared" si="21"/>
        <v>-</v>
      </c>
    </row>
    <row r="143" spans="1:20">
      <c r="A143" s="269"/>
      <c r="B143" s="53"/>
      <c r="C143" s="175"/>
      <c r="D143" s="175"/>
      <c r="E143" s="175"/>
      <c r="F143" s="177"/>
      <c r="G143" s="274"/>
      <c r="H143" s="271"/>
      <c r="I143" s="213"/>
      <c r="J143" s="213"/>
      <c r="K143" s="212">
        <f t="shared" ref="K143:K206" si="22">I143+H143+J143</f>
        <v>0</v>
      </c>
      <c r="L143" s="272">
        <f t="shared" si="17"/>
        <v>1900</v>
      </c>
      <c r="M143" s="272">
        <f t="shared" si="18"/>
        <v>1</v>
      </c>
      <c r="N143" s="273"/>
      <c r="O143" s="61">
        <f t="shared" si="19"/>
        <v>1900</v>
      </c>
      <c r="P143" s="61">
        <f t="shared" si="20"/>
        <v>1</v>
      </c>
      <c r="R143" s="272"/>
      <c r="S143" s="272"/>
      <c r="T143" s="278" t="str">
        <f t="shared" si="21"/>
        <v>-</v>
      </c>
    </row>
    <row r="144" spans="1:20">
      <c r="A144" s="269"/>
      <c r="B144" s="53"/>
      <c r="C144" s="176"/>
      <c r="D144" s="176"/>
      <c r="E144" s="176"/>
      <c r="F144" s="177"/>
      <c r="G144" s="274"/>
      <c r="H144" s="271"/>
      <c r="I144" s="213"/>
      <c r="J144" s="213"/>
      <c r="K144" s="212">
        <f t="shared" si="22"/>
        <v>0</v>
      </c>
      <c r="L144" s="272">
        <f t="shared" ref="L144:L207" si="23">YEAR(B144)</f>
        <v>1900</v>
      </c>
      <c r="M144" s="272">
        <f t="shared" ref="M144:M207" si="24">MONTH(B144)</f>
        <v>1</v>
      </c>
      <c r="N144" s="273"/>
      <c r="O144" s="61">
        <f t="shared" ref="O144:O207" si="25">YEAR(B144)</f>
        <v>1900</v>
      </c>
      <c r="P144" s="61">
        <f t="shared" ref="P144:P207" si="26">MONTH(B144)</f>
        <v>1</v>
      </c>
      <c r="R144" s="272"/>
      <c r="S144" s="272"/>
      <c r="T144" s="278" t="str">
        <f t="shared" ref="T144:T207" si="27">IF($E144&gt;0,IF((R144+S144)=$E144,"OK","Error"),"-")</f>
        <v>-</v>
      </c>
    </row>
    <row r="145" spans="1:20">
      <c r="A145" s="269"/>
      <c r="B145" s="53"/>
      <c r="C145" s="176"/>
      <c r="D145" s="176"/>
      <c r="E145" s="176"/>
      <c r="F145" s="177"/>
      <c r="G145" s="274"/>
      <c r="H145" s="271"/>
      <c r="I145" s="213"/>
      <c r="J145" s="213"/>
      <c r="K145" s="212">
        <f t="shared" si="22"/>
        <v>0</v>
      </c>
      <c r="L145" s="272">
        <f t="shared" si="23"/>
        <v>1900</v>
      </c>
      <c r="M145" s="272">
        <f t="shared" si="24"/>
        <v>1</v>
      </c>
      <c r="N145" s="273"/>
      <c r="O145" s="61">
        <f t="shared" si="25"/>
        <v>1900</v>
      </c>
      <c r="P145" s="61">
        <f t="shared" si="26"/>
        <v>1</v>
      </c>
      <c r="R145" s="272"/>
      <c r="S145" s="272"/>
      <c r="T145" s="278" t="str">
        <f t="shared" si="27"/>
        <v>-</v>
      </c>
    </row>
    <row r="146" spans="1:20">
      <c r="A146" s="269"/>
      <c r="B146" s="53"/>
      <c r="C146" s="176"/>
      <c r="D146" s="176"/>
      <c r="E146" s="176"/>
      <c r="F146" s="177"/>
      <c r="G146" s="274"/>
      <c r="H146" s="271"/>
      <c r="I146" s="213"/>
      <c r="J146" s="213"/>
      <c r="K146" s="212">
        <f t="shared" si="22"/>
        <v>0</v>
      </c>
      <c r="L146" s="272">
        <f t="shared" si="23"/>
        <v>1900</v>
      </c>
      <c r="M146" s="272">
        <f t="shared" si="24"/>
        <v>1</v>
      </c>
      <c r="N146" s="273"/>
      <c r="O146" s="61">
        <f t="shared" si="25"/>
        <v>1900</v>
      </c>
      <c r="P146" s="61">
        <f t="shared" si="26"/>
        <v>1</v>
      </c>
      <c r="R146" s="272"/>
      <c r="S146" s="272"/>
      <c r="T146" s="278" t="str">
        <f t="shared" si="27"/>
        <v>-</v>
      </c>
    </row>
    <row r="147" spans="1:20">
      <c r="A147" s="269"/>
      <c r="B147" s="53"/>
      <c r="C147" s="176"/>
      <c r="D147" s="176"/>
      <c r="E147" s="176"/>
      <c r="F147" s="177"/>
      <c r="G147" s="274"/>
      <c r="H147" s="271"/>
      <c r="I147" s="213"/>
      <c r="J147" s="213"/>
      <c r="K147" s="212">
        <f t="shared" si="22"/>
        <v>0</v>
      </c>
      <c r="L147" s="272">
        <f t="shared" si="23"/>
        <v>1900</v>
      </c>
      <c r="M147" s="272">
        <f t="shared" si="24"/>
        <v>1</v>
      </c>
      <c r="N147" s="273"/>
      <c r="O147" s="61">
        <f t="shared" si="25"/>
        <v>1900</v>
      </c>
      <c r="P147" s="61">
        <f t="shared" si="26"/>
        <v>1</v>
      </c>
      <c r="R147" s="272"/>
      <c r="S147" s="272"/>
      <c r="T147" s="278" t="str">
        <f t="shared" si="27"/>
        <v>-</v>
      </c>
    </row>
    <row r="148" spans="1:20">
      <c r="A148" s="269"/>
      <c r="B148" s="53"/>
      <c r="C148" s="175"/>
      <c r="D148" s="175"/>
      <c r="E148" s="175"/>
      <c r="F148" s="177"/>
      <c r="G148" s="274"/>
      <c r="H148" s="271"/>
      <c r="I148" s="213"/>
      <c r="J148" s="213"/>
      <c r="K148" s="212">
        <f t="shared" si="22"/>
        <v>0</v>
      </c>
      <c r="L148" s="272">
        <f t="shared" si="23"/>
        <v>1900</v>
      </c>
      <c r="M148" s="272">
        <f t="shared" si="24"/>
        <v>1</v>
      </c>
      <c r="N148" s="273"/>
      <c r="O148" s="61">
        <f t="shared" si="25"/>
        <v>1900</v>
      </c>
      <c r="P148" s="61">
        <f t="shared" si="26"/>
        <v>1</v>
      </c>
      <c r="R148" s="272"/>
      <c r="S148" s="272"/>
      <c r="T148" s="278" t="str">
        <f t="shared" si="27"/>
        <v>-</v>
      </c>
    </row>
    <row r="149" spans="1:20">
      <c r="A149" s="269"/>
      <c r="B149" s="53"/>
      <c r="C149" s="175"/>
      <c r="D149" s="175"/>
      <c r="E149" s="175"/>
      <c r="F149" s="177"/>
      <c r="G149" s="274"/>
      <c r="H149" s="271"/>
      <c r="I149" s="213"/>
      <c r="J149" s="213"/>
      <c r="K149" s="212">
        <f t="shared" si="22"/>
        <v>0</v>
      </c>
      <c r="L149" s="272">
        <f t="shared" si="23"/>
        <v>1900</v>
      </c>
      <c r="M149" s="272">
        <f t="shared" si="24"/>
        <v>1</v>
      </c>
      <c r="N149" s="273"/>
      <c r="O149" s="61">
        <f t="shared" si="25"/>
        <v>1900</v>
      </c>
      <c r="P149" s="61">
        <f t="shared" si="26"/>
        <v>1</v>
      </c>
      <c r="R149" s="272"/>
      <c r="S149" s="272"/>
      <c r="T149" s="278" t="str">
        <f t="shared" si="27"/>
        <v>-</v>
      </c>
    </row>
    <row r="150" spans="1:20">
      <c r="A150" s="269"/>
      <c r="B150" s="53"/>
      <c r="C150" s="175"/>
      <c r="D150" s="175"/>
      <c r="E150" s="175"/>
      <c r="F150" s="177"/>
      <c r="G150" s="274"/>
      <c r="H150" s="271"/>
      <c r="I150" s="213"/>
      <c r="J150" s="213"/>
      <c r="K150" s="212">
        <f t="shared" si="22"/>
        <v>0</v>
      </c>
      <c r="L150" s="272">
        <f t="shared" si="23"/>
        <v>1900</v>
      </c>
      <c r="M150" s="272">
        <f t="shared" si="24"/>
        <v>1</v>
      </c>
      <c r="N150" s="273"/>
      <c r="O150" s="61">
        <f t="shared" si="25"/>
        <v>1900</v>
      </c>
      <c r="P150" s="61">
        <f t="shared" si="26"/>
        <v>1</v>
      </c>
      <c r="R150" s="272"/>
      <c r="S150" s="272"/>
      <c r="T150" s="278" t="str">
        <f t="shared" si="27"/>
        <v>-</v>
      </c>
    </row>
    <row r="151" spans="1:20">
      <c r="A151" s="269"/>
      <c r="B151" s="53"/>
      <c r="C151" s="175"/>
      <c r="D151" s="175"/>
      <c r="E151" s="175"/>
      <c r="F151" s="177"/>
      <c r="G151" s="274"/>
      <c r="H151" s="271"/>
      <c r="I151" s="213"/>
      <c r="J151" s="213"/>
      <c r="K151" s="212">
        <f t="shared" si="22"/>
        <v>0</v>
      </c>
      <c r="L151" s="272">
        <f t="shared" si="23"/>
        <v>1900</v>
      </c>
      <c r="M151" s="272">
        <f t="shared" si="24"/>
        <v>1</v>
      </c>
      <c r="N151" s="273"/>
      <c r="O151" s="61">
        <f t="shared" si="25"/>
        <v>1900</v>
      </c>
      <c r="P151" s="61">
        <f t="shared" si="26"/>
        <v>1</v>
      </c>
      <c r="R151" s="272"/>
      <c r="S151" s="272"/>
      <c r="T151" s="278" t="str">
        <f t="shared" si="27"/>
        <v>-</v>
      </c>
    </row>
    <row r="152" spans="1:20">
      <c r="A152" s="269"/>
      <c r="B152" s="53"/>
      <c r="C152" s="176"/>
      <c r="D152" s="176"/>
      <c r="E152" s="176"/>
      <c r="F152" s="177"/>
      <c r="G152" s="274"/>
      <c r="H152" s="271"/>
      <c r="I152" s="213"/>
      <c r="J152" s="213"/>
      <c r="K152" s="212">
        <f t="shared" si="22"/>
        <v>0</v>
      </c>
      <c r="L152" s="272">
        <f t="shared" si="23"/>
        <v>1900</v>
      </c>
      <c r="M152" s="272">
        <f t="shared" si="24"/>
        <v>1</v>
      </c>
      <c r="N152" s="273"/>
      <c r="O152" s="61">
        <f t="shared" si="25"/>
        <v>1900</v>
      </c>
      <c r="P152" s="61">
        <f t="shared" si="26"/>
        <v>1</v>
      </c>
      <c r="R152" s="272"/>
      <c r="S152" s="272"/>
      <c r="T152" s="278" t="str">
        <f t="shared" si="27"/>
        <v>-</v>
      </c>
    </row>
    <row r="153" spans="1:20">
      <c r="A153" s="269"/>
      <c r="B153" s="53"/>
      <c r="C153" s="176"/>
      <c r="D153" s="176"/>
      <c r="E153" s="176"/>
      <c r="F153" s="177"/>
      <c r="G153" s="274"/>
      <c r="H153" s="271"/>
      <c r="I153" s="213"/>
      <c r="J153" s="213"/>
      <c r="K153" s="212">
        <f t="shared" si="22"/>
        <v>0</v>
      </c>
      <c r="L153" s="272">
        <f t="shared" si="23"/>
        <v>1900</v>
      </c>
      <c r="M153" s="272">
        <f t="shared" si="24"/>
        <v>1</v>
      </c>
      <c r="N153" s="273"/>
      <c r="O153" s="61">
        <f t="shared" si="25"/>
        <v>1900</v>
      </c>
      <c r="P153" s="61">
        <f t="shared" si="26"/>
        <v>1</v>
      </c>
      <c r="R153" s="272"/>
      <c r="S153" s="272"/>
      <c r="T153" s="278" t="str">
        <f t="shared" si="27"/>
        <v>-</v>
      </c>
    </row>
    <row r="154" spans="1:20">
      <c r="A154" s="269"/>
      <c r="B154" s="53"/>
      <c r="C154" s="176"/>
      <c r="D154" s="176"/>
      <c r="E154" s="176"/>
      <c r="F154" s="177"/>
      <c r="G154" s="274"/>
      <c r="H154" s="271"/>
      <c r="I154" s="213"/>
      <c r="J154" s="213"/>
      <c r="K154" s="212">
        <f t="shared" si="22"/>
        <v>0</v>
      </c>
      <c r="L154" s="272">
        <f t="shared" si="23"/>
        <v>1900</v>
      </c>
      <c r="M154" s="272">
        <f t="shared" si="24"/>
        <v>1</v>
      </c>
      <c r="N154" s="273"/>
      <c r="O154" s="61">
        <f t="shared" si="25"/>
        <v>1900</v>
      </c>
      <c r="P154" s="61">
        <f t="shared" si="26"/>
        <v>1</v>
      </c>
      <c r="R154" s="272"/>
      <c r="S154" s="272"/>
      <c r="T154" s="278" t="str">
        <f t="shared" si="27"/>
        <v>-</v>
      </c>
    </row>
    <row r="155" spans="1:20">
      <c r="A155" s="269"/>
      <c r="B155" s="53"/>
      <c r="C155" s="176"/>
      <c r="D155" s="176"/>
      <c r="E155" s="176"/>
      <c r="F155" s="177"/>
      <c r="G155" s="274"/>
      <c r="H155" s="271"/>
      <c r="I155" s="213"/>
      <c r="J155" s="213"/>
      <c r="K155" s="212">
        <f t="shared" si="22"/>
        <v>0</v>
      </c>
      <c r="L155" s="272">
        <f t="shared" si="23"/>
        <v>1900</v>
      </c>
      <c r="M155" s="272">
        <f t="shared" si="24"/>
        <v>1</v>
      </c>
      <c r="N155" s="273"/>
      <c r="O155" s="61">
        <f t="shared" si="25"/>
        <v>1900</v>
      </c>
      <c r="P155" s="61">
        <f t="shared" si="26"/>
        <v>1</v>
      </c>
      <c r="R155" s="272"/>
      <c r="S155" s="272"/>
      <c r="T155" s="278" t="str">
        <f t="shared" si="27"/>
        <v>-</v>
      </c>
    </row>
    <row r="156" spans="1:20">
      <c r="A156" s="269"/>
      <c r="B156" s="53"/>
      <c r="C156" s="176"/>
      <c r="D156" s="176"/>
      <c r="E156" s="176"/>
      <c r="F156" s="177"/>
      <c r="G156" s="274"/>
      <c r="H156" s="271"/>
      <c r="I156" s="213"/>
      <c r="J156" s="213"/>
      <c r="K156" s="212">
        <f t="shared" si="22"/>
        <v>0</v>
      </c>
      <c r="L156" s="272">
        <f t="shared" si="23"/>
        <v>1900</v>
      </c>
      <c r="M156" s="272">
        <f t="shared" si="24"/>
        <v>1</v>
      </c>
      <c r="N156" s="273"/>
      <c r="O156" s="61">
        <f t="shared" si="25"/>
        <v>1900</v>
      </c>
      <c r="P156" s="61">
        <f t="shared" si="26"/>
        <v>1</v>
      </c>
      <c r="R156" s="272"/>
      <c r="S156" s="272"/>
      <c r="T156" s="278" t="str">
        <f t="shared" si="27"/>
        <v>-</v>
      </c>
    </row>
    <row r="157" spans="1:20">
      <c r="A157" s="269"/>
      <c r="B157" s="53"/>
      <c r="C157" s="176"/>
      <c r="D157" s="176"/>
      <c r="E157" s="176"/>
      <c r="F157" s="177"/>
      <c r="G157" s="274"/>
      <c r="H157" s="271"/>
      <c r="I157" s="213"/>
      <c r="J157" s="213"/>
      <c r="K157" s="212">
        <f t="shared" si="22"/>
        <v>0</v>
      </c>
      <c r="L157" s="272">
        <f t="shared" si="23"/>
        <v>1900</v>
      </c>
      <c r="M157" s="272">
        <f t="shared" si="24"/>
        <v>1</v>
      </c>
      <c r="N157" s="273"/>
      <c r="O157" s="61">
        <f t="shared" si="25"/>
        <v>1900</v>
      </c>
      <c r="P157" s="61">
        <f t="shared" si="26"/>
        <v>1</v>
      </c>
      <c r="R157" s="272"/>
      <c r="S157" s="272"/>
      <c r="T157" s="278" t="str">
        <f t="shared" si="27"/>
        <v>-</v>
      </c>
    </row>
    <row r="158" spans="1:20">
      <c r="A158" s="269"/>
      <c r="B158" s="53"/>
      <c r="C158" s="176"/>
      <c r="D158" s="176"/>
      <c r="E158" s="176"/>
      <c r="F158" s="177"/>
      <c r="G158" s="274"/>
      <c r="H158" s="271"/>
      <c r="I158" s="213"/>
      <c r="J158" s="213"/>
      <c r="K158" s="212">
        <f t="shared" si="22"/>
        <v>0</v>
      </c>
      <c r="L158" s="272">
        <f t="shared" si="23"/>
        <v>1900</v>
      </c>
      <c r="M158" s="272">
        <f t="shared" si="24"/>
        <v>1</v>
      </c>
      <c r="N158" s="273"/>
      <c r="O158" s="61">
        <f t="shared" si="25"/>
        <v>1900</v>
      </c>
      <c r="P158" s="61">
        <f t="shared" si="26"/>
        <v>1</v>
      </c>
      <c r="R158" s="272"/>
      <c r="S158" s="272"/>
      <c r="T158" s="278" t="str">
        <f t="shared" si="27"/>
        <v>-</v>
      </c>
    </row>
    <row r="159" spans="1:20">
      <c r="A159" s="269"/>
      <c r="B159" s="53"/>
      <c r="C159" s="176"/>
      <c r="D159" s="176"/>
      <c r="E159" s="176"/>
      <c r="F159" s="177"/>
      <c r="G159" s="274"/>
      <c r="H159" s="271"/>
      <c r="I159" s="213"/>
      <c r="J159" s="213"/>
      <c r="K159" s="212">
        <f t="shared" si="22"/>
        <v>0</v>
      </c>
      <c r="L159" s="272">
        <f t="shared" si="23"/>
        <v>1900</v>
      </c>
      <c r="M159" s="272">
        <f t="shared" si="24"/>
        <v>1</v>
      </c>
      <c r="N159" s="273"/>
      <c r="O159" s="61">
        <f t="shared" si="25"/>
        <v>1900</v>
      </c>
      <c r="P159" s="61">
        <f t="shared" si="26"/>
        <v>1</v>
      </c>
      <c r="R159" s="272"/>
      <c r="S159" s="272"/>
      <c r="T159" s="278" t="str">
        <f t="shared" si="27"/>
        <v>-</v>
      </c>
    </row>
    <row r="160" spans="1:20">
      <c r="A160" s="269"/>
      <c r="B160" s="53"/>
      <c r="C160" s="175"/>
      <c r="D160" s="175"/>
      <c r="E160" s="175"/>
      <c r="F160" s="177"/>
      <c r="G160" s="274"/>
      <c r="H160" s="271"/>
      <c r="I160" s="213"/>
      <c r="J160" s="213"/>
      <c r="K160" s="212">
        <f t="shared" si="22"/>
        <v>0</v>
      </c>
      <c r="L160" s="272">
        <f t="shared" si="23"/>
        <v>1900</v>
      </c>
      <c r="M160" s="272">
        <f t="shared" si="24"/>
        <v>1</v>
      </c>
      <c r="N160" s="273"/>
      <c r="O160" s="61">
        <f t="shared" si="25"/>
        <v>1900</v>
      </c>
      <c r="P160" s="61">
        <f t="shared" si="26"/>
        <v>1</v>
      </c>
      <c r="R160" s="272"/>
      <c r="S160" s="272"/>
      <c r="T160" s="278" t="str">
        <f t="shared" si="27"/>
        <v>-</v>
      </c>
    </row>
    <row r="161" spans="1:20">
      <c r="A161" s="269"/>
      <c r="B161" s="53"/>
      <c r="C161" s="175"/>
      <c r="D161" s="175"/>
      <c r="E161" s="175"/>
      <c r="F161" s="177"/>
      <c r="G161" s="274"/>
      <c r="H161" s="271"/>
      <c r="I161" s="213"/>
      <c r="J161" s="213"/>
      <c r="K161" s="212">
        <f t="shared" si="22"/>
        <v>0</v>
      </c>
      <c r="L161" s="272">
        <f t="shared" si="23"/>
        <v>1900</v>
      </c>
      <c r="M161" s="272">
        <f t="shared" si="24"/>
        <v>1</v>
      </c>
      <c r="N161" s="273"/>
      <c r="O161" s="61">
        <f t="shared" si="25"/>
        <v>1900</v>
      </c>
      <c r="P161" s="61">
        <f t="shared" si="26"/>
        <v>1</v>
      </c>
      <c r="R161" s="272"/>
      <c r="S161" s="272"/>
      <c r="T161" s="278" t="str">
        <f t="shared" si="27"/>
        <v>-</v>
      </c>
    </row>
    <row r="162" spans="1:20">
      <c r="A162" s="269"/>
      <c r="B162" s="53"/>
      <c r="C162" s="175"/>
      <c r="D162" s="175"/>
      <c r="E162" s="175"/>
      <c r="F162" s="177"/>
      <c r="G162" s="274"/>
      <c r="H162" s="271"/>
      <c r="I162" s="213"/>
      <c r="J162" s="213"/>
      <c r="K162" s="212">
        <f t="shared" si="22"/>
        <v>0</v>
      </c>
      <c r="L162" s="272">
        <f t="shared" si="23"/>
        <v>1900</v>
      </c>
      <c r="M162" s="272">
        <f t="shared" si="24"/>
        <v>1</v>
      </c>
      <c r="N162" s="273"/>
      <c r="O162" s="61">
        <f t="shared" si="25"/>
        <v>1900</v>
      </c>
      <c r="P162" s="61">
        <f t="shared" si="26"/>
        <v>1</v>
      </c>
      <c r="R162" s="272"/>
      <c r="S162" s="272"/>
      <c r="T162" s="278" t="str">
        <f t="shared" si="27"/>
        <v>-</v>
      </c>
    </row>
    <row r="163" spans="1:20">
      <c r="A163" s="269"/>
      <c r="B163" s="53"/>
      <c r="C163" s="176"/>
      <c r="D163" s="176"/>
      <c r="E163" s="176"/>
      <c r="F163" s="177"/>
      <c r="G163" s="274"/>
      <c r="H163" s="271"/>
      <c r="I163" s="213"/>
      <c r="J163" s="213"/>
      <c r="K163" s="212">
        <f t="shared" si="22"/>
        <v>0</v>
      </c>
      <c r="L163" s="272">
        <f t="shared" si="23"/>
        <v>1900</v>
      </c>
      <c r="M163" s="272">
        <f t="shared" si="24"/>
        <v>1</v>
      </c>
      <c r="N163" s="273"/>
      <c r="O163" s="61">
        <f t="shared" si="25"/>
        <v>1900</v>
      </c>
      <c r="P163" s="61">
        <f t="shared" si="26"/>
        <v>1</v>
      </c>
      <c r="R163" s="272"/>
      <c r="S163" s="272"/>
      <c r="T163" s="278" t="str">
        <f t="shared" si="27"/>
        <v>-</v>
      </c>
    </row>
    <row r="164" spans="1:20">
      <c r="A164" s="269"/>
      <c r="B164" s="53"/>
      <c r="C164" s="176"/>
      <c r="D164" s="176"/>
      <c r="E164" s="176"/>
      <c r="F164" s="177"/>
      <c r="G164" s="274"/>
      <c r="H164" s="271"/>
      <c r="I164" s="213"/>
      <c r="J164" s="213"/>
      <c r="K164" s="212">
        <f t="shared" si="22"/>
        <v>0</v>
      </c>
      <c r="L164" s="272">
        <f t="shared" si="23"/>
        <v>1900</v>
      </c>
      <c r="M164" s="272">
        <f t="shared" si="24"/>
        <v>1</v>
      </c>
      <c r="N164" s="273"/>
      <c r="O164" s="61">
        <f t="shared" si="25"/>
        <v>1900</v>
      </c>
      <c r="P164" s="61">
        <f t="shared" si="26"/>
        <v>1</v>
      </c>
      <c r="R164" s="272"/>
      <c r="S164" s="272"/>
      <c r="T164" s="278" t="str">
        <f t="shared" si="27"/>
        <v>-</v>
      </c>
    </row>
    <row r="165" spans="1:20">
      <c r="A165" s="269"/>
      <c r="B165" s="53"/>
      <c r="C165" s="175"/>
      <c r="D165" s="175"/>
      <c r="E165" s="175"/>
      <c r="F165" s="177"/>
      <c r="G165" s="274"/>
      <c r="H165" s="271"/>
      <c r="I165" s="213"/>
      <c r="J165" s="213"/>
      <c r="K165" s="212">
        <f t="shared" si="22"/>
        <v>0</v>
      </c>
      <c r="L165" s="272">
        <f t="shared" si="23"/>
        <v>1900</v>
      </c>
      <c r="M165" s="272">
        <f t="shared" si="24"/>
        <v>1</v>
      </c>
      <c r="N165" s="273"/>
      <c r="O165" s="61">
        <f t="shared" si="25"/>
        <v>1900</v>
      </c>
      <c r="P165" s="61">
        <f t="shared" si="26"/>
        <v>1</v>
      </c>
      <c r="R165" s="272"/>
      <c r="S165" s="272"/>
      <c r="T165" s="278" t="str">
        <f t="shared" si="27"/>
        <v>-</v>
      </c>
    </row>
    <row r="166" spans="1:20">
      <c r="A166" s="269"/>
      <c r="B166" s="53"/>
      <c r="C166" s="176"/>
      <c r="D166" s="176"/>
      <c r="E166" s="176"/>
      <c r="F166" s="177"/>
      <c r="G166" s="274"/>
      <c r="H166" s="271"/>
      <c r="I166" s="213"/>
      <c r="J166" s="213"/>
      <c r="K166" s="212">
        <f t="shared" si="22"/>
        <v>0</v>
      </c>
      <c r="L166" s="272">
        <f t="shared" si="23"/>
        <v>1900</v>
      </c>
      <c r="M166" s="272">
        <f t="shared" si="24"/>
        <v>1</v>
      </c>
      <c r="N166" s="273"/>
      <c r="O166" s="61">
        <f t="shared" si="25"/>
        <v>1900</v>
      </c>
      <c r="P166" s="61">
        <f t="shared" si="26"/>
        <v>1</v>
      </c>
      <c r="R166" s="272"/>
      <c r="S166" s="272"/>
      <c r="T166" s="278" t="str">
        <f t="shared" si="27"/>
        <v>-</v>
      </c>
    </row>
    <row r="167" spans="1:20">
      <c r="A167" s="269"/>
      <c r="B167" s="53"/>
      <c r="C167" s="175"/>
      <c r="D167" s="175"/>
      <c r="E167" s="175"/>
      <c r="F167" s="177"/>
      <c r="G167" s="274"/>
      <c r="H167" s="271"/>
      <c r="I167" s="213"/>
      <c r="J167" s="213"/>
      <c r="K167" s="212">
        <f t="shared" si="22"/>
        <v>0</v>
      </c>
      <c r="L167" s="272">
        <f t="shared" si="23"/>
        <v>1900</v>
      </c>
      <c r="M167" s="272">
        <f t="shared" si="24"/>
        <v>1</v>
      </c>
      <c r="N167" s="273"/>
      <c r="O167" s="61">
        <f t="shared" si="25"/>
        <v>1900</v>
      </c>
      <c r="P167" s="61">
        <f t="shared" si="26"/>
        <v>1</v>
      </c>
      <c r="R167" s="272"/>
      <c r="S167" s="272"/>
      <c r="T167" s="278" t="str">
        <f t="shared" si="27"/>
        <v>-</v>
      </c>
    </row>
    <row r="168" spans="1:20">
      <c r="A168" s="269"/>
      <c r="B168" s="53"/>
      <c r="C168" s="175"/>
      <c r="D168" s="175"/>
      <c r="E168" s="175"/>
      <c r="F168" s="177"/>
      <c r="G168" s="274"/>
      <c r="H168" s="271"/>
      <c r="I168" s="213"/>
      <c r="J168" s="213"/>
      <c r="K168" s="212">
        <f t="shared" si="22"/>
        <v>0</v>
      </c>
      <c r="L168" s="272">
        <f t="shared" si="23"/>
        <v>1900</v>
      </c>
      <c r="M168" s="272">
        <f t="shared" si="24"/>
        <v>1</v>
      </c>
      <c r="N168" s="273"/>
      <c r="O168" s="61">
        <f t="shared" si="25"/>
        <v>1900</v>
      </c>
      <c r="P168" s="61">
        <f t="shared" si="26"/>
        <v>1</v>
      </c>
      <c r="R168" s="272"/>
      <c r="S168" s="272"/>
      <c r="T168" s="278" t="str">
        <f t="shared" si="27"/>
        <v>-</v>
      </c>
    </row>
    <row r="169" spans="1:20">
      <c r="A169" s="269"/>
      <c r="B169" s="53"/>
      <c r="C169" s="175"/>
      <c r="D169" s="175"/>
      <c r="E169" s="175"/>
      <c r="F169" s="177"/>
      <c r="G169" s="274"/>
      <c r="H169" s="271"/>
      <c r="I169" s="213"/>
      <c r="J169" s="213"/>
      <c r="K169" s="212">
        <f t="shared" si="22"/>
        <v>0</v>
      </c>
      <c r="L169" s="272">
        <f t="shared" si="23"/>
        <v>1900</v>
      </c>
      <c r="M169" s="272">
        <f t="shared" si="24"/>
        <v>1</v>
      </c>
      <c r="N169" s="273"/>
      <c r="O169" s="61">
        <f t="shared" si="25"/>
        <v>1900</v>
      </c>
      <c r="P169" s="61">
        <f t="shared" si="26"/>
        <v>1</v>
      </c>
      <c r="R169" s="272"/>
      <c r="S169" s="272"/>
      <c r="T169" s="278" t="str">
        <f t="shared" si="27"/>
        <v>-</v>
      </c>
    </row>
    <row r="170" spans="1:20">
      <c r="A170" s="269"/>
      <c r="B170" s="53"/>
      <c r="C170" s="175"/>
      <c r="D170" s="175"/>
      <c r="E170" s="175"/>
      <c r="F170" s="177"/>
      <c r="G170" s="274"/>
      <c r="H170" s="271"/>
      <c r="I170" s="213"/>
      <c r="J170" s="213"/>
      <c r="K170" s="212">
        <f t="shared" si="22"/>
        <v>0</v>
      </c>
      <c r="L170" s="272">
        <f t="shared" si="23"/>
        <v>1900</v>
      </c>
      <c r="M170" s="272">
        <f t="shared" si="24"/>
        <v>1</v>
      </c>
      <c r="N170" s="273"/>
      <c r="O170" s="61">
        <f t="shared" si="25"/>
        <v>1900</v>
      </c>
      <c r="P170" s="61">
        <f t="shared" si="26"/>
        <v>1</v>
      </c>
      <c r="R170" s="272"/>
      <c r="S170" s="272"/>
      <c r="T170" s="278" t="str">
        <f t="shared" si="27"/>
        <v>-</v>
      </c>
    </row>
    <row r="171" spans="1:20">
      <c r="A171" s="269"/>
      <c r="B171" s="53"/>
      <c r="C171" s="176"/>
      <c r="D171" s="176"/>
      <c r="E171" s="176"/>
      <c r="F171" s="177"/>
      <c r="G171" s="274"/>
      <c r="H171" s="271"/>
      <c r="I171" s="213"/>
      <c r="J171" s="213"/>
      <c r="K171" s="212">
        <f t="shared" si="22"/>
        <v>0</v>
      </c>
      <c r="L171" s="272">
        <f t="shared" si="23"/>
        <v>1900</v>
      </c>
      <c r="M171" s="272">
        <f t="shared" si="24"/>
        <v>1</v>
      </c>
      <c r="N171" s="273"/>
      <c r="O171" s="61">
        <f t="shared" si="25"/>
        <v>1900</v>
      </c>
      <c r="P171" s="61">
        <f t="shared" si="26"/>
        <v>1</v>
      </c>
      <c r="R171" s="272"/>
      <c r="S171" s="272"/>
      <c r="T171" s="278" t="str">
        <f t="shared" si="27"/>
        <v>-</v>
      </c>
    </row>
    <row r="172" spans="1:20">
      <c r="A172" s="269"/>
      <c r="B172" s="53"/>
      <c r="C172" s="176"/>
      <c r="D172" s="176"/>
      <c r="E172" s="176"/>
      <c r="F172" s="177"/>
      <c r="G172" s="274"/>
      <c r="H172" s="271"/>
      <c r="I172" s="213"/>
      <c r="J172" s="213"/>
      <c r="K172" s="212">
        <f t="shared" si="22"/>
        <v>0</v>
      </c>
      <c r="L172" s="272">
        <f t="shared" si="23"/>
        <v>1900</v>
      </c>
      <c r="M172" s="272">
        <f t="shared" si="24"/>
        <v>1</v>
      </c>
      <c r="N172" s="273"/>
      <c r="O172" s="61">
        <f t="shared" si="25"/>
        <v>1900</v>
      </c>
      <c r="P172" s="61">
        <f t="shared" si="26"/>
        <v>1</v>
      </c>
      <c r="R172" s="272"/>
      <c r="S172" s="272"/>
      <c r="T172" s="278" t="str">
        <f t="shared" si="27"/>
        <v>-</v>
      </c>
    </row>
    <row r="173" spans="1:20">
      <c r="A173" s="269"/>
      <c r="B173" s="53"/>
      <c r="C173" s="175"/>
      <c r="D173" s="175"/>
      <c r="E173" s="175"/>
      <c r="F173" s="177"/>
      <c r="G173" s="274"/>
      <c r="H173" s="271"/>
      <c r="I173" s="213"/>
      <c r="J173" s="213"/>
      <c r="K173" s="212">
        <f t="shared" si="22"/>
        <v>0</v>
      </c>
      <c r="L173" s="272">
        <f t="shared" si="23"/>
        <v>1900</v>
      </c>
      <c r="M173" s="272">
        <f t="shared" si="24"/>
        <v>1</v>
      </c>
      <c r="N173" s="273"/>
      <c r="O173" s="61">
        <f t="shared" si="25"/>
        <v>1900</v>
      </c>
      <c r="P173" s="61">
        <f t="shared" si="26"/>
        <v>1</v>
      </c>
      <c r="R173" s="272"/>
      <c r="S173" s="272"/>
      <c r="T173" s="278" t="str">
        <f t="shared" si="27"/>
        <v>-</v>
      </c>
    </row>
    <row r="174" spans="1:20">
      <c r="A174" s="269"/>
      <c r="B174" s="53"/>
      <c r="C174" s="176"/>
      <c r="D174" s="176"/>
      <c r="E174" s="176"/>
      <c r="F174" s="177"/>
      <c r="G174" s="274"/>
      <c r="H174" s="271"/>
      <c r="I174" s="213"/>
      <c r="J174" s="213"/>
      <c r="K174" s="212">
        <f t="shared" si="22"/>
        <v>0</v>
      </c>
      <c r="L174" s="272">
        <f t="shared" si="23"/>
        <v>1900</v>
      </c>
      <c r="M174" s="272">
        <f t="shared" si="24"/>
        <v>1</v>
      </c>
      <c r="N174" s="273"/>
      <c r="O174" s="61">
        <f t="shared" si="25"/>
        <v>1900</v>
      </c>
      <c r="P174" s="61">
        <f t="shared" si="26"/>
        <v>1</v>
      </c>
      <c r="R174" s="272"/>
      <c r="S174" s="272"/>
      <c r="T174" s="278" t="str">
        <f t="shared" si="27"/>
        <v>-</v>
      </c>
    </row>
    <row r="175" spans="1:20">
      <c r="A175" s="269"/>
      <c r="B175" s="57"/>
      <c r="C175" s="176"/>
      <c r="D175" s="176"/>
      <c r="E175" s="176"/>
      <c r="F175" s="177"/>
      <c r="G175" s="274"/>
      <c r="H175" s="271"/>
      <c r="I175" s="213"/>
      <c r="J175" s="213"/>
      <c r="K175" s="212">
        <f t="shared" si="22"/>
        <v>0</v>
      </c>
      <c r="L175" s="272">
        <f t="shared" si="23"/>
        <v>1900</v>
      </c>
      <c r="M175" s="272">
        <f t="shared" si="24"/>
        <v>1</v>
      </c>
      <c r="N175" s="273"/>
      <c r="O175" s="61">
        <f t="shared" si="25"/>
        <v>1900</v>
      </c>
      <c r="P175" s="61">
        <f t="shared" si="26"/>
        <v>1</v>
      </c>
      <c r="R175" s="272"/>
      <c r="S175" s="272"/>
      <c r="T175" s="278" t="str">
        <f t="shared" si="27"/>
        <v>-</v>
      </c>
    </row>
    <row r="176" spans="1:20">
      <c r="A176" s="269"/>
      <c r="B176" s="57"/>
      <c r="C176" s="176"/>
      <c r="D176" s="176"/>
      <c r="E176" s="176"/>
      <c r="F176" s="177"/>
      <c r="G176" s="274"/>
      <c r="H176" s="271"/>
      <c r="I176" s="213"/>
      <c r="J176" s="213"/>
      <c r="K176" s="212">
        <f t="shared" si="22"/>
        <v>0</v>
      </c>
      <c r="L176" s="272">
        <f t="shared" si="23"/>
        <v>1900</v>
      </c>
      <c r="M176" s="272">
        <f t="shared" si="24"/>
        <v>1</v>
      </c>
      <c r="N176" s="273"/>
      <c r="O176" s="61">
        <f t="shared" si="25"/>
        <v>1900</v>
      </c>
      <c r="P176" s="61">
        <f t="shared" si="26"/>
        <v>1</v>
      </c>
      <c r="R176" s="272"/>
      <c r="S176" s="272"/>
      <c r="T176" s="278" t="str">
        <f t="shared" si="27"/>
        <v>-</v>
      </c>
    </row>
    <row r="177" spans="1:20">
      <c r="A177" s="269"/>
      <c r="B177" s="57"/>
      <c r="C177" s="176"/>
      <c r="D177" s="176"/>
      <c r="E177" s="176"/>
      <c r="F177" s="177"/>
      <c r="G177" s="274"/>
      <c r="H177" s="271"/>
      <c r="I177" s="213"/>
      <c r="J177" s="213"/>
      <c r="K177" s="212">
        <f t="shared" si="22"/>
        <v>0</v>
      </c>
      <c r="L177" s="272">
        <f t="shared" si="23"/>
        <v>1900</v>
      </c>
      <c r="M177" s="272">
        <f t="shared" si="24"/>
        <v>1</v>
      </c>
      <c r="N177" s="273"/>
      <c r="O177" s="61">
        <f t="shared" si="25"/>
        <v>1900</v>
      </c>
      <c r="P177" s="61">
        <f t="shared" si="26"/>
        <v>1</v>
      </c>
      <c r="R177" s="272"/>
      <c r="S177" s="272"/>
      <c r="T177" s="278" t="str">
        <f t="shared" si="27"/>
        <v>-</v>
      </c>
    </row>
    <row r="178" spans="1:20">
      <c r="A178" s="269"/>
      <c r="B178" s="57"/>
      <c r="C178" s="176"/>
      <c r="D178" s="176"/>
      <c r="E178" s="176"/>
      <c r="F178" s="177"/>
      <c r="G178" s="274"/>
      <c r="H178" s="271"/>
      <c r="I178" s="213"/>
      <c r="J178" s="213"/>
      <c r="K178" s="212">
        <f t="shared" si="22"/>
        <v>0</v>
      </c>
      <c r="L178" s="272">
        <f t="shared" si="23"/>
        <v>1900</v>
      </c>
      <c r="M178" s="272">
        <f t="shared" si="24"/>
        <v>1</v>
      </c>
      <c r="N178" s="273"/>
      <c r="O178" s="61">
        <f t="shared" si="25"/>
        <v>1900</v>
      </c>
      <c r="P178" s="61">
        <f t="shared" si="26"/>
        <v>1</v>
      </c>
      <c r="R178" s="272"/>
      <c r="S178" s="272"/>
      <c r="T178" s="278" t="str">
        <f t="shared" si="27"/>
        <v>-</v>
      </c>
    </row>
    <row r="179" spans="1:20">
      <c r="A179" s="269"/>
      <c r="B179" s="57"/>
      <c r="C179" s="176"/>
      <c r="D179" s="176"/>
      <c r="E179" s="176"/>
      <c r="F179" s="177"/>
      <c r="G179" s="274"/>
      <c r="H179" s="271"/>
      <c r="I179" s="213"/>
      <c r="J179" s="213"/>
      <c r="K179" s="212">
        <f t="shared" si="22"/>
        <v>0</v>
      </c>
      <c r="L179" s="272">
        <f t="shared" si="23"/>
        <v>1900</v>
      </c>
      <c r="M179" s="272">
        <f t="shared" si="24"/>
        <v>1</v>
      </c>
      <c r="N179" s="273"/>
      <c r="O179" s="61">
        <f t="shared" si="25"/>
        <v>1900</v>
      </c>
      <c r="P179" s="61">
        <f t="shared" si="26"/>
        <v>1</v>
      </c>
      <c r="R179" s="272"/>
      <c r="S179" s="272"/>
      <c r="T179" s="278" t="str">
        <f t="shared" si="27"/>
        <v>-</v>
      </c>
    </row>
    <row r="180" spans="1:20">
      <c r="A180" s="269"/>
      <c r="B180" s="57"/>
      <c r="C180" s="176"/>
      <c r="D180" s="176"/>
      <c r="E180" s="176"/>
      <c r="F180" s="177"/>
      <c r="G180" s="274"/>
      <c r="H180" s="271"/>
      <c r="I180" s="213"/>
      <c r="J180" s="213"/>
      <c r="K180" s="212">
        <f t="shared" si="22"/>
        <v>0</v>
      </c>
      <c r="L180" s="272">
        <f t="shared" si="23"/>
        <v>1900</v>
      </c>
      <c r="M180" s="272">
        <f t="shared" si="24"/>
        <v>1</v>
      </c>
      <c r="N180" s="273"/>
      <c r="O180" s="61">
        <f t="shared" si="25"/>
        <v>1900</v>
      </c>
      <c r="P180" s="61">
        <f t="shared" si="26"/>
        <v>1</v>
      </c>
      <c r="R180" s="272"/>
      <c r="S180" s="272"/>
      <c r="T180" s="278" t="str">
        <f t="shared" si="27"/>
        <v>-</v>
      </c>
    </row>
    <row r="181" spans="1:20">
      <c r="A181" s="269"/>
      <c r="B181" s="57"/>
      <c r="C181" s="176"/>
      <c r="D181" s="176"/>
      <c r="E181" s="176"/>
      <c r="F181" s="177"/>
      <c r="G181" s="274"/>
      <c r="H181" s="271"/>
      <c r="I181" s="213"/>
      <c r="J181" s="213"/>
      <c r="K181" s="212">
        <f t="shared" si="22"/>
        <v>0</v>
      </c>
      <c r="L181" s="272">
        <f t="shared" si="23"/>
        <v>1900</v>
      </c>
      <c r="M181" s="272">
        <f t="shared" si="24"/>
        <v>1</v>
      </c>
      <c r="N181" s="273"/>
      <c r="O181" s="61">
        <f t="shared" si="25"/>
        <v>1900</v>
      </c>
      <c r="P181" s="61">
        <f t="shared" si="26"/>
        <v>1</v>
      </c>
      <c r="R181" s="272"/>
      <c r="S181" s="272"/>
      <c r="T181" s="278" t="str">
        <f t="shared" si="27"/>
        <v>-</v>
      </c>
    </row>
    <row r="182" spans="1:20">
      <c r="A182" s="269"/>
      <c r="B182" s="57"/>
      <c r="C182" s="176"/>
      <c r="D182" s="176"/>
      <c r="E182" s="176"/>
      <c r="F182" s="177"/>
      <c r="G182" s="274"/>
      <c r="H182" s="271"/>
      <c r="I182" s="213"/>
      <c r="J182" s="213"/>
      <c r="K182" s="212">
        <f t="shared" si="22"/>
        <v>0</v>
      </c>
      <c r="L182" s="272">
        <f t="shared" si="23"/>
        <v>1900</v>
      </c>
      <c r="M182" s="272">
        <f t="shared" si="24"/>
        <v>1</v>
      </c>
      <c r="N182" s="273"/>
      <c r="O182" s="61">
        <f t="shared" si="25"/>
        <v>1900</v>
      </c>
      <c r="P182" s="61">
        <f t="shared" si="26"/>
        <v>1</v>
      </c>
      <c r="R182" s="272"/>
      <c r="S182" s="272"/>
      <c r="T182" s="278" t="str">
        <f t="shared" si="27"/>
        <v>-</v>
      </c>
    </row>
    <row r="183" spans="1:20">
      <c r="A183" s="269"/>
      <c r="B183" s="57"/>
      <c r="C183" s="176"/>
      <c r="D183" s="176"/>
      <c r="E183" s="176"/>
      <c r="F183" s="177"/>
      <c r="G183" s="274"/>
      <c r="H183" s="271"/>
      <c r="I183" s="213"/>
      <c r="J183" s="213"/>
      <c r="K183" s="212">
        <f t="shared" si="22"/>
        <v>0</v>
      </c>
      <c r="L183" s="272">
        <f t="shared" si="23"/>
        <v>1900</v>
      </c>
      <c r="M183" s="272">
        <f t="shared" si="24"/>
        <v>1</v>
      </c>
      <c r="N183" s="273"/>
      <c r="O183" s="61">
        <f t="shared" si="25"/>
        <v>1900</v>
      </c>
      <c r="P183" s="61">
        <f t="shared" si="26"/>
        <v>1</v>
      </c>
      <c r="R183" s="272"/>
      <c r="S183" s="272"/>
      <c r="T183" s="278" t="str">
        <f t="shared" si="27"/>
        <v>-</v>
      </c>
    </row>
    <row r="184" spans="1:20">
      <c r="A184" s="269"/>
      <c r="B184" s="57"/>
      <c r="C184" s="176"/>
      <c r="D184" s="176"/>
      <c r="E184" s="176"/>
      <c r="F184" s="177"/>
      <c r="G184" s="274"/>
      <c r="H184" s="271"/>
      <c r="I184" s="213"/>
      <c r="J184" s="213"/>
      <c r="K184" s="212">
        <f t="shared" si="22"/>
        <v>0</v>
      </c>
      <c r="L184" s="272">
        <f t="shared" si="23"/>
        <v>1900</v>
      </c>
      <c r="M184" s="272">
        <f t="shared" si="24"/>
        <v>1</v>
      </c>
      <c r="N184" s="273"/>
      <c r="O184" s="61">
        <f t="shared" si="25"/>
        <v>1900</v>
      </c>
      <c r="P184" s="61">
        <f t="shared" si="26"/>
        <v>1</v>
      </c>
      <c r="R184" s="272"/>
      <c r="S184" s="272"/>
      <c r="T184" s="278" t="str">
        <f t="shared" si="27"/>
        <v>-</v>
      </c>
    </row>
    <row r="185" spans="1:20">
      <c r="A185" s="269"/>
      <c r="B185" s="57"/>
      <c r="C185" s="176"/>
      <c r="D185" s="176"/>
      <c r="E185" s="176"/>
      <c r="F185" s="177"/>
      <c r="G185" s="274"/>
      <c r="H185" s="271"/>
      <c r="I185" s="213"/>
      <c r="J185" s="213"/>
      <c r="K185" s="212">
        <f t="shared" si="22"/>
        <v>0</v>
      </c>
      <c r="L185" s="272">
        <f t="shared" si="23"/>
        <v>1900</v>
      </c>
      <c r="M185" s="272">
        <f t="shared" si="24"/>
        <v>1</v>
      </c>
      <c r="N185" s="273"/>
      <c r="O185" s="61">
        <f t="shared" si="25"/>
        <v>1900</v>
      </c>
      <c r="P185" s="61">
        <f t="shared" si="26"/>
        <v>1</v>
      </c>
      <c r="R185" s="272"/>
      <c r="S185" s="272"/>
      <c r="T185" s="278" t="str">
        <f t="shared" si="27"/>
        <v>-</v>
      </c>
    </row>
    <row r="186" spans="1:20">
      <c r="A186" s="269"/>
      <c r="B186" s="57"/>
      <c r="C186" s="176"/>
      <c r="D186" s="176"/>
      <c r="E186" s="176"/>
      <c r="F186" s="177"/>
      <c r="G186" s="274"/>
      <c r="H186" s="271"/>
      <c r="I186" s="213"/>
      <c r="J186" s="213"/>
      <c r="K186" s="212">
        <f t="shared" si="22"/>
        <v>0</v>
      </c>
      <c r="L186" s="272">
        <f t="shared" si="23"/>
        <v>1900</v>
      </c>
      <c r="M186" s="272">
        <f t="shared" si="24"/>
        <v>1</v>
      </c>
      <c r="N186" s="273"/>
      <c r="O186" s="61">
        <f t="shared" si="25"/>
        <v>1900</v>
      </c>
      <c r="P186" s="61">
        <f t="shared" si="26"/>
        <v>1</v>
      </c>
      <c r="R186" s="272"/>
      <c r="S186" s="272"/>
      <c r="T186" s="278" t="str">
        <f t="shared" si="27"/>
        <v>-</v>
      </c>
    </row>
    <row r="187" spans="1:20">
      <c r="A187" s="269"/>
      <c r="B187" s="57"/>
      <c r="C187" s="176"/>
      <c r="D187" s="176"/>
      <c r="E187" s="176"/>
      <c r="F187" s="177"/>
      <c r="G187" s="274"/>
      <c r="H187" s="271"/>
      <c r="I187" s="213"/>
      <c r="J187" s="213"/>
      <c r="K187" s="212">
        <f t="shared" si="22"/>
        <v>0</v>
      </c>
      <c r="L187" s="272">
        <f t="shared" si="23"/>
        <v>1900</v>
      </c>
      <c r="M187" s="272">
        <f t="shared" si="24"/>
        <v>1</v>
      </c>
      <c r="N187" s="273"/>
      <c r="O187" s="61">
        <f t="shared" si="25"/>
        <v>1900</v>
      </c>
      <c r="P187" s="61">
        <f t="shared" si="26"/>
        <v>1</v>
      </c>
      <c r="R187" s="272"/>
      <c r="S187" s="272"/>
      <c r="T187" s="278" t="str">
        <f t="shared" si="27"/>
        <v>-</v>
      </c>
    </row>
    <row r="188" spans="1:20">
      <c r="A188" s="269"/>
      <c r="B188" s="53"/>
      <c r="C188" s="175"/>
      <c r="D188" s="176"/>
      <c r="E188" s="175"/>
      <c r="F188" s="177"/>
      <c r="G188" s="271"/>
      <c r="H188" s="271"/>
      <c r="I188" s="213"/>
      <c r="J188" s="213"/>
      <c r="K188" s="212">
        <f t="shared" si="22"/>
        <v>0</v>
      </c>
      <c r="L188" s="272">
        <f t="shared" si="23"/>
        <v>1900</v>
      </c>
      <c r="M188" s="272">
        <f t="shared" si="24"/>
        <v>1</v>
      </c>
      <c r="N188" s="273"/>
      <c r="O188" s="61">
        <f t="shared" si="25"/>
        <v>1900</v>
      </c>
      <c r="P188" s="61">
        <f t="shared" si="26"/>
        <v>1</v>
      </c>
      <c r="R188" s="272"/>
      <c r="S188" s="272"/>
      <c r="T188" s="278" t="str">
        <f t="shared" si="27"/>
        <v>-</v>
      </c>
    </row>
    <row r="189" spans="1:20">
      <c r="A189" s="269"/>
      <c r="B189" s="53"/>
      <c r="C189" s="175"/>
      <c r="D189" s="176"/>
      <c r="E189" s="175"/>
      <c r="F189" s="177"/>
      <c r="G189" s="271"/>
      <c r="H189" s="271"/>
      <c r="I189" s="213"/>
      <c r="J189" s="213"/>
      <c r="K189" s="212">
        <f t="shared" si="22"/>
        <v>0</v>
      </c>
      <c r="L189" s="272">
        <f t="shared" si="23"/>
        <v>1900</v>
      </c>
      <c r="M189" s="272">
        <f t="shared" si="24"/>
        <v>1</v>
      </c>
      <c r="N189" s="273"/>
      <c r="O189" s="61">
        <f t="shared" si="25"/>
        <v>1900</v>
      </c>
      <c r="P189" s="61">
        <f t="shared" si="26"/>
        <v>1</v>
      </c>
      <c r="R189" s="272"/>
      <c r="S189" s="272"/>
      <c r="T189" s="278" t="str">
        <f t="shared" si="27"/>
        <v>-</v>
      </c>
    </row>
    <row r="190" spans="1:20">
      <c r="A190" s="269"/>
      <c r="B190" s="53"/>
      <c r="C190" s="175"/>
      <c r="D190" s="176"/>
      <c r="E190" s="175"/>
      <c r="F190" s="177"/>
      <c r="G190" s="271"/>
      <c r="H190" s="271"/>
      <c r="I190" s="213"/>
      <c r="J190" s="213"/>
      <c r="K190" s="212">
        <f t="shared" si="22"/>
        <v>0</v>
      </c>
      <c r="L190" s="272">
        <f t="shared" si="23"/>
        <v>1900</v>
      </c>
      <c r="M190" s="272">
        <f t="shared" si="24"/>
        <v>1</v>
      </c>
      <c r="N190" s="273"/>
      <c r="O190" s="61">
        <f t="shared" si="25"/>
        <v>1900</v>
      </c>
      <c r="P190" s="61">
        <f t="shared" si="26"/>
        <v>1</v>
      </c>
      <c r="R190" s="272"/>
      <c r="S190" s="272"/>
      <c r="T190" s="278" t="str">
        <f t="shared" si="27"/>
        <v>-</v>
      </c>
    </row>
    <row r="191" spans="1:20">
      <c r="A191" s="269"/>
      <c r="B191" s="53"/>
      <c r="C191" s="175"/>
      <c r="D191" s="176"/>
      <c r="E191" s="175"/>
      <c r="F191" s="177"/>
      <c r="G191" s="271"/>
      <c r="H191" s="271"/>
      <c r="I191" s="213"/>
      <c r="J191" s="213"/>
      <c r="K191" s="212">
        <f t="shared" si="22"/>
        <v>0</v>
      </c>
      <c r="L191" s="272">
        <f t="shared" si="23"/>
        <v>1900</v>
      </c>
      <c r="M191" s="272">
        <f t="shared" si="24"/>
        <v>1</v>
      </c>
      <c r="N191" s="273"/>
      <c r="O191" s="61">
        <f t="shared" si="25"/>
        <v>1900</v>
      </c>
      <c r="P191" s="61">
        <f t="shared" si="26"/>
        <v>1</v>
      </c>
      <c r="R191" s="272"/>
      <c r="S191" s="272"/>
      <c r="T191" s="278" t="str">
        <f t="shared" si="27"/>
        <v>-</v>
      </c>
    </row>
    <row r="192" spans="1:20">
      <c r="A192" s="269"/>
      <c r="B192" s="53"/>
      <c r="C192" s="175"/>
      <c r="D192" s="176"/>
      <c r="E192" s="175"/>
      <c r="F192" s="177"/>
      <c r="G192" s="271"/>
      <c r="H192" s="271"/>
      <c r="I192" s="213"/>
      <c r="J192" s="213"/>
      <c r="K192" s="212">
        <f t="shared" si="22"/>
        <v>0</v>
      </c>
      <c r="L192" s="272">
        <f t="shared" si="23"/>
        <v>1900</v>
      </c>
      <c r="M192" s="272">
        <f t="shared" si="24"/>
        <v>1</v>
      </c>
      <c r="N192" s="273"/>
      <c r="O192" s="61">
        <f t="shared" si="25"/>
        <v>1900</v>
      </c>
      <c r="P192" s="61">
        <f t="shared" si="26"/>
        <v>1</v>
      </c>
      <c r="R192" s="272"/>
      <c r="S192" s="272"/>
      <c r="T192" s="278" t="str">
        <f t="shared" si="27"/>
        <v>-</v>
      </c>
    </row>
    <row r="193" spans="1:20">
      <c r="A193" s="269"/>
      <c r="B193" s="53"/>
      <c r="C193" s="175"/>
      <c r="D193" s="176"/>
      <c r="E193" s="175"/>
      <c r="F193" s="177"/>
      <c r="G193" s="271"/>
      <c r="H193" s="271"/>
      <c r="I193" s="213"/>
      <c r="J193" s="213"/>
      <c r="K193" s="212">
        <f t="shared" si="22"/>
        <v>0</v>
      </c>
      <c r="L193" s="272">
        <f t="shared" si="23"/>
        <v>1900</v>
      </c>
      <c r="M193" s="272">
        <f t="shared" si="24"/>
        <v>1</v>
      </c>
      <c r="N193" s="273"/>
      <c r="O193" s="61">
        <f t="shared" si="25"/>
        <v>1900</v>
      </c>
      <c r="P193" s="61">
        <f t="shared" si="26"/>
        <v>1</v>
      </c>
      <c r="R193" s="272"/>
      <c r="S193" s="272"/>
      <c r="T193" s="278" t="str">
        <f t="shared" si="27"/>
        <v>-</v>
      </c>
    </row>
    <row r="194" spans="1:20">
      <c r="A194" s="269"/>
      <c r="B194" s="53"/>
      <c r="C194" s="175"/>
      <c r="D194" s="176"/>
      <c r="E194" s="175"/>
      <c r="F194" s="177"/>
      <c r="G194" s="271"/>
      <c r="H194" s="271"/>
      <c r="I194" s="213"/>
      <c r="J194" s="213"/>
      <c r="K194" s="212">
        <f t="shared" si="22"/>
        <v>0</v>
      </c>
      <c r="L194" s="272">
        <f t="shared" si="23"/>
        <v>1900</v>
      </c>
      <c r="M194" s="272">
        <f t="shared" si="24"/>
        <v>1</v>
      </c>
      <c r="N194" s="273"/>
      <c r="O194" s="61">
        <f t="shared" si="25"/>
        <v>1900</v>
      </c>
      <c r="P194" s="61">
        <f t="shared" si="26"/>
        <v>1</v>
      </c>
      <c r="R194" s="272"/>
      <c r="S194" s="272"/>
      <c r="T194" s="278" t="str">
        <f t="shared" si="27"/>
        <v>-</v>
      </c>
    </row>
    <row r="195" spans="1:20">
      <c r="A195" s="269"/>
      <c r="B195" s="53"/>
      <c r="C195" s="175"/>
      <c r="D195" s="176"/>
      <c r="E195" s="175"/>
      <c r="F195" s="177"/>
      <c r="G195" s="271"/>
      <c r="H195" s="271"/>
      <c r="I195" s="213"/>
      <c r="J195" s="213"/>
      <c r="K195" s="212">
        <f t="shared" si="22"/>
        <v>0</v>
      </c>
      <c r="L195" s="272">
        <f t="shared" si="23"/>
        <v>1900</v>
      </c>
      <c r="M195" s="272">
        <f t="shared" si="24"/>
        <v>1</v>
      </c>
      <c r="N195" s="273"/>
      <c r="O195" s="61">
        <f t="shared" si="25"/>
        <v>1900</v>
      </c>
      <c r="P195" s="61">
        <f t="shared" si="26"/>
        <v>1</v>
      </c>
      <c r="R195" s="272"/>
      <c r="S195" s="272"/>
      <c r="T195" s="278" t="str">
        <f t="shared" si="27"/>
        <v>-</v>
      </c>
    </row>
    <row r="196" spans="1:20">
      <c r="A196" s="269"/>
      <c r="B196" s="53"/>
      <c r="C196" s="175"/>
      <c r="D196" s="176"/>
      <c r="E196" s="175"/>
      <c r="F196" s="177"/>
      <c r="G196" s="271"/>
      <c r="H196" s="271"/>
      <c r="I196" s="213"/>
      <c r="J196" s="213"/>
      <c r="K196" s="212">
        <f t="shared" si="22"/>
        <v>0</v>
      </c>
      <c r="L196" s="272">
        <f t="shared" si="23"/>
        <v>1900</v>
      </c>
      <c r="M196" s="272">
        <f t="shared" si="24"/>
        <v>1</v>
      </c>
      <c r="N196" s="273"/>
      <c r="O196" s="61">
        <f t="shared" si="25"/>
        <v>1900</v>
      </c>
      <c r="P196" s="61">
        <f t="shared" si="26"/>
        <v>1</v>
      </c>
      <c r="R196" s="272"/>
      <c r="S196" s="272"/>
      <c r="T196" s="278" t="str">
        <f t="shared" si="27"/>
        <v>-</v>
      </c>
    </row>
    <row r="197" spans="1:20">
      <c r="A197" s="269"/>
      <c r="B197" s="53"/>
      <c r="C197" s="175"/>
      <c r="D197" s="176"/>
      <c r="E197" s="175"/>
      <c r="F197" s="177"/>
      <c r="G197" s="271"/>
      <c r="H197" s="271"/>
      <c r="I197" s="213"/>
      <c r="J197" s="213"/>
      <c r="K197" s="212">
        <f t="shared" si="22"/>
        <v>0</v>
      </c>
      <c r="L197" s="272">
        <f t="shared" si="23"/>
        <v>1900</v>
      </c>
      <c r="M197" s="272">
        <f t="shared" si="24"/>
        <v>1</v>
      </c>
      <c r="N197" s="273"/>
      <c r="O197" s="61">
        <f t="shared" si="25"/>
        <v>1900</v>
      </c>
      <c r="P197" s="61">
        <f t="shared" si="26"/>
        <v>1</v>
      </c>
      <c r="R197" s="272"/>
      <c r="S197" s="272"/>
      <c r="T197" s="278" t="str">
        <f t="shared" si="27"/>
        <v>-</v>
      </c>
    </row>
    <row r="198" spans="1:20">
      <c r="A198" s="269"/>
      <c r="B198" s="53"/>
      <c r="C198" s="175"/>
      <c r="D198" s="176"/>
      <c r="E198" s="175"/>
      <c r="F198" s="177"/>
      <c r="G198" s="271"/>
      <c r="H198" s="271"/>
      <c r="I198" s="213"/>
      <c r="J198" s="213"/>
      <c r="K198" s="212">
        <f t="shared" si="22"/>
        <v>0</v>
      </c>
      <c r="L198" s="272">
        <f t="shared" si="23"/>
        <v>1900</v>
      </c>
      <c r="M198" s="272">
        <f t="shared" si="24"/>
        <v>1</v>
      </c>
      <c r="N198" s="273"/>
      <c r="O198" s="61">
        <f t="shared" si="25"/>
        <v>1900</v>
      </c>
      <c r="P198" s="61">
        <f t="shared" si="26"/>
        <v>1</v>
      </c>
      <c r="R198" s="272"/>
      <c r="S198" s="272"/>
      <c r="T198" s="278" t="str">
        <f t="shared" si="27"/>
        <v>-</v>
      </c>
    </row>
    <row r="199" spans="1:20">
      <c r="A199" s="269"/>
      <c r="B199" s="53"/>
      <c r="C199" s="175"/>
      <c r="D199" s="176"/>
      <c r="E199" s="175"/>
      <c r="F199" s="177"/>
      <c r="G199" s="271"/>
      <c r="H199" s="271"/>
      <c r="I199" s="213"/>
      <c r="J199" s="213"/>
      <c r="K199" s="212">
        <f t="shared" si="22"/>
        <v>0</v>
      </c>
      <c r="L199" s="272">
        <f t="shared" si="23"/>
        <v>1900</v>
      </c>
      <c r="M199" s="272">
        <f t="shared" si="24"/>
        <v>1</v>
      </c>
      <c r="N199" s="273"/>
      <c r="O199" s="61">
        <f t="shared" si="25"/>
        <v>1900</v>
      </c>
      <c r="P199" s="61">
        <f t="shared" si="26"/>
        <v>1</v>
      </c>
      <c r="R199" s="272"/>
      <c r="S199" s="272"/>
      <c r="T199" s="278" t="str">
        <f t="shared" si="27"/>
        <v>-</v>
      </c>
    </row>
    <row r="200" spans="1:20">
      <c r="A200" s="269"/>
      <c r="B200" s="53"/>
      <c r="C200" s="175"/>
      <c r="D200" s="176"/>
      <c r="E200" s="175"/>
      <c r="F200" s="177"/>
      <c r="G200" s="271"/>
      <c r="H200" s="271"/>
      <c r="I200" s="213"/>
      <c r="J200" s="213"/>
      <c r="K200" s="212">
        <f t="shared" si="22"/>
        <v>0</v>
      </c>
      <c r="L200" s="272">
        <f t="shared" si="23"/>
        <v>1900</v>
      </c>
      <c r="M200" s="272">
        <f t="shared" si="24"/>
        <v>1</v>
      </c>
      <c r="N200" s="273"/>
      <c r="O200" s="61">
        <f t="shared" si="25"/>
        <v>1900</v>
      </c>
      <c r="P200" s="61">
        <f t="shared" si="26"/>
        <v>1</v>
      </c>
      <c r="R200" s="272"/>
      <c r="S200" s="272"/>
      <c r="T200" s="278" t="str">
        <f t="shared" si="27"/>
        <v>-</v>
      </c>
    </row>
    <row r="201" spans="1:20">
      <c r="A201" s="269"/>
      <c r="B201" s="53"/>
      <c r="C201" s="175"/>
      <c r="D201" s="176"/>
      <c r="E201" s="175"/>
      <c r="F201" s="177"/>
      <c r="G201" s="271"/>
      <c r="H201" s="271"/>
      <c r="I201" s="213"/>
      <c r="J201" s="213"/>
      <c r="K201" s="212">
        <f t="shared" si="22"/>
        <v>0</v>
      </c>
      <c r="L201" s="272">
        <f t="shared" si="23"/>
        <v>1900</v>
      </c>
      <c r="M201" s="272">
        <f t="shared" si="24"/>
        <v>1</v>
      </c>
      <c r="N201" s="273"/>
      <c r="O201" s="61">
        <f t="shared" si="25"/>
        <v>1900</v>
      </c>
      <c r="P201" s="61">
        <f t="shared" si="26"/>
        <v>1</v>
      </c>
      <c r="R201" s="272"/>
      <c r="S201" s="272"/>
      <c r="T201" s="278" t="str">
        <f t="shared" si="27"/>
        <v>-</v>
      </c>
    </row>
    <row r="202" spans="1:20">
      <c r="A202" s="269"/>
      <c r="B202" s="53"/>
      <c r="C202" s="175"/>
      <c r="D202" s="176"/>
      <c r="E202" s="175"/>
      <c r="F202" s="177"/>
      <c r="G202" s="271"/>
      <c r="H202" s="271"/>
      <c r="I202" s="213"/>
      <c r="J202" s="213"/>
      <c r="K202" s="212">
        <f t="shared" si="22"/>
        <v>0</v>
      </c>
      <c r="L202" s="272">
        <f t="shared" si="23"/>
        <v>1900</v>
      </c>
      <c r="M202" s="272">
        <f t="shared" si="24"/>
        <v>1</v>
      </c>
      <c r="N202" s="273"/>
      <c r="O202" s="61">
        <f t="shared" si="25"/>
        <v>1900</v>
      </c>
      <c r="P202" s="61">
        <f t="shared" si="26"/>
        <v>1</v>
      </c>
      <c r="R202" s="272"/>
      <c r="S202" s="272"/>
      <c r="T202" s="278" t="str">
        <f t="shared" si="27"/>
        <v>-</v>
      </c>
    </row>
    <row r="203" spans="1:20">
      <c r="A203" s="269"/>
      <c r="B203" s="53"/>
      <c r="C203" s="175"/>
      <c r="D203" s="176"/>
      <c r="E203" s="175"/>
      <c r="F203" s="177"/>
      <c r="G203" s="271"/>
      <c r="H203" s="271"/>
      <c r="I203" s="213"/>
      <c r="J203" s="213"/>
      <c r="K203" s="212">
        <f t="shared" si="22"/>
        <v>0</v>
      </c>
      <c r="L203" s="272">
        <f t="shared" si="23"/>
        <v>1900</v>
      </c>
      <c r="M203" s="272">
        <f t="shared" si="24"/>
        <v>1</v>
      </c>
      <c r="N203" s="273"/>
      <c r="O203" s="61">
        <f t="shared" si="25"/>
        <v>1900</v>
      </c>
      <c r="P203" s="61">
        <f t="shared" si="26"/>
        <v>1</v>
      </c>
      <c r="R203" s="272"/>
      <c r="S203" s="272"/>
      <c r="T203" s="278" t="str">
        <f t="shared" si="27"/>
        <v>-</v>
      </c>
    </row>
    <row r="204" spans="1:20">
      <c r="A204" s="269"/>
      <c r="B204" s="53"/>
      <c r="C204" s="175"/>
      <c r="D204" s="176"/>
      <c r="E204" s="175"/>
      <c r="F204" s="177"/>
      <c r="G204" s="271"/>
      <c r="H204" s="271"/>
      <c r="I204" s="213"/>
      <c r="J204" s="213"/>
      <c r="K204" s="212">
        <f t="shared" si="22"/>
        <v>0</v>
      </c>
      <c r="L204" s="272">
        <f t="shared" si="23"/>
        <v>1900</v>
      </c>
      <c r="M204" s="272">
        <f t="shared" si="24"/>
        <v>1</v>
      </c>
      <c r="N204" s="273"/>
      <c r="O204" s="61">
        <f t="shared" si="25"/>
        <v>1900</v>
      </c>
      <c r="P204" s="61">
        <f t="shared" si="26"/>
        <v>1</v>
      </c>
      <c r="R204" s="272"/>
      <c r="S204" s="272"/>
      <c r="T204" s="278" t="str">
        <f t="shared" si="27"/>
        <v>-</v>
      </c>
    </row>
    <row r="205" spans="1:20">
      <c r="A205" s="269"/>
      <c r="B205" s="53"/>
      <c r="C205" s="175"/>
      <c r="D205" s="176"/>
      <c r="E205" s="175"/>
      <c r="F205" s="177"/>
      <c r="G205" s="271"/>
      <c r="H205" s="271"/>
      <c r="I205" s="213"/>
      <c r="J205" s="213"/>
      <c r="K205" s="212">
        <f t="shared" si="22"/>
        <v>0</v>
      </c>
      <c r="L205" s="272">
        <f t="shared" si="23"/>
        <v>1900</v>
      </c>
      <c r="M205" s="272">
        <f t="shared" si="24"/>
        <v>1</v>
      </c>
      <c r="N205" s="273"/>
      <c r="O205" s="61">
        <f t="shared" si="25"/>
        <v>1900</v>
      </c>
      <c r="P205" s="61">
        <f t="shared" si="26"/>
        <v>1</v>
      </c>
      <c r="R205" s="272"/>
      <c r="S205" s="272"/>
      <c r="T205" s="278" t="str">
        <f t="shared" si="27"/>
        <v>-</v>
      </c>
    </row>
    <row r="206" spans="1:20">
      <c r="A206" s="269"/>
      <c r="B206" s="53"/>
      <c r="C206" s="175"/>
      <c r="D206" s="176"/>
      <c r="E206" s="175"/>
      <c r="F206" s="177"/>
      <c r="G206" s="271"/>
      <c r="H206" s="271"/>
      <c r="I206" s="213"/>
      <c r="J206" s="213"/>
      <c r="K206" s="212">
        <f t="shared" si="22"/>
        <v>0</v>
      </c>
      <c r="L206" s="272">
        <f t="shared" si="23"/>
        <v>1900</v>
      </c>
      <c r="M206" s="272">
        <f t="shared" si="24"/>
        <v>1</v>
      </c>
      <c r="N206" s="273"/>
      <c r="O206" s="61">
        <f t="shared" si="25"/>
        <v>1900</v>
      </c>
      <c r="P206" s="61">
        <f t="shared" si="26"/>
        <v>1</v>
      </c>
      <c r="R206" s="272"/>
      <c r="S206" s="272"/>
      <c r="T206" s="278" t="str">
        <f t="shared" si="27"/>
        <v>-</v>
      </c>
    </row>
    <row r="207" spans="1:20">
      <c r="A207" s="269"/>
      <c r="B207" s="53"/>
      <c r="C207" s="175"/>
      <c r="D207" s="176"/>
      <c r="E207" s="175"/>
      <c r="F207" s="177"/>
      <c r="G207" s="271"/>
      <c r="H207" s="271"/>
      <c r="I207" s="213"/>
      <c r="J207" s="213"/>
      <c r="K207" s="212">
        <f t="shared" ref="K207:K270" si="28">I207+H207+J207</f>
        <v>0</v>
      </c>
      <c r="L207" s="272">
        <f t="shared" si="23"/>
        <v>1900</v>
      </c>
      <c r="M207" s="272">
        <f t="shared" si="24"/>
        <v>1</v>
      </c>
      <c r="N207" s="273"/>
      <c r="O207" s="61">
        <f t="shared" si="25"/>
        <v>1900</v>
      </c>
      <c r="P207" s="61">
        <f t="shared" si="26"/>
        <v>1</v>
      </c>
      <c r="R207" s="272"/>
      <c r="S207" s="272"/>
      <c r="T207" s="278" t="str">
        <f t="shared" si="27"/>
        <v>-</v>
      </c>
    </row>
    <row r="208" spans="1:20">
      <c r="A208" s="269"/>
      <c r="B208" s="53"/>
      <c r="C208" s="175"/>
      <c r="D208" s="176"/>
      <c r="E208" s="175"/>
      <c r="F208" s="177"/>
      <c r="G208" s="271"/>
      <c r="H208" s="271"/>
      <c r="I208" s="213"/>
      <c r="J208" s="213"/>
      <c r="K208" s="212">
        <f t="shared" si="28"/>
        <v>0</v>
      </c>
      <c r="L208" s="272">
        <f t="shared" ref="L208:L271" si="29">YEAR(B208)</f>
        <v>1900</v>
      </c>
      <c r="M208" s="272">
        <f t="shared" ref="M208:M271" si="30">MONTH(B208)</f>
        <v>1</v>
      </c>
      <c r="N208" s="273"/>
      <c r="O208" s="61">
        <f t="shared" ref="O208:O271" si="31">YEAR(B208)</f>
        <v>1900</v>
      </c>
      <c r="P208" s="61">
        <f t="shared" ref="P208:P271" si="32">MONTH(B208)</f>
        <v>1</v>
      </c>
      <c r="R208" s="272"/>
      <c r="S208" s="272"/>
      <c r="T208" s="278" t="str">
        <f t="shared" ref="T208:T271" si="33">IF($E208&gt;0,IF((R208+S208)=$E208,"OK","Error"),"-")</f>
        <v>-</v>
      </c>
    </row>
    <row r="209" spans="1:20">
      <c r="A209" s="269"/>
      <c r="B209" s="53"/>
      <c r="C209" s="175"/>
      <c r="D209" s="176"/>
      <c r="E209" s="175"/>
      <c r="F209" s="177"/>
      <c r="G209" s="271"/>
      <c r="H209" s="271"/>
      <c r="I209" s="213"/>
      <c r="J209" s="213"/>
      <c r="K209" s="212">
        <f t="shared" si="28"/>
        <v>0</v>
      </c>
      <c r="L209" s="272">
        <f t="shared" si="29"/>
        <v>1900</v>
      </c>
      <c r="M209" s="272">
        <f t="shared" si="30"/>
        <v>1</v>
      </c>
      <c r="N209" s="273"/>
      <c r="O209" s="61">
        <f t="shared" si="31"/>
        <v>1900</v>
      </c>
      <c r="P209" s="61">
        <f t="shared" si="32"/>
        <v>1</v>
      </c>
      <c r="R209" s="272"/>
      <c r="S209" s="272"/>
      <c r="T209" s="278" t="str">
        <f t="shared" si="33"/>
        <v>-</v>
      </c>
    </row>
    <row r="210" spans="1:20">
      <c r="A210" s="269"/>
      <c r="B210" s="53"/>
      <c r="C210" s="175"/>
      <c r="D210" s="176"/>
      <c r="E210" s="175"/>
      <c r="F210" s="177"/>
      <c r="G210" s="271"/>
      <c r="H210" s="271"/>
      <c r="I210" s="213"/>
      <c r="J210" s="213"/>
      <c r="K210" s="212">
        <f t="shared" si="28"/>
        <v>0</v>
      </c>
      <c r="L210" s="272">
        <f t="shared" si="29"/>
        <v>1900</v>
      </c>
      <c r="M210" s="272">
        <f t="shared" si="30"/>
        <v>1</v>
      </c>
      <c r="N210" s="273"/>
      <c r="O210" s="61">
        <f t="shared" si="31"/>
        <v>1900</v>
      </c>
      <c r="P210" s="61">
        <f t="shared" si="32"/>
        <v>1</v>
      </c>
      <c r="R210" s="272"/>
      <c r="S210" s="272"/>
      <c r="T210" s="278" t="str">
        <f t="shared" si="33"/>
        <v>-</v>
      </c>
    </row>
    <row r="211" spans="1:20">
      <c r="A211" s="269"/>
      <c r="B211" s="53"/>
      <c r="C211" s="175"/>
      <c r="D211" s="176"/>
      <c r="E211" s="175"/>
      <c r="F211" s="177"/>
      <c r="G211" s="271"/>
      <c r="H211" s="271"/>
      <c r="I211" s="213"/>
      <c r="J211" s="213"/>
      <c r="K211" s="212">
        <f t="shared" si="28"/>
        <v>0</v>
      </c>
      <c r="L211" s="272">
        <f t="shared" si="29"/>
        <v>1900</v>
      </c>
      <c r="M211" s="272">
        <f t="shared" si="30"/>
        <v>1</v>
      </c>
      <c r="N211" s="273"/>
      <c r="O211" s="61">
        <f t="shared" si="31"/>
        <v>1900</v>
      </c>
      <c r="P211" s="61">
        <f t="shared" si="32"/>
        <v>1</v>
      </c>
      <c r="R211" s="272"/>
      <c r="S211" s="272"/>
      <c r="T211" s="278" t="str">
        <f t="shared" si="33"/>
        <v>-</v>
      </c>
    </row>
    <row r="212" spans="1:20">
      <c r="A212" s="269"/>
      <c r="B212" s="53"/>
      <c r="C212" s="175"/>
      <c r="D212" s="176"/>
      <c r="E212" s="175"/>
      <c r="F212" s="177"/>
      <c r="G212" s="271"/>
      <c r="H212" s="271"/>
      <c r="I212" s="213"/>
      <c r="J212" s="213"/>
      <c r="K212" s="212">
        <f t="shared" si="28"/>
        <v>0</v>
      </c>
      <c r="L212" s="272">
        <f t="shared" si="29"/>
        <v>1900</v>
      </c>
      <c r="M212" s="272">
        <f t="shared" si="30"/>
        <v>1</v>
      </c>
      <c r="N212" s="273"/>
      <c r="O212" s="61">
        <f t="shared" si="31"/>
        <v>1900</v>
      </c>
      <c r="P212" s="61">
        <f t="shared" si="32"/>
        <v>1</v>
      </c>
      <c r="R212" s="272"/>
      <c r="S212" s="272"/>
      <c r="T212" s="278" t="str">
        <f t="shared" si="33"/>
        <v>-</v>
      </c>
    </row>
    <row r="213" spans="1:20">
      <c r="A213" s="269"/>
      <c r="B213" s="53"/>
      <c r="C213" s="175"/>
      <c r="D213" s="176"/>
      <c r="E213" s="175"/>
      <c r="F213" s="177"/>
      <c r="G213" s="271"/>
      <c r="H213" s="271"/>
      <c r="I213" s="213"/>
      <c r="J213" s="213"/>
      <c r="K213" s="212">
        <f t="shared" si="28"/>
        <v>0</v>
      </c>
      <c r="L213" s="272">
        <f t="shared" si="29"/>
        <v>1900</v>
      </c>
      <c r="M213" s="272">
        <f t="shared" si="30"/>
        <v>1</v>
      </c>
      <c r="N213" s="273"/>
      <c r="O213" s="61">
        <f t="shared" si="31"/>
        <v>1900</v>
      </c>
      <c r="P213" s="61">
        <f t="shared" si="32"/>
        <v>1</v>
      </c>
      <c r="R213" s="272"/>
      <c r="S213" s="272"/>
      <c r="T213" s="278" t="str">
        <f t="shared" si="33"/>
        <v>-</v>
      </c>
    </row>
    <row r="214" spans="1:20">
      <c r="A214" s="269"/>
      <c r="B214" s="53"/>
      <c r="C214" s="175"/>
      <c r="D214" s="176"/>
      <c r="E214" s="175"/>
      <c r="F214" s="177"/>
      <c r="G214" s="271"/>
      <c r="H214" s="271"/>
      <c r="I214" s="213"/>
      <c r="J214" s="213"/>
      <c r="K214" s="212">
        <f t="shared" si="28"/>
        <v>0</v>
      </c>
      <c r="L214" s="272">
        <f t="shared" si="29"/>
        <v>1900</v>
      </c>
      <c r="M214" s="272">
        <f t="shared" si="30"/>
        <v>1</v>
      </c>
      <c r="N214" s="273"/>
      <c r="O214" s="61">
        <f t="shared" si="31"/>
        <v>1900</v>
      </c>
      <c r="P214" s="61">
        <f t="shared" si="32"/>
        <v>1</v>
      </c>
      <c r="R214" s="272"/>
      <c r="S214" s="272"/>
      <c r="T214" s="278" t="str">
        <f t="shared" si="33"/>
        <v>-</v>
      </c>
    </row>
    <row r="215" spans="1:20">
      <c r="A215" s="269"/>
      <c r="B215" s="53"/>
      <c r="C215" s="175"/>
      <c r="D215" s="176"/>
      <c r="E215" s="175"/>
      <c r="F215" s="177"/>
      <c r="G215" s="271"/>
      <c r="H215" s="271"/>
      <c r="I215" s="213"/>
      <c r="J215" s="213"/>
      <c r="K215" s="212">
        <f t="shared" si="28"/>
        <v>0</v>
      </c>
      <c r="L215" s="272">
        <f t="shared" si="29"/>
        <v>1900</v>
      </c>
      <c r="M215" s="272">
        <f t="shared" si="30"/>
        <v>1</v>
      </c>
      <c r="N215" s="273"/>
      <c r="O215" s="61">
        <f t="shared" si="31"/>
        <v>1900</v>
      </c>
      <c r="P215" s="61">
        <f t="shared" si="32"/>
        <v>1</v>
      </c>
      <c r="R215" s="272"/>
      <c r="S215" s="272"/>
      <c r="T215" s="278" t="str">
        <f t="shared" si="33"/>
        <v>-</v>
      </c>
    </row>
    <row r="216" spans="1:20">
      <c r="A216" s="269"/>
      <c r="B216" s="53"/>
      <c r="C216" s="175"/>
      <c r="D216" s="176"/>
      <c r="E216" s="175"/>
      <c r="F216" s="177"/>
      <c r="G216" s="271"/>
      <c r="H216" s="271"/>
      <c r="I216" s="213"/>
      <c r="J216" s="213"/>
      <c r="K216" s="212">
        <f t="shared" si="28"/>
        <v>0</v>
      </c>
      <c r="L216" s="272">
        <f t="shared" si="29"/>
        <v>1900</v>
      </c>
      <c r="M216" s="272">
        <f t="shared" si="30"/>
        <v>1</v>
      </c>
      <c r="N216" s="273"/>
      <c r="O216" s="61">
        <f t="shared" si="31"/>
        <v>1900</v>
      </c>
      <c r="P216" s="61">
        <f t="shared" si="32"/>
        <v>1</v>
      </c>
      <c r="R216" s="272"/>
      <c r="S216" s="272"/>
      <c r="T216" s="278" t="str">
        <f t="shared" si="33"/>
        <v>-</v>
      </c>
    </row>
    <row r="217" spans="1:20">
      <c r="A217" s="269"/>
      <c r="B217" s="53"/>
      <c r="C217" s="175"/>
      <c r="D217" s="176"/>
      <c r="E217" s="175"/>
      <c r="F217" s="177"/>
      <c r="G217" s="271"/>
      <c r="H217" s="271"/>
      <c r="I217" s="213"/>
      <c r="J217" s="213"/>
      <c r="K217" s="212">
        <f t="shared" si="28"/>
        <v>0</v>
      </c>
      <c r="L217" s="272">
        <f t="shared" si="29"/>
        <v>1900</v>
      </c>
      <c r="M217" s="272">
        <f t="shared" si="30"/>
        <v>1</v>
      </c>
      <c r="N217" s="273"/>
      <c r="O217" s="61">
        <f t="shared" si="31"/>
        <v>1900</v>
      </c>
      <c r="P217" s="61">
        <f t="shared" si="32"/>
        <v>1</v>
      </c>
      <c r="R217" s="272"/>
      <c r="S217" s="272"/>
      <c r="T217" s="278" t="str">
        <f t="shared" si="33"/>
        <v>-</v>
      </c>
    </row>
    <row r="218" spans="1:20">
      <c r="A218" s="269"/>
      <c r="B218" s="53"/>
      <c r="C218" s="175"/>
      <c r="D218" s="176"/>
      <c r="E218" s="175"/>
      <c r="F218" s="177"/>
      <c r="G218" s="271"/>
      <c r="H218" s="271"/>
      <c r="I218" s="213"/>
      <c r="J218" s="213"/>
      <c r="K218" s="212">
        <f t="shared" si="28"/>
        <v>0</v>
      </c>
      <c r="L218" s="272">
        <f t="shared" si="29"/>
        <v>1900</v>
      </c>
      <c r="M218" s="272">
        <f t="shared" si="30"/>
        <v>1</v>
      </c>
      <c r="N218" s="273"/>
      <c r="O218" s="61">
        <f t="shared" si="31"/>
        <v>1900</v>
      </c>
      <c r="P218" s="61">
        <f t="shared" si="32"/>
        <v>1</v>
      </c>
      <c r="R218" s="272"/>
      <c r="S218" s="272"/>
      <c r="T218" s="278" t="str">
        <f t="shared" si="33"/>
        <v>-</v>
      </c>
    </row>
    <row r="219" spans="1:20">
      <c r="A219" s="269"/>
      <c r="B219" s="53"/>
      <c r="C219" s="175"/>
      <c r="D219" s="176"/>
      <c r="E219" s="175"/>
      <c r="F219" s="177"/>
      <c r="G219" s="271"/>
      <c r="H219" s="271"/>
      <c r="I219" s="213"/>
      <c r="J219" s="213"/>
      <c r="K219" s="212">
        <f t="shared" si="28"/>
        <v>0</v>
      </c>
      <c r="L219" s="272">
        <f t="shared" si="29"/>
        <v>1900</v>
      </c>
      <c r="M219" s="272">
        <f t="shared" si="30"/>
        <v>1</v>
      </c>
      <c r="N219" s="273"/>
      <c r="O219" s="61">
        <f t="shared" si="31"/>
        <v>1900</v>
      </c>
      <c r="P219" s="61">
        <f t="shared" si="32"/>
        <v>1</v>
      </c>
      <c r="R219" s="272"/>
      <c r="S219" s="272"/>
      <c r="T219" s="278" t="str">
        <f t="shared" si="33"/>
        <v>-</v>
      </c>
    </row>
    <row r="220" spans="1:20">
      <c r="A220" s="269"/>
      <c r="B220" s="53"/>
      <c r="C220" s="175"/>
      <c r="D220" s="176"/>
      <c r="E220" s="175"/>
      <c r="F220" s="177"/>
      <c r="G220" s="271"/>
      <c r="H220" s="271"/>
      <c r="I220" s="213"/>
      <c r="J220" s="213"/>
      <c r="K220" s="212">
        <f t="shared" si="28"/>
        <v>0</v>
      </c>
      <c r="L220" s="272">
        <f t="shared" si="29"/>
        <v>1900</v>
      </c>
      <c r="M220" s="272">
        <f t="shared" si="30"/>
        <v>1</v>
      </c>
      <c r="N220" s="273"/>
      <c r="O220" s="61">
        <f t="shared" si="31"/>
        <v>1900</v>
      </c>
      <c r="P220" s="61">
        <f t="shared" si="32"/>
        <v>1</v>
      </c>
      <c r="R220" s="272"/>
      <c r="S220" s="272"/>
      <c r="T220" s="278" t="str">
        <f t="shared" si="33"/>
        <v>-</v>
      </c>
    </row>
    <row r="221" spans="1:20">
      <c r="A221" s="269"/>
      <c r="B221" s="53"/>
      <c r="C221" s="175"/>
      <c r="D221" s="176"/>
      <c r="E221" s="175"/>
      <c r="F221" s="177"/>
      <c r="G221" s="271"/>
      <c r="H221" s="271"/>
      <c r="I221" s="213"/>
      <c r="J221" s="213"/>
      <c r="K221" s="212">
        <f t="shared" si="28"/>
        <v>0</v>
      </c>
      <c r="L221" s="272">
        <f t="shared" si="29"/>
        <v>1900</v>
      </c>
      <c r="M221" s="272">
        <f t="shared" si="30"/>
        <v>1</v>
      </c>
      <c r="N221" s="273"/>
      <c r="O221" s="61">
        <f t="shared" si="31"/>
        <v>1900</v>
      </c>
      <c r="P221" s="61">
        <f t="shared" si="32"/>
        <v>1</v>
      </c>
      <c r="R221" s="272"/>
      <c r="S221" s="272"/>
      <c r="T221" s="278" t="str">
        <f t="shared" si="33"/>
        <v>-</v>
      </c>
    </row>
    <row r="222" spans="1:20">
      <c r="A222" s="269"/>
      <c r="B222" s="53"/>
      <c r="C222" s="175"/>
      <c r="D222" s="176"/>
      <c r="E222" s="175"/>
      <c r="F222" s="177"/>
      <c r="G222" s="271"/>
      <c r="H222" s="271"/>
      <c r="I222" s="213"/>
      <c r="J222" s="213"/>
      <c r="K222" s="212">
        <f t="shared" si="28"/>
        <v>0</v>
      </c>
      <c r="L222" s="272">
        <f t="shared" si="29"/>
        <v>1900</v>
      </c>
      <c r="M222" s="272">
        <f t="shared" si="30"/>
        <v>1</v>
      </c>
      <c r="N222" s="273"/>
      <c r="O222" s="61">
        <f t="shared" si="31"/>
        <v>1900</v>
      </c>
      <c r="P222" s="61">
        <f t="shared" si="32"/>
        <v>1</v>
      </c>
      <c r="R222" s="272"/>
      <c r="S222" s="272"/>
      <c r="T222" s="278" t="str">
        <f t="shared" si="33"/>
        <v>-</v>
      </c>
    </row>
    <row r="223" spans="1:20">
      <c r="A223" s="269"/>
      <c r="B223" s="53"/>
      <c r="C223" s="175"/>
      <c r="D223" s="176"/>
      <c r="E223" s="175"/>
      <c r="F223" s="177"/>
      <c r="G223" s="271"/>
      <c r="H223" s="271"/>
      <c r="I223" s="213"/>
      <c r="J223" s="213"/>
      <c r="K223" s="212">
        <f t="shared" si="28"/>
        <v>0</v>
      </c>
      <c r="L223" s="272">
        <f t="shared" si="29"/>
        <v>1900</v>
      </c>
      <c r="M223" s="272">
        <f t="shared" si="30"/>
        <v>1</v>
      </c>
      <c r="N223" s="273"/>
      <c r="O223" s="61">
        <f t="shared" si="31"/>
        <v>1900</v>
      </c>
      <c r="P223" s="61">
        <f t="shared" si="32"/>
        <v>1</v>
      </c>
      <c r="R223" s="272"/>
      <c r="S223" s="272"/>
      <c r="T223" s="278" t="str">
        <f t="shared" si="33"/>
        <v>-</v>
      </c>
    </row>
    <row r="224" spans="1:20">
      <c r="A224" s="269"/>
      <c r="B224" s="53"/>
      <c r="C224" s="175"/>
      <c r="D224" s="176"/>
      <c r="E224" s="175"/>
      <c r="F224" s="177"/>
      <c r="G224" s="271"/>
      <c r="H224" s="271"/>
      <c r="I224" s="213"/>
      <c r="J224" s="213"/>
      <c r="K224" s="212">
        <f t="shared" si="28"/>
        <v>0</v>
      </c>
      <c r="L224" s="272">
        <f t="shared" si="29"/>
        <v>1900</v>
      </c>
      <c r="M224" s="272">
        <f t="shared" si="30"/>
        <v>1</v>
      </c>
      <c r="N224" s="273"/>
      <c r="O224" s="61">
        <f t="shared" si="31"/>
        <v>1900</v>
      </c>
      <c r="P224" s="61">
        <f t="shared" si="32"/>
        <v>1</v>
      </c>
      <c r="R224" s="272"/>
      <c r="S224" s="272"/>
      <c r="T224" s="278" t="str">
        <f t="shared" si="33"/>
        <v>-</v>
      </c>
    </row>
    <row r="225" spans="1:20">
      <c r="A225" s="269"/>
      <c r="B225" s="53"/>
      <c r="C225" s="175"/>
      <c r="D225" s="176"/>
      <c r="E225" s="175"/>
      <c r="F225" s="177"/>
      <c r="G225" s="271"/>
      <c r="H225" s="271"/>
      <c r="I225" s="213"/>
      <c r="J225" s="213"/>
      <c r="K225" s="212">
        <f t="shared" si="28"/>
        <v>0</v>
      </c>
      <c r="L225" s="272">
        <f t="shared" si="29"/>
        <v>1900</v>
      </c>
      <c r="M225" s="272">
        <f t="shared" si="30"/>
        <v>1</v>
      </c>
      <c r="N225" s="273"/>
      <c r="O225" s="61">
        <f t="shared" si="31"/>
        <v>1900</v>
      </c>
      <c r="P225" s="61">
        <f t="shared" si="32"/>
        <v>1</v>
      </c>
      <c r="R225" s="272"/>
      <c r="S225" s="272"/>
      <c r="T225" s="278" t="str">
        <f t="shared" si="33"/>
        <v>-</v>
      </c>
    </row>
    <row r="226" spans="1:20">
      <c r="A226" s="269"/>
      <c r="B226" s="53"/>
      <c r="C226" s="175"/>
      <c r="D226" s="176"/>
      <c r="E226" s="175"/>
      <c r="F226" s="177"/>
      <c r="G226" s="271"/>
      <c r="H226" s="271"/>
      <c r="I226" s="213"/>
      <c r="J226" s="213"/>
      <c r="K226" s="212">
        <f t="shared" si="28"/>
        <v>0</v>
      </c>
      <c r="L226" s="272">
        <f t="shared" si="29"/>
        <v>1900</v>
      </c>
      <c r="M226" s="272">
        <f t="shared" si="30"/>
        <v>1</v>
      </c>
      <c r="N226" s="273"/>
      <c r="O226" s="61">
        <f t="shared" si="31"/>
        <v>1900</v>
      </c>
      <c r="P226" s="61">
        <f t="shared" si="32"/>
        <v>1</v>
      </c>
      <c r="R226" s="272"/>
      <c r="S226" s="272"/>
      <c r="T226" s="278" t="str">
        <f t="shared" si="33"/>
        <v>-</v>
      </c>
    </row>
    <row r="227" spans="1:20">
      <c r="A227" s="269"/>
      <c r="B227" s="53"/>
      <c r="C227" s="175"/>
      <c r="D227" s="176"/>
      <c r="E227" s="175"/>
      <c r="F227" s="177"/>
      <c r="G227" s="271"/>
      <c r="H227" s="271"/>
      <c r="I227" s="213"/>
      <c r="J227" s="213"/>
      <c r="K227" s="212">
        <f t="shared" si="28"/>
        <v>0</v>
      </c>
      <c r="L227" s="272">
        <f t="shared" si="29"/>
        <v>1900</v>
      </c>
      <c r="M227" s="272">
        <f t="shared" si="30"/>
        <v>1</v>
      </c>
      <c r="N227" s="273"/>
      <c r="O227" s="61">
        <f t="shared" si="31"/>
        <v>1900</v>
      </c>
      <c r="P227" s="61">
        <f t="shared" si="32"/>
        <v>1</v>
      </c>
      <c r="R227" s="272"/>
      <c r="S227" s="272"/>
      <c r="T227" s="278" t="str">
        <f t="shared" si="33"/>
        <v>-</v>
      </c>
    </row>
    <row r="228" spans="1:20">
      <c r="A228" s="269"/>
      <c r="B228" s="53"/>
      <c r="C228" s="175"/>
      <c r="D228" s="176"/>
      <c r="E228" s="175"/>
      <c r="F228" s="177"/>
      <c r="G228" s="271"/>
      <c r="H228" s="271"/>
      <c r="I228" s="213"/>
      <c r="J228" s="213"/>
      <c r="K228" s="212">
        <f t="shared" si="28"/>
        <v>0</v>
      </c>
      <c r="L228" s="272">
        <f t="shared" si="29"/>
        <v>1900</v>
      </c>
      <c r="M228" s="272">
        <f t="shared" si="30"/>
        <v>1</v>
      </c>
      <c r="N228" s="273"/>
      <c r="O228" s="61">
        <f t="shared" si="31"/>
        <v>1900</v>
      </c>
      <c r="P228" s="61">
        <f t="shared" si="32"/>
        <v>1</v>
      </c>
      <c r="R228" s="272"/>
      <c r="S228" s="272"/>
      <c r="T228" s="278" t="str">
        <f t="shared" si="33"/>
        <v>-</v>
      </c>
    </row>
    <row r="229" spans="1:20">
      <c r="A229" s="269"/>
      <c r="B229" s="53"/>
      <c r="C229" s="175"/>
      <c r="D229" s="176"/>
      <c r="E229" s="175"/>
      <c r="F229" s="177"/>
      <c r="G229" s="271"/>
      <c r="H229" s="271"/>
      <c r="I229" s="213"/>
      <c r="J229" s="213"/>
      <c r="K229" s="212">
        <f t="shared" si="28"/>
        <v>0</v>
      </c>
      <c r="L229" s="272">
        <f t="shared" si="29"/>
        <v>1900</v>
      </c>
      <c r="M229" s="272">
        <f t="shared" si="30"/>
        <v>1</v>
      </c>
      <c r="N229" s="273"/>
      <c r="O229" s="61">
        <f t="shared" si="31"/>
        <v>1900</v>
      </c>
      <c r="P229" s="61">
        <f t="shared" si="32"/>
        <v>1</v>
      </c>
      <c r="R229" s="272"/>
      <c r="S229" s="272"/>
      <c r="T229" s="278" t="str">
        <f t="shared" si="33"/>
        <v>-</v>
      </c>
    </row>
    <row r="230" spans="1:20">
      <c r="A230" s="269"/>
      <c r="B230" s="53"/>
      <c r="C230" s="175"/>
      <c r="D230" s="176"/>
      <c r="E230" s="175"/>
      <c r="F230" s="177"/>
      <c r="G230" s="271"/>
      <c r="H230" s="271"/>
      <c r="I230" s="213"/>
      <c r="J230" s="213"/>
      <c r="K230" s="212">
        <f t="shared" si="28"/>
        <v>0</v>
      </c>
      <c r="L230" s="272">
        <f t="shared" si="29"/>
        <v>1900</v>
      </c>
      <c r="M230" s="272">
        <f t="shared" si="30"/>
        <v>1</v>
      </c>
      <c r="N230" s="273"/>
      <c r="O230" s="61">
        <f t="shared" si="31"/>
        <v>1900</v>
      </c>
      <c r="P230" s="61">
        <f t="shared" si="32"/>
        <v>1</v>
      </c>
      <c r="R230" s="272"/>
      <c r="S230" s="272"/>
      <c r="T230" s="278" t="str">
        <f t="shared" si="33"/>
        <v>-</v>
      </c>
    </row>
    <row r="231" spans="1:20">
      <c r="A231" s="269"/>
      <c r="B231" s="53"/>
      <c r="C231" s="175"/>
      <c r="D231" s="176"/>
      <c r="E231" s="175"/>
      <c r="F231" s="177"/>
      <c r="G231" s="271"/>
      <c r="H231" s="271"/>
      <c r="I231" s="213"/>
      <c r="J231" s="213"/>
      <c r="K231" s="212">
        <f t="shared" si="28"/>
        <v>0</v>
      </c>
      <c r="L231" s="272">
        <f t="shared" si="29"/>
        <v>1900</v>
      </c>
      <c r="M231" s="272">
        <f t="shared" si="30"/>
        <v>1</v>
      </c>
      <c r="N231" s="273"/>
      <c r="O231" s="61">
        <f t="shared" si="31"/>
        <v>1900</v>
      </c>
      <c r="P231" s="61">
        <f t="shared" si="32"/>
        <v>1</v>
      </c>
      <c r="R231" s="272"/>
      <c r="S231" s="272"/>
      <c r="T231" s="278" t="str">
        <f t="shared" si="33"/>
        <v>-</v>
      </c>
    </row>
    <row r="232" spans="1:20">
      <c r="A232" s="269"/>
      <c r="B232" s="53"/>
      <c r="C232" s="175"/>
      <c r="D232" s="176"/>
      <c r="E232" s="175"/>
      <c r="F232" s="177"/>
      <c r="G232" s="271"/>
      <c r="H232" s="271"/>
      <c r="I232" s="213"/>
      <c r="J232" s="213"/>
      <c r="K232" s="212">
        <f t="shared" si="28"/>
        <v>0</v>
      </c>
      <c r="L232" s="272">
        <f t="shared" si="29"/>
        <v>1900</v>
      </c>
      <c r="M232" s="272">
        <f t="shared" si="30"/>
        <v>1</v>
      </c>
      <c r="N232" s="273"/>
      <c r="O232" s="61">
        <f t="shared" si="31"/>
        <v>1900</v>
      </c>
      <c r="P232" s="61">
        <f t="shared" si="32"/>
        <v>1</v>
      </c>
      <c r="R232" s="272"/>
      <c r="S232" s="272"/>
      <c r="T232" s="278" t="str">
        <f t="shared" si="33"/>
        <v>-</v>
      </c>
    </row>
    <row r="233" spans="1:20">
      <c r="A233" s="269"/>
      <c r="B233" s="53"/>
      <c r="C233" s="175"/>
      <c r="D233" s="176"/>
      <c r="E233" s="175"/>
      <c r="F233" s="177"/>
      <c r="G233" s="271"/>
      <c r="H233" s="271"/>
      <c r="I233" s="213"/>
      <c r="J233" s="213"/>
      <c r="K233" s="212">
        <f t="shared" si="28"/>
        <v>0</v>
      </c>
      <c r="L233" s="272">
        <f t="shared" si="29"/>
        <v>1900</v>
      </c>
      <c r="M233" s="272">
        <f t="shared" si="30"/>
        <v>1</v>
      </c>
      <c r="N233" s="273"/>
      <c r="O233" s="61">
        <f t="shared" si="31"/>
        <v>1900</v>
      </c>
      <c r="P233" s="61">
        <f t="shared" si="32"/>
        <v>1</v>
      </c>
      <c r="R233" s="272"/>
      <c r="S233" s="272"/>
      <c r="T233" s="278" t="str">
        <f t="shared" si="33"/>
        <v>-</v>
      </c>
    </row>
    <row r="234" spans="1:20">
      <c r="A234" s="269"/>
      <c r="B234" s="53"/>
      <c r="C234" s="175"/>
      <c r="D234" s="176"/>
      <c r="E234" s="175"/>
      <c r="F234" s="177"/>
      <c r="G234" s="271"/>
      <c r="H234" s="271"/>
      <c r="I234" s="213"/>
      <c r="J234" s="213"/>
      <c r="K234" s="212">
        <f t="shared" si="28"/>
        <v>0</v>
      </c>
      <c r="L234" s="272">
        <f t="shared" si="29"/>
        <v>1900</v>
      </c>
      <c r="M234" s="272">
        <f t="shared" si="30"/>
        <v>1</v>
      </c>
      <c r="N234" s="273"/>
      <c r="O234" s="61">
        <f t="shared" si="31"/>
        <v>1900</v>
      </c>
      <c r="P234" s="61">
        <f t="shared" si="32"/>
        <v>1</v>
      </c>
      <c r="R234" s="272"/>
      <c r="S234" s="272"/>
      <c r="T234" s="278" t="str">
        <f t="shared" si="33"/>
        <v>-</v>
      </c>
    </row>
    <row r="235" spans="1:20">
      <c r="A235" s="269"/>
      <c r="B235" s="53"/>
      <c r="C235" s="175"/>
      <c r="D235" s="176"/>
      <c r="E235" s="175"/>
      <c r="F235" s="177"/>
      <c r="G235" s="271"/>
      <c r="H235" s="271"/>
      <c r="I235" s="213"/>
      <c r="J235" s="213"/>
      <c r="K235" s="212">
        <f t="shared" si="28"/>
        <v>0</v>
      </c>
      <c r="L235" s="272">
        <f t="shared" si="29"/>
        <v>1900</v>
      </c>
      <c r="M235" s="272">
        <f t="shared" si="30"/>
        <v>1</v>
      </c>
      <c r="N235" s="273"/>
      <c r="O235" s="61">
        <f t="shared" si="31"/>
        <v>1900</v>
      </c>
      <c r="P235" s="61">
        <f t="shared" si="32"/>
        <v>1</v>
      </c>
      <c r="R235" s="272"/>
      <c r="S235" s="272"/>
      <c r="T235" s="278" t="str">
        <f t="shared" si="33"/>
        <v>-</v>
      </c>
    </row>
    <row r="236" spans="1:20">
      <c r="A236" s="269"/>
      <c r="B236" s="53"/>
      <c r="C236" s="175"/>
      <c r="D236" s="176"/>
      <c r="E236" s="175"/>
      <c r="F236" s="177"/>
      <c r="G236" s="271"/>
      <c r="H236" s="271"/>
      <c r="I236" s="213"/>
      <c r="J236" s="213"/>
      <c r="K236" s="212">
        <f t="shared" si="28"/>
        <v>0</v>
      </c>
      <c r="L236" s="272">
        <f t="shared" si="29"/>
        <v>1900</v>
      </c>
      <c r="M236" s="272">
        <f t="shared" si="30"/>
        <v>1</v>
      </c>
      <c r="N236" s="273"/>
      <c r="O236" s="61">
        <f t="shared" si="31"/>
        <v>1900</v>
      </c>
      <c r="P236" s="61">
        <f t="shared" si="32"/>
        <v>1</v>
      </c>
      <c r="R236" s="272"/>
      <c r="S236" s="272"/>
      <c r="T236" s="278" t="str">
        <f t="shared" si="33"/>
        <v>-</v>
      </c>
    </row>
    <row r="237" spans="1:20">
      <c r="A237" s="269"/>
      <c r="B237" s="53"/>
      <c r="C237" s="175"/>
      <c r="D237" s="176"/>
      <c r="E237" s="175"/>
      <c r="F237" s="177"/>
      <c r="G237" s="271"/>
      <c r="H237" s="271"/>
      <c r="I237" s="213"/>
      <c r="J237" s="213"/>
      <c r="K237" s="212">
        <f t="shared" si="28"/>
        <v>0</v>
      </c>
      <c r="L237" s="272">
        <f t="shared" si="29"/>
        <v>1900</v>
      </c>
      <c r="M237" s="272">
        <f t="shared" si="30"/>
        <v>1</v>
      </c>
      <c r="N237" s="273"/>
      <c r="O237" s="61">
        <f t="shared" si="31"/>
        <v>1900</v>
      </c>
      <c r="P237" s="61">
        <f t="shared" si="32"/>
        <v>1</v>
      </c>
      <c r="R237" s="272"/>
      <c r="S237" s="272"/>
      <c r="T237" s="278" t="str">
        <f t="shared" si="33"/>
        <v>-</v>
      </c>
    </row>
    <row r="238" spans="1:20">
      <c r="A238" s="269"/>
      <c r="B238" s="53"/>
      <c r="C238" s="175"/>
      <c r="D238" s="176"/>
      <c r="E238" s="175"/>
      <c r="F238" s="177"/>
      <c r="G238" s="271"/>
      <c r="H238" s="271"/>
      <c r="I238" s="213"/>
      <c r="J238" s="213"/>
      <c r="K238" s="212">
        <f t="shared" si="28"/>
        <v>0</v>
      </c>
      <c r="L238" s="272">
        <f t="shared" si="29"/>
        <v>1900</v>
      </c>
      <c r="M238" s="272">
        <f t="shared" si="30"/>
        <v>1</v>
      </c>
      <c r="N238" s="273"/>
      <c r="O238" s="61">
        <f t="shared" si="31"/>
        <v>1900</v>
      </c>
      <c r="P238" s="61">
        <f t="shared" si="32"/>
        <v>1</v>
      </c>
      <c r="R238" s="272"/>
      <c r="S238" s="272"/>
      <c r="T238" s="278" t="str">
        <f t="shared" si="33"/>
        <v>-</v>
      </c>
    </row>
    <row r="239" spans="1:20">
      <c r="A239" s="269"/>
      <c r="B239" s="57"/>
      <c r="C239" s="176"/>
      <c r="D239" s="176"/>
      <c r="E239" s="176"/>
      <c r="F239" s="177"/>
      <c r="G239" s="271"/>
      <c r="H239" s="271"/>
      <c r="I239" s="213"/>
      <c r="J239" s="213"/>
      <c r="K239" s="212">
        <f t="shared" si="28"/>
        <v>0</v>
      </c>
      <c r="L239" s="272">
        <f t="shared" si="29"/>
        <v>1900</v>
      </c>
      <c r="M239" s="272">
        <f t="shared" si="30"/>
        <v>1</v>
      </c>
      <c r="N239" s="273"/>
      <c r="O239" s="61">
        <f t="shared" si="31"/>
        <v>1900</v>
      </c>
      <c r="P239" s="61">
        <f t="shared" si="32"/>
        <v>1</v>
      </c>
      <c r="R239" s="272"/>
      <c r="S239" s="272"/>
      <c r="T239" s="278" t="str">
        <f t="shared" si="33"/>
        <v>-</v>
      </c>
    </row>
    <row r="240" spans="1:20">
      <c r="A240" s="269"/>
      <c r="B240" s="57"/>
      <c r="C240" s="176"/>
      <c r="D240" s="176"/>
      <c r="E240" s="176"/>
      <c r="F240" s="177"/>
      <c r="G240" s="271"/>
      <c r="H240" s="271"/>
      <c r="I240" s="213"/>
      <c r="J240" s="213"/>
      <c r="K240" s="212">
        <f t="shared" si="28"/>
        <v>0</v>
      </c>
      <c r="L240" s="272">
        <f t="shared" si="29"/>
        <v>1900</v>
      </c>
      <c r="M240" s="272">
        <f t="shared" si="30"/>
        <v>1</v>
      </c>
      <c r="N240" s="273"/>
      <c r="O240" s="61">
        <f t="shared" si="31"/>
        <v>1900</v>
      </c>
      <c r="P240" s="61">
        <f t="shared" si="32"/>
        <v>1</v>
      </c>
      <c r="R240" s="272"/>
      <c r="S240" s="272"/>
      <c r="T240" s="278" t="str">
        <f t="shared" si="33"/>
        <v>-</v>
      </c>
    </row>
    <row r="241" spans="1:20">
      <c r="A241" s="269"/>
      <c r="B241" s="57"/>
      <c r="C241" s="176"/>
      <c r="D241" s="176"/>
      <c r="E241" s="176"/>
      <c r="F241" s="177"/>
      <c r="G241" s="271"/>
      <c r="H241" s="271"/>
      <c r="I241" s="213"/>
      <c r="J241" s="213"/>
      <c r="K241" s="212">
        <f t="shared" si="28"/>
        <v>0</v>
      </c>
      <c r="L241" s="272">
        <f t="shared" si="29"/>
        <v>1900</v>
      </c>
      <c r="M241" s="272">
        <f t="shared" si="30"/>
        <v>1</v>
      </c>
      <c r="N241" s="273"/>
      <c r="O241" s="61">
        <f t="shared" si="31"/>
        <v>1900</v>
      </c>
      <c r="P241" s="61">
        <f t="shared" si="32"/>
        <v>1</v>
      </c>
      <c r="R241" s="272"/>
      <c r="S241" s="272"/>
      <c r="T241" s="278" t="str">
        <f t="shared" si="33"/>
        <v>-</v>
      </c>
    </row>
    <row r="242" spans="1:20">
      <c r="A242" s="269"/>
      <c r="B242" s="57"/>
      <c r="C242" s="176"/>
      <c r="D242" s="176"/>
      <c r="E242" s="176"/>
      <c r="F242" s="177"/>
      <c r="G242" s="271"/>
      <c r="H242" s="271"/>
      <c r="I242" s="213"/>
      <c r="J242" s="213"/>
      <c r="K242" s="212">
        <f t="shared" si="28"/>
        <v>0</v>
      </c>
      <c r="L242" s="272">
        <f t="shared" si="29"/>
        <v>1900</v>
      </c>
      <c r="M242" s="272">
        <f t="shared" si="30"/>
        <v>1</v>
      </c>
      <c r="N242" s="273"/>
      <c r="O242" s="61">
        <f t="shared" si="31"/>
        <v>1900</v>
      </c>
      <c r="P242" s="61">
        <f t="shared" si="32"/>
        <v>1</v>
      </c>
      <c r="R242" s="272"/>
      <c r="S242" s="272"/>
      <c r="T242" s="278" t="str">
        <f t="shared" si="33"/>
        <v>-</v>
      </c>
    </row>
    <row r="243" spans="1:20">
      <c r="A243" s="269"/>
      <c r="B243" s="57"/>
      <c r="C243" s="176"/>
      <c r="D243" s="176"/>
      <c r="E243" s="176"/>
      <c r="F243" s="177"/>
      <c r="G243" s="271"/>
      <c r="H243" s="271"/>
      <c r="I243" s="213"/>
      <c r="J243" s="213"/>
      <c r="K243" s="212">
        <f t="shared" si="28"/>
        <v>0</v>
      </c>
      <c r="L243" s="272">
        <f t="shared" si="29"/>
        <v>1900</v>
      </c>
      <c r="M243" s="272">
        <f t="shared" si="30"/>
        <v>1</v>
      </c>
      <c r="N243" s="273"/>
      <c r="O243" s="61">
        <f t="shared" si="31"/>
        <v>1900</v>
      </c>
      <c r="P243" s="61">
        <f t="shared" si="32"/>
        <v>1</v>
      </c>
      <c r="R243" s="272"/>
      <c r="S243" s="272"/>
      <c r="T243" s="278" t="str">
        <f t="shared" si="33"/>
        <v>-</v>
      </c>
    </row>
    <row r="244" spans="1:20">
      <c r="A244" s="269"/>
      <c r="B244" s="57"/>
      <c r="C244" s="176"/>
      <c r="D244" s="176"/>
      <c r="E244" s="176"/>
      <c r="F244" s="177"/>
      <c r="G244" s="271"/>
      <c r="H244" s="271"/>
      <c r="I244" s="213"/>
      <c r="J244" s="213"/>
      <c r="K244" s="212">
        <f t="shared" si="28"/>
        <v>0</v>
      </c>
      <c r="L244" s="272">
        <f t="shared" si="29"/>
        <v>1900</v>
      </c>
      <c r="M244" s="272">
        <f t="shared" si="30"/>
        <v>1</v>
      </c>
      <c r="N244" s="273"/>
      <c r="O244" s="61">
        <f t="shared" si="31"/>
        <v>1900</v>
      </c>
      <c r="P244" s="61">
        <f t="shared" si="32"/>
        <v>1</v>
      </c>
      <c r="R244" s="272"/>
      <c r="S244" s="272"/>
      <c r="T244" s="278" t="str">
        <f t="shared" si="33"/>
        <v>-</v>
      </c>
    </row>
    <row r="245" spans="1:20">
      <c r="A245" s="269"/>
      <c r="B245" s="57"/>
      <c r="C245" s="176"/>
      <c r="D245" s="176"/>
      <c r="E245" s="176"/>
      <c r="F245" s="177"/>
      <c r="G245" s="271"/>
      <c r="H245" s="271"/>
      <c r="I245" s="213"/>
      <c r="J245" s="213"/>
      <c r="K245" s="212">
        <f t="shared" si="28"/>
        <v>0</v>
      </c>
      <c r="L245" s="272">
        <f t="shared" si="29"/>
        <v>1900</v>
      </c>
      <c r="M245" s="272">
        <f t="shared" si="30"/>
        <v>1</v>
      </c>
      <c r="N245" s="273"/>
      <c r="O245" s="61">
        <f t="shared" si="31"/>
        <v>1900</v>
      </c>
      <c r="P245" s="61">
        <f t="shared" si="32"/>
        <v>1</v>
      </c>
      <c r="R245" s="272"/>
      <c r="S245" s="272"/>
      <c r="T245" s="278" t="str">
        <f t="shared" si="33"/>
        <v>-</v>
      </c>
    </row>
    <row r="246" spans="1:20">
      <c r="A246" s="269"/>
      <c r="B246" s="57"/>
      <c r="C246" s="176"/>
      <c r="D246" s="176"/>
      <c r="E246" s="176"/>
      <c r="F246" s="177"/>
      <c r="G246" s="271"/>
      <c r="H246" s="271"/>
      <c r="I246" s="213"/>
      <c r="J246" s="213"/>
      <c r="K246" s="212">
        <f t="shared" si="28"/>
        <v>0</v>
      </c>
      <c r="L246" s="272">
        <f t="shared" si="29"/>
        <v>1900</v>
      </c>
      <c r="M246" s="272">
        <f t="shared" si="30"/>
        <v>1</v>
      </c>
      <c r="N246" s="273"/>
      <c r="O246" s="61">
        <f t="shared" si="31"/>
        <v>1900</v>
      </c>
      <c r="P246" s="61">
        <f t="shared" si="32"/>
        <v>1</v>
      </c>
      <c r="R246" s="272"/>
      <c r="S246" s="272"/>
      <c r="T246" s="278" t="str">
        <f t="shared" si="33"/>
        <v>-</v>
      </c>
    </row>
    <row r="247" spans="1:20">
      <c r="A247" s="269"/>
      <c r="B247" s="57"/>
      <c r="C247" s="176"/>
      <c r="D247" s="176"/>
      <c r="E247" s="176"/>
      <c r="F247" s="177"/>
      <c r="G247" s="271"/>
      <c r="H247" s="271"/>
      <c r="I247" s="213"/>
      <c r="J247" s="213"/>
      <c r="K247" s="212">
        <f t="shared" si="28"/>
        <v>0</v>
      </c>
      <c r="L247" s="272">
        <f t="shared" si="29"/>
        <v>1900</v>
      </c>
      <c r="M247" s="272">
        <f t="shared" si="30"/>
        <v>1</v>
      </c>
      <c r="N247" s="273"/>
      <c r="O247" s="61">
        <f t="shared" si="31"/>
        <v>1900</v>
      </c>
      <c r="P247" s="61">
        <f t="shared" si="32"/>
        <v>1</v>
      </c>
      <c r="R247" s="272"/>
      <c r="S247" s="272"/>
      <c r="T247" s="278" t="str">
        <f t="shared" si="33"/>
        <v>-</v>
      </c>
    </row>
    <row r="248" spans="1:20">
      <c r="A248" s="269"/>
      <c r="B248" s="57"/>
      <c r="C248" s="176"/>
      <c r="D248" s="176"/>
      <c r="E248" s="176"/>
      <c r="F248" s="177"/>
      <c r="G248" s="271"/>
      <c r="H248" s="271"/>
      <c r="I248" s="213"/>
      <c r="J248" s="213"/>
      <c r="K248" s="212">
        <f t="shared" si="28"/>
        <v>0</v>
      </c>
      <c r="L248" s="272">
        <f t="shared" si="29"/>
        <v>1900</v>
      </c>
      <c r="M248" s="272">
        <f t="shared" si="30"/>
        <v>1</v>
      </c>
      <c r="N248" s="273"/>
      <c r="O248" s="61">
        <f t="shared" si="31"/>
        <v>1900</v>
      </c>
      <c r="P248" s="61">
        <f t="shared" si="32"/>
        <v>1</v>
      </c>
      <c r="R248" s="272"/>
      <c r="S248" s="272"/>
      <c r="T248" s="278" t="str">
        <f t="shared" si="33"/>
        <v>-</v>
      </c>
    </row>
    <row r="249" spans="1:20">
      <c r="A249" s="269"/>
      <c r="B249" s="57"/>
      <c r="C249" s="176"/>
      <c r="D249" s="176"/>
      <c r="E249" s="176"/>
      <c r="F249" s="177"/>
      <c r="G249" s="271"/>
      <c r="H249" s="271"/>
      <c r="I249" s="213"/>
      <c r="J249" s="213"/>
      <c r="K249" s="212">
        <f t="shared" si="28"/>
        <v>0</v>
      </c>
      <c r="L249" s="272">
        <f t="shared" si="29"/>
        <v>1900</v>
      </c>
      <c r="M249" s="272">
        <f t="shared" si="30"/>
        <v>1</v>
      </c>
      <c r="N249" s="273"/>
      <c r="O249" s="61">
        <f t="shared" si="31"/>
        <v>1900</v>
      </c>
      <c r="P249" s="61">
        <f t="shared" si="32"/>
        <v>1</v>
      </c>
      <c r="R249" s="272"/>
      <c r="S249" s="272"/>
      <c r="T249" s="278" t="str">
        <f t="shared" si="33"/>
        <v>-</v>
      </c>
    </row>
    <row r="250" spans="1:20">
      <c r="A250" s="269"/>
      <c r="B250" s="57"/>
      <c r="C250" s="176"/>
      <c r="D250" s="176"/>
      <c r="E250" s="176"/>
      <c r="F250" s="177"/>
      <c r="G250" s="271"/>
      <c r="H250" s="271"/>
      <c r="I250" s="213"/>
      <c r="J250" s="213"/>
      <c r="K250" s="212">
        <f t="shared" si="28"/>
        <v>0</v>
      </c>
      <c r="L250" s="272">
        <f t="shared" si="29"/>
        <v>1900</v>
      </c>
      <c r="M250" s="272">
        <f t="shared" si="30"/>
        <v>1</v>
      </c>
      <c r="N250" s="273"/>
      <c r="O250" s="61">
        <f t="shared" si="31"/>
        <v>1900</v>
      </c>
      <c r="P250" s="61">
        <f t="shared" si="32"/>
        <v>1</v>
      </c>
      <c r="R250" s="272"/>
      <c r="S250" s="272"/>
      <c r="T250" s="278" t="str">
        <f t="shared" si="33"/>
        <v>-</v>
      </c>
    </row>
    <row r="251" spans="1:20">
      <c r="A251" s="269"/>
      <c r="B251" s="57"/>
      <c r="C251" s="176"/>
      <c r="D251" s="176"/>
      <c r="E251" s="176"/>
      <c r="F251" s="177"/>
      <c r="G251" s="271"/>
      <c r="H251" s="271"/>
      <c r="I251" s="213"/>
      <c r="J251" s="213"/>
      <c r="K251" s="212">
        <f t="shared" si="28"/>
        <v>0</v>
      </c>
      <c r="L251" s="272">
        <f t="shared" si="29"/>
        <v>1900</v>
      </c>
      <c r="M251" s="272">
        <f t="shared" si="30"/>
        <v>1</v>
      </c>
      <c r="N251" s="273"/>
      <c r="O251" s="61">
        <f t="shared" si="31"/>
        <v>1900</v>
      </c>
      <c r="P251" s="61">
        <f t="shared" si="32"/>
        <v>1</v>
      </c>
      <c r="R251" s="272"/>
      <c r="S251" s="272"/>
      <c r="T251" s="278" t="str">
        <f t="shared" si="33"/>
        <v>-</v>
      </c>
    </row>
    <row r="252" spans="1:20">
      <c r="A252" s="269"/>
      <c r="B252" s="57"/>
      <c r="C252" s="176"/>
      <c r="D252" s="176"/>
      <c r="E252" s="176"/>
      <c r="F252" s="177"/>
      <c r="G252" s="271"/>
      <c r="H252" s="271"/>
      <c r="I252" s="213"/>
      <c r="J252" s="213"/>
      <c r="K252" s="212">
        <f t="shared" si="28"/>
        <v>0</v>
      </c>
      <c r="L252" s="272">
        <f t="shared" si="29"/>
        <v>1900</v>
      </c>
      <c r="M252" s="272">
        <f t="shared" si="30"/>
        <v>1</v>
      </c>
      <c r="N252" s="273"/>
      <c r="O252" s="61">
        <f t="shared" si="31"/>
        <v>1900</v>
      </c>
      <c r="P252" s="61">
        <f t="shared" si="32"/>
        <v>1</v>
      </c>
      <c r="R252" s="272"/>
      <c r="S252" s="272"/>
      <c r="T252" s="278" t="str">
        <f t="shared" si="33"/>
        <v>-</v>
      </c>
    </row>
    <row r="253" spans="1:20">
      <c r="A253" s="269"/>
      <c r="B253" s="53"/>
      <c r="C253" s="176"/>
      <c r="D253" s="176"/>
      <c r="E253" s="176"/>
      <c r="F253" s="177"/>
      <c r="G253" s="271"/>
      <c r="H253" s="271"/>
      <c r="I253" s="213"/>
      <c r="J253" s="213"/>
      <c r="K253" s="212">
        <f t="shared" si="28"/>
        <v>0</v>
      </c>
      <c r="L253" s="272">
        <f t="shared" si="29"/>
        <v>1900</v>
      </c>
      <c r="M253" s="272">
        <f t="shared" si="30"/>
        <v>1</v>
      </c>
      <c r="N253" s="273"/>
      <c r="O253" s="61">
        <f t="shared" si="31"/>
        <v>1900</v>
      </c>
      <c r="P253" s="61">
        <f t="shared" si="32"/>
        <v>1</v>
      </c>
      <c r="R253" s="272"/>
      <c r="S253" s="272"/>
      <c r="T253" s="278" t="str">
        <f t="shared" si="33"/>
        <v>-</v>
      </c>
    </row>
    <row r="254" spans="1:20">
      <c r="A254" s="269"/>
      <c r="B254" s="53"/>
      <c r="C254" s="176"/>
      <c r="D254" s="176"/>
      <c r="E254" s="176"/>
      <c r="F254" s="177"/>
      <c r="G254" s="271"/>
      <c r="H254" s="271"/>
      <c r="I254" s="213"/>
      <c r="J254" s="213"/>
      <c r="K254" s="212">
        <f t="shared" si="28"/>
        <v>0</v>
      </c>
      <c r="L254" s="272">
        <f t="shared" si="29"/>
        <v>1900</v>
      </c>
      <c r="M254" s="272">
        <f t="shared" si="30"/>
        <v>1</v>
      </c>
      <c r="N254" s="273"/>
      <c r="O254" s="61">
        <f t="shared" si="31"/>
        <v>1900</v>
      </c>
      <c r="P254" s="61">
        <f t="shared" si="32"/>
        <v>1</v>
      </c>
      <c r="R254" s="272"/>
      <c r="S254" s="272"/>
      <c r="T254" s="278" t="str">
        <f t="shared" si="33"/>
        <v>-</v>
      </c>
    </row>
    <row r="255" spans="1:20">
      <c r="A255" s="269"/>
      <c r="B255" s="53"/>
      <c r="C255" s="176"/>
      <c r="D255" s="176"/>
      <c r="E255" s="176"/>
      <c r="F255" s="177"/>
      <c r="G255" s="271"/>
      <c r="H255" s="271"/>
      <c r="I255" s="213"/>
      <c r="J255" s="213"/>
      <c r="K255" s="212">
        <f t="shared" si="28"/>
        <v>0</v>
      </c>
      <c r="L255" s="272">
        <f t="shared" si="29"/>
        <v>1900</v>
      </c>
      <c r="M255" s="272">
        <f t="shared" si="30"/>
        <v>1</v>
      </c>
      <c r="N255" s="273"/>
      <c r="O255" s="61">
        <f t="shared" si="31"/>
        <v>1900</v>
      </c>
      <c r="P255" s="61">
        <f t="shared" si="32"/>
        <v>1</v>
      </c>
      <c r="R255" s="272"/>
      <c r="S255" s="272"/>
      <c r="T255" s="278" t="str">
        <f t="shared" si="33"/>
        <v>-</v>
      </c>
    </row>
    <row r="256" spans="1:20">
      <c r="A256" s="269"/>
      <c r="B256" s="53"/>
      <c r="C256" s="175"/>
      <c r="D256" s="175"/>
      <c r="E256" s="175"/>
      <c r="F256" s="177"/>
      <c r="G256" s="271"/>
      <c r="H256" s="271"/>
      <c r="I256" s="213"/>
      <c r="J256" s="213"/>
      <c r="K256" s="212">
        <f t="shared" si="28"/>
        <v>0</v>
      </c>
      <c r="L256" s="272">
        <f t="shared" si="29"/>
        <v>1900</v>
      </c>
      <c r="M256" s="272">
        <f t="shared" si="30"/>
        <v>1</v>
      </c>
      <c r="N256" s="273"/>
      <c r="O256" s="61">
        <f t="shared" si="31"/>
        <v>1900</v>
      </c>
      <c r="P256" s="61">
        <f t="shared" si="32"/>
        <v>1</v>
      </c>
      <c r="R256" s="272"/>
      <c r="S256" s="272"/>
      <c r="T256" s="278" t="str">
        <f t="shared" si="33"/>
        <v>-</v>
      </c>
    </row>
    <row r="257" spans="1:20">
      <c r="A257" s="269"/>
      <c r="B257" s="53"/>
      <c r="C257" s="175"/>
      <c r="D257" s="175"/>
      <c r="E257" s="175"/>
      <c r="F257" s="177"/>
      <c r="G257" s="271"/>
      <c r="H257" s="271"/>
      <c r="I257" s="213"/>
      <c r="J257" s="213"/>
      <c r="K257" s="212">
        <f t="shared" si="28"/>
        <v>0</v>
      </c>
      <c r="L257" s="272">
        <f t="shared" si="29"/>
        <v>1900</v>
      </c>
      <c r="M257" s="272">
        <f t="shared" si="30"/>
        <v>1</v>
      </c>
      <c r="N257" s="273"/>
      <c r="O257" s="61">
        <f t="shared" si="31"/>
        <v>1900</v>
      </c>
      <c r="P257" s="61">
        <f t="shared" si="32"/>
        <v>1</v>
      </c>
      <c r="R257" s="272"/>
      <c r="S257" s="272"/>
      <c r="T257" s="278" t="str">
        <f t="shared" si="33"/>
        <v>-</v>
      </c>
    </row>
    <row r="258" spans="1:20">
      <c r="A258" s="269"/>
      <c r="B258" s="53"/>
      <c r="C258" s="176"/>
      <c r="D258" s="176"/>
      <c r="E258" s="176"/>
      <c r="F258" s="177"/>
      <c r="G258" s="271"/>
      <c r="H258" s="271"/>
      <c r="I258" s="213"/>
      <c r="J258" s="213"/>
      <c r="K258" s="212">
        <f t="shared" si="28"/>
        <v>0</v>
      </c>
      <c r="L258" s="272">
        <f t="shared" si="29"/>
        <v>1900</v>
      </c>
      <c r="M258" s="272">
        <f t="shared" si="30"/>
        <v>1</v>
      </c>
      <c r="N258" s="273"/>
      <c r="O258" s="61">
        <f t="shared" si="31"/>
        <v>1900</v>
      </c>
      <c r="P258" s="61">
        <f t="shared" si="32"/>
        <v>1</v>
      </c>
      <c r="R258" s="272"/>
      <c r="S258" s="272"/>
      <c r="T258" s="278" t="str">
        <f t="shared" si="33"/>
        <v>-</v>
      </c>
    </row>
    <row r="259" spans="1:20">
      <c r="A259" s="269"/>
      <c r="B259" s="53"/>
      <c r="C259" s="176"/>
      <c r="D259" s="176"/>
      <c r="E259" s="176"/>
      <c r="F259" s="177"/>
      <c r="G259" s="271"/>
      <c r="H259" s="271"/>
      <c r="I259" s="213"/>
      <c r="J259" s="213"/>
      <c r="K259" s="212">
        <f t="shared" si="28"/>
        <v>0</v>
      </c>
      <c r="L259" s="272">
        <f t="shared" si="29"/>
        <v>1900</v>
      </c>
      <c r="M259" s="272">
        <f t="shared" si="30"/>
        <v>1</v>
      </c>
      <c r="N259" s="273"/>
      <c r="O259" s="61">
        <f t="shared" si="31"/>
        <v>1900</v>
      </c>
      <c r="P259" s="61">
        <f t="shared" si="32"/>
        <v>1</v>
      </c>
      <c r="R259" s="272"/>
      <c r="S259" s="272"/>
      <c r="T259" s="278" t="str">
        <f t="shared" si="33"/>
        <v>-</v>
      </c>
    </row>
    <row r="260" spans="1:20">
      <c r="A260" s="269"/>
      <c r="B260" s="53"/>
      <c r="C260" s="175"/>
      <c r="D260" s="175"/>
      <c r="E260" s="175"/>
      <c r="F260" s="177"/>
      <c r="G260" s="271"/>
      <c r="H260" s="271"/>
      <c r="I260" s="213"/>
      <c r="J260" s="213"/>
      <c r="K260" s="212">
        <f t="shared" si="28"/>
        <v>0</v>
      </c>
      <c r="L260" s="272">
        <f t="shared" si="29"/>
        <v>1900</v>
      </c>
      <c r="M260" s="272">
        <f t="shared" si="30"/>
        <v>1</v>
      </c>
      <c r="N260" s="273"/>
      <c r="O260" s="61">
        <f t="shared" si="31"/>
        <v>1900</v>
      </c>
      <c r="P260" s="61">
        <f t="shared" si="32"/>
        <v>1</v>
      </c>
      <c r="R260" s="272"/>
      <c r="S260" s="272"/>
      <c r="T260" s="278" t="str">
        <f t="shared" si="33"/>
        <v>-</v>
      </c>
    </row>
    <row r="261" spans="1:20">
      <c r="A261" s="269"/>
      <c r="B261" s="53"/>
      <c r="C261" s="175"/>
      <c r="D261" s="175"/>
      <c r="E261" s="175"/>
      <c r="F261" s="177"/>
      <c r="G261" s="271"/>
      <c r="H261" s="271"/>
      <c r="I261" s="213"/>
      <c r="J261" s="213"/>
      <c r="K261" s="212">
        <f t="shared" si="28"/>
        <v>0</v>
      </c>
      <c r="L261" s="272">
        <f t="shared" si="29"/>
        <v>1900</v>
      </c>
      <c r="M261" s="272">
        <f t="shared" si="30"/>
        <v>1</v>
      </c>
      <c r="N261" s="273"/>
      <c r="O261" s="61">
        <f t="shared" si="31"/>
        <v>1900</v>
      </c>
      <c r="P261" s="61">
        <f t="shared" si="32"/>
        <v>1</v>
      </c>
      <c r="R261" s="272"/>
      <c r="S261" s="272"/>
      <c r="T261" s="278" t="str">
        <f t="shared" si="33"/>
        <v>-</v>
      </c>
    </row>
    <row r="262" spans="1:20">
      <c r="A262" s="269"/>
      <c r="B262" s="53"/>
      <c r="C262" s="175"/>
      <c r="D262" s="175"/>
      <c r="E262" s="175"/>
      <c r="F262" s="177"/>
      <c r="G262" s="271"/>
      <c r="H262" s="271"/>
      <c r="I262" s="213"/>
      <c r="J262" s="213"/>
      <c r="K262" s="212">
        <f t="shared" si="28"/>
        <v>0</v>
      </c>
      <c r="L262" s="272">
        <f t="shared" si="29"/>
        <v>1900</v>
      </c>
      <c r="M262" s="272">
        <f t="shared" si="30"/>
        <v>1</v>
      </c>
      <c r="N262" s="273"/>
      <c r="O262" s="61">
        <f t="shared" si="31"/>
        <v>1900</v>
      </c>
      <c r="P262" s="61">
        <f t="shared" si="32"/>
        <v>1</v>
      </c>
      <c r="R262" s="272"/>
      <c r="S262" s="272"/>
      <c r="T262" s="278" t="str">
        <f t="shared" si="33"/>
        <v>-</v>
      </c>
    </row>
    <row r="263" spans="1:20">
      <c r="A263" s="269"/>
      <c r="B263" s="53"/>
      <c r="C263" s="175"/>
      <c r="D263" s="175"/>
      <c r="E263" s="175"/>
      <c r="F263" s="177"/>
      <c r="G263" s="271"/>
      <c r="H263" s="271"/>
      <c r="I263" s="213"/>
      <c r="J263" s="213"/>
      <c r="K263" s="212">
        <f t="shared" si="28"/>
        <v>0</v>
      </c>
      <c r="L263" s="272">
        <f t="shared" si="29"/>
        <v>1900</v>
      </c>
      <c r="M263" s="272">
        <f t="shared" si="30"/>
        <v>1</v>
      </c>
      <c r="N263" s="273"/>
      <c r="O263" s="61">
        <f t="shared" si="31"/>
        <v>1900</v>
      </c>
      <c r="P263" s="61">
        <f t="shared" si="32"/>
        <v>1</v>
      </c>
      <c r="R263" s="272"/>
      <c r="S263" s="272"/>
      <c r="T263" s="278" t="str">
        <f t="shared" si="33"/>
        <v>-</v>
      </c>
    </row>
    <row r="264" spans="1:20">
      <c r="A264" s="269"/>
      <c r="B264" s="53"/>
      <c r="C264" s="176"/>
      <c r="D264" s="176"/>
      <c r="E264" s="175"/>
      <c r="F264" s="177"/>
      <c r="G264" s="271"/>
      <c r="H264" s="271"/>
      <c r="I264" s="213"/>
      <c r="J264" s="213"/>
      <c r="K264" s="212">
        <f t="shared" si="28"/>
        <v>0</v>
      </c>
      <c r="L264" s="272">
        <f t="shared" si="29"/>
        <v>1900</v>
      </c>
      <c r="M264" s="272">
        <f t="shared" si="30"/>
        <v>1</v>
      </c>
      <c r="N264" s="273"/>
      <c r="O264" s="61">
        <f t="shared" si="31"/>
        <v>1900</v>
      </c>
      <c r="P264" s="61">
        <f t="shared" si="32"/>
        <v>1</v>
      </c>
      <c r="R264" s="272"/>
      <c r="S264" s="272"/>
      <c r="T264" s="278" t="str">
        <f t="shared" si="33"/>
        <v>-</v>
      </c>
    </row>
    <row r="265" spans="1:20">
      <c r="A265" s="269"/>
      <c r="B265" s="53"/>
      <c r="C265" s="176"/>
      <c r="D265" s="176"/>
      <c r="E265" s="175"/>
      <c r="F265" s="177"/>
      <c r="G265" s="271"/>
      <c r="H265" s="271"/>
      <c r="I265" s="213"/>
      <c r="J265" s="213"/>
      <c r="K265" s="212">
        <f t="shared" si="28"/>
        <v>0</v>
      </c>
      <c r="L265" s="272">
        <f t="shared" si="29"/>
        <v>1900</v>
      </c>
      <c r="M265" s="272">
        <f t="shared" si="30"/>
        <v>1</v>
      </c>
      <c r="N265" s="273"/>
      <c r="O265" s="61">
        <f t="shared" si="31"/>
        <v>1900</v>
      </c>
      <c r="P265" s="61">
        <f t="shared" si="32"/>
        <v>1</v>
      </c>
      <c r="R265" s="272"/>
      <c r="S265" s="272"/>
      <c r="T265" s="278" t="str">
        <f t="shared" si="33"/>
        <v>-</v>
      </c>
    </row>
    <row r="266" spans="1:20">
      <c r="A266" s="269"/>
      <c r="B266" s="53"/>
      <c r="C266" s="176"/>
      <c r="D266" s="176"/>
      <c r="E266" s="175"/>
      <c r="F266" s="177"/>
      <c r="G266" s="271"/>
      <c r="H266" s="271"/>
      <c r="I266" s="213"/>
      <c r="J266" s="213"/>
      <c r="K266" s="212">
        <f t="shared" si="28"/>
        <v>0</v>
      </c>
      <c r="L266" s="272">
        <f t="shared" si="29"/>
        <v>1900</v>
      </c>
      <c r="M266" s="272">
        <f t="shared" si="30"/>
        <v>1</v>
      </c>
      <c r="N266" s="273"/>
      <c r="O266" s="61">
        <f t="shared" si="31"/>
        <v>1900</v>
      </c>
      <c r="P266" s="61">
        <f t="shared" si="32"/>
        <v>1</v>
      </c>
      <c r="R266" s="272"/>
      <c r="S266" s="272"/>
      <c r="T266" s="278" t="str">
        <f t="shared" si="33"/>
        <v>-</v>
      </c>
    </row>
    <row r="267" spans="1:20">
      <c r="A267" s="269"/>
      <c r="B267" s="57"/>
      <c r="C267" s="176"/>
      <c r="D267" s="176"/>
      <c r="E267" s="176"/>
      <c r="F267" s="177"/>
      <c r="G267" s="274"/>
      <c r="H267" s="271"/>
      <c r="I267" s="213"/>
      <c r="J267" s="213"/>
      <c r="K267" s="212">
        <f t="shared" si="28"/>
        <v>0</v>
      </c>
      <c r="L267" s="272">
        <f t="shared" si="29"/>
        <v>1900</v>
      </c>
      <c r="M267" s="272">
        <f t="shared" si="30"/>
        <v>1</v>
      </c>
      <c r="N267" s="273"/>
      <c r="O267" s="61">
        <f t="shared" si="31"/>
        <v>1900</v>
      </c>
      <c r="P267" s="61">
        <f t="shared" si="32"/>
        <v>1</v>
      </c>
      <c r="R267" s="272"/>
      <c r="S267" s="272"/>
      <c r="T267" s="278" t="str">
        <f t="shared" si="33"/>
        <v>-</v>
      </c>
    </row>
    <row r="268" spans="1:20">
      <c r="A268" s="269"/>
      <c r="B268" s="57"/>
      <c r="C268" s="176"/>
      <c r="D268" s="176"/>
      <c r="E268" s="176"/>
      <c r="F268" s="177"/>
      <c r="G268" s="274"/>
      <c r="H268" s="271"/>
      <c r="I268" s="213"/>
      <c r="J268" s="213"/>
      <c r="K268" s="212">
        <f t="shared" si="28"/>
        <v>0</v>
      </c>
      <c r="L268" s="272">
        <f t="shared" si="29"/>
        <v>1900</v>
      </c>
      <c r="M268" s="272">
        <f t="shared" si="30"/>
        <v>1</v>
      </c>
      <c r="N268" s="273"/>
      <c r="O268" s="61">
        <f t="shared" si="31"/>
        <v>1900</v>
      </c>
      <c r="P268" s="61">
        <f t="shared" si="32"/>
        <v>1</v>
      </c>
      <c r="R268" s="272"/>
      <c r="S268" s="272"/>
      <c r="T268" s="278" t="str">
        <f t="shared" si="33"/>
        <v>-</v>
      </c>
    </row>
    <row r="269" spans="1:20">
      <c r="A269" s="269"/>
      <c r="B269" s="57"/>
      <c r="C269" s="176"/>
      <c r="D269" s="176"/>
      <c r="E269" s="176"/>
      <c r="F269" s="177"/>
      <c r="G269" s="274"/>
      <c r="H269" s="271"/>
      <c r="I269" s="213"/>
      <c r="J269" s="213"/>
      <c r="K269" s="212">
        <f t="shared" si="28"/>
        <v>0</v>
      </c>
      <c r="L269" s="272">
        <f t="shared" si="29"/>
        <v>1900</v>
      </c>
      <c r="M269" s="272">
        <f t="shared" si="30"/>
        <v>1</v>
      </c>
      <c r="N269" s="273"/>
      <c r="O269" s="61">
        <f t="shared" si="31"/>
        <v>1900</v>
      </c>
      <c r="P269" s="61">
        <f t="shared" si="32"/>
        <v>1</v>
      </c>
      <c r="R269" s="272"/>
      <c r="S269" s="272"/>
      <c r="T269" s="278" t="str">
        <f t="shared" si="33"/>
        <v>-</v>
      </c>
    </row>
    <row r="270" spans="1:20">
      <c r="A270" s="269"/>
      <c r="B270" s="57"/>
      <c r="C270" s="176"/>
      <c r="D270" s="176"/>
      <c r="E270" s="176"/>
      <c r="F270" s="177"/>
      <c r="G270" s="274"/>
      <c r="H270" s="271"/>
      <c r="I270" s="213"/>
      <c r="J270" s="213"/>
      <c r="K270" s="212">
        <f t="shared" si="28"/>
        <v>0</v>
      </c>
      <c r="L270" s="272">
        <f t="shared" si="29"/>
        <v>1900</v>
      </c>
      <c r="M270" s="272">
        <f t="shared" si="30"/>
        <v>1</v>
      </c>
      <c r="N270" s="273"/>
      <c r="O270" s="61">
        <f t="shared" si="31"/>
        <v>1900</v>
      </c>
      <c r="P270" s="61">
        <f t="shared" si="32"/>
        <v>1</v>
      </c>
      <c r="R270" s="272"/>
      <c r="S270" s="272"/>
      <c r="T270" s="278" t="str">
        <f t="shared" si="33"/>
        <v>-</v>
      </c>
    </row>
    <row r="271" spans="1:20">
      <c r="A271" s="269"/>
      <c r="B271" s="53"/>
      <c r="C271" s="176"/>
      <c r="D271" s="176"/>
      <c r="E271" s="176"/>
      <c r="F271" s="177"/>
      <c r="G271" s="274"/>
      <c r="H271" s="271"/>
      <c r="I271" s="213"/>
      <c r="J271" s="213"/>
      <c r="K271" s="212">
        <f t="shared" ref="K271:K334" si="34">I271+H271+J271</f>
        <v>0</v>
      </c>
      <c r="L271" s="272">
        <f t="shared" si="29"/>
        <v>1900</v>
      </c>
      <c r="M271" s="272">
        <f t="shared" si="30"/>
        <v>1</v>
      </c>
      <c r="N271" s="273"/>
      <c r="O271" s="61">
        <f t="shared" si="31"/>
        <v>1900</v>
      </c>
      <c r="P271" s="61">
        <f t="shared" si="32"/>
        <v>1</v>
      </c>
      <c r="R271" s="272"/>
      <c r="S271" s="272"/>
      <c r="T271" s="278" t="str">
        <f t="shared" si="33"/>
        <v>-</v>
      </c>
    </row>
    <row r="272" spans="1:20">
      <c r="A272" s="269"/>
      <c r="B272" s="53"/>
      <c r="C272" s="176"/>
      <c r="D272" s="176"/>
      <c r="E272" s="176"/>
      <c r="F272" s="177"/>
      <c r="G272" s="274"/>
      <c r="H272" s="271"/>
      <c r="I272" s="213"/>
      <c r="J272" s="213"/>
      <c r="K272" s="212">
        <f t="shared" si="34"/>
        <v>0</v>
      </c>
      <c r="L272" s="272">
        <f t="shared" ref="L272:L335" si="35">YEAR(B272)</f>
        <v>1900</v>
      </c>
      <c r="M272" s="272">
        <f t="shared" ref="M272:M335" si="36">MONTH(B272)</f>
        <v>1</v>
      </c>
      <c r="N272" s="273"/>
      <c r="O272" s="61">
        <f t="shared" ref="O272:O335" si="37">YEAR(B272)</f>
        <v>1900</v>
      </c>
      <c r="P272" s="61">
        <f t="shared" ref="P272:P335" si="38">MONTH(B272)</f>
        <v>1</v>
      </c>
      <c r="R272" s="272"/>
      <c r="S272" s="272"/>
      <c r="T272" s="278" t="str">
        <f t="shared" ref="T272:T335" si="39">IF($E272&gt;0,IF((R272+S272)=$E272,"OK","Error"),"-")</f>
        <v>-</v>
      </c>
    </row>
    <row r="273" spans="1:20">
      <c r="A273" s="269"/>
      <c r="B273" s="53"/>
      <c r="C273" s="175"/>
      <c r="D273" s="175"/>
      <c r="E273" s="175"/>
      <c r="F273" s="177"/>
      <c r="G273" s="274"/>
      <c r="H273" s="271"/>
      <c r="I273" s="213"/>
      <c r="J273" s="213"/>
      <c r="K273" s="212">
        <f t="shared" si="34"/>
        <v>0</v>
      </c>
      <c r="L273" s="272">
        <f t="shared" si="35"/>
        <v>1900</v>
      </c>
      <c r="M273" s="272">
        <f t="shared" si="36"/>
        <v>1</v>
      </c>
      <c r="N273" s="273"/>
      <c r="O273" s="61">
        <f t="shared" si="37"/>
        <v>1900</v>
      </c>
      <c r="P273" s="61">
        <f t="shared" si="38"/>
        <v>1</v>
      </c>
      <c r="R273" s="272"/>
      <c r="S273" s="272"/>
      <c r="T273" s="278" t="str">
        <f t="shared" si="39"/>
        <v>-</v>
      </c>
    </row>
    <row r="274" spans="1:20">
      <c r="A274" s="269"/>
      <c r="B274" s="53"/>
      <c r="C274" s="176"/>
      <c r="D274" s="176"/>
      <c r="E274" s="176"/>
      <c r="F274" s="177"/>
      <c r="G274" s="274"/>
      <c r="H274" s="271"/>
      <c r="I274" s="213"/>
      <c r="J274" s="213"/>
      <c r="K274" s="212">
        <f t="shared" si="34"/>
        <v>0</v>
      </c>
      <c r="L274" s="272">
        <f t="shared" si="35"/>
        <v>1900</v>
      </c>
      <c r="M274" s="272">
        <f t="shared" si="36"/>
        <v>1</v>
      </c>
      <c r="N274" s="273"/>
      <c r="O274" s="61">
        <f t="shared" si="37"/>
        <v>1900</v>
      </c>
      <c r="P274" s="61">
        <f t="shared" si="38"/>
        <v>1</v>
      </c>
      <c r="R274" s="272"/>
      <c r="S274" s="272"/>
      <c r="T274" s="278" t="str">
        <f t="shared" si="39"/>
        <v>-</v>
      </c>
    </row>
    <row r="275" spans="1:20">
      <c r="A275" s="269"/>
      <c r="B275" s="53"/>
      <c r="C275" s="175"/>
      <c r="D275" s="175"/>
      <c r="E275" s="175"/>
      <c r="F275" s="177"/>
      <c r="G275" s="274"/>
      <c r="H275" s="271"/>
      <c r="I275" s="213"/>
      <c r="J275" s="213"/>
      <c r="K275" s="212">
        <f t="shared" si="34"/>
        <v>0</v>
      </c>
      <c r="L275" s="272">
        <f t="shared" si="35"/>
        <v>1900</v>
      </c>
      <c r="M275" s="272">
        <f t="shared" si="36"/>
        <v>1</v>
      </c>
      <c r="N275" s="273"/>
      <c r="O275" s="61">
        <f t="shared" si="37"/>
        <v>1900</v>
      </c>
      <c r="P275" s="61">
        <f t="shared" si="38"/>
        <v>1</v>
      </c>
      <c r="R275" s="272"/>
      <c r="S275" s="272"/>
      <c r="T275" s="278" t="str">
        <f t="shared" si="39"/>
        <v>-</v>
      </c>
    </row>
    <row r="276" spans="1:20">
      <c r="A276" s="269"/>
      <c r="B276" s="53"/>
      <c r="C276" s="176"/>
      <c r="D276" s="176"/>
      <c r="E276" s="176"/>
      <c r="F276" s="177"/>
      <c r="G276" s="274"/>
      <c r="H276" s="271"/>
      <c r="I276" s="213"/>
      <c r="J276" s="213"/>
      <c r="K276" s="212">
        <f t="shared" si="34"/>
        <v>0</v>
      </c>
      <c r="L276" s="272">
        <f t="shared" si="35"/>
        <v>1900</v>
      </c>
      <c r="M276" s="272">
        <f t="shared" si="36"/>
        <v>1</v>
      </c>
      <c r="N276" s="273"/>
      <c r="O276" s="61">
        <f t="shared" si="37"/>
        <v>1900</v>
      </c>
      <c r="P276" s="61">
        <f t="shared" si="38"/>
        <v>1</v>
      </c>
      <c r="R276" s="272"/>
      <c r="S276" s="272"/>
      <c r="T276" s="278" t="str">
        <f t="shared" si="39"/>
        <v>-</v>
      </c>
    </row>
    <row r="277" spans="1:20">
      <c r="A277" s="269"/>
      <c r="B277" s="53"/>
      <c r="C277" s="175"/>
      <c r="D277" s="175"/>
      <c r="E277" s="175"/>
      <c r="F277" s="177"/>
      <c r="G277" s="274"/>
      <c r="H277" s="271"/>
      <c r="I277" s="213"/>
      <c r="J277" s="213"/>
      <c r="K277" s="212">
        <f t="shared" si="34"/>
        <v>0</v>
      </c>
      <c r="L277" s="272">
        <f t="shared" si="35"/>
        <v>1900</v>
      </c>
      <c r="M277" s="272">
        <f t="shared" si="36"/>
        <v>1</v>
      </c>
      <c r="N277" s="273"/>
      <c r="O277" s="61">
        <f t="shared" si="37"/>
        <v>1900</v>
      </c>
      <c r="P277" s="61">
        <f t="shared" si="38"/>
        <v>1</v>
      </c>
      <c r="R277" s="272"/>
      <c r="S277" s="272"/>
      <c r="T277" s="278" t="str">
        <f t="shared" si="39"/>
        <v>-</v>
      </c>
    </row>
    <row r="278" spans="1:20">
      <c r="A278" s="269"/>
      <c r="B278" s="53"/>
      <c r="C278" s="54"/>
      <c r="D278" s="55"/>
      <c r="E278" s="54"/>
      <c r="F278" s="56"/>
      <c r="G278" s="274"/>
      <c r="H278" s="271"/>
      <c r="I278" s="213"/>
      <c r="J278" s="213"/>
      <c r="K278" s="212">
        <f t="shared" si="34"/>
        <v>0</v>
      </c>
      <c r="L278" s="272">
        <f t="shared" si="35"/>
        <v>1900</v>
      </c>
      <c r="M278" s="272">
        <f t="shared" si="36"/>
        <v>1</v>
      </c>
      <c r="N278" s="273"/>
      <c r="O278" s="61">
        <f t="shared" si="37"/>
        <v>1900</v>
      </c>
      <c r="P278" s="61">
        <f t="shared" si="38"/>
        <v>1</v>
      </c>
      <c r="R278" s="272"/>
      <c r="S278" s="272"/>
      <c r="T278" s="278" t="str">
        <f t="shared" si="39"/>
        <v>-</v>
      </c>
    </row>
    <row r="279" spans="1:20">
      <c r="A279" s="269"/>
      <c r="B279" s="53"/>
      <c r="C279" s="54"/>
      <c r="D279" s="55"/>
      <c r="E279" s="54"/>
      <c r="F279" s="56"/>
      <c r="G279" s="274"/>
      <c r="H279" s="271"/>
      <c r="I279" s="213"/>
      <c r="J279" s="213"/>
      <c r="K279" s="212">
        <f t="shared" si="34"/>
        <v>0</v>
      </c>
      <c r="L279" s="272">
        <f t="shared" si="35"/>
        <v>1900</v>
      </c>
      <c r="M279" s="272">
        <f t="shared" si="36"/>
        <v>1</v>
      </c>
      <c r="N279" s="273"/>
      <c r="O279" s="61">
        <f t="shared" si="37"/>
        <v>1900</v>
      </c>
      <c r="P279" s="61">
        <f t="shared" si="38"/>
        <v>1</v>
      </c>
      <c r="R279" s="272"/>
      <c r="S279" s="272"/>
      <c r="T279" s="278" t="str">
        <f t="shared" si="39"/>
        <v>-</v>
      </c>
    </row>
    <row r="280" spans="1:20">
      <c r="A280" s="269"/>
      <c r="B280" s="53"/>
      <c r="C280" s="175"/>
      <c r="D280" s="176"/>
      <c r="E280" s="175"/>
      <c r="F280" s="56"/>
      <c r="G280" s="274"/>
      <c r="H280" s="271"/>
      <c r="I280" s="213"/>
      <c r="J280" s="213"/>
      <c r="K280" s="212">
        <f t="shared" si="34"/>
        <v>0</v>
      </c>
      <c r="L280" s="272">
        <f t="shared" si="35"/>
        <v>1900</v>
      </c>
      <c r="M280" s="272">
        <f t="shared" si="36"/>
        <v>1</v>
      </c>
      <c r="N280" s="273"/>
      <c r="O280" s="61">
        <f t="shared" si="37"/>
        <v>1900</v>
      </c>
      <c r="P280" s="61">
        <f t="shared" si="38"/>
        <v>1</v>
      </c>
      <c r="R280" s="272"/>
      <c r="S280" s="272"/>
      <c r="T280" s="278" t="str">
        <f t="shared" si="39"/>
        <v>-</v>
      </c>
    </row>
    <row r="281" spans="1:20">
      <c r="A281" s="269"/>
      <c r="B281" s="53"/>
      <c r="C281" s="175"/>
      <c r="D281" s="176"/>
      <c r="E281" s="175"/>
      <c r="F281" s="56"/>
      <c r="G281" s="274"/>
      <c r="H281" s="271"/>
      <c r="I281" s="213"/>
      <c r="J281" s="213"/>
      <c r="K281" s="212">
        <f t="shared" si="34"/>
        <v>0</v>
      </c>
      <c r="L281" s="272">
        <f t="shared" si="35"/>
        <v>1900</v>
      </c>
      <c r="M281" s="272">
        <f t="shared" si="36"/>
        <v>1</v>
      </c>
      <c r="N281" s="273"/>
      <c r="O281" s="61">
        <f t="shared" si="37"/>
        <v>1900</v>
      </c>
      <c r="P281" s="61">
        <f t="shared" si="38"/>
        <v>1</v>
      </c>
      <c r="R281" s="272"/>
      <c r="S281" s="272"/>
      <c r="T281" s="278" t="str">
        <f t="shared" si="39"/>
        <v>-</v>
      </c>
    </row>
    <row r="282" spans="1:20">
      <c r="A282" s="269"/>
      <c r="B282" s="53"/>
      <c r="C282" s="175"/>
      <c r="D282" s="176"/>
      <c r="E282" s="175"/>
      <c r="F282" s="56"/>
      <c r="G282" s="274"/>
      <c r="H282" s="271"/>
      <c r="I282" s="213"/>
      <c r="J282" s="213"/>
      <c r="K282" s="212">
        <f t="shared" si="34"/>
        <v>0</v>
      </c>
      <c r="L282" s="272">
        <f t="shared" si="35"/>
        <v>1900</v>
      </c>
      <c r="M282" s="272">
        <f t="shared" si="36"/>
        <v>1</v>
      </c>
      <c r="N282" s="273"/>
      <c r="O282" s="61">
        <f t="shared" si="37"/>
        <v>1900</v>
      </c>
      <c r="P282" s="61">
        <f t="shared" si="38"/>
        <v>1</v>
      </c>
      <c r="R282" s="272"/>
      <c r="S282" s="272"/>
      <c r="T282" s="278" t="str">
        <f t="shared" si="39"/>
        <v>-</v>
      </c>
    </row>
    <row r="283" spans="1:20">
      <c r="A283" s="269"/>
      <c r="B283" s="53"/>
      <c r="C283" s="175"/>
      <c r="D283" s="176"/>
      <c r="E283" s="175"/>
      <c r="F283" s="56"/>
      <c r="G283" s="274"/>
      <c r="H283" s="271"/>
      <c r="I283" s="213"/>
      <c r="J283" s="213"/>
      <c r="K283" s="212">
        <f t="shared" si="34"/>
        <v>0</v>
      </c>
      <c r="L283" s="272">
        <f t="shared" si="35"/>
        <v>1900</v>
      </c>
      <c r="M283" s="272">
        <f t="shared" si="36"/>
        <v>1</v>
      </c>
      <c r="N283" s="273"/>
      <c r="O283" s="61">
        <f t="shared" si="37"/>
        <v>1900</v>
      </c>
      <c r="P283" s="61">
        <f t="shared" si="38"/>
        <v>1</v>
      </c>
      <c r="R283" s="272"/>
      <c r="S283" s="272"/>
      <c r="T283" s="278" t="str">
        <f t="shared" si="39"/>
        <v>-</v>
      </c>
    </row>
    <row r="284" spans="1:20">
      <c r="A284" s="269"/>
      <c r="B284" s="53"/>
      <c r="C284" s="175"/>
      <c r="D284" s="176"/>
      <c r="E284" s="175"/>
      <c r="F284" s="56"/>
      <c r="G284" s="274"/>
      <c r="H284" s="271"/>
      <c r="I284" s="213"/>
      <c r="J284" s="213"/>
      <c r="K284" s="212">
        <f t="shared" si="34"/>
        <v>0</v>
      </c>
      <c r="L284" s="272">
        <f t="shared" si="35"/>
        <v>1900</v>
      </c>
      <c r="M284" s="272">
        <f t="shared" si="36"/>
        <v>1</v>
      </c>
      <c r="N284" s="273"/>
      <c r="O284" s="61">
        <f t="shared" si="37"/>
        <v>1900</v>
      </c>
      <c r="P284" s="61">
        <f t="shared" si="38"/>
        <v>1</v>
      </c>
      <c r="R284" s="272"/>
      <c r="S284" s="272"/>
      <c r="T284" s="278" t="str">
        <f t="shared" si="39"/>
        <v>-</v>
      </c>
    </row>
    <row r="285" spans="1:20">
      <c r="A285" s="269"/>
      <c r="B285" s="53"/>
      <c r="C285" s="175"/>
      <c r="D285" s="176"/>
      <c r="E285" s="175"/>
      <c r="F285" s="56"/>
      <c r="G285" s="274"/>
      <c r="H285" s="271"/>
      <c r="I285" s="213"/>
      <c r="J285" s="213"/>
      <c r="K285" s="212">
        <f t="shared" si="34"/>
        <v>0</v>
      </c>
      <c r="L285" s="272">
        <f t="shared" si="35"/>
        <v>1900</v>
      </c>
      <c r="M285" s="272">
        <f t="shared" si="36"/>
        <v>1</v>
      </c>
      <c r="N285" s="273"/>
      <c r="O285" s="61">
        <f t="shared" si="37"/>
        <v>1900</v>
      </c>
      <c r="P285" s="61">
        <f t="shared" si="38"/>
        <v>1</v>
      </c>
      <c r="R285" s="272"/>
      <c r="S285" s="272"/>
      <c r="T285" s="278" t="str">
        <f t="shared" si="39"/>
        <v>-</v>
      </c>
    </row>
    <row r="286" spans="1:20">
      <c r="A286" s="269"/>
      <c r="B286" s="53"/>
      <c r="C286" s="175"/>
      <c r="D286" s="176"/>
      <c r="E286" s="175"/>
      <c r="F286" s="56"/>
      <c r="G286" s="274"/>
      <c r="H286" s="271"/>
      <c r="I286" s="213"/>
      <c r="J286" s="213"/>
      <c r="K286" s="212">
        <f t="shared" si="34"/>
        <v>0</v>
      </c>
      <c r="L286" s="272">
        <f t="shared" si="35"/>
        <v>1900</v>
      </c>
      <c r="M286" s="272">
        <f t="shared" si="36"/>
        <v>1</v>
      </c>
      <c r="N286" s="273"/>
      <c r="O286" s="61">
        <f t="shared" si="37"/>
        <v>1900</v>
      </c>
      <c r="P286" s="61">
        <f t="shared" si="38"/>
        <v>1</v>
      </c>
      <c r="R286" s="272"/>
      <c r="S286" s="272"/>
      <c r="T286" s="278" t="str">
        <f t="shared" si="39"/>
        <v>-</v>
      </c>
    </row>
    <row r="287" spans="1:20">
      <c r="A287" s="269"/>
      <c r="B287" s="53"/>
      <c r="C287" s="175"/>
      <c r="D287" s="176"/>
      <c r="E287" s="175"/>
      <c r="F287" s="56"/>
      <c r="G287" s="274"/>
      <c r="H287" s="271"/>
      <c r="I287" s="213"/>
      <c r="J287" s="213"/>
      <c r="K287" s="212">
        <f t="shared" si="34"/>
        <v>0</v>
      </c>
      <c r="L287" s="272">
        <f t="shared" si="35"/>
        <v>1900</v>
      </c>
      <c r="M287" s="272">
        <f t="shared" si="36"/>
        <v>1</v>
      </c>
      <c r="N287" s="273"/>
      <c r="O287" s="61">
        <f t="shared" si="37"/>
        <v>1900</v>
      </c>
      <c r="P287" s="61">
        <f t="shared" si="38"/>
        <v>1</v>
      </c>
      <c r="R287" s="272"/>
      <c r="S287" s="272"/>
      <c r="T287" s="278" t="str">
        <f t="shared" si="39"/>
        <v>-</v>
      </c>
    </row>
    <row r="288" spans="1:20">
      <c r="A288" s="269"/>
      <c r="B288" s="53"/>
      <c r="C288" s="175"/>
      <c r="D288" s="176"/>
      <c r="E288" s="175"/>
      <c r="F288" s="56"/>
      <c r="G288" s="274"/>
      <c r="H288" s="271"/>
      <c r="I288" s="213"/>
      <c r="J288" s="213"/>
      <c r="K288" s="212">
        <f t="shared" si="34"/>
        <v>0</v>
      </c>
      <c r="L288" s="272">
        <f t="shared" si="35"/>
        <v>1900</v>
      </c>
      <c r="M288" s="272">
        <f t="shared" si="36"/>
        <v>1</v>
      </c>
      <c r="N288" s="273"/>
      <c r="O288" s="61">
        <f t="shared" si="37"/>
        <v>1900</v>
      </c>
      <c r="P288" s="61">
        <f t="shared" si="38"/>
        <v>1</v>
      </c>
      <c r="R288" s="272"/>
      <c r="S288" s="272"/>
      <c r="T288" s="278" t="str">
        <f t="shared" si="39"/>
        <v>-</v>
      </c>
    </row>
    <row r="289" spans="1:20">
      <c r="A289" s="269"/>
      <c r="B289" s="53"/>
      <c r="C289" s="175"/>
      <c r="D289" s="176"/>
      <c r="E289" s="175"/>
      <c r="F289" s="56"/>
      <c r="G289" s="274"/>
      <c r="H289" s="271"/>
      <c r="I289" s="213"/>
      <c r="J289" s="213"/>
      <c r="K289" s="212">
        <f t="shared" si="34"/>
        <v>0</v>
      </c>
      <c r="L289" s="272">
        <f t="shared" si="35"/>
        <v>1900</v>
      </c>
      <c r="M289" s="272">
        <f t="shared" si="36"/>
        <v>1</v>
      </c>
      <c r="N289" s="273"/>
      <c r="O289" s="61">
        <f t="shared" si="37"/>
        <v>1900</v>
      </c>
      <c r="P289" s="61">
        <f t="shared" si="38"/>
        <v>1</v>
      </c>
      <c r="R289" s="272"/>
      <c r="S289" s="272"/>
      <c r="T289" s="278" t="str">
        <f t="shared" si="39"/>
        <v>-</v>
      </c>
    </row>
    <row r="290" spans="1:20">
      <c r="A290" s="269"/>
      <c r="B290" s="53"/>
      <c r="C290" s="175"/>
      <c r="D290" s="176"/>
      <c r="E290" s="175"/>
      <c r="F290" s="56"/>
      <c r="G290" s="274"/>
      <c r="H290" s="271"/>
      <c r="I290" s="213"/>
      <c r="J290" s="213"/>
      <c r="K290" s="212">
        <f t="shared" si="34"/>
        <v>0</v>
      </c>
      <c r="L290" s="272">
        <f t="shared" si="35"/>
        <v>1900</v>
      </c>
      <c r="M290" s="272">
        <f t="shared" si="36"/>
        <v>1</v>
      </c>
      <c r="N290" s="273"/>
      <c r="O290" s="61">
        <f t="shared" si="37"/>
        <v>1900</v>
      </c>
      <c r="P290" s="61">
        <f t="shared" si="38"/>
        <v>1</v>
      </c>
      <c r="R290" s="272"/>
      <c r="S290" s="272"/>
      <c r="T290" s="278" t="str">
        <f t="shared" si="39"/>
        <v>-</v>
      </c>
    </row>
    <row r="291" spans="1:20">
      <c r="A291" s="269"/>
      <c r="B291" s="53"/>
      <c r="C291" s="175"/>
      <c r="D291" s="176"/>
      <c r="E291" s="175"/>
      <c r="F291" s="56"/>
      <c r="G291" s="274"/>
      <c r="H291" s="271"/>
      <c r="I291" s="213"/>
      <c r="J291" s="213"/>
      <c r="K291" s="212">
        <f t="shared" si="34"/>
        <v>0</v>
      </c>
      <c r="L291" s="272">
        <f t="shared" si="35"/>
        <v>1900</v>
      </c>
      <c r="M291" s="272">
        <f t="shared" si="36"/>
        <v>1</v>
      </c>
      <c r="N291" s="273"/>
      <c r="O291" s="61">
        <f t="shared" si="37"/>
        <v>1900</v>
      </c>
      <c r="P291" s="61">
        <f t="shared" si="38"/>
        <v>1</v>
      </c>
      <c r="R291" s="272"/>
      <c r="S291" s="272"/>
      <c r="T291" s="278" t="str">
        <f t="shared" si="39"/>
        <v>-</v>
      </c>
    </row>
    <row r="292" spans="1:20">
      <c r="A292" s="269"/>
      <c r="B292" s="53"/>
      <c r="C292" s="175"/>
      <c r="D292" s="176"/>
      <c r="E292" s="175"/>
      <c r="F292" s="56"/>
      <c r="G292" s="274"/>
      <c r="H292" s="271"/>
      <c r="I292" s="213"/>
      <c r="J292" s="213"/>
      <c r="K292" s="212">
        <f t="shared" si="34"/>
        <v>0</v>
      </c>
      <c r="L292" s="272">
        <f t="shared" si="35"/>
        <v>1900</v>
      </c>
      <c r="M292" s="272">
        <f t="shared" si="36"/>
        <v>1</v>
      </c>
      <c r="N292" s="273"/>
      <c r="O292" s="61">
        <f t="shared" si="37"/>
        <v>1900</v>
      </c>
      <c r="P292" s="61">
        <f t="shared" si="38"/>
        <v>1</v>
      </c>
      <c r="R292" s="272"/>
      <c r="S292" s="272"/>
      <c r="T292" s="278" t="str">
        <f t="shared" si="39"/>
        <v>-</v>
      </c>
    </row>
    <row r="293" spans="1:20">
      <c r="A293" s="269"/>
      <c r="B293" s="53"/>
      <c r="C293" s="175"/>
      <c r="D293" s="176"/>
      <c r="E293" s="175"/>
      <c r="F293" s="56"/>
      <c r="G293" s="274"/>
      <c r="H293" s="271"/>
      <c r="I293" s="213"/>
      <c r="J293" s="213"/>
      <c r="K293" s="212">
        <f t="shared" si="34"/>
        <v>0</v>
      </c>
      <c r="L293" s="272">
        <f t="shared" si="35"/>
        <v>1900</v>
      </c>
      <c r="M293" s="272">
        <f t="shared" si="36"/>
        <v>1</v>
      </c>
      <c r="N293" s="273"/>
      <c r="O293" s="61">
        <f t="shared" si="37"/>
        <v>1900</v>
      </c>
      <c r="P293" s="61">
        <f t="shared" si="38"/>
        <v>1</v>
      </c>
      <c r="R293" s="272"/>
      <c r="S293" s="272"/>
      <c r="T293" s="278" t="str">
        <f t="shared" si="39"/>
        <v>-</v>
      </c>
    </row>
    <row r="294" spans="1:20">
      <c r="A294" s="269"/>
      <c r="B294" s="53"/>
      <c r="C294" s="175"/>
      <c r="D294" s="176"/>
      <c r="E294" s="175"/>
      <c r="F294" s="56"/>
      <c r="G294" s="274"/>
      <c r="H294" s="271"/>
      <c r="I294" s="213"/>
      <c r="J294" s="213"/>
      <c r="K294" s="212">
        <f t="shared" si="34"/>
        <v>0</v>
      </c>
      <c r="L294" s="272">
        <f t="shared" si="35"/>
        <v>1900</v>
      </c>
      <c r="M294" s="272">
        <f t="shared" si="36"/>
        <v>1</v>
      </c>
      <c r="N294" s="273"/>
      <c r="O294" s="61">
        <f t="shared" si="37"/>
        <v>1900</v>
      </c>
      <c r="P294" s="61">
        <f t="shared" si="38"/>
        <v>1</v>
      </c>
      <c r="R294" s="272"/>
      <c r="S294" s="272"/>
      <c r="T294" s="278" t="str">
        <f t="shared" si="39"/>
        <v>-</v>
      </c>
    </row>
    <row r="295" spans="1:20">
      <c r="A295" s="269"/>
      <c r="B295" s="53"/>
      <c r="C295" s="175"/>
      <c r="D295" s="176"/>
      <c r="E295" s="175"/>
      <c r="F295" s="56"/>
      <c r="G295" s="274"/>
      <c r="H295" s="271"/>
      <c r="I295" s="213"/>
      <c r="J295" s="213"/>
      <c r="K295" s="212">
        <f t="shared" si="34"/>
        <v>0</v>
      </c>
      <c r="L295" s="272">
        <f t="shared" si="35"/>
        <v>1900</v>
      </c>
      <c r="M295" s="272">
        <f t="shared" si="36"/>
        <v>1</v>
      </c>
      <c r="N295" s="273"/>
      <c r="O295" s="61">
        <f t="shared" si="37"/>
        <v>1900</v>
      </c>
      <c r="P295" s="61">
        <f t="shared" si="38"/>
        <v>1</v>
      </c>
      <c r="R295" s="272"/>
      <c r="S295" s="272"/>
      <c r="T295" s="278" t="str">
        <f t="shared" si="39"/>
        <v>-</v>
      </c>
    </row>
    <row r="296" spans="1:20">
      <c r="A296" s="269"/>
      <c r="B296" s="53"/>
      <c r="C296" s="175"/>
      <c r="D296" s="176"/>
      <c r="E296" s="175"/>
      <c r="F296" s="56"/>
      <c r="G296" s="274"/>
      <c r="H296" s="271"/>
      <c r="I296" s="213"/>
      <c r="J296" s="213"/>
      <c r="K296" s="212">
        <f t="shared" si="34"/>
        <v>0</v>
      </c>
      <c r="L296" s="272">
        <f t="shared" si="35"/>
        <v>1900</v>
      </c>
      <c r="M296" s="272">
        <f t="shared" si="36"/>
        <v>1</v>
      </c>
      <c r="N296" s="273"/>
      <c r="O296" s="61">
        <f t="shared" si="37"/>
        <v>1900</v>
      </c>
      <c r="P296" s="61">
        <f t="shared" si="38"/>
        <v>1</v>
      </c>
      <c r="R296" s="272"/>
      <c r="S296" s="272"/>
      <c r="T296" s="278" t="str">
        <f t="shared" si="39"/>
        <v>-</v>
      </c>
    </row>
    <row r="297" spans="1:20">
      <c r="A297" s="269"/>
      <c r="B297" s="53"/>
      <c r="C297" s="175"/>
      <c r="D297" s="176"/>
      <c r="E297" s="175"/>
      <c r="F297" s="56"/>
      <c r="G297" s="274"/>
      <c r="H297" s="271"/>
      <c r="I297" s="213"/>
      <c r="J297" s="213"/>
      <c r="K297" s="212">
        <f t="shared" si="34"/>
        <v>0</v>
      </c>
      <c r="L297" s="272">
        <f t="shared" si="35"/>
        <v>1900</v>
      </c>
      <c r="M297" s="272">
        <f t="shared" si="36"/>
        <v>1</v>
      </c>
      <c r="N297" s="273"/>
      <c r="O297" s="61">
        <f t="shared" si="37"/>
        <v>1900</v>
      </c>
      <c r="P297" s="61">
        <f t="shared" si="38"/>
        <v>1</v>
      </c>
      <c r="R297" s="272"/>
      <c r="S297" s="272"/>
      <c r="T297" s="278" t="str">
        <f t="shared" si="39"/>
        <v>-</v>
      </c>
    </row>
    <row r="298" spans="1:20">
      <c r="A298" s="269"/>
      <c r="B298" s="53"/>
      <c r="C298" s="175"/>
      <c r="D298" s="176"/>
      <c r="E298" s="175"/>
      <c r="F298" s="56"/>
      <c r="G298" s="274"/>
      <c r="H298" s="271"/>
      <c r="I298" s="213"/>
      <c r="J298" s="213"/>
      <c r="K298" s="212">
        <f t="shared" si="34"/>
        <v>0</v>
      </c>
      <c r="L298" s="272">
        <f t="shared" si="35"/>
        <v>1900</v>
      </c>
      <c r="M298" s="272">
        <f t="shared" si="36"/>
        <v>1</v>
      </c>
      <c r="N298" s="273"/>
      <c r="O298" s="61">
        <f t="shared" si="37"/>
        <v>1900</v>
      </c>
      <c r="P298" s="61">
        <f t="shared" si="38"/>
        <v>1</v>
      </c>
      <c r="R298" s="272"/>
      <c r="S298" s="272"/>
      <c r="T298" s="278" t="str">
        <f t="shared" si="39"/>
        <v>-</v>
      </c>
    </row>
    <row r="299" spans="1:20">
      <c r="A299" s="269"/>
      <c r="B299" s="53"/>
      <c r="C299" s="175"/>
      <c r="D299" s="176"/>
      <c r="E299" s="175"/>
      <c r="F299" s="56"/>
      <c r="G299" s="274"/>
      <c r="H299" s="271"/>
      <c r="I299" s="213"/>
      <c r="J299" s="213"/>
      <c r="K299" s="212">
        <f t="shared" si="34"/>
        <v>0</v>
      </c>
      <c r="L299" s="272">
        <f t="shared" si="35"/>
        <v>1900</v>
      </c>
      <c r="M299" s="272">
        <f t="shared" si="36"/>
        <v>1</v>
      </c>
      <c r="N299" s="273"/>
      <c r="O299" s="61">
        <f t="shared" si="37"/>
        <v>1900</v>
      </c>
      <c r="P299" s="61">
        <f t="shared" si="38"/>
        <v>1</v>
      </c>
      <c r="R299" s="272"/>
      <c r="S299" s="272"/>
      <c r="T299" s="278" t="str">
        <f t="shared" si="39"/>
        <v>-</v>
      </c>
    </row>
    <row r="300" spans="1:20">
      <c r="A300" s="269"/>
      <c r="B300" s="53"/>
      <c r="C300" s="175"/>
      <c r="D300" s="176"/>
      <c r="E300" s="175"/>
      <c r="F300" s="56"/>
      <c r="G300" s="274"/>
      <c r="H300" s="271"/>
      <c r="I300" s="213"/>
      <c r="J300" s="213"/>
      <c r="K300" s="212">
        <f t="shared" si="34"/>
        <v>0</v>
      </c>
      <c r="L300" s="272">
        <f t="shared" si="35"/>
        <v>1900</v>
      </c>
      <c r="M300" s="272">
        <f t="shared" si="36"/>
        <v>1</v>
      </c>
      <c r="N300" s="273"/>
      <c r="O300" s="61">
        <f t="shared" si="37"/>
        <v>1900</v>
      </c>
      <c r="P300" s="61">
        <f t="shared" si="38"/>
        <v>1</v>
      </c>
      <c r="R300" s="272"/>
      <c r="S300" s="272"/>
      <c r="T300" s="278" t="str">
        <f t="shared" si="39"/>
        <v>-</v>
      </c>
    </row>
    <row r="301" spans="1:20">
      <c r="A301" s="269"/>
      <c r="B301" s="53"/>
      <c r="C301" s="175"/>
      <c r="D301" s="176"/>
      <c r="E301" s="175"/>
      <c r="F301" s="56"/>
      <c r="G301" s="274"/>
      <c r="H301" s="271"/>
      <c r="I301" s="213"/>
      <c r="J301" s="213"/>
      <c r="K301" s="212">
        <f t="shared" si="34"/>
        <v>0</v>
      </c>
      <c r="L301" s="272">
        <f t="shared" si="35"/>
        <v>1900</v>
      </c>
      <c r="M301" s="272">
        <f t="shared" si="36"/>
        <v>1</v>
      </c>
      <c r="N301" s="273"/>
      <c r="O301" s="61">
        <f t="shared" si="37"/>
        <v>1900</v>
      </c>
      <c r="P301" s="61">
        <f t="shared" si="38"/>
        <v>1</v>
      </c>
      <c r="R301" s="272"/>
      <c r="S301" s="272"/>
      <c r="T301" s="278" t="str">
        <f t="shared" si="39"/>
        <v>-</v>
      </c>
    </row>
    <row r="302" spans="1:20">
      <c r="A302" s="269"/>
      <c r="B302" s="53"/>
      <c r="C302" s="175"/>
      <c r="D302" s="176"/>
      <c r="E302" s="175"/>
      <c r="F302" s="56"/>
      <c r="G302" s="274"/>
      <c r="H302" s="271"/>
      <c r="I302" s="213"/>
      <c r="J302" s="213"/>
      <c r="K302" s="212">
        <f t="shared" si="34"/>
        <v>0</v>
      </c>
      <c r="L302" s="272">
        <f t="shared" si="35"/>
        <v>1900</v>
      </c>
      <c r="M302" s="272">
        <f t="shared" si="36"/>
        <v>1</v>
      </c>
      <c r="N302" s="273"/>
      <c r="O302" s="61">
        <f t="shared" si="37"/>
        <v>1900</v>
      </c>
      <c r="P302" s="61">
        <f t="shared" si="38"/>
        <v>1</v>
      </c>
      <c r="R302" s="272"/>
      <c r="S302" s="272"/>
      <c r="T302" s="278" t="str">
        <f t="shared" si="39"/>
        <v>-</v>
      </c>
    </row>
    <row r="303" spans="1:20">
      <c r="A303" s="269"/>
      <c r="B303" s="53"/>
      <c r="C303" s="175"/>
      <c r="D303" s="176"/>
      <c r="E303" s="175"/>
      <c r="F303" s="56"/>
      <c r="G303" s="274"/>
      <c r="H303" s="271"/>
      <c r="I303" s="213"/>
      <c r="J303" s="213"/>
      <c r="K303" s="212">
        <f t="shared" si="34"/>
        <v>0</v>
      </c>
      <c r="L303" s="272">
        <f t="shared" si="35"/>
        <v>1900</v>
      </c>
      <c r="M303" s="272">
        <f t="shared" si="36"/>
        <v>1</v>
      </c>
      <c r="N303" s="273"/>
      <c r="O303" s="61">
        <f t="shared" si="37"/>
        <v>1900</v>
      </c>
      <c r="P303" s="61">
        <f t="shared" si="38"/>
        <v>1</v>
      </c>
      <c r="R303" s="272"/>
      <c r="S303" s="272"/>
      <c r="T303" s="278" t="str">
        <f t="shared" si="39"/>
        <v>-</v>
      </c>
    </row>
    <row r="304" spans="1:20">
      <c r="A304" s="269"/>
      <c r="B304" s="53"/>
      <c r="C304" s="175"/>
      <c r="D304" s="176"/>
      <c r="E304" s="175"/>
      <c r="F304" s="56"/>
      <c r="G304" s="274"/>
      <c r="H304" s="271"/>
      <c r="I304" s="213"/>
      <c r="J304" s="213"/>
      <c r="K304" s="212">
        <f t="shared" si="34"/>
        <v>0</v>
      </c>
      <c r="L304" s="272">
        <f t="shared" si="35"/>
        <v>1900</v>
      </c>
      <c r="M304" s="272">
        <f t="shared" si="36"/>
        <v>1</v>
      </c>
      <c r="N304" s="273"/>
      <c r="O304" s="61">
        <f t="shared" si="37"/>
        <v>1900</v>
      </c>
      <c r="P304" s="61">
        <f t="shared" si="38"/>
        <v>1</v>
      </c>
      <c r="R304" s="272"/>
      <c r="S304" s="272"/>
      <c r="T304" s="278" t="str">
        <f t="shared" si="39"/>
        <v>-</v>
      </c>
    </row>
    <row r="305" spans="1:20">
      <c r="A305" s="269"/>
      <c r="B305" s="53"/>
      <c r="C305" s="175"/>
      <c r="D305" s="176"/>
      <c r="E305" s="175"/>
      <c r="F305" s="56"/>
      <c r="G305" s="274"/>
      <c r="H305" s="271"/>
      <c r="I305" s="213"/>
      <c r="J305" s="213"/>
      <c r="K305" s="212">
        <f t="shared" si="34"/>
        <v>0</v>
      </c>
      <c r="L305" s="272">
        <f t="shared" si="35"/>
        <v>1900</v>
      </c>
      <c r="M305" s="272">
        <f t="shared" si="36"/>
        <v>1</v>
      </c>
      <c r="N305" s="273"/>
      <c r="O305" s="61">
        <f t="shared" si="37"/>
        <v>1900</v>
      </c>
      <c r="P305" s="61">
        <f t="shared" si="38"/>
        <v>1</v>
      </c>
      <c r="R305" s="272"/>
      <c r="S305" s="272"/>
      <c r="T305" s="278" t="str">
        <f t="shared" si="39"/>
        <v>-</v>
      </c>
    </row>
    <row r="306" spans="1:20">
      <c r="A306" s="269"/>
      <c r="B306" s="53"/>
      <c r="C306" s="175"/>
      <c r="D306" s="176"/>
      <c r="E306" s="175"/>
      <c r="F306" s="56"/>
      <c r="G306" s="274"/>
      <c r="H306" s="271"/>
      <c r="I306" s="213"/>
      <c r="J306" s="213"/>
      <c r="K306" s="212">
        <f t="shared" si="34"/>
        <v>0</v>
      </c>
      <c r="L306" s="272">
        <f t="shared" si="35"/>
        <v>1900</v>
      </c>
      <c r="M306" s="272">
        <f t="shared" si="36"/>
        <v>1</v>
      </c>
      <c r="N306" s="273"/>
      <c r="O306" s="61">
        <f t="shared" si="37"/>
        <v>1900</v>
      </c>
      <c r="P306" s="61">
        <f t="shared" si="38"/>
        <v>1</v>
      </c>
      <c r="R306" s="272"/>
      <c r="S306" s="272"/>
      <c r="T306" s="278" t="str">
        <f t="shared" si="39"/>
        <v>-</v>
      </c>
    </row>
    <row r="307" spans="1:20">
      <c r="A307" s="269"/>
      <c r="B307" s="53"/>
      <c r="C307" s="175"/>
      <c r="D307" s="176"/>
      <c r="E307" s="175"/>
      <c r="F307" s="56"/>
      <c r="G307" s="274"/>
      <c r="H307" s="271"/>
      <c r="I307" s="213"/>
      <c r="J307" s="213"/>
      <c r="K307" s="212">
        <f t="shared" si="34"/>
        <v>0</v>
      </c>
      <c r="L307" s="272">
        <f t="shared" si="35"/>
        <v>1900</v>
      </c>
      <c r="M307" s="272">
        <f t="shared" si="36"/>
        <v>1</v>
      </c>
      <c r="N307" s="273"/>
      <c r="O307" s="61">
        <f t="shared" si="37"/>
        <v>1900</v>
      </c>
      <c r="P307" s="61">
        <f t="shared" si="38"/>
        <v>1</v>
      </c>
      <c r="R307" s="272"/>
      <c r="S307" s="272"/>
      <c r="T307" s="278" t="str">
        <f t="shared" si="39"/>
        <v>-</v>
      </c>
    </row>
    <row r="308" spans="1:20">
      <c r="A308" s="269"/>
      <c r="B308" s="53"/>
      <c r="C308" s="175"/>
      <c r="D308" s="176"/>
      <c r="E308" s="175"/>
      <c r="F308" s="56"/>
      <c r="G308" s="274"/>
      <c r="H308" s="271"/>
      <c r="I308" s="213"/>
      <c r="J308" s="213"/>
      <c r="K308" s="212">
        <f t="shared" si="34"/>
        <v>0</v>
      </c>
      <c r="L308" s="272">
        <f t="shared" si="35"/>
        <v>1900</v>
      </c>
      <c r="M308" s="272">
        <f t="shared" si="36"/>
        <v>1</v>
      </c>
      <c r="N308" s="273"/>
      <c r="O308" s="61">
        <f t="shared" si="37"/>
        <v>1900</v>
      </c>
      <c r="P308" s="61">
        <f t="shared" si="38"/>
        <v>1</v>
      </c>
      <c r="R308" s="272"/>
      <c r="S308" s="272"/>
      <c r="T308" s="278" t="str">
        <f t="shared" si="39"/>
        <v>-</v>
      </c>
    </row>
    <row r="309" spans="1:20">
      <c r="A309" s="269"/>
      <c r="B309" s="53"/>
      <c r="C309" s="175"/>
      <c r="D309" s="176"/>
      <c r="E309" s="175"/>
      <c r="F309" s="56"/>
      <c r="G309" s="274"/>
      <c r="H309" s="271"/>
      <c r="I309" s="213"/>
      <c r="J309" s="213"/>
      <c r="K309" s="212">
        <f t="shared" si="34"/>
        <v>0</v>
      </c>
      <c r="L309" s="272">
        <f t="shared" si="35"/>
        <v>1900</v>
      </c>
      <c r="M309" s="272">
        <f t="shared" si="36"/>
        <v>1</v>
      </c>
      <c r="N309" s="273"/>
      <c r="O309" s="61">
        <f t="shared" si="37"/>
        <v>1900</v>
      </c>
      <c r="P309" s="61">
        <f t="shared" si="38"/>
        <v>1</v>
      </c>
      <c r="R309" s="272"/>
      <c r="S309" s="272"/>
      <c r="T309" s="278" t="str">
        <f t="shared" si="39"/>
        <v>-</v>
      </c>
    </row>
    <row r="310" spans="1:20">
      <c r="A310" s="269"/>
      <c r="B310" s="53"/>
      <c r="C310" s="175"/>
      <c r="D310" s="176"/>
      <c r="E310" s="175"/>
      <c r="F310" s="56"/>
      <c r="G310" s="274"/>
      <c r="H310" s="271"/>
      <c r="I310" s="213"/>
      <c r="J310" s="213"/>
      <c r="K310" s="212">
        <f t="shared" si="34"/>
        <v>0</v>
      </c>
      <c r="L310" s="272">
        <f t="shared" si="35"/>
        <v>1900</v>
      </c>
      <c r="M310" s="272">
        <f t="shared" si="36"/>
        <v>1</v>
      </c>
      <c r="N310" s="273"/>
      <c r="O310" s="61">
        <f t="shared" si="37"/>
        <v>1900</v>
      </c>
      <c r="P310" s="61">
        <f t="shared" si="38"/>
        <v>1</v>
      </c>
      <c r="R310" s="272"/>
      <c r="S310" s="272"/>
      <c r="T310" s="278" t="str">
        <f t="shared" si="39"/>
        <v>-</v>
      </c>
    </row>
    <row r="311" spans="1:20">
      <c r="A311" s="269"/>
      <c r="B311" s="53"/>
      <c r="C311" s="175"/>
      <c r="D311" s="176"/>
      <c r="E311" s="175"/>
      <c r="F311" s="56"/>
      <c r="G311" s="274"/>
      <c r="H311" s="271"/>
      <c r="I311" s="213"/>
      <c r="J311" s="213"/>
      <c r="K311" s="212">
        <f t="shared" si="34"/>
        <v>0</v>
      </c>
      <c r="L311" s="272">
        <f t="shared" si="35"/>
        <v>1900</v>
      </c>
      <c r="M311" s="272">
        <f t="shared" si="36"/>
        <v>1</v>
      </c>
      <c r="N311" s="273"/>
      <c r="O311" s="61">
        <f t="shared" si="37"/>
        <v>1900</v>
      </c>
      <c r="P311" s="61">
        <f t="shared" si="38"/>
        <v>1</v>
      </c>
      <c r="R311" s="272"/>
      <c r="S311" s="272"/>
      <c r="T311" s="278" t="str">
        <f t="shared" si="39"/>
        <v>-</v>
      </c>
    </row>
    <row r="312" spans="1:20">
      <c r="A312" s="269"/>
      <c r="B312" s="53"/>
      <c r="C312" s="175"/>
      <c r="D312" s="176"/>
      <c r="E312" s="175"/>
      <c r="F312" s="56"/>
      <c r="G312" s="274"/>
      <c r="H312" s="271"/>
      <c r="I312" s="213"/>
      <c r="J312" s="213"/>
      <c r="K312" s="212">
        <f t="shared" si="34"/>
        <v>0</v>
      </c>
      <c r="L312" s="272">
        <f t="shared" si="35"/>
        <v>1900</v>
      </c>
      <c r="M312" s="272">
        <f t="shared" si="36"/>
        <v>1</v>
      </c>
      <c r="N312" s="273"/>
      <c r="O312" s="61">
        <f t="shared" si="37"/>
        <v>1900</v>
      </c>
      <c r="P312" s="61">
        <f t="shared" si="38"/>
        <v>1</v>
      </c>
      <c r="R312" s="272"/>
      <c r="S312" s="272"/>
      <c r="T312" s="278" t="str">
        <f t="shared" si="39"/>
        <v>-</v>
      </c>
    </row>
    <row r="313" spans="1:20">
      <c r="A313" s="269"/>
      <c r="B313" s="53"/>
      <c r="C313" s="175"/>
      <c r="D313" s="176"/>
      <c r="E313" s="175"/>
      <c r="F313" s="56"/>
      <c r="G313" s="274"/>
      <c r="H313" s="271"/>
      <c r="I313" s="213"/>
      <c r="J313" s="213"/>
      <c r="K313" s="212">
        <f t="shared" si="34"/>
        <v>0</v>
      </c>
      <c r="L313" s="272">
        <f t="shared" si="35"/>
        <v>1900</v>
      </c>
      <c r="M313" s="272">
        <f t="shared" si="36"/>
        <v>1</v>
      </c>
      <c r="N313" s="273"/>
      <c r="O313" s="61">
        <f t="shared" si="37"/>
        <v>1900</v>
      </c>
      <c r="P313" s="61">
        <f t="shared" si="38"/>
        <v>1</v>
      </c>
      <c r="R313" s="272"/>
      <c r="S313" s="272"/>
      <c r="T313" s="278" t="str">
        <f t="shared" si="39"/>
        <v>-</v>
      </c>
    </row>
    <row r="314" spans="1:20">
      <c r="A314" s="269"/>
      <c r="B314" s="53"/>
      <c r="C314" s="175"/>
      <c r="D314" s="176"/>
      <c r="E314" s="175"/>
      <c r="F314" s="56"/>
      <c r="G314" s="274"/>
      <c r="H314" s="271"/>
      <c r="I314" s="213"/>
      <c r="J314" s="213"/>
      <c r="K314" s="212">
        <f t="shared" si="34"/>
        <v>0</v>
      </c>
      <c r="L314" s="272">
        <f t="shared" si="35"/>
        <v>1900</v>
      </c>
      <c r="M314" s="272">
        <f t="shared" si="36"/>
        <v>1</v>
      </c>
      <c r="N314" s="273"/>
      <c r="O314" s="61">
        <f t="shared" si="37"/>
        <v>1900</v>
      </c>
      <c r="P314" s="61">
        <f t="shared" si="38"/>
        <v>1</v>
      </c>
      <c r="R314" s="272"/>
      <c r="S314" s="272"/>
      <c r="T314" s="278" t="str">
        <f t="shared" si="39"/>
        <v>-</v>
      </c>
    </row>
    <row r="315" spans="1:20">
      <c r="A315" s="269"/>
      <c r="B315" s="53"/>
      <c r="C315" s="175"/>
      <c r="D315" s="176"/>
      <c r="E315" s="175"/>
      <c r="F315" s="56"/>
      <c r="G315" s="274"/>
      <c r="H315" s="271"/>
      <c r="I315" s="213"/>
      <c r="J315" s="213"/>
      <c r="K315" s="212">
        <f t="shared" si="34"/>
        <v>0</v>
      </c>
      <c r="L315" s="272">
        <f t="shared" si="35"/>
        <v>1900</v>
      </c>
      <c r="M315" s="272">
        <f t="shared" si="36"/>
        <v>1</v>
      </c>
      <c r="N315" s="273"/>
      <c r="O315" s="61">
        <f t="shared" si="37"/>
        <v>1900</v>
      </c>
      <c r="P315" s="61">
        <f t="shared" si="38"/>
        <v>1</v>
      </c>
      <c r="R315" s="272"/>
      <c r="S315" s="272"/>
      <c r="T315" s="278" t="str">
        <f t="shared" si="39"/>
        <v>-</v>
      </c>
    </row>
    <row r="316" spans="1:20">
      <c r="A316" s="269"/>
      <c r="B316" s="53"/>
      <c r="C316" s="175"/>
      <c r="D316" s="176"/>
      <c r="E316" s="175"/>
      <c r="F316" s="56"/>
      <c r="G316" s="274"/>
      <c r="H316" s="271"/>
      <c r="I316" s="213"/>
      <c r="J316" s="213"/>
      <c r="K316" s="212">
        <f t="shared" si="34"/>
        <v>0</v>
      </c>
      <c r="L316" s="272">
        <f t="shared" si="35"/>
        <v>1900</v>
      </c>
      <c r="M316" s="272">
        <f t="shared" si="36"/>
        <v>1</v>
      </c>
      <c r="N316" s="273"/>
      <c r="O316" s="61">
        <f t="shared" si="37"/>
        <v>1900</v>
      </c>
      <c r="P316" s="61">
        <f t="shared" si="38"/>
        <v>1</v>
      </c>
      <c r="R316" s="272"/>
      <c r="S316" s="272"/>
      <c r="T316" s="278" t="str">
        <f t="shared" si="39"/>
        <v>-</v>
      </c>
    </row>
    <row r="317" spans="1:20">
      <c r="A317" s="269"/>
      <c r="B317" s="53"/>
      <c r="C317" s="175"/>
      <c r="D317" s="176"/>
      <c r="E317" s="175"/>
      <c r="F317" s="56"/>
      <c r="G317" s="274"/>
      <c r="H317" s="271"/>
      <c r="I317" s="213"/>
      <c r="J317" s="213"/>
      <c r="K317" s="212">
        <f t="shared" si="34"/>
        <v>0</v>
      </c>
      <c r="L317" s="272">
        <f t="shared" si="35"/>
        <v>1900</v>
      </c>
      <c r="M317" s="272">
        <f t="shared" si="36"/>
        <v>1</v>
      </c>
      <c r="N317" s="273"/>
      <c r="O317" s="61">
        <f t="shared" si="37"/>
        <v>1900</v>
      </c>
      <c r="P317" s="61">
        <f t="shared" si="38"/>
        <v>1</v>
      </c>
      <c r="R317" s="272"/>
      <c r="S317" s="272"/>
      <c r="T317" s="278" t="str">
        <f t="shared" si="39"/>
        <v>-</v>
      </c>
    </row>
    <row r="318" spans="1:20">
      <c r="A318" s="269"/>
      <c r="B318" s="53"/>
      <c r="C318" s="175"/>
      <c r="D318" s="176"/>
      <c r="E318" s="175"/>
      <c r="F318" s="56"/>
      <c r="G318" s="274"/>
      <c r="H318" s="271"/>
      <c r="I318" s="213"/>
      <c r="J318" s="213"/>
      <c r="K318" s="212">
        <f t="shared" si="34"/>
        <v>0</v>
      </c>
      <c r="L318" s="272">
        <f t="shared" si="35"/>
        <v>1900</v>
      </c>
      <c r="M318" s="272">
        <f t="shared" si="36"/>
        <v>1</v>
      </c>
      <c r="N318" s="273"/>
      <c r="O318" s="61">
        <f t="shared" si="37"/>
        <v>1900</v>
      </c>
      <c r="P318" s="61">
        <f t="shared" si="38"/>
        <v>1</v>
      </c>
      <c r="R318" s="272"/>
      <c r="S318" s="272"/>
      <c r="T318" s="278" t="str">
        <f t="shared" si="39"/>
        <v>-</v>
      </c>
    </row>
    <row r="319" spans="1:20">
      <c r="A319" s="269"/>
      <c r="B319" s="53"/>
      <c r="C319" s="175"/>
      <c r="D319" s="176"/>
      <c r="E319" s="175"/>
      <c r="F319" s="56"/>
      <c r="G319" s="274"/>
      <c r="H319" s="271"/>
      <c r="I319" s="213"/>
      <c r="J319" s="213"/>
      <c r="K319" s="212">
        <f t="shared" si="34"/>
        <v>0</v>
      </c>
      <c r="L319" s="272">
        <f t="shared" si="35"/>
        <v>1900</v>
      </c>
      <c r="M319" s="272">
        <f t="shared" si="36"/>
        <v>1</v>
      </c>
      <c r="N319" s="273"/>
      <c r="O319" s="61">
        <f t="shared" si="37"/>
        <v>1900</v>
      </c>
      <c r="P319" s="61">
        <f t="shared" si="38"/>
        <v>1</v>
      </c>
      <c r="R319" s="272"/>
      <c r="S319" s="272"/>
      <c r="T319" s="278" t="str">
        <f t="shared" si="39"/>
        <v>-</v>
      </c>
    </row>
    <row r="320" spans="1:20">
      <c r="A320" s="269"/>
      <c r="B320" s="53"/>
      <c r="C320" s="175"/>
      <c r="D320" s="176"/>
      <c r="E320" s="175"/>
      <c r="F320" s="56"/>
      <c r="G320" s="274"/>
      <c r="H320" s="271"/>
      <c r="I320" s="213"/>
      <c r="J320" s="213"/>
      <c r="K320" s="212">
        <f t="shared" si="34"/>
        <v>0</v>
      </c>
      <c r="L320" s="272">
        <f t="shared" si="35"/>
        <v>1900</v>
      </c>
      <c r="M320" s="272">
        <f t="shared" si="36"/>
        <v>1</v>
      </c>
      <c r="N320" s="273"/>
      <c r="O320" s="61">
        <f t="shared" si="37"/>
        <v>1900</v>
      </c>
      <c r="P320" s="61">
        <f t="shared" si="38"/>
        <v>1</v>
      </c>
      <c r="R320" s="272"/>
      <c r="S320" s="272"/>
      <c r="T320" s="278" t="str">
        <f t="shared" si="39"/>
        <v>-</v>
      </c>
    </row>
    <row r="321" spans="1:20">
      <c r="A321" s="269"/>
      <c r="B321" s="53"/>
      <c r="C321" s="175"/>
      <c r="D321" s="176"/>
      <c r="E321" s="175"/>
      <c r="F321" s="56"/>
      <c r="G321" s="274"/>
      <c r="H321" s="271"/>
      <c r="I321" s="213"/>
      <c r="J321" s="213"/>
      <c r="K321" s="212">
        <f t="shared" si="34"/>
        <v>0</v>
      </c>
      <c r="L321" s="272">
        <f t="shared" si="35"/>
        <v>1900</v>
      </c>
      <c r="M321" s="272">
        <f t="shared" si="36"/>
        <v>1</v>
      </c>
      <c r="N321" s="273"/>
      <c r="O321" s="61">
        <f t="shared" si="37"/>
        <v>1900</v>
      </c>
      <c r="P321" s="61">
        <f t="shared" si="38"/>
        <v>1</v>
      </c>
      <c r="R321" s="272"/>
      <c r="S321" s="272"/>
      <c r="T321" s="278" t="str">
        <f t="shared" si="39"/>
        <v>-</v>
      </c>
    </row>
    <row r="322" spans="1:20">
      <c r="A322" s="269"/>
      <c r="B322" s="53"/>
      <c r="C322" s="175"/>
      <c r="D322" s="176"/>
      <c r="E322" s="175"/>
      <c r="F322" s="56"/>
      <c r="G322" s="274"/>
      <c r="H322" s="271"/>
      <c r="I322" s="213"/>
      <c r="J322" s="213"/>
      <c r="K322" s="212">
        <f t="shared" si="34"/>
        <v>0</v>
      </c>
      <c r="L322" s="272">
        <f t="shared" si="35"/>
        <v>1900</v>
      </c>
      <c r="M322" s="272">
        <f t="shared" si="36"/>
        <v>1</v>
      </c>
      <c r="N322" s="273"/>
      <c r="O322" s="61">
        <f t="shared" si="37"/>
        <v>1900</v>
      </c>
      <c r="P322" s="61">
        <f t="shared" si="38"/>
        <v>1</v>
      </c>
      <c r="R322" s="272"/>
      <c r="S322" s="272"/>
      <c r="T322" s="278" t="str">
        <f t="shared" si="39"/>
        <v>-</v>
      </c>
    </row>
    <row r="323" spans="1:20">
      <c r="A323" s="269"/>
      <c r="B323" s="53"/>
      <c r="C323" s="175"/>
      <c r="D323" s="176"/>
      <c r="E323" s="175"/>
      <c r="F323" s="56"/>
      <c r="G323" s="274"/>
      <c r="H323" s="271"/>
      <c r="I323" s="213"/>
      <c r="J323" s="213"/>
      <c r="K323" s="212">
        <f t="shared" si="34"/>
        <v>0</v>
      </c>
      <c r="L323" s="272">
        <f t="shared" si="35"/>
        <v>1900</v>
      </c>
      <c r="M323" s="272">
        <f t="shared" si="36"/>
        <v>1</v>
      </c>
      <c r="N323" s="273"/>
      <c r="O323" s="61">
        <f t="shared" si="37"/>
        <v>1900</v>
      </c>
      <c r="P323" s="61">
        <f t="shared" si="38"/>
        <v>1</v>
      </c>
      <c r="R323" s="272"/>
      <c r="S323" s="272"/>
      <c r="T323" s="278" t="str">
        <f t="shared" si="39"/>
        <v>-</v>
      </c>
    </row>
    <row r="324" spans="1:20">
      <c r="A324" s="269"/>
      <c r="B324" s="53"/>
      <c r="C324" s="175"/>
      <c r="D324" s="176"/>
      <c r="E324" s="175"/>
      <c r="F324" s="56"/>
      <c r="G324" s="274"/>
      <c r="H324" s="271"/>
      <c r="I324" s="213"/>
      <c r="J324" s="213"/>
      <c r="K324" s="212">
        <f t="shared" si="34"/>
        <v>0</v>
      </c>
      <c r="L324" s="272">
        <f t="shared" si="35"/>
        <v>1900</v>
      </c>
      <c r="M324" s="272">
        <f t="shared" si="36"/>
        <v>1</v>
      </c>
      <c r="N324" s="273"/>
      <c r="O324" s="61">
        <f t="shared" si="37"/>
        <v>1900</v>
      </c>
      <c r="P324" s="61">
        <f t="shared" si="38"/>
        <v>1</v>
      </c>
      <c r="R324" s="272"/>
      <c r="S324" s="272"/>
      <c r="T324" s="278" t="str">
        <f t="shared" si="39"/>
        <v>-</v>
      </c>
    </row>
    <row r="325" spans="1:20">
      <c r="A325" s="269"/>
      <c r="B325" s="53"/>
      <c r="C325" s="175"/>
      <c r="D325" s="176"/>
      <c r="E325" s="175"/>
      <c r="F325" s="56"/>
      <c r="G325" s="274"/>
      <c r="H325" s="271"/>
      <c r="I325" s="213"/>
      <c r="J325" s="213"/>
      <c r="K325" s="212">
        <f t="shared" si="34"/>
        <v>0</v>
      </c>
      <c r="L325" s="272">
        <f t="shared" si="35"/>
        <v>1900</v>
      </c>
      <c r="M325" s="272">
        <f t="shared" si="36"/>
        <v>1</v>
      </c>
      <c r="N325" s="273"/>
      <c r="O325" s="61">
        <f t="shared" si="37"/>
        <v>1900</v>
      </c>
      <c r="P325" s="61">
        <f t="shared" si="38"/>
        <v>1</v>
      </c>
      <c r="R325" s="272"/>
      <c r="S325" s="272"/>
      <c r="T325" s="278" t="str">
        <f t="shared" si="39"/>
        <v>-</v>
      </c>
    </row>
    <row r="326" spans="1:20">
      <c r="A326" s="269"/>
      <c r="B326" s="53"/>
      <c r="C326" s="175"/>
      <c r="D326" s="176"/>
      <c r="E326" s="175"/>
      <c r="F326" s="56"/>
      <c r="G326" s="274"/>
      <c r="H326" s="271"/>
      <c r="I326" s="213"/>
      <c r="J326" s="213"/>
      <c r="K326" s="212">
        <f t="shared" si="34"/>
        <v>0</v>
      </c>
      <c r="L326" s="272">
        <f t="shared" si="35"/>
        <v>1900</v>
      </c>
      <c r="M326" s="272">
        <f t="shared" si="36"/>
        <v>1</v>
      </c>
      <c r="N326" s="273"/>
      <c r="O326" s="61">
        <f t="shared" si="37"/>
        <v>1900</v>
      </c>
      <c r="P326" s="61">
        <f t="shared" si="38"/>
        <v>1</v>
      </c>
      <c r="R326" s="272"/>
      <c r="S326" s="272"/>
      <c r="T326" s="278" t="str">
        <f t="shared" si="39"/>
        <v>-</v>
      </c>
    </row>
    <row r="327" spans="1:20">
      <c r="A327" s="269"/>
      <c r="B327" s="53"/>
      <c r="C327" s="175"/>
      <c r="D327" s="176"/>
      <c r="E327" s="175"/>
      <c r="F327" s="56"/>
      <c r="G327" s="274"/>
      <c r="H327" s="271"/>
      <c r="I327" s="213"/>
      <c r="J327" s="213"/>
      <c r="K327" s="212">
        <f t="shared" si="34"/>
        <v>0</v>
      </c>
      <c r="L327" s="272">
        <f t="shared" si="35"/>
        <v>1900</v>
      </c>
      <c r="M327" s="272">
        <f t="shared" si="36"/>
        <v>1</v>
      </c>
      <c r="N327" s="273"/>
      <c r="O327" s="61">
        <f t="shared" si="37"/>
        <v>1900</v>
      </c>
      <c r="P327" s="61">
        <f t="shared" si="38"/>
        <v>1</v>
      </c>
      <c r="R327" s="272"/>
      <c r="S327" s="272"/>
      <c r="T327" s="278" t="str">
        <f t="shared" si="39"/>
        <v>-</v>
      </c>
    </row>
    <row r="328" spans="1:20">
      <c r="A328" s="269"/>
      <c r="B328" s="53"/>
      <c r="C328" s="175"/>
      <c r="D328" s="176"/>
      <c r="E328" s="175"/>
      <c r="F328" s="56"/>
      <c r="G328" s="274"/>
      <c r="H328" s="271"/>
      <c r="I328" s="213"/>
      <c r="J328" s="213"/>
      <c r="K328" s="212">
        <f t="shared" si="34"/>
        <v>0</v>
      </c>
      <c r="L328" s="272">
        <f t="shared" si="35"/>
        <v>1900</v>
      </c>
      <c r="M328" s="272">
        <f t="shared" si="36"/>
        <v>1</v>
      </c>
      <c r="N328" s="273"/>
      <c r="O328" s="61">
        <f t="shared" si="37"/>
        <v>1900</v>
      </c>
      <c r="P328" s="61">
        <f t="shared" si="38"/>
        <v>1</v>
      </c>
      <c r="R328" s="272"/>
      <c r="S328" s="272"/>
      <c r="T328" s="278" t="str">
        <f t="shared" si="39"/>
        <v>-</v>
      </c>
    </row>
    <row r="329" spans="1:20">
      <c r="A329" s="269"/>
      <c r="B329" s="57"/>
      <c r="C329" s="176"/>
      <c r="D329" s="176"/>
      <c r="E329" s="176"/>
      <c r="F329" s="56"/>
      <c r="G329" s="274"/>
      <c r="H329" s="271"/>
      <c r="I329" s="213"/>
      <c r="J329" s="213"/>
      <c r="K329" s="212">
        <f t="shared" si="34"/>
        <v>0</v>
      </c>
      <c r="L329" s="272">
        <f t="shared" si="35"/>
        <v>1900</v>
      </c>
      <c r="M329" s="272">
        <f t="shared" si="36"/>
        <v>1</v>
      </c>
      <c r="N329" s="273"/>
      <c r="O329" s="61">
        <f t="shared" si="37"/>
        <v>1900</v>
      </c>
      <c r="P329" s="61">
        <f t="shared" si="38"/>
        <v>1</v>
      </c>
      <c r="R329" s="272"/>
      <c r="S329" s="272"/>
      <c r="T329" s="278" t="str">
        <f t="shared" si="39"/>
        <v>-</v>
      </c>
    </row>
    <row r="330" spans="1:20">
      <c r="A330" s="269"/>
      <c r="B330" s="57"/>
      <c r="C330" s="176"/>
      <c r="D330" s="176"/>
      <c r="E330" s="176"/>
      <c r="F330" s="56"/>
      <c r="G330" s="274"/>
      <c r="H330" s="271"/>
      <c r="I330" s="213"/>
      <c r="J330" s="213"/>
      <c r="K330" s="212">
        <f t="shared" si="34"/>
        <v>0</v>
      </c>
      <c r="L330" s="272">
        <f t="shared" si="35"/>
        <v>1900</v>
      </c>
      <c r="M330" s="272">
        <f t="shared" si="36"/>
        <v>1</v>
      </c>
      <c r="N330" s="273"/>
      <c r="O330" s="61">
        <f t="shared" si="37"/>
        <v>1900</v>
      </c>
      <c r="P330" s="61">
        <f t="shared" si="38"/>
        <v>1</v>
      </c>
      <c r="R330" s="272"/>
      <c r="S330" s="272"/>
      <c r="T330" s="278" t="str">
        <f t="shared" si="39"/>
        <v>-</v>
      </c>
    </row>
    <row r="331" spans="1:20">
      <c r="A331" s="269"/>
      <c r="B331" s="57"/>
      <c r="C331" s="176"/>
      <c r="D331" s="176"/>
      <c r="E331" s="176"/>
      <c r="F331" s="56"/>
      <c r="G331" s="274"/>
      <c r="H331" s="271"/>
      <c r="I331" s="213"/>
      <c r="J331" s="213"/>
      <c r="K331" s="212">
        <f t="shared" si="34"/>
        <v>0</v>
      </c>
      <c r="L331" s="272">
        <f t="shared" si="35"/>
        <v>1900</v>
      </c>
      <c r="M331" s="272">
        <f t="shared" si="36"/>
        <v>1</v>
      </c>
      <c r="N331" s="273"/>
      <c r="O331" s="61">
        <f t="shared" si="37"/>
        <v>1900</v>
      </c>
      <c r="P331" s="61">
        <f t="shared" si="38"/>
        <v>1</v>
      </c>
      <c r="R331" s="272"/>
      <c r="S331" s="272"/>
      <c r="T331" s="278" t="str">
        <f t="shared" si="39"/>
        <v>-</v>
      </c>
    </row>
    <row r="332" spans="1:20">
      <c r="A332" s="269"/>
      <c r="B332" s="57"/>
      <c r="C332" s="176"/>
      <c r="D332" s="176"/>
      <c r="E332" s="176"/>
      <c r="F332" s="56"/>
      <c r="G332" s="274"/>
      <c r="H332" s="271"/>
      <c r="I332" s="213"/>
      <c r="J332" s="213"/>
      <c r="K332" s="212">
        <f t="shared" si="34"/>
        <v>0</v>
      </c>
      <c r="L332" s="272">
        <f t="shared" si="35"/>
        <v>1900</v>
      </c>
      <c r="M332" s="272">
        <f t="shared" si="36"/>
        <v>1</v>
      </c>
      <c r="N332" s="273"/>
      <c r="O332" s="61">
        <f t="shared" si="37"/>
        <v>1900</v>
      </c>
      <c r="P332" s="61">
        <f t="shared" si="38"/>
        <v>1</v>
      </c>
      <c r="R332" s="272"/>
      <c r="S332" s="272"/>
      <c r="T332" s="278" t="str">
        <f t="shared" si="39"/>
        <v>-</v>
      </c>
    </row>
    <row r="333" spans="1:20">
      <c r="A333" s="269"/>
      <c r="B333" s="57"/>
      <c r="C333" s="176"/>
      <c r="D333" s="176"/>
      <c r="E333" s="176"/>
      <c r="F333" s="56"/>
      <c r="G333" s="274"/>
      <c r="H333" s="271"/>
      <c r="I333" s="213"/>
      <c r="J333" s="213"/>
      <c r="K333" s="212">
        <f t="shared" si="34"/>
        <v>0</v>
      </c>
      <c r="L333" s="272">
        <f t="shared" si="35"/>
        <v>1900</v>
      </c>
      <c r="M333" s="272">
        <f t="shared" si="36"/>
        <v>1</v>
      </c>
      <c r="N333" s="273"/>
      <c r="O333" s="61">
        <f t="shared" si="37"/>
        <v>1900</v>
      </c>
      <c r="P333" s="61">
        <f t="shared" si="38"/>
        <v>1</v>
      </c>
      <c r="R333" s="272"/>
      <c r="S333" s="272"/>
      <c r="T333" s="278" t="str">
        <f t="shared" si="39"/>
        <v>-</v>
      </c>
    </row>
    <row r="334" spans="1:20">
      <c r="A334" s="269"/>
      <c r="B334" s="57"/>
      <c r="C334" s="176"/>
      <c r="D334" s="176"/>
      <c r="E334" s="176"/>
      <c r="F334" s="56"/>
      <c r="G334" s="274"/>
      <c r="H334" s="271"/>
      <c r="I334" s="213"/>
      <c r="J334" s="213"/>
      <c r="K334" s="212">
        <f t="shared" si="34"/>
        <v>0</v>
      </c>
      <c r="L334" s="272">
        <f t="shared" si="35"/>
        <v>1900</v>
      </c>
      <c r="M334" s="272">
        <f t="shared" si="36"/>
        <v>1</v>
      </c>
      <c r="N334" s="273"/>
      <c r="O334" s="61">
        <f t="shared" si="37"/>
        <v>1900</v>
      </c>
      <c r="P334" s="61">
        <f t="shared" si="38"/>
        <v>1</v>
      </c>
      <c r="R334" s="272"/>
      <c r="S334" s="272"/>
      <c r="T334" s="278" t="str">
        <f t="shared" si="39"/>
        <v>-</v>
      </c>
    </row>
    <row r="335" spans="1:20">
      <c r="A335" s="269"/>
      <c r="B335" s="57"/>
      <c r="C335" s="176"/>
      <c r="D335" s="176"/>
      <c r="E335" s="176"/>
      <c r="F335" s="56"/>
      <c r="G335" s="274"/>
      <c r="H335" s="271"/>
      <c r="I335" s="213"/>
      <c r="J335" s="213"/>
      <c r="K335" s="212">
        <f t="shared" ref="K335:K398" si="40">I335+H335+J335</f>
        <v>0</v>
      </c>
      <c r="L335" s="272">
        <f t="shared" si="35"/>
        <v>1900</v>
      </c>
      <c r="M335" s="272">
        <f t="shared" si="36"/>
        <v>1</v>
      </c>
      <c r="N335" s="273"/>
      <c r="O335" s="61">
        <f t="shared" si="37"/>
        <v>1900</v>
      </c>
      <c r="P335" s="61">
        <f t="shared" si="38"/>
        <v>1</v>
      </c>
      <c r="R335" s="272"/>
      <c r="S335" s="272"/>
      <c r="T335" s="278" t="str">
        <f t="shared" si="39"/>
        <v>-</v>
      </c>
    </row>
    <row r="336" spans="1:20">
      <c r="A336" s="269"/>
      <c r="B336" s="57"/>
      <c r="C336" s="176"/>
      <c r="D336" s="176"/>
      <c r="E336" s="176"/>
      <c r="F336" s="56"/>
      <c r="G336" s="274"/>
      <c r="H336" s="271"/>
      <c r="I336" s="213"/>
      <c r="J336" s="213"/>
      <c r="K336" s="212">
        <f t="shared" si="40"/>
        <v>0</v>
      </c>
      <c r="L336" s="272">
        <f t="shared" ref="L336:L399" si="41">YEAR(B336)</f>
        <v>1900</v>
      </c>
      <c r="M336" s="272">
        <f t="shared" ref="M336:M399" si="42">MONTH(B336)</f>
        <v>1</v>
      </c>
      <c r="N336" s="273"/>
      <c r="O336" s="61">
        <f t="shared" ref="O336:O399" si="43">YEAR(B336)</f>
        <v>1900</v>
      </c>
      <c r="P336" s="61">
        <f t="shared" ref="P336:P399" si="44">MONTH(B336)</f>
        <v>1</v>
      </c>
      <c r="R336" s="272"/>
      <c r="S336" s="272"/>
      <c r="T336" s="278" t="str">
        <f t="shared" ref="T336:T399" si="45">IF($E336&gt;0,IF((R336+S336)=$E336,"OK","Error"),"-")</f>
        <v>-</v>
      </c>
    </row>
    <row r="337" spans="1:20">
      <c r="A337" s="269"/>
      <c r="B337" s="57"/>
      <c r="C337" s="176"/>
      <c r="D337" s="176"/>
      <c r="E337" s="176"/>
      <c r="F337" s="56"/>
      <c r="G337" s="274"/>
      <c r="H337" s="271"/>
      <c r="I337" s="213"/>
      <c r="J337" s="213"/>
      <c r="K337" s="212">
        <f t="shared" si="40"/>
        <v>0</v>
      </c>
      <c r="L337" s="272">
        <f t="shared" si="41"/>
        <v>1900</v>
      </c>
      <c r="M337" s="272">
        <f t="shared" si="42"/>
        <v>1</v>
      </c>
      <c r="N337" s="273"/>
      <c r="O337" s="61">
        <f t="shared" si="43"/>
        <v>1900</v>
      </c>
      <c r="P337" s="61">
        <f t="shared" si="44"/>
        <v>1</v>
      </c>
      <c r="R337" s="272"/>
      <c r="S337" s="272"/>
      <c r="T337" s="278" t="str">
        <f t="shared" si="45"/>
        <v>-</v>
      </c>
    </row>
    <row r="338" spans="1:20">
      <c r="A338" s="269"/>
      <c r="B338" s="57"/>
      <c r="C338" s="176"/>
      <c r="D338" s="176"/>
      <c r="E338" s="176"/>
      <c r="F338" s="56"/>
      <c r="G338" s="274"/>
      <c r="H338" s="271"/>
      <c r="I338" s="213"/>
      <c r="J338" s="213"/>
      <c r="K338" s="212">
        <f t="shared" si="40"/>
        <v>0</v>
      </c>
      <c r="L338" s="272">
        <f t="shared" si="41"/>
        <v>1900</v>
      </c>
      <c r="M338" s="272">
        <f t="shared" si="42"/>
        <v>1</v>
      </c>
      <c r="N338" s="273"/>
      <c r="O338" s="61">
        <f t="shared" si="43"/>
        <v>1900</v>
      </c>
      <c r="P338" s="61">
        <f t="shared" si="44"/>
        <v>1</v>
      </c>
      <c r="R338" s="272"/>
      <c r="S338" s="272"/>
      <c r="T338" s="278" t="str">
        <f t="shared" si="45"/>
        <v>-</v>
      </c>
    </row>
    <row r="339" spans="1:20">
      <c r="A339" s="269"/>
      <c r="B339" s="57"/>
      <c r="C339" s="176"/>
      <c r="D339" s="176"/>
      <c r="E339" s="176"/>
      <c r="F339" s="56"/>
      <c r="G339" s="274"/>
      <c r="H339" s="271"/>
      <c r="I339" s="213"/>
      <c r="J339" s="213"/>
      <c r="K339" s="212">
        <f t="shared" si="40"/>
        <v>0</v>
      </c>
      <c r="L339" s="272">
        <f t="shared" si="41"/>
        <v>1900</v>
      </c>
      <c r="M339" s="272">
        <f t="shared" si="42"/>
        <v>1</v>
      </c>
      <c r="N339" s="273"/>
      <c r="O339" s="61">
        <f t="shared" si="43"/>
        <v>1900</v>
      </c>
      <c r="P339" s="61">
        <f t="shared" si="44"/>
        <v>1</v>
      </c>
      <c r="R339" s="272"/>
      <c r="S339" s="272"/>
      <c r="T339" s="278" t="str">
        <f t="shared" si="45"/>
        <v>-</v>
      </c>
    </row>
    <row r="340" spans="1:20">
      <c r="A340" s="269"/>
      <c r="B340" s="57"/>
      <c r="C340" s="176"/>
      <c r="D340" s="176"/>
      <c r="E340" s="176"/>
      <c r="F340" s="56"/>
      <c r="G340" s="274"/>
      <c r="H340" s="271"/>
      <c r="I340" s="213"/>
      <c r="J340" s="213"/>
      <c r="K340" s="212">
        <f t="shared" si="40"/>
        <v>0</v>
      </c>
      <c r="L340" s="272">
        <f t="shared" si="41"/>
        <v>1900</v>
      </c>
      <c r="M340" s="272">
        <f t="shared" si="42"/>
        <v>1</v>
      </c>
      <c r="N340" s="273"/>
      <c r="O340" s="61">
        <f t="shared" si="43"/>
        <v>1900</v>
      </c>
      <c r="P340" s="61">
        <f t="shared" si="44"/>
        <v>1</v>
      </c>
      <c r="R340" s="272"/>
      <c r="S340" s="272"/>
      <c r="T340" s="278" t="str">
        <f t="shared" si="45"/>
        <v>-</v>
      </c>
    </row>
    <row r="341" spans="1:20">
      <c r="A341" s="269"/>
      <c r="B341" s="57"/>
      <c r="C341" s="176"/>
      <c r="D341" s="176"/>
      <c r="E341" s="176"/>
      <c r="F341" s="56"/>
      <c r="G341" s="274"/>
      <c r="H341" s="271"/>
      <c r="I341" s="213"/>
      <c r="J341" s="213"/>
      <c r="K341" s="212">
        <f t="shared" si="40"/>
        <v>0</v>
      </c>
      <c r="L341" s="272">
        <f t="shared" si="41"/>
        <v>1900</v>
      </c>
      <c r="M341" s="272">
        <f t="shared" si="42"/>
        <v>1</v>
      </c>
      <c r="N341" s="273"/>
      <c r="O341" s="61">
        <f t="shared" si="43"/>
        <v>1900</v>
      </c>
      <c r="P341" s="61">
        <f t="shared" si="44"/>
        <v>1</v>
      </c>
      <c r="R341" s="272"/>
      <c r="S341" s="272"/>
      <c r="T341" s="278" t="str">
        <f t="shared" si="45"/>
        <v>-</v>
      </c>
    </row>
    <row r="342" spans="1:20">
      <c r="A342" s="269"/>
      <c r="B342" s="57"/>
      <c r="C342" s="176"/>
      <c r="D342" s="176"/>
      <c r="E342" s="176"/>
      <c r="F342" s="56"/>
      <c r="G342" s="274"/>
      <c r="H342" s="271"/>
      <c r="I342" s="213"/>
      <c r="J342" s="213"/>
      <c r="K342" s="212">
        <f t="shared" si="40"/>
        <v>0</v>
      </c>
      <c r="L342" s="272">
        <f t="shared" si="41"/>
        <v>1900</v>
      </c>
      <c r="M342" s="272">
        <f t="shared" si="42"/>
        <v>1</v>
      </c>
      <c r="N342" s="273"/>
      <c r="O342" s="61">
        <f t="shared" si="43"/>
        <v>1900</v>
      </c>
      <c r="P342" s="61">
        <f t="shared" si="44"/>
        <v>1</v>
      </c>
      <c r="R342" s="272"/>
      <c r="S342" s="272"/>
      <c r="T342" s="278" t="str">
        <f t="shared" si="45"/>
        <v>-</v>
      </c>
    </row>
    <row r="343" spans="1:20">
      <c r="A343" s="269"/>
      <c r="B343" s="53"/>
      <c r="C343" s="176"/>
      <c r="D343" s="176"/>
      <c r="E343" s="176"/>
      <c r="F343" s="56"/>
      <c r="G343" s="274"/>
      <c r="H343" s="271"/>
      <c r="I343" s="213"/>
      <c r="J343" s="213"/>
      <c r="K343" s="212">
        <f t="shared" si="40"/>
        <v>0</v>
      </c>
      <c r="L343" s="272">
        <f t="shared" si="41"/>
        <v>1900</v>
      </c>
      <c r="M343" s="272">
        <f t="shared" si="42"/>
        <v>1</v>
      </c>
      <c r="N343" s="273"/>
      <c r="O343" s="61">
        <f t="shared" si="43"/>
        <v>1900</v>
      </c>
      <c r="P343" s="61">
        <f t="shared" si="44"/>
        <v>1</v>
      </c>
      <c r="R343" s="272"/>
      <c r="S343" s="272"/>
      <c r="T343" s="278" t="str">
        <f t="shared" si="45"/>
        <v>-</v>
      </c>
    </row>
    <row r="344" spans="1:20">
      <c r="A344" s="269"/>
      <c r="B344" s="53"/>
      <c r="C344" s="176"/>
      <c r="D344" s="176"/>
      <c r="E344" s="176"/>
      <c r="F344" s="56"/>
      <c r="G344" s="274"/>
      <c r="H344" s="271"/>
      <c r="I344" s="213"/>
      <c r="J344" s="213"/>
      <c r="K344" s="212">
        <f t="shared" si="40"/>
        <v>0</v>
      </c>
      <c r="L344" s="272">
        <f t="shared" si="41"/>
        <v>1900</v>
      </c>
      <c r="M344" s="272">
        <f t="shared" si="42"/>
        <v>1</v>
      </c>
      <c r="N344" s="273"/>
      <c r="O344" s="61">
        <f t="shared" si="43"/>
        <v>1900</v>
      </c>
      <c r="P344" s="61">
        <f t="shared" si="44"/>
        <v>1</v>
      </c>
      <c r="R344" s="272"/>
      <c r="S344" s="272"/>
      <c r="T344" s="278" t="str">
        <f t="shared" si="45"/>
        <v>-</v>
      </c>
    </row>
    <row r="345" spans="1:20">
      <c r="A345" s="269"/>
      <c r="B345" s="53"/>
      <c r="C345" s="176"/>
      <c r="D345" s="176"/>
      <c r="E345" s="176"/>
      <c r="F345" s="56"/>
      <c r="G345" s="274"/>
      <c r="H345" s="271"/>
      <c r="I345" s="213"/>
      <c r="J345" s="213"/>
      <c r="K345" s="212">
        <f t="shared" si="40"/>
        <v>0</v>
      </c>
      <c r="L345" s="272">
        <f t="shared" si="41"/>
        <v>1900</v>
      </c>
      <c r="M345" s="272">
        <f t="shared" si="42"/>
        <v>1</v>
      </c>
      <c r="N345" s="273"/>
      <c r="O345" s="61">
        <f t="shared" si="43"/>
        <v>1900</v>
      </c>
      <c r="P345" s="61">
        <f t="shared" si="44"/>
        <v>1</v>
      </c>
      <c r="R345" s="272"/>
      <c r="S345" s="272"/>
      <c r="T345" s="278" t="str">
        <f t="shared" si="45"/>
        <v>-</v>
      </c>
    </row>
    <row r="346" spans="1:20">
      <c r="A346" s="269"/>
      <c r="B346" s="53"/>
      <c r="C346" s="175"/>
      <c r="D346" s="175"/>
      <c r="E346" s="175"/>
      <c r="F346" s="56"/>
      <c r="G346" s="274"/>
      <c r="H346" s="271"/>
      <c r="I346" s="213"/>
      <c r="J346" s="213"/>
      <c r="K346" s="212">
        <f t="shared" si="40"/>
        <v>0</v>
      </c>
      <c r="L346" s="272">
        <f t="shared" si="41"/>
        <v>1900</v>
      </c>
      <c r="M346" s="272">
        <f t="shared" si="42"/>
        <v>1</v>
      </c>
      <c r="N346" s="273"/>
      <c r="O346" s="61">
        <f t="shared" si="43"/>
        <v>1900</v>
      </c>
      <c r="P346" s="61">
        <f t="shared" si="44"/>
        <v>1</v>
      </c>
      <c r="R346" s="272"/>
      <c r="S346" s="272"/>
      <c r="T346" s="278" t="str">
        <f t="shared" si="45"/>
        <v>-</v>
      </c>
    </row>
    <row r="347" spans="1:20">
      <c r="A347" s="269"/>
      <c r="B347" s="53"/>
      <c r="C347" s="175"/>
      <c r="D347" s="175"/>
      <c r="E347" s="175"/>
      <c r="F347" s="56"/>
      <c r="G347" s="274"/>
      <c r="H347" s="271"/>
      <c r="I347" s="213"/>
      <c r="J347" s="213"/>
      <c r="K347" s="212">
        <f t="shared" si="40"/>
        <v>0</v>
      </c>
      <c r="L347" s="272">
        <f t="shared" si="41"/>
        <v>1900</v>
      </c>
      <c r="M347" s="272">
        <f t="shared" si="42"/>
        <v>1</v>
      </c>
      <c r="N347" s="273"/>
      <c r="O347" s="61">
        <f t="shared" si="43"/>
        <v>1900</v>
      </c>
      <c r="P347" s="61">
        <f t="shared" si="44"/>
        <v>1</v>
      </c>
      <c r="R347" s="272"/>
      <c r="S347" s="272"/>
      <c r="T347" s="278" t="str">
        <f t="shared" si="45"/>
        <v>-</v>
      </c>
    </row>
    <row r="348" spans="1:20">
      <c r="A348" s="269"/>
      <c r="B348" s="53"/>
      <c r="C348" s="176"/>
      <c r="D348" s="176"/>
      <c r="E348" s="176"/>
      <c r="F348" s="56"/>
      <c r="G348" s="274"/>
      <c r="H348" s="271"/>
      <c r="I348" s="213"/>
      <c r="J348" s="213"/>
      <c r="K348" s="212">
        <f t="shared" si="40"/>
        <v>0</v>
      </c>
      <c r="L348" s="272">
        <f t="shared" si="41"/>
        <v>1900</v>
      </c>
      <c r="M348" s="272">
        <f t="shared" si="42"/>
        <v>1</v>
      </c>
      <c r="N348" s="273"/>
      <c r="O348" s="61">
        <f t="shared" si="43"/>
        <v>1900</v>
      </c>
      <c r="P348" s="61">
        <f t="shared" si="44"/>
        <v>1</v>
      </c>
      <c r="R348" s="272"/>
      <c r="S348" s="272"/>
      <c r="T348" s="278" t="str">
        <f t="shared" si="45"/>
        <v>-</v>
      </c>
    </row>
    <row r="349" spans="1:20">
      <c r="A349" s="269"/>
      <c r="B349" s="53"/>
      <c r="C349" s="176"/>
      <c r="D349" s="176"/>
      <c r="E349" s="176"/>
      <c r="F349" s="56"/>
      <c r="G349" s="274"/>
      <c r="H349" s="271"/>
      <c r="I349" s="213"/>
      <c r="J349" s="213"/>
      <c r="K349" s="212">
        <f t="shared" si="40"/>
        <v>0</v>
      </c>
      <c r="L349" s="272">
        <f t="shared" si="41"/>
        <v>1900</v>
      </c>
      <c r="M349" s="272">
        <f t="shared" si="42"/>
        <v>1</v>
      </c>
      <c r="N349" s="273"/>
      <c r="O349" s="61">
        <f t="shared" si="43"/>
        <v>1900</v>
      </c>
      <c r="P349" s="61">
        <f t="shared" si="44"/>
        <v>1</v>
      </c>
      <c r="R349" s="272"/>
      <c r="S349" s="272"/>
      <c r="T349" s="278" t="str">
        <f t="shared" si="45"/>
        <v>-</v>
      </c>
    </row>
    <row r="350" spans="1:20">
      <c r="A350" s="269"/>
      <c r="B350" s="53"/>
      <c r="C350" s="175"/>
      <c r="D350" s="175"/>
      <c r="E350" s="175"/>
      <c r="F350" s="56"/>
      <c r="G350" s="274"/>
      <c r="H350" s="271"/>
      <c r="I350" s="213"/>
      <c r="J350" s="213"/>
      <c r="K350" s="212">
        <f t="shared" si="40"/>
        <v>0</v>
      </c>
      <c r="L350" s="272">
        <f t="shared" si="41"/>
        <v>1900</v>
      </c>
      <c r="M350" s="272">
        <f t="shared" si="42"/>
        <v>1</v>
      </c>
      <c r="N350" s="273"/>
      <c r="O350" s="61">
        <f t="shared" si="43"/>
        <v>1900</v>
      </c>
      <c r="P350" s="61">
        <f t="shared" si="44"/>
        <v>1</v>
      </c>
      <c r="R350" s="272"/>
      <c r="S350" s="272"/>
      <c r="T350" s="278" t="str">
        <f t="shared" si="45"/>
        <v>-</v>
      </c>
    </row>
    <row r="351" spans="1:20">
      <c r="A351" s="269"/>
      <c r="B351" s="53"/>
      <c r="C351" s="175"/>
      <c r="D351" s="175"/>
      <c r="E351" s="175"/>
      <c r="F351" s="56"/>
      <c r="G351" s="274"/>
      <c r="H351" s="271"/>
      <c r="I351" s="213"/>
      <c r="J351" s="213"/>
      <c r="K351" s="212">
        <f t="shared" si="40"/>
        <v>0</v>
      </c>
      <c r="L351" s="272">
        <f t="shared" si="41"/>
        <v>1900</v>
      </c>
      <c r="M351" s="272">
        <f t="shared" si="42"/>
        <v>1</v>
      </c>
      <c r="N351" s="273"/>
      <c r="O351" s="61">
        <f t="shared" si="43"/>
        <v>1900</v>
      </c>
      <c r="P351" s="61">
        <f t="shared" si="44"/>
        <v>1</v>
      </c>
      <c r="R351" s="272"/>
      <c r="S351" s="272"/>
      <c r="T351" s="278" t="str">
        <f t="shared" si="45"/>
        <v>-</v>
      </c>
    </row>
    <row r="352" spans="1:20">
      <c r="A352" s="269"/>
      <c r="B352" s="53"/>
      <c r="C352" s="176"/>
      <c r="D352" s="176"/>
      <c r="E352" s="176"/>
      <c r="F352" s="56"/>
      <c r="G352" s="274"/>
      <c r="H352" s="271"/>
      <c r="I352" s="213"/>
      <c r="J352" s="213"/>
      <c r="K352" s="212">
        <f t="shared" si="40"/>
        <v>0</v>
      </c>
      <c r="L352" s="272">
        <f t="shared" si="41"/>
        <v>1900</v>
      </c>
      <c r="M352" s="272">
        <f t="shared" si="42"/>
        <v>1</v>
      </c>
      <c r="N352" s="273"/>
      <c r="O352" s="61">
        <f t="shared" si="43"/>
        <v>1900</v>
      </c>
      <c r="P352" s="61">
        <f t="shared" si="44"/>
        <v>1</v>
      </c>
      <c r="R352" s="272"/>
      <c r="S352" s="272"/>
      <c r="T352" s="278" t="str">
        <f t="shared" si="45"/>
        <v>-</v>
      </c>
    </row>
    <row r="353" spans="1:20">
      <c r="A353" s="269"/>
      <c r="B353" s="53"/>
      <c r="C353" s="175"/>
      <c r="D353" s="175"/>
      <c r="E353" s="175"/>
      <c r="F353" s="56"/>
      <c r="G353" s="274"/>
      <c r="H353" s="271"/>
      <c r="I353" s="213"/>
      <c r="J353" s="213"/>
      <c r="K353" s="212">
        <f t="shared" si="40"/>
        <v>0</v>
      </c>
      <c r="L353" s="272">
        <f t="shared" si="41"/>
        <v>1900</v>
      </c>
      <c r="M353" s="272">
        <f t="shared" si="42"/>
        <v>1</v>
      </c>
      <c r="N353" s="273"/>
      <c r="O353" s="61">
        <f t="shared" si="43"/>
        <v>1900</v>
      </c>
      <c r="P353" s="61">
        <f t="shared" si="44"/>
        <v>1</v>
      </c>
      <c r="R353" s="272"/>
      <c r="S353" s="272"/>
      <c r="T353" s="278" t="str">
        <f t="shared" si="45"/>
        <v>-</v>
      </c>
    </row>
    <row r="354" spans="1:20">
      <c r="A354" s="269"/>
      <c r="B354" s="53"/>
      <c r="C354" s="175"/>
      <c r="D354" s="175"/>
      <c r="E354" s="175"/>
      <c r="F354" s="56"/>
      <c r="G354" s="274"/>
      <c r="H354" s="271"/>
      <c r="I354" s="213"/>
      <c r="J354" s="213"/>
      <c r="K354" s="212">
        <f t="shared" si="40"/>
        <v>0</v>
      </c>
      <c r="L354" s="272">
        <f t="shared" si="41"/>
        <v>1900</v>
      </c>
      <c r="M354" s="272">
        <f t="shared" si="42"/>
        <v>1</v>
      </c>
      <c r="N354" s="273"/>
      <c r="O354" s="61">
        <f t="shared" si="43"/>
        <v>1900</v>
      </c>
      <c r="P354" s="61">
        <f t="shared" si="44"/>
        <v>1</v>
      </c>
      <c r="R354" s="272"/>
      <c r="S354" s="272"/>
      <c r="T354" s="278" t="str">
        <f t="shared" si="45"/>
        <v>-</v>
      </c>
    </row>
    <row r="355" spans="1:20">
      <c r="A355" s="269"/>
      <c r="B355" s="53"/>
      <c r="C355" s="176"/>
      <c r="D355" s="176"/>
      <c r="E355" s="176"/>
      <c r="F355" s="56"/>
      <c r="G355" s="274"/>
      <c r="H355" s="271"/>
      <c r="I355" s="213"/>
      <c r="J355" s="213"/>
      <c r="K355" s="212">
        <f t="shared" si="40"/>
        <v>0</v>
      </c>
      <c r="L355" s="272">
        <f t="shared" si="41"/>
        <v>1900</v>
      </c>
      <c r="M355" s="272">
        <f t="shared" si="42"/>
        <v>1</v>
      </c>
      <c r="N355" s="273"/>
      <c r="O355" s="61">
        <f t="shared" si="43"/>
        <v>1900</v>
      </c>
      <c r="P355" s="61">
        <f t="shared" si="44"/>
        <v>1</v>
      </c>
      <c r="R355" s="272"/>
      <c r="S355" s="272"/>
      <c r="T355" s="278" t="str">
        <f t="shared" si="45"/>
        <v>-</v>
      </c>
    </row>
    <row r="356" spans="1:20">
      <c r="A356" s="269"/>
      <c r="B356" s="53"/>
      <c r="C356" s="176"/>
      <c r="D356" s="176"/>
      <c r="E356" s="176"/>
      <c r="F356" s="56"/>
      <c r="G356" s="274"/>
      <c r="H356" s="271"/>
      <c r="I356" s="213"/>
      <c r="J356" s="213"/>
      <c r="K356" s="212">
        <f t="shared" si="40"/>
        <v>0</v>
      </c>
      <c r="L356" s="272">
        <f t="shared" si="41"/>
        <v>1900</v>
      </c>
      <c r="M356" s="272">
        <f t="shared" si="42"/>
        <v>1</v>
      </c>
      <c r="N356" s="273"/>
      <c r="O356" s="61">
        <f t="shared" si="43"/>
        <v>1900</v>
      </c>
      <c r="P356" s="61">
        <f t="shared" si="44"/>
        <v>1</v>
      </c>
      <c r="R356" s="272"/>
      <c r="S356" s="272"/>
      <c r="T356" s="278" t="str">
        <f t="shared" si="45"/>
        <v>-</v>
      </c>
    </row>
    <row r="357" spans="1:20">
      <c r="A357" s="269"/>
      <c r="B357" s="53"/>
      <c r="C357" s="176"/>
      <c r="D357" s="176"/>
      <c r="E357" s="176"/>
      <c r="F357" s="56"/>
      <c r="G357" s="274"/>
      <c r="H357" s="271"/>
      <c r="I357" s="213"/>
      <c r="J357" s="213"/>
      <c r="K357" s="212">
        <f t="shared" si="40"/>
        <v>0</v>
      </c>
      <c r="L357" s="272">
        <f t="shared" si="41"/>
        <v>1900</v>
      </c>
      <c r="M357" s="272">
        <f t="shared" si="42"/>
        <v>1</v>
      </c>
      <c r="N357" s="273"/>
      <c r="O357" s="61">
        <f t="shared" si="43"/>
        <v>1900</v>
      </c>
      <c r="P357" s="61">
        <f t="shared" si="44"/>
        <v>1</v>
      </c>
      <c r="R357" s="272"/>
      <c r="S357" s="272"/>
      <c r="T357" s="278" t="str">
        <f t="shared" si="45"/>
        <v>-</v>
      </c>
    </row>
    <row r="358" spans="1:20">
      <c r="A358" s="269"/>
      <c r="B358" s="53"/>
      <c r="C358" s="176"/>
      <c r="D358" s="176"/>
      <c r="E358" s="176"/>
      <c r="F358" s="56"/>
      <c r="G358" s="274"/>
      <c r="H358" s="271"/>
      <c r="I358" s="213"/>
      <c r="J358" s="213"/>
      <c r="K358" s="212">
        <f t="shared" si="40"/>
        <v>0</v>
      </c>
      <c r="L358" s="272">
        <f t="shared" si="41"/>
        <v>1900</v>
      </c>
      <c r="M358" s="272">
        <f t="shared" si="42"/>
        <v>1</v>
      </c>
      <c r="N358" s="273"/>
      <c r="O358" s="61">
        <f t="shared" si="43"/>
        <v>1900</v>
      </c>
      <c r="P358" s="61">
        <f t="shared" si="44"/>
        <v>1</v>
      </c>
      <c r="R358" s="272"/>
      <c r="S358" s="272"/>
      <c r="T358" s="278" t="str">
        <f t="shared" si="45"/>
        <v>-</v>
      </c>
    </row>
    <row r="359" spans="1:20">
      <c r="A359" s="269"/>
      <c r="B359" s="53"/>
      <c r="C359" s="175"/>
      <c r="D359" s="175"/>
      <c r="E359" s="175"/>
      <c r="F359" s="56"/>
      <c r="G359" s="274"/>
      <c r="H359" s="271"/>
      <c r="I359" s="213"/>
      <c r="J359" s="213"/>
      <c r="K359" s="212">
        <f t="shared" si="40"/>
        <v>0</v>
      </c>
      <c r="L359" s="272">
        <f t="shared" si="41"/>
        <v>1900</v>
      </c>
      <c r="M359" s="272">
        <f t="shared" si="42"/>
        <v>1</v>
      </c>
      <c r="N359" s="273"/>
      <c r="O359" s="61">
        <f t="shared" si="43"/>
        <v>1900</v>
      </c>
      <c r="P359" s="61">
        <f t="shared" si="44"/>
        <v>1</v>
      </c>
      <c r="R359" s="272"/>
      <c r="S359" s="272"/>
      <c r="T359" s="278" t="str">
        <f t="shared" si="45"/>
        <v>-</v>
      </c>
    </row>
    <row r="360" spans="1:20">
      <c r="A360" s="269"/>
      <c r="B360" s="53"/>
      <c r="C360" s="176"/>
      <c r="D360" s="176"/>
      <c r="E360" s="176"/>
      <c r="F360" s="56"/>
      <c r="G360" s="274"/>
      <c r="H360" s="271"/>
      <c r="I360" s="213"/>
      <c r="J360" s="213"/>
      <c r="K360" s="212">
        <f t="shared" si="40"/>
        <v>0</v>
      </c>
      <c r="L360" s="272">
        <f t="shared" si="41"/>
        <v>1900</v>
      </c>
      <c r="M360" s="272">
        <f t="shared" si="42"/>
        <v>1</v>
      </c>
      <c r="N360" s="273"/>
      <c r="O360" s="61">
        <f t="shared" si="43"/>
        <v>1900</v>
      </c>
      <c r="P360" s="61">
        <f t="shared" si="44"/>
        <v>1</v>
      </c>
      <c r="R360" s="272"/>
      <c r="S360" s="272"/>
      <c r="T360" s="278" t="str">
        <f t="shared" si="45"/>
        <v>-</v>
      </c>
    </row>
    <row r="361" spans="1:20">
      <c r="A361" s="269"/>
      <c r="B361" s="53"/>
      <c r="C361" s="176"/>
      <c r="D361" s="176"/>
      <c r="E361" s="176"/>
      <c r="F361" s="56"/>
      <c r="G361" s="274"/>
      <c r="H361" s="271"/>
      <c r="I361" s="213"/>
      <c r="J361" s="213"/>
      <c r="K361" s="212">
        <f t="shared" si="40"/>
        <v>0</v>
      </c>
      <c r="L361" s="272">
        <f t="shared" si="41"/>
        <v>1900</v>
      </c>
      <c r="M361" s="272">
        <f t="shared" si="42"/>
        <v>1</v>
      </c>
      <c r="N361" s="273"/>
      <c r="O361" s="61">
        <f t="shared" si="43"/>
        <v>1900</v>
      </c>
      <c r="P361" s="61">
        <f t="shared" si="44"/>
        <v>1</v>
      </c>
      <c r="R361" s="272"/>
      <c r="S361" s="272"/>
      <c r="T361" s="278" t="str">
        <f t="shared" si="45"/>
        <v>-</v>
      </c>
    </row>
    <row r="362" spans="1:20">
      <c r="A362" s="269"/>
      <c r="B362" s="53"/>
      <c r="C362" s="176"/>
      <c r="D362" s="176"/>
      <c r="E362" s="176"/>
      <c r="F362" s="56"/>
      <c r="G362" s="274"/>
      <c r="H362" s="271"/>
      <c r="I362" s="213"/>
      <c r="J362" s="213"/>
      <c r="K362" s="212">
        <f t="shared" si="40"/>
        <v>0</v>
      </c>
      <c r="L362" s="272">
        <f t="shared" si="41"/>
        <v>1900</v>
      </c>
      <c r="M362" s="272">
        <f t="shared" si="42"/>
        <v>1</v>
      </c>
      <c r="N362" s="273"/>
      <c r="O362" s="61">
        <f t="shared" si="43"/>
        <v>1900</v>
      </c>
      <c r="P362" s="61">
        <f t="shared" si="44"/>
        <v>1</v>
      </c>
      <c r="R362" s="272"/>
      <c r="S362" s="272"/>
      <c r="T362" s="278" t="str">
        <f t="shared" si="45"/>
        <v>-</v>
      </c>
    </row>
    <row r="363" spans="1:20">
      <c r="A363" s="269"/>
      <c r="B363" s="53"/>
      <c r="C363" s="175"/>
      <c r="D363" s="175"/>
      <c r="E363" s="175"/>
      <c r="F363" s="56"/>
      <c r="G363" s="274"/>
      <c r="H363" s="271"/>
      <c r="I363" s="213"/>
      <c r="J363" s="213"/>
      <c r="K363" s="212">
        <f t="shared" si="40"/>
        <v>0</v>
      </c>
      <c r="L363" s="272">
        <f t="shared" si="41"/>
        <v>1900</v>
      </c>
      <c r="M363" s="272">
        <f t="shared" si="42"/>
        <v>1</v>
      </c>
      <c r="N363" s="273"/>
      <c r="O363" s="61">
        <f t="shared" si="43"/>
        <v>1900</v>
      </c>
      <c r="P363" s="61">
        <f t="shared" si="44"/>
        <v>1</v>
      </c>
      <c r="R363" s="272"/>
      <c r="S363" s="272"/>
      <c r="T363" s="278" t="str">
        <f t="shared" si="45"/>
        <v>-</v>
      </c>
    </row>
    <row r="364" spans="1:20">
      <c r="A364" s="269"/>
      <c r="B364" s="53"/>
      <c r="C364" s="176"/>
      <c r="D364" s="176"/>
      <c r="E364" s="176"/>
      <c r="F364" s="56"/>
      <c r="G364" s="274"/>
      <c r="H364" s="271"/>
      <c r="I364" s="213"/>
      <c r="J364" s="213"/>
      <c r="K364" s="212">
        <f t="shared" si="40"/>
        <v>0</v>
      </c>
      <c r="L364" s="272">
        <f t="shared" si="41"/>
        <v>1900</v>
      </c>
      <c r="M364" s="272">
        <f t="shared" si="42"/>
        <v>1</v>
      </c>
      <c r="N364" s="273"/>
      <c r="O364" s="61">
        <f t="shared" si="43"/>
        <v>1900</v>
      </c>
      <c r="P364" s="61">
        <f t="shared" si="44"/>
        <v>1</v>
      </c>
      <c r="R364" s="272"/>
      <c r="S364" s="272"/>
      <c r="T364" s="278" t="str">
        <f t="shared" si="45"/>
        <v>-</v>
      </c>
    </row>
    <row r="365" spans="1:20">
      <c r="A365" s="269"/>
      <c r="B365" s="53"/>
      <c r="C365" s="175"/>
      <c r="D365" s="175"/>
      <c r="E365" s="175"/>
      <c r="F365" s="56"/>
      <c r="G365" s="274"/>
      <c r="H365" s="271"/>
      <c r="I365" s="213"/>
      <c r="J365" s="213"/>
      <c r="K365" s="212">
        <f t="shared" si="40"/>
        <v>0</v>
      </c>
      <c r="L365" s="272">
        <f t="shared" si="41"/>
        <v>1900</v>
      </c>
      <c r="M365" s="272">
        <f t="shared" si="42"/>
        <v>1</v>
      </c>
      <c r="N365" s="273"/>
      <c r="O365" s="61">
        <f t="shared" si="43"/>
        <v>1900</v>
      </c>
      <c r="P365" s="61">
        <f t="shared" si="44"/>
        <v>1</v>
      </c>
      <c r="R365" s="272"/>
      <c r="S365" s="272"/>
      <c r="T365" s="278" t="str">
        <f t="shared" si="45"/>
        <v>-</v>
      </c>
    </row>
    <row r="366" spans="1:20">
      <c r="A366" s="269"/>
      <c r="B366" s="53"/>
      <c r="C366" s="176"/>
      <c r="D366" s="176"/>
      <c r="E366" s="176"/>
      <c r="F366" s="56"/>
      <c r="G366" s="274"/>
      <c r="H366" s="271"/>
      <c r="I366" s="213"/>
      <c r="J366" s="213"/>
      <c r="K366" s="212">
        <f t="shared" si="40"/>
        <v>0</v>
      </c>
      <c r="L366" s="272">
        <f t="shared" si="41"/>
        <v>1900</v>
      </c>
      <c r="M366" s="272">
        <f t="shared" si="42"/>
        <v>1</v>
      </c>
      <c r="N366" s="273"/>
      <c r="O366" s="61">
        <f t="shared" si="43"/>
        <v>1900</v>
      </c>
      <c r="P366" s="61">
        <f t="shared" si="44"/>
        <v>1</v>
      </c>
      <c r="R366" s="272"/>
      <c r="S366" s="272"/>
      <c r="T366" s="278" t="str">
        <f t="shared" si="45"/>
        <v>-</v>
      </c>
    </row>
    <row r="367" spans="1:20">
      <c r="A367" s="269"/>
      <c r="B367" s="53"/>
      <c r="C367" s="175"/>
      <c r="D367" s="175"/>
      <c r="E367" s="175"/>
      <c r="F367" s="56"/>
      <c r="G367" s="274"/>
      <c r="H367" s="271"/>
      <c r="I367" s="213"/>
      <c r="J367" s="213"/>
      <c r="K367" s="212">
        <f t="shared" si="40"/>
        <v>0</v>
      </c>
      <c r="L367" s="272">
        <f t="shared" si="41"/>
        <v>1900</v>
      </c>
      <c r="M367" s="272">
        <f t="shared" si="42"/>
        <v>1</v>
      </c>
      <c r="N367" s="273"/>
      <c r="O367" s="61">
        <f t="shared" si="43"/>
        <v>1900</v>
      </c>
      <c r="P367" s="61">
        <f t="shared" si="44"/>
        <v>1</v>
      </c>
      <c r="R367" s="272"/>
      <c r="S367" s="272"/>
      <c r="T367" s="278" t="str">
        <f t="shared" si="45"/>
        <v>-</v>
      </c>
    </row>
    <row r="368" spans="1:20">
      <c r="A368" s="269"/>
      <c r="B368" s="53"/>
      <c r="C368" s="175"/>
      <c r="D368" s="175"/>
      <c r="E368" s="175"/>
      <c r="F368" s="56"/>
      <c r="G368" s="274"/>
      <c r="H368" s="271"/>
      <c r="I368" s="213"/>
      <c r="J368" s="213"/>
      <c r="K368" s="212">
        <f t="shared" si="40"/>
        <v>0</v>
      </c>
      <c r="L368" s="272">
        <f t="shared" si="41"/>
        <v>1900</v>
      </c>
      <c r="M368" s="272">
        <f t="shared" si="42"/>
        <v>1</v>
      </c>
      <c r="N368" s="273"/>
      <c r="O368" s="61">
        <f t="shared" si="43"/>
        <v>1900</v>
      </c>
      <c r="P368" s="61">
        <f t="shared" si="44"/>
        <v>1</v>
      </c>
      <c r="R368" s="272"/>
      <c r="S368" s="272"/>
      <c r="T368" s="278" t="str">
        <f t="shared" si="45"/>
        <v>-</v>
      </c>
    </row>
    <row r="369" spans="1:20">
      <c r="A369" s="269"/>
      <c r="B369" s="53"/>
      <c r="C369" s="176"/>
      <c r="D369" s="176"/>
      <c r="E369" s="176"/>
      <c r="F369" s="56"/>
      <c r="G369" s="274"/>
      <c r="H369" s="271"/>
      <c r="I369" s="213"/>
      <c r="J369" s="213"/>
      <c r="K369" s="212">
        <f t="shared" si="40"/>
        <v>0</v>
      </c>
      <c r="L369" s="272">
        <f t="shared" si="41"/>
        <v>1900</v>
      </c>
      <c r="M369" s="272">
        <f t="shared" si="42"/>
        <v>1</v>
      </c>
      <c r="N369" s="273"/>
      <c r="O369" s="61">
        <f t="shared" si="43"/>
        <v>1900</v>
      </c>
      <c r="P369" s="61">
        <f t="shared" si="44"/>
        <v>1</v>
      </c>
      <c r="R369" s="272"/>
      <c r="S369" s="272"/>
      <c r="T369" s="278" t="str">
        <f t="shared" si="45"/>
        <v>-</v>
      </c>
    </row>
    <row r="370" spans="1:20">
      <c r="A370" s="269"/>
      <c r="B370" s="53"/>
      <c r="C370" s="176"/>
      <c r="D370" s="176"/>
      <c r="E370" s="176"/>
      <c r="F370" s="56"/>
      <c r="G370" s="274"/>
      <c r="H370" s="271"/>
      <c r="I370" s="213"/>
      <c r="J370" s="213"/>
      <c r="K370" s="212">
        <f t="shared" si="40"/>
        <v>0</v>
      </c>
      <c r="L370" s="272">
        <f t="shared" si="41"/>
        <v>1900</v>
      </c>
      <c r="M370" s="272">
        <f t="shared" si="42"/>
        <v>1</v>
      </c>
      <c r="N370" s="273"/>
      <c r="O370" s="61">
        <f t="shared" si="43"/>
        <v>1900</v>
      </c>
      <c r="P370" s="61">
        <f t="shared" si="44"/>
        <v>1</v>
      </c>
      <c r="R370" s="272"/>
      <c r="S370" s="272"/>
      <c r="T370" s="278" t="str">
        <f t="shared" si="45"/>
        <v>-</v>
      </c>
    </row>
    <row r="371" spans="1:20">
      <c r="A371" s="269"/>
      <c r="B371" s="53"/>
      <c r="C371" s="176"/>
      <c r="D371" s="176"/>
      <c r="E371" s="176"/>
      <c r="F371" s="56"/>
      <c r="G371" s="274"/>
      <c r="H371" s="271"/>
      <c r="I371" s="213"/>
      <c r="J371" s="213"/>
      <c r="K371" s="212">
        <f t="shared" si="40"/>
        <v>0</v>
      </c>
      <c r="L371" s="272">
        <f t="shared" si="41"/>
        <v>1900</v>
      </c>
      <c r="M371" s="272">
        <f t="shared" si="42"/>
        <v>1</v>
      </c>
      <c r="N371" s="273"/>
      <c r="O371" s="61">
        <f t="shared" si="43"/>
        <v>1900</v>
      </c>
      <c r="P371" s="61">
        <f t="shared" si="44"/>
        <v>1</v>
      </c>
      <c r="R371" s="272"/>
      <c r="S371" s="272"/>
      <c r="T371" s="278" t="str">
        <f t="shared" si="45"/>
        <v>-</v>
      </c>
    </row>
    <row r="372" spans="1:20">
      <c r="A372" s="269"/>
      <c r="B372" s="53"/>
      <c r="C372" s="175"/>
      <c r="D372" s="175"/>
      <c r="E372" s="175"/>
      <c r="F372" s="56"/>
      <c r="G372" s="274"/>
      <c r="H372" s="271"/>
      <c r="I372" s="213"/>
      <c r="J372" s="213"/>
      <c r="K372" s="212">
        <f t="shared" si="40"/>
        <v>0</v>
      </c>
      <c r="L372" s="272">
        <f t="shared" si="41"/>
        <v>1900</v>
      </c>
      <c r="M372" s="272">
        <f t="shared" si="42"/>
        <v>1</v>
      </c>
      <c r="N372" s="273"/>
      <c r="O372" s="61">
        <f t="shared" si="43"/>
        <v>1900</v>
      </c>
      <c r="P372" s="61">
        <f t="shared" si="44"/>
        <v>1</v>
      </c>
      <c r="R372" s="272"/>
      <c r="S372" s="272"/>
      <c r="T372" s="278" t="str">
        <f t="shared" si="45"/>
        <v>-</v>
      </c>
    </row>
    <row r="373" spans="1:20">
      <c r="A373" s="269"/>
      <c r="B373" s="53"/>
      <c r="C373" s="176"/>
      <c r="D373" s="176"/>
      <c r="E373" s="176"/>
      <c r="F373" s="56"/>
      <c r="G373" s="274"/>
      <c r="H373" s="271"/>
      <c r="I373" s="213"/>
      <c r="J373" s="213"/>
      <c r="K373" s="212">
        <f t="shared" si="40"/>
        <v>0</v>
      </c>
      <c r="L373" s="272">
        <f t="shared" si="41"/>
        <v>1900</v>
      </c>
      <c r="M373" s="272">
        <f t="shared" si="42"/>
        <v>1</v>
      </c>
      <c r="N373" s="273"/>
      <c r="O373" s="61">
        <f t="shared" si="43"/>
        <v>1900</v>
      </c>
      <c r="P373" s="61">
        <f t="shared" si="44"/>
        <v>1</v>
      </c>
      <c r="R373" s="272"/>
      <c r="S373" s="272"/>
      <c r="T373" s="278" t="str">
        <f t="shared" si="45"/>
        <v>-</v>
      </c>
    </row>
    <row r="374" spans="1:20">
      <c r="A374" s="269"/>
      <c r="B374" s="53"/>
      <c r="C374" s="175"/>
      <c r="D374" s="175"/>
      <c r="E374" s="175"/>
      <c r="F374" s="56"/>
      <c r="G374" s="274"/>
      <c r="H374" s="271"/>
      <c r="I374" s="213"/>
      <c r="J374" s="213"/>
      <c r="K374" s="212">
        <f t="shared" si="40"/>
        <v>0</v>
      </c>
      <c r="L374" s="272">
        <f t="shared" si="41"/>
        <v>1900</v>
      </c>
      <c r="M374" s="272">
        <f t="shared" si="42"/>
        <v>1</v>
      </c>
      <c r="N374" s="273"/>
      <c r="O374" s="61">
        <f t="shared" si="43"/>
        <v>1900</v>
      </c>
      <c r="P374" s="61">
        <f t="shared" si="44"/>
        <v>1</v>
      </c>
      <c r="R374" s="272"/>
      <c r="S374" s="272"/>
      <c r="T374" s="278" t="str">
        <f t="shared" si="45"/>
        <v>-</v>
      </c>
    </row>
    <row r="375" spans="1:20">
      <c r="A375" s="269"/>
      <c r="B375" s="53"/>
      <c r="C375" s="176"/>
      <c r="D375" s="176"/>
      <c r="E375" s="176"/>
      <c r="F375" s="56"/>
      <c r="G375" s="274"/>
      <c r="H375" s="271"/>
      <c r="I375" s="213"/>
      <c r="J375" s="213"/>
      <c r="K375" s="212">
        <f t="shared" si="40"/>
        <v>0</v>
      </c>
      <c r="L375" s="272">
        <f t="shared" si="41"/>
        <v>1900</v>
      </c>
      <c r="M375" s="272">
        <f t="shared" si="42"/>
        <v>1</v>
      </c>
      <c r="N375" s="273"/>
      <c r="O375" s="61">
        <f t="shared" si="43"/>
        <v>1900</v>
      </c>
      <c r="P375" s="61">
        <f t="shared" si="44"/>
        <v>1</v>
      </c>
      <c r="R375" s="272"/>
      <c r="S375" s="272"/>
      <c r="T375" s="278" t="str">
        <f t="shared" si="45"/>
        <v>-</v>
      </c>
    </row>
    <row r="376" spans="1:20">
      <c r="A376" s="269"/>
      <c r="B376" s="53"/>
      <c r="C376" s="176"/>
      <c r="D376" s="176"/>
      <c r="E376" s="176"/>
      <c r="F376" s="56"/>
      <c r="G376" s="274"/>
      <c r="H376" s="271"/>
      <c r="I376" s="213"/>
      <c r="J376" s="213"/>
      <c r="K376" s="212">
        <f t="shared" si="40"/>
        <v>0</v>
      </c>
      <c r="L376" s="272">
        <f t="shared" si="41"/>
        <v>1900</v>
      </c>
      <c r="M376" s="272">
        <f t="shared" si="42"/>
        <v>1</v>
      </c>
      <c r="N376" s="273"/>
      <c r="O376" s="61">
        <f t="shared" si="43"/>
        <v>1900</v>
      </c>
      <c r="P376" s="61">
        <f t="shared" si="44"/>
        <v>1</v>
      </c>
      <c r="R376" s="272"/>
      <c r="S376" s="272"/>
      <c r="T376" s="278" t="str">
        <f t="shared" si="45"/>
        <v>-</v>
      </c>
    </row>
    <row r="377" spans="1:20">
      <c r="A377" s="269"/>
      <c r="B377" s="53"/>
      <c r="C377" s="176"/>
      <c r="D377" s="176"/>
      <c r="E377" s="176"/>
      <c r="F377" s="56"/>
      <c r="G377" s="274"/>
      <c r="H377" s="271"/>
      <c r="I377" s="213"/>
      <c r="J377" s="213"/>
      <c r="K377" s="212">
        <f t="shared" si="40"/>
        <v>0</v>
      </c>
      <c r="L377" s="272">
        <f t="shared" si="41"/>
        <v>1900</v>
      </c>
      <c r="M377" s="272">
        <f t="shared" si="42"/>
        <v>1</v>
      </c>
      <c r="N377" s="273"/>
      <c r="O377" s="61">
        <f t="shared" si="43"/>
        <v>1900</v>
      </c>
      <c r="P377" s="61">
        <f t="shared" si="44"/>
        <v>1</v>
      </c>
      <c r="R377" s="272"/>
      <c r="S377" s="272"/>
      <c r="T377" s="278" t="str">
        <f t="shared" si="45"/>
        <v>-</v>
      </c>
    </row>
    <row r="378" spans="1:20">
      <c r="A378" s="269"/>
      <c r="B378" s="53"/>
      <c r="C378" s="176"/>
      <c r="D378" s="176"/>
      <c r="E378" s="176"/>
      <c r="F378" s="56"/>
      <c r="G378" s="274"/>
      <c r="H378" s="271"/>
      <c r="I378" s="213"/>
      <c r="J378" s="213"/>
      <c r="K378" s="212">
        <f t="shared" si="40"/>
        <v>0</v>
      </c>
      <c r="L378" s="272">
        <f t="shared" si="41"/>
        <v>1900</v>
      </c>
      <c r="M378" s="272">
        <f t="shared" si="42"/>
        <v>1</v>
      </c>
      <c r="N378" s="273"/>
      <c r="O378" s="61">
        <f t="shared" si="43"/>
        <v>1900</v>
      </c>
      <c r="P378" s="61">
        <f t="shared" si="44"/>
        <v>1</v>
      </c>
      <c r="R378" s="272"/>
      <c r="S378" s="272"/>
      <c r="T378" s="278" t="str">
        <f t="shared" si="45"/>
        <v>-</v>
      </c>
    </row>
    <row r="379" spans="1:20">
      <c r="A379" s="269"/>
      <c r="B379" s="53"/>
      <c r="C379" s="176"/>
      <c r="D379" s="176"/>
      <c r="E379" s="176"/>
      <c r="F379" s="56"/>
      <c r="G379" s="274"/>
      <c r="H379" s="271"/>
      <c r="I379" s="213"/>
      <c r="J379" s="213"/>
      <c r="K379" s="212">
        <f t="shared" si="40"/>
        <v>0</v>
      </c>
      <c r="L379" s="272">
        <f t="shared" si="41"/>
        <v>1900</v>
      </c>
      <c r="M379" s="272">
        <f t="shared" si="42"/>
        <v>1</v>
      </c>
      <c r="N379" s="273"/>
      <c r="O379" s="61">
        <f t="shared" si="43"/>
        <v>1900</v>
      </c>
      <c r="P379" s="61">
        <f t="shared" si="44"/>
        <v>1</v>
      </c>
      <c r="R379" s="272"/>
      <c r="S379" s="272"/>
      <c r="T379" s="278" t="str">
        <f t="shared" si="45"/>
        <v>-</v>
      </c>
    </row>
    <row r="380" spans="1:20">
      <c r="A380" s="269"/>
      <c r="B380" s="53"/>
      <c r="C380" s="175"/>
      <c r="D380" s="175"/>
      <c r="E380" s="175"/>
      <c r="F380" s="56"/>
      <c r="G380" s="274"/>
      <c r="H380" s="271"/>
      <c r="I380" s="213"/>
      <c r="J380" s="213"/>
      <c r="K380" s="212">
        <f t="shared" si="40"/>
        <v>0</v>
      </c>
      <c r="L380" s="272">
        <f t="shared" si="41"/>
        <v>1900</v>
      </c>
      <c r="M380" s="272">
        <f t="shared" si="42"/>
        <v>1</v>
      </c>
      <c r="N380" s="273"/>
      <c r="O380" s="61">
        <f t="shared" si="43"/>
        <v>1900</v>
      </c>
      <c r="P380" s="61">
        <f t="shared" si="44"/>
        <v>1</v>
      </c>
      <c r="R380" s="272"/>
      <c r="S380" s="272"/>
      <c r="T380" s="278" t="str">
        <f t="shared" si="45"/>
        <v>-</v>
      </c>
    </row>
    <row r="381" spans="1:20">
      <c r="A381" s="269"/>
      <c r="B381" s="53"/>
      <c r="C381" s="176"/>
      <c r="D381" s="176"/>
      <c r="E381" s="176"/>
      <c r="F381" s="56"/>
      <c r="G381" s="274"/>
      <c r="H381" s="271"/>
      <c r="I381" s="213"/>
      <c r="J381" s="213"/>
      <c r="K381" s="212">
        <f t="shared" si="40"/>
        <v>0</v>
      </c>
      <c r="L381" s="272">
        <f t="shared" si="41"/>
        <v>1900</v>
      </c>
      <c r="M381" s="272">
        <f t="shared" si="42"/>
        <v>1</v>
      </c>
      <c r="N381" s="273"/>
      <c r="O381" s="61">
        <f t="shared" si="43"/>
        <v>1900</v>
      </c>
      <c r="P381" s="61">
        <f t="shared" si="44"/>
        <v>1</v>
      </c>
      <c r="R381" s="272"/>
      <c r="S381" s="272"/>
      <c r="T381" s="278" t="str">
        <f t="shared" si="45"/>
        <v>-</v>
      </c>
    </row>
    <row r="382" spans="1:20">
      <c r="A382" s="269"/>
      <c r="B382" s="53"/>
      <c r="C382" s="175"/>
      <c r="D382" s="175"/>
      <c r="E382" s="175"/>
      <c r="F382" s="56"/>
      <c r="G382" s="274"/>
      <c r="H382" s="271"/>
      <c r="I382" s="213"/>
      <c r="J382" s="213"/>
      <c r="K382" s="212">
        <f t="shared" si="40"/>
        <v>0</v>
      </c>
      <c r="L382" s="272">
        <f t="shared" si="41"/>
        <v>1900</v>
      </c>
      <c r="M382" s="272">
        <f t="shared" si="42"/>
        <v>1</v>
      </c>
      <c r="N382" s="273"/>
      <c r="O382" s="61">
        <f t="shared" si="43"/>
        <v>1900</v>
      </c>
      <c r="P382" s="61">
        <f t="shared" si="44"/>
        <v>1</v>
      </c>
      <c r="R382" s="272"/>
      <c r="S382" s="272"/>
      <c r="T382" s="278" t="str">
        <f t="shared" si="45"/>
        <v>-</v>
      </c>
    </row>
    <row r="383" spans="1:20">
      <c r="A383" s="269"/>
      <c r="B383" s="53"/>
      <c r="C383" s="175"/>
      <c r="D383" s="175"/>
      <c r="E383" s="175"/>
      <c r="F383" s="56"/>
      <c r="G383" s="274"/>
      <c r="H383" s="271"/>
      <c r="I383" s="213"/>
      <c r="J383" s="213"/>
      <c r="K383" s="212">
        <f t="shared" si="40"/>
        <v>0</v>
      </c>
      <c r="L383" s="272">
        <f t="shared" si="41"/>
        <v>1900</v>
      </c>
      <c r="M383" s="272">
        <f t="shared" si="42"/>
        <v>1</v>
      </c>
      <c r="N383" s="273"/>
      <c r="O383" s="61">
        <f t="shared" si="43"/>
        <v>1900</v>
      </c>
      <c r="P383" s="61">
        <f t="shared" si="44"/>
        <v>1</v>
      </c>
      <c r="R383" s="272"/>
      <c r="S383" s="272"/>
      <c r="T383" s="278" t="str">
        <f t="shared" si="45"/>
        <v>-</v>
      </c>
    </row>
    <row r="384" spans="1:20">
      <c r="A384" s="269"/>
      <c r="B384" s="53"/>
      <c r="C384" s="176"/>
      <c r="D384" s="176"/>
      <c r="E384" s="176"/>
      <c r="F384" s="56"/>
      <c r="G384" s="274"/>
      <c r="H384" s="271"/>
      <c r="I384" s="213"/>
      <c r="J384" s="213"/>
      <c r="K384" s="212">
        <f t="shared" si="40"/>
        <v>0</v>
      </c>
      <c r="L384" s="272">
        <f t="shared" si="41"/>
        <v>1900</v>
      </c>
      <c r="M384" s="272">
        <f t="shared" si="42"/>
        <v>1</v>
      </c>
      <c r="N384" s="273"/>
      <c r="O384" s="61">
        <f t="shared" si="43"/>
        <v>1900</v>
      </c>
      <c r="P384" s="61">
        <f t="shared" si="44"/>
        <v>1</v>
      </c>
      <c r="R384" s="272"/>
      <c r="S384" s="272"/>
      <c r="T384" s="278" t="str">
        <f t="shared" si="45"/>
        <v>-</v>
      </c>
    </row>
    <row r="385" spans="1:20">
      <c r="A385" s="269"/>
      <c r="B385" s="53"/>
      <c r="C385" s="176"/>
      <c r="D385" s="176"/>
      <c r="E385" s="176"/>
      <c r="F385" s="56"/>
      <c r="G385" s="274"/>
      <c r="H385" s="271"/>
      <c r="I385" s="213"/>
      <c r="J385" s="213"/>
      <c r="K385" s="212">
        <f t="shared" si="40"/>
        <v>0</v>
      </c>
      <c r="L385" s="272">
        <f t="shared" si="41"/>
        <v>1900</v>
      </c>
      <c r="M385" s="272">
        <f t="shared" si="42"/>
        <v>1</v>
      </c>
      <c r="N385" s="273"/>
      <c r="O385" s="61">
        <f t="shared" si="43"/>
        <v>1900</v>
      </c>
      <c r="P385" s="61">
        <f t="shared" si="44"/>
        <v>1</v>
      </c>
      <c r="R385" s="272"/>
      <c r="S385" s="272"/>
      <c r="T385" s="278" t="str">
        <f t="shared" si="45"/>
        <v>-</v>
      </c>
    </row>
    <row r="386" spans="1:20">
      <c r="A386" s="269"/>
      <c r="B386" s="53"/>
      <c r="C386" s="176"/>
      <c r="D386" s="176"/>
      <c r="E386" s="176"/>
      <c r="F386" s="56"/>
      <c r="G386" s="274"/>
      <c r="H386" s="271"/>
      <c r="I386" s="213"/>
      <c r="J386" s="213"/>
      <c r="K386" s="212">
        <f t="shared" si="40"/>
        <v>0</v>
      </c>
      <c r="L386" s="272">
        <f t="shared" si="41"/>
        <v>1900</v>
      </c>
      <c r="M386" s="272">
        <f t="shared" si="42"/>
        <v>1</v>
      </c>
      <c r="N386" s="273"/>
      <c r="O386" s="61">
        <f t="shared" si="43"/>
        <v>1900</v>
      </c>
      <c r="P386" s="61">
        <f t="shared" si="44"/>
        <v>1</v>
      </c>
      <c r="R386" s="272"/>
      <c r="S386" s="272"/>
      <c r="T386" s="278" t="str">
        <f t="shared" si="45"/>
        <v>-</v>
      </c>
    </row>
    <row r="387" spans="1:20">
      <c r="A387" s="269"/>
      <c r="B387" s="53"/>
      <c r="C387" s="175"/>
      <c r="D387" s="175"/>
      <c r="E387" s="175"/>
      <c r="F387" s="56"/>
      <c r="G387" s="274"/>
      <c r="H387" s="271"/>
      <c r="I387" s="213"/>
      <c r="J387" s="213"/>
      <c r="K387" s="212">
        <f t="shared" si="40"/>
        <v>0</v>
      </c>
      <c r="L387" s="272">
        <f t="shared" si="41"/>
        <v>1900</v>
      </c>
      <c r="M387" s="272">
        <f t="shared" si="42"/>
        <v>1</v>
      </c>
      <c r="N387" s="273"/>
      <c r="O387" s="61">
        <f t="shared" si="43"/>
        <v>1900</v>
      </c>
      <c r="P387" s="61">
        <f t="shared" si="44"/>
        <v>1</v>
      </c>
      <c r="R387" s="272"/>
      <c r="S387" s="272"/>
      <c r="T387" s="278" t="str">
        <f t="shared" si="45"/>
        <v>-</v>
      </c>
    </row>
    <row r="388" spans="1:20">
      <c r="A388" s="269"/>
      <c r="B388" s="53"/>
      <c r="C388" s="175"/>
      <c r="D388" s="175"/>
      <c r="E388" s="175"/>
      <c r="F388" s="56"/>
      <c r="G388" s="274"/>
      <c r="H388" s="271"/>
      <c r="I388" s="213"/>
      <c r="J388" s="213"/>
      <c r="K388" s="212">
        <f t="shared" si="40"/>
        <v>0</v>
      </c>
      <c r="L388" s="272">
        <f t="shared" si="41"/>
        <v>1900</v>
      </c>
      <c r="M388" s="272">
        <f t="shared" si="42"/>
        <v>1</v>
      </c>
      <c r="N388" s="273"/>
      <c r="O388" s="61">
        <f t="shared" si="43"/>
        <v>1900</v>
      </c>
      <c r="P388" s="61">
        <f t="shared" si="44"/>
        <v>1</v>
      </c>
      <c r="R388" s="272"/>
      <c r="S388" s="272"/>
      <c r="T388" s="278" t="str">
        <f t="shared" si="45"/>
        <v>-</v>
      </c>
    </row>
    <row r="389" spans="1:20">
      <c r="A389" s="269"/>
      <c r="B389" s="53"/>
      <c r="C389" s="176"/>
      <c r="D389" s="176"/>
      <c r="E389" s="176"/>
      <c r="F389" s="56"/>
      <c r="G389" s="274"/>
      <c r="H389" s="271"/>
      <c r="I389" s="213"/>
      <c r="J389" s="213"/>
      <c r="K389" s="212">
        <f t="shared" si="40"/>
        <v>0</v>
      </c>
      <c r="L389" s="272">
        <f t="shared" si="41"/>
        <v>1900</v>
      </c>
      <c r="M389" s="272">
        <f t="shared" si="42"/>
        <v>1</v>
      </c>
      <c r="N389" s="273"/>
      <c r="O389" s="61">
        <f t="shared" si="43"/>
        <v>1900</v>
      </c>
      <c r="P389" s="61">
        <f t="shared" si="44"/>
        <v>1</v>
      </c>
      <c r="R389" s="272"/>
      <c r="S389" s="272"/>
      <c r="T389" s="278" t="str">
        <f t="shared" si="45"/>
        <v>-</v>
      </c>
    </row>
    <row r="390" spans="1:20">
      <c r="A390" s="269"/>
      <c r="B390" s="53"/>
      <c r="C390" s="176"/>
      <c r="D390" s="176"/>
      <c r="E390" s="176"/>
      <c r="F390" s="56"/>
      <c r="G390" s="274"/>
      <c r="H390" s="271"/>
      <c r="I390" s="213"/>
      <c r="J390" s="213"/>
      <c r="K390" s="212">
        <f t="shared" si="40"/>
        <v>0</v>
      </c>
      <c r="L390" s="272">
        <f t="shared" si="41"/>
        <v>1900</v>
      </c>
      <c r="M390" s="272">
        <f t="shared" si="42"/>
        <v>1</v>
      </c>
      <c r="N390" s="273"/>
      <c r="O390" s="61">
        <f t="shared" si="43"/>
        <v>1900</v>
      </c>
      <c r="P390" s="61">
        <f t="shared" si="44"/>
        <v>1</v>
      </c>
      <c r="R390" s="272"/>
      <c r="S390" s="272"/>
      <c r="T390" s="278" t="str">
        <f t="shared" si="45"/>
        <v>-</v>
      </c>
    </row>
    <row r="391" spans="1:20">
      <c r="A391" s="269"/>
      <c r="B391" s="53"/>
      <c r="C391" s="176"/>
      <c r="D391" s="176"/>
      <c r="E391" s="176"/>
      <c r="F391" s="56"/>
      <c r="G391" s="274"/>
      <c r="H391" s="271"/>
      <c r="I391" s="213"/>
      <c r="J391" s="213"/>
      <c r="K391" s="212">
        <f t="shared" si="40"/>
        <v>0</v>
      </c>
      <c r="L391" s="272">
        <f t="shared" si="41"/>
        <v>1900</v>
      </c>
      <c r="M391" s="272">
        <f t="shared" si="42"/>
        <v>1</v>
      </c>
      <c r="N391" s="273"/>
      <c r="O391" s="61">
        <f t="shared" si="43"/>
        <v>1900</v>
      </c>
      <c r="P391" s="61">
        <f t="shared" si="44"/>
        <v>1</v>
      </c>
      <c r="R391" s="272"/>
      <c r="S391" s="272"/>
      <c r="T391" s="278" t="str">
        <f t="shared" si="45"/>
        <v>-</v>
      </c>
    </row>
    <row r="392" spans="1:20">
      <c r="A392" s="269"/>
      <c r="B392" s="53"/>
      <c r="C392" s="176"/>
      <c r="D392" s="176"/>
      <c r="E392" s="176"/>
      <c r="F392" s="56"/>
      <c r="G392" s="274"/>
      <c r="H392" s="271"/>
      <c r="I392" s="213"/>
      <c r="J392" s="213"/>
      <c r="K392" s="212">
        <f t="shared" si="40"/>
        <v>0</v>
      </c>
      <c r="L392" s="272">
        <f t="shared" si="41"/>
        <v>1900</v>
      </c>
      <c r="M392" s="272">
        <f t="shared" si="42"/>
        <v>1</v>
      </c>
      <c r="N392" s="273"/>
      <c r="O392" s="61">
        <f t="shared" si="43"/>
        <v>1900</v>
      </c>
      <c r="P392" s="61">
        <f t="shared" si="44"/>
        <v>1</v>
      </c>
      <c r="R392" s="272"/>
      <c r="S392" s="272"/>
      <c r="T392" s="278" t="str">
        <f t="shared" si="45"/>
        <v>-</v>
      </c>
    </row>
    <row r="393" spans="1:20">
      <c r="A393" s="269"/>
      <c r="B393" s="53"/>
      <c r="C393" s="175"/>
      <c r="D393" s="175"/>
      <c r="E393" s="175"/>
      <c r="F393" s="56"/>
      <c r="G393" s="274"/>
      <c r="H393" s="271"/>
      <c r="I393" s="213"/>
      <c r="J393" s="213"/>
      <c r="K393" s="212">
        <f t="shared" si="40"/>
        <v>0</v>
      </c>
      <c r="L393" s="272">
        <f t="shared" si="41"/>
        <v>1900</v>
      </c>
      <c r="M393" s="272">
        <f t="shared" si="42"/>
        <v>1</v>
      </c>
      <c r="N393" s="273"/>
      <c r="O393" s="61">
        <f t="shared" si="43"/>
        <v>1900</v>
      </c>
      <c r="P393" s="61">
        <f t="shared" si="44"/>
        <v>1</v>
      </c>
      <c r="R393" s="272"/>
      <c r="S393" s="272"/>
      <c r="T393" s="278" t="str">
        <f t="shared" si="45"/>
        <v>-</v>
      </c>
    </row>
    <row r="394" spans="1:20">
      <c r="A394" s="269"/>
      <c r="B394" s="53"/>
      <c r="C394" s="175"/>
      <c r="D394" s="175"/>
      <c r="E394" s="175"/>
      <c r="F394" s="56"/>
      <c r="G394" s="274"/>
      <c r="H394" s="271"/>
      <c r="I394" s="213"/>
      <c r="J394" s="213"/>
      <c r="K394" s="212">
        <f t="shared" si="40"/>
        <v>0</v>
      </c>
      <c r="L394" s="272">
        <f t="shared" si="41"/>
        <v>1900</v>
      </c>
      <c r="M394" s="272">
        <f t="shared" si="42"/>
        <v>1</v>
      </c>
      <c r="N394" s="273"/>
      <c r="O394" s="61">
        <f t="shared" si="43"/>
        <v>1900</v>
      </c>
      <c r="P394" s="61">
        <f t="shared" si="44"/>
        <v>1</v>
      </c>
      <c r="R394" s="272"/>
      <c r="S394" s="272"/>
      <c r="T394" s="278" t="str">
        <f t="shared" si="45"/>
        <v>-</v>
      </c>
    </row>
    <row r="395" spans="1:20">
      <c r="A395" s="269"/>
      <c r="B395" s="53"/>
      <c r="C395" s="175"/>
      <c r="D395" s="175"/>
      <c r="E395" s="175"/>
      <c r="F395" s="56"/>
      <c r="G395" s="274"/>
      <c r="H395" s="271"/>
      <c r="I395" s="213"/>
      <c r="J395" s="213"/>
      <c r="K395" s="212">
        <f t="shared" si="40"/>
        <v>0</v>
      </c>
      <c r="L395" s="272">
        <f t="shared" si="41"/>
        <v>1900</v>
      </c>
      <c r="M395" s="272">
        <f t="shared" si="42"/>
        <v>1</v>
      </c>
      <c r="N395" s="273"/>
      <c r="O395" s="61">
        <f t="shared" si="43"/>
        <v>1900</v>
      </c>
      <c r="P395" s="61">
        <f t="shared" si="44"/>
        <v>1</v>
      </c>
      <c r="R395" s="272"/>
      <c r="S395" s="272"/>
      <c r="T395" s="278" t="str">
        <f t="shared" si="45"/>
        <v>-</v>
      </c>
    </row>
    <row r="396" spans="1:20">
      <c r="A396" s="269"/>
      <c r="B396" s="53"/>
      <c r="C396" s="175"/>
      <c r="D396" s="175"/>
      <c r="E396" s="175"/>
      <c r="F396" s="56"/>
      <c r="G396" s="274"/>
      <c r="H396" s="271"/>
      <c r="I396" s="213"/>
      <c r="J396" s="213"/>
      <c r="K396" s="212">
        <f t="shared" si="40"/>
        <v>0</v>
      </c>
      <c r="L396" s="272">
        <f t="shared" si="41"/>
        <v>1900</v>
      </c>
      <c r="M396" s="272">
        <f t="shared" si="42"/>
        <v>1</v>
      </c>
      <c r="N396" s="273"/>
      <c r="O396" s="61">
        <f t="shared" si="43"/>
        <v>1900</v>
      </c>
      <c r="P396" s="61">
        <f t="shared" si="44"/>
        <v>1</v>
      </c>
      <c r="R396" s="272"/>
      <c r="S396" s="272"/>
      <c r="T396" s="278" t="str">
        <f t="shared" si="45"/>
        <v>-</v>
      </c>
    </row>
    <row r="397" spans="1:20">
      <c r="A397" s="269"/>
      <c r="B397" s="53"/>
      <c r="C397" s="176"/>
      <c r="D397" s="176"/>
      <c r="E397" s="176"/>
      <c r="F397" s="56"/>
      <c r="G397" s="274"/>
      <c r="H397" s="271"/>
      <c r="I397" s="213"/>
      <c r="J397" s="213"/>
      <c r="K397" s="212">
        <f t="shared" si="40"/>
        <v>0</v>
      </c>
      <c r="L397" s="272">
        <f t="shared" si="41"/>
        <v>1900</v>
      </c>
      <c r="M397" s="272">
        <f t="shared" si="42"/>
        <v>1</v>
      </c>
      <c r="N397" s="273"/>
      <c r="O397" s="61">
        <f t="shared" si="43"/>
        <v>1900</v>
      </c>
      <c r="P397" s="61">
        <f t="shared" si="44"/>
        <v>1</v>
      </c>
      <c r="R397" s="272"/>
      <c r="S397" s="272"/>
      <c r="T397" s="278" t="str">
        <f t="shared" si="45"/>
        <v>-</v>
      </c>
    </row>
    <row r="398" spans="1:20">
      <c r="A398" s="269"/>
      <c r="B398" s="53"/>
      <c r="C398" s="176"/>
      <c r="D398" s="176"/>
      <c r="E398" s="176"/>
      <c r="F398" s="56"/>
      <c r="G398" s="274"/>
      <c r="H398" s="271"/>
      <c r="I398" s="213"/>
      <c r="J398" s="213"/>
      <c r="K398" s="212">
        <f t="shared" si="40"/>
        <v>0</v>
      </c>
      <c r="L398" s="272">
        <f t="shared" si="41"/>
        <v>1900</v>
      </c>
      <c r="M398" s="272">
        <f t="shared" si="42"/>
        <v>1</v>
      </c>
      <c r="N398" s="273"/>
      <c r="O398" s="61">
        <f t="shared" si="43"/>
        <v>1900</v>
      </c>
      <c r="P398" s="61">
        <f t="shared" si="44"/>
        <v>1</v>
      </c>
      <c r="R398" s="272"/>
      <c r="S398" s="272"/>
      <c r="T398" s="278" t="str">
        <f t="shared" si="45"/>
        <v>-</v>
      </c>
    </row>
    <row r="399" spans="1:20">
      <c r="A399" s="269"/>
      <c r="B399" s="53"/>
      <c r="C399" s="176"/>
      <c r="D399" s="176"/>
      <c r="E399" s="176"/>
      <c r="F399" s="56"/>
      <c r="G399" s="274"/>
      <c r="H399" s="271"/>
      <c r="I399" s="213"/>
      <c r="J399" s="213"/>
      <c r="K399" s="212">
        <f t="shared" ref="K399:K462" si="46">I399+H399+J399</f>
        <v>0</v>
      </c>
      <c r="L399" s="272">
        <f t="shared" si="41"/>
        <v>1900</v>
      </c>
      <c r="M399" s="272">
        <f t="shared" si="42"/>
        <v>1</v>
      </c>
      <c r="N399" s="273"/>
      <c r="O399" s="61">
        <f t="shared" si="43"/>
        <v>1900</v>
      </c>
      <c r="P399" s="61">
        <f t="shared" si="44"/>
        <v>1</v>
      </c>
      <c r="R399" s="272"/>
      <c r="S399" s="272"/>
      <c r="T399" s="278" t="str">
        <f t="shared" si="45"/>
        <v>-</v>
      </c>
    </row>
    <row r="400" spans="1:20">
      <c r="A400" s="269"/>
      <c r="B400" s="53"/>
      <c r="C400" s="176"/>
      <c r="D400" s="176"/>
      <c r="E400" s="176"/>
      <c r="F400" s="56"/>
      <c r="G400" s="274"/>
      <c r="H400" s="271"/>
      <c r="I400" s="213"/>
      <c r="J400" s="213"/>
      <c r="K400" s="212">
        <f t="shared" si="46"/>
        <v>0</v>
      </c>
      <c r="L400" s="272">
        <f t="shared" ref="L400:L463" si="47">YEAR(B400)</f>
        <v>1900</v>
      </c>
      <c r="M400" s="272">
        <f t="shared" ref="M400:M463" si="48">MONTH(B400)</f>
        <v>1</v>
      </c>
      <c r="N400" s="273"/>
      <c r="O400" s="61">
        <f t="shared" ref="O400:O463" si="49">YEAR(B400)</f>
        <v>1900</v>
      </c>
      <c r="P400" s="61">
        <f t="shared" ref="P400:P463" si="50">MONTH(B400)</f>
        <v>1</v>
      </c>
      <c r="R400" s="272"/>
      <c r="S400" s="272"/>
      <c r="T400" s="278" t="str">
        <f t="shared" ref="T400:T463" si="51">IF($E400&gt;0,IF((R400+S400)=$E400,"OK","Error"),"-")</f>
        <v>-</v>
      </c>
    </row>
    <row r="401" spans="1:20">
      <c r="A401" s="269"/>
      <c r="B401" s="53"/>
      <c r="C401" s="176"/>
      <c r="D401" s="176"/>
      <c r="E401" s="176"/>
      <c r="F401" s="56"/>
      <c r="G401" s="274"/>
      <c r="H401" s="271"/>
      <c r="I401" s="213"/>
      <c r="J401" s="213"/>
      <c r="K401" s="212">
        <f t="shared" si="46"/>
        <v>0</v>
      </c>
      <c r="L401" s="272">
        <f t="shared" si="47"/>
        <v>1900</v>
      </c>
      <c r="M401" s="272">
        <f t="shared" si="48"/>
        <v>1</v>
      </c>
      <c r="N401" s="273"/>
      <c r="O401" s="61">
        <f t="shared" si="49"/>
        <v>1900</v>
      </c>
      <c r="P401" s="61">
        <f t="shared" si="50"/>
        <v>1</v>
      </c>
      <c r="R401" s="272"/>
      <c r="S401" s="272"/>
      <c r="T401" s="278" t="str">
        <f t="shared" si="51"/>
        <v>-</v>
      </c>
    </row>
    <row r="402" spans="1:20">
      <c r="A402" s="269"/>
      <c r="B402" s="53"/>
      <c r="C402" s="176"/>
      <c r="D402" s="176"/>
      <c r="E402" s="176"/>
      <c r="F402" s="56"/>
      <c r="G402" s="274"/>
      <c r="H402" s="271"/>
      <c r="I402" s="213"/>
      <c r="J402" s="213"/>
      <c r="K402" s="212">
        <f t="shared" si="46"/>
        <v>0</v>
      </c>
      <c r="L402" s="272">
        <f t="shared" si="47"/>
        <v>1900</v>
      </c>
      <c r="M402" s="272">
        <f t="shared" si="48"/>
        <v>1</v>
      </c>
      <c r="N402" s="273"/>
      <c r="O402" s="61">
        <f t="shared" si="49"/>
        <v>1900</v>
      </c>
      <c r="P402" s="61">
        <f t="shared" si="50"/>
        <v>1</v>
      </c>
      <c r="R402" s="272"/>
      <c r="S402" s="272"/>
      <c r="T402" s="278" t="str">
        <f t="shared" si="51"/>
        <v>-</v>
      </c>
    </row>
    <row r="403" spans="1:20">
      <c r="A403" s="269"/>
      <c r="B403" s="53"/>
      <c r="C403" s="176"/>
      <c r="D403" s="176"/>
      <c r="E403" s="176"/>
      <c r="F403" s="56"/>
      <c r="G403" s="274"/>
      <c r="H403" s="271"/>
      <c r="I403" s="213"/>
      <c r="J403" s="213"/>
      <c r="K403" s="212">
        <f t="shared" si="46"/>
        <v>0</v>
      </c>
      <c r="L403" s="272">
        <f t="shared" si="47"/>
        <v>1900</v>
      </c>
      <c r="M403" s="272">
        <f t="shared" si="48"/>
        <v>1</v>
      </c>
      <c r="N403" s="273"/>
      <c r="O403" s="61">
        <f t="shared" si="49"/>
        <v>1900</v>
      </c>
      <c r="P403" s="61">
        <f t="shared" si="50"/>
        <v>1</v>
      </c>
      <c r="R403" s="272"/>
      <c r="S403" s="272"/>
      <c r="T403" s="278" t="str">
        <f t="shared" si="51"/>
        <v>-</v>
      </c>
    </row>
    <row r="404" spans="1:20">
      <c r="A404" s="269"/>
      <c r="B404" s="53"/>
      <c r="C404" s="176"/>
      <c r="D404" s="176"/>
      <c r="E404" s="176"/>
      <c r="F404" s="56"/>
      <c r="G404" s="274"/>
      <c r="H404" s="271"/>
      <c r="I404" s="213"/>
      <c r="J404" s="213"/>
      <c r="K404" s="212">
        <f t="shared" si="46"/>
        <v>0</v>
      </c>
      <c r="L404" s="272">
        <f t="shared" si="47"/>
        <v>1900</v>
      </c>
      <c r="M404" s="272">
        <f t="shared" si="48"/>
        <v>1</v>
      </c>
      <c r="N404" s="273"/>
      <c r="O404" s="61">
        <f t="shared" si="49"/>
        <v>1900</v>
      </c>
      <c r="P404" s="61">
        <f t="shared" si="50"/>
        <v>1</v>
      </c>
      <c r="R404" s="272"/>
      <c r="S404" s="272"/>
      <c r="T404" s="278" t="str">
        <f t="shared" si="51"/>
        <v>-</v>
      </c>
    </row>
    <row r="405" spans="1:20">
      <c r="A405" s="269"/>
      <c r="B405" s="53"/>
      <c r="C405" s="175"/>
      <c r="D405" s="175"/>
      <c r="E405" s="175"/>
      <c r="F405" s="56"/>
      <c r="G405" s="274"/>
      <c r="H405" s="271"/>
      <c r="I405" s="213"/>
      <c r="J405" s="213"/>
      <c r="K405" s="212">
        <f t="shared" si="46"/>
        <v>0</v>
      </c>
      <c r="L405" s="272">
        <f t="shared" si="47"/>
        <v>1900</v>
      </c>
      <c r="M405" s="272">
        <f t="shared" si="48"/>
        <v>1</v>
      </c>
      <c r="N405" s="273"/>
      <c r="O405" s="61">
        <f t="shared" si="49"/>
        <v>1900</v>
      </c>
      <c r="P405" s="61">
        <f t="shared" si="50"/>
        <v>1</v>
      </c>
      <c r="R405" s="272"/>
      <c r="S405" s="272"/>
      <c r="T405" s="278" t="str">
        <f t="shared" si="51"/>
        <v>-</v>
      </c>
    </row>
    <row r="406" spans="1:20">
      <c r="A406" s="269"/>
      <c r="B406" s="53"/>
      <c r="C406" s="175"/>
      <c r="D406" s="175"/>
      <c r="E406" s="175"/>
      <c r="F406" s="56"/>
      <c r="G406" s="274"/>
      <c r="H406" s="271"/>
      <c r="I406" s="213"/>
      <c r="J406" s="213"/>
      <c r="K406" s="212">
        <f t="shared" si="46"/>
        <v>0</v>
      </c>
      <c r="L406" s="272">
        <f t="shared" si="47"/>
        <v>1900</v>
      </c>
      <c r="M406" s="272">
        <f t="shared" si="48"/>
        <v>1</v>
      </c>
      <c r="N406" s="273"/>
      <c r="O406" s="61">
        <f t="shared" si="49"/>
        <v>1900</v>
      </c>
      <c r="P406" s="61">
        <f t="shared" si="50"/>
        <v>1</v>
      </c>
      <c r="R406" s="272"/>
      <c r="S406" s="272"/>
      <c r="T406" s="278" t="str">
        <f t="shared" si="51"/>
        <v>-</v>
      </c>
    </row>
    <row r="407" spans="1:20">
      <c r="A407" s="269"/>
      <c r="B407" s="53"/>
      <c r="C407" s="175"/>
      <c r="D407" s="175"/>
      <c r="E407" s="175"/>
      <c r="F407" s="56"/>
      <c r="G407" s="274"/>
      <c r="H407" s="271"/>
      <c r="I407" s="213"/>
      <c r="J407" s="213"/>
      <c r="K407" s="212">
        <f t="shared" si="46"/>
        <v>0</v>
      </c>
      <c r="L407" s="272">
        <f t="shared" si="47"/>
        <v>1900</v>
      </c>
      <c r="M407" s="272">
        <f t="shared" si="48"/>
        <v>1</v>
      </c>
      <c r="N407" s="273"/>
      <c r="O407" s="61">
        <f t="shared" si="49"/>
        <v>1900</v>
      </c>
      <c r="P407" s="61">
        <f t="shared" si="50"/>
        <v>1</v>
      </c>
      <c r="R407" s="272"/>
      <c r="S407" s="272"/>
      <c r="T407" s="278" t="str">
        <f t="shared" si="51"/>
        <v>-</v>
      </c>
    </row>
    <row r="408" spans="1:20">
      <c r="A408" s="269"/>
      <c r="B408" s="53"/>
      <c r="C408" s="176"/>
      <c r="D408" s="176"/>
      <c r="E408" s="176"/>
      <c r="F408" s="56"/>
      <c r="G408" s="274"/>
      <c r="H408" s="271"/>
      <c r="I408" s="213"/>
      <c r="J408" s="213"/>
      <c r="K408" s="212">
        <f t="shared" si="46"/>
        <v>0</v>
      </c>
      <c r="L408" s="272">
        <f t="shared" si="47"/>
        <v>1900</v>
      </c>
      <c r="M408" s="272">
        <f t="shared" si="48"/>
        <v>1</v>
      </c>
      <c r="N408" s="273"/>
      <c r="O408" s="61">
        <f t="shared" si="49"/>
        <v>1900</v>
      </c>
      <c r="P408" s="61">
        <f t="shared" si="50"/>
        <v>1</v>
      </c>
      <c r="R408" s="272"/>
      <c r="S408" s="272"/>
      <c r="T408" s="278" t="str">
        <f t="shared" si="51"/>
        <v>-</v>
      </c>
    </row>
    <row r="409" spans="1:20">
      <c r="A409" s="269"/>
      <c r="B409" s="53"/>
      <c r="C409" s="176"/>
      <c r="D409" s="176"/>
      <c r="E409" s="176"/>
      <c r="F409" s="56"/>
      <c r="G409" s="274"/>
      <c r="H409" s="271"/>
      <c r="I409" s="213"/>
      <c r="J409" s="213"/>
      <c r="K409" s="212">
        <f t="shared" si="46"/>
        <v>0</v>
      </c>
      <c r="L409" s="272">
        <f t="shared" si="47"/>
        <v>1900</v>
      </c>
      <c r="M409" s="272">
        <f t="shared" si="48"/>
        <v>1</v>
      </c>
      <c r="N409" s="273"/>
      <c r="O409" s="61">
        <f t="shared" si="49"/>
        <v>1900</v>
      </c>
      <c r="P409" s="61">
        <f t="shared" si="50"/>
        <v>1</v>
      </c>
      <c r="R409" s="272"/>
      <c r="S409" s="272"/>
      <c r="T409" s="278" t="str">
        <f t="shared" si="51"/>
        <v>-</v>
      </c>
    </row>
    <row r="410" spans="1:20">
      <c r="A410" s="269"/>
      <c r="B410" s="53"/>
      <c r="C410" s="175"/>
      <c r="D410" s="175"/>
      <c r="E410" s="175"/>
      <c r="F410" s="56"/>
      <c r="G410" s="274"/>
      <c r="H410" s="271"/>
      <c r="I410" s="213"/>
      <c r="J410" s="213"/>
      <c r="K410" s="212">
        <f t="shared" si="46"/>
        <v>0</v>
      </c>
      <c r="L410" s="272">
        <f t="shared" si="47"/>
        <v>1900</v>
      </c>
      <c r="M410" s="272">
        <f t="shared" si="48"/>
        <v>1</v>
      </c>
      <c r="N410" s="273"/>
      <c r="O410" s="61">
        <f t="shared" si="49"/>
        <v>1900</v>
      </c>
      <c r="P410" s="61">
        <f t="shared" si="50"/>
        <v>1</v>
      </c>
      <c r="R410" s="272"/>
      <c r="S410" s="272"/>
      <c r="T410" s="278" t="str">
        <f t="shared" si="51"/>
        <v>-</v>
      </c>
    </row>
    <row r="411" spans="1:20">
      <c r="A411" s="269"/>
      <c r="B411" s="53"/>
      <c r="C411" s="176"/>
      <c r="D411" s="176"/>
      <c r="E411" s="176"/>
      <c r="F411" s="56"/>
      <c r="G411" s="274"/>
      <c r="H411" s="271"/>
      <c r="I411" s="213"/>
      <c r="J411" s="213"/>
      <c r="K411" s="212">
        <f t="shared" si="46"/>
        <v>0</v>
      </c>
      <c r="L411" s="272">
        <f t="shared" si="47"/>
        <v>1900</v>
      </c>
      <c r="M411" s="272">
        <f t="shared" si="48"/>
        <v>1</v>
      </c>
      <c r="N411" s="273"/>
      <c r="O411" s="61">
        <f t="shared" si="49"/>
        <v>1900</v>
      </c>
      <c r="P411" s="61">
        <f t="shared" si="50"/>
        <v>1</v>
      </c>
      <c r="R411" s="272"/>
      <c r="S411" s="272"/>
      <c r="T411" s="278" t="str">
        <f t="shared" si="51"/>
        <v>-</v>
      </c>
    </row>
    <row r="412" spans="1:20">
      <c r="A412" s="269"/>
      <c r="B412" s="53"/>
      <c r="C412" s="175"/>
      <c r="D412" s="175"/>
      <c r="E412" s="175"/>
      <c r="F412" s="56"/>
      <c r="G412" s="274"/>
      <c r="H412" s="271"/>
      <c r="I412" s="213"/>
      <c r="J412" s="213"/>
      <c r="K412" s="212">
        <f t="shared" si="46"/>
        <v>0</v>
      </c>
      <c r="L412" s="272">
        <f t="shared" si="47"/>
        <v>1900</v>
      </c>
      <c r="M412" s="272">
        <f t="shared" si="48"/>
        <v>1</v>
      </c>
      <c r="N412" s="273"/>
      <c r="O412" s="61">
        <f t="shared" si="49"/>
        <v>1900</v>
      </c>
      <c r="P412" s="61">
        <f t="shared" si="50"/>
        <v>1</v>
      </c>
      <c r="R412" s="272"/>
      <c r="S412" s="272"/>
      <c r="T412" s="278" t="str">
        <f t="shared" si="51"/>
        <v>-</v>
      </c>
    </row>
    <row r="413" spans="1:20">
      <c r="A413" s="269"/>
      <c r="B413" s="53"/>
      <c r="C413" s="175"/>
      <c r="D413" s="175"/>
      <c r="E413" s="175"/>
      <c r="F413" s="56"/>
      <c r="G413" s="274"/>
      <c r="H413" s="271"/>
      <c r="I413" s="213"/>
      <c r="J413" s="213"/>
      <c r="K413" s="212">
        <f t="shared" si="46"/>
        <v>0</v>
      </c>
      <c r="L413" s="272">
        <f t="shared" si="47"/>
        <v>1900</v>
      </c>
      <c r="M413" s="272">
        <f t="shared" si="48"/>
        <v>1</v>
      </c>
      <c r="N413" s="273"/>
      <c r="O413" s="61">
        <f t="shared" si="49"/>
        <v>1900</v>
      </c>
      <c r="P413" s="61">
        <f t="shared" si="50"/>
        <v>1</v>
      </c>
      <c r="R413" s="272"/>
      <c r="S413" s="272"/>
      <c r="T413" s="278" t="str">
        <f t="shared" si="51"/>
        <v>-</v>
      </c>
    </row>
    <row r="414" spans="1:20">
      <c r="A414" s="269"/>
      <c r="B414" s="53"/>
      <c r="C414" s="175"/>
      <c r="D414" s="175"/>
      <c r="E414" s="175"/>
      <c r="F414" s="56"/>
      <c r="G414" s="274"/>
      <c r="H414" s="271"/>
      <c r="I414" s="213"/>
      <c r="J414" s="213"/>
      <c r="K414" s="212">
        <f t="shared" si="46"/>
        <v>0</v>
      </c>
      <c r="L414" s="272">
        <f t="shared" si="47"/>
        <v>1900</v>
      </c>
      <c r="M414" s="272">
        <f t="shared" si="48"/>
        <v>1</v>
      </c>
      <c r="N414" s="273"/>
      <c r="O414" s="61">
        <f t="shared" si="49"/>
        <v>1900</v>
      </c>
      <c r="P414" s="61">
        <f t="shared" si="50"/>
        <v>1</v>
      </c>
      <c r="R414" s="272"/>
      <c r="S414" s="272"/>
      <c r="T414" s="278" t="str">
        <f t="shared" si="51"/>
        <v>-</v>
      </c>
    </row>
    <row r="415" spans="1:20">
      <c r="A415" s="269"/>
      <c r="B415" s="53"/>
      <c r="C415" s="175"/>
      <c r="D415" s="175"/>
      <c r="E415" s="175"/>
      <c r="F415" s="56"/>
      <c r="G415" s="274"/>
      <c r="H415" s="271"/>
      <c r="I415" s="213"/>
      <c r="J415" s="213"/>
      <c r="K415" s="212">
        <f t="shared" si="46"/>
        <v>0</v>
      </c>
      <c r="L415" s="272">
        <f t="shared" si="47"/>
        <v>1900</v>
      </c>
      <c r="M415" s="272">
        <f t="shared" si="48"/>
        <v>1</v>
      </c>
      <c r="N415" s="273"/>
      <c r="O415" s="61">
        <f t="shared" si="49"/>
        <v>1900</v>
      </c>
      <c r="P415" s="61">
        <f t="shared" si="50"/>
        <v>1</v>
      </c>
      <c r="R415" s="272"/>
      <c r="S415" s="272"/>
      <c r="T415" s="278" t="str">
        <f t="shared" si="51"/>
        <v>-</v>
      </c>
    </row>
    <row r="416" spans="1:20">
      <c r="A416" s="269"/>
      <c r="B416" s="53"/>
      <c r="C416" s="176"/>
      <c r="D416" s="176"/>
      <c r="E416" s="176"/>
      <c r="F416" s="56"/>
      <c r="G416" s="274"/>
      <c r="H416" s="271"/>
      <c r="I416" s="213"/>
      <c r="J416" s="213"/>
      <c r="K416" s="212">
        <f t="shared" si="46"/>
        <v>0</v>
      </c>
      <c r="L416" s="272">
        <f t="shared" si="47"/>
        <v>1900</v>
      </c>
      <c r="M416" s="272">
        <f t="shared" si="48"/>
        <v>1</v>
      </c>
      <c r="N416" s="273"/>
      <c r="O416" s="61">
        <f t="shared" si="49"/>
        <v>1900</v>
      </c>
      <c r="P416" s="61">
        <f t="shared" si="50"/>
        <v>1</v>
      </c>
      <c r="R416" s="272"/>
      <c r="S416" s="272"/>
      <c r="T416" s="278" t="str">
        <f t="shared" si="51"/>
        <v>-</v>
      </c>
    </row>
    <row r="417" spans="1:20">
      <c r="A417" s="269"/>
      <c r="B417" s="53"/>
      <c r="C417" s="176"/>
      <c r="D417" s="176"/>
      <c r="E417" s="176"/>
      <c r="F417" s="56"/>
      <c r="G417" s="274"/>
      <c r="H417" s="271"/>
      <c r="I417" s="213"/>
      <c r="J417" s="213"/>
      <c r="K417" s="212">
        <f t="shared" si="46"/>
        <v>0</v>
      </c>
      <c r="L417" s="272">
        <f t="shared" si="47"/>
        <v>1900</v>
      </c>
      <c r="M417" s="272">
        <f t="shared" si="48"/>
        <v>1</v>
      </c>
      <c r="N417" s="273"/>
      <c r="O417" s="61">
        <f t="shared" si="49"/>
        <v>1900</v>
      </c>
      <c r="P417" s="61">
        <f t="shared" si="50"/>
        <v>1</v>
      </c>
      <c r="R417" s="272"/>
      <c r="S417" s="272"/>
      <c r="T417" s="278" t="str">
        <f t="shared" si="51"/>
        <v>-</v>
      </c>
    </row>
    <row r="418" spans="1:20">
      <c r="A418" s="269"/>
      <c r="B418" s="53"/>
      <c r="C418" s="175"/>
      <c r="D418" s="175"/>
      <c r="E418" s="175"/>
      <c r="F418" s="56"/>
      <c r="G418" s="274"/>
      <c r="H418" s="271"/>
      <c r="I418" s="213"/>
      <c r="J418" s="213"/>
      <c r="K418" s="212">
        <f t="shared" si="46"/>
        <v>0</v>
      </c>
      <c r="L418" s="272">
        <f t="shared" si="47"/>
        <v>1900</v>
      </c>
      <c r="M418" s="272">
        <f t="shared" si="48"/>
        <v>1</v>
      </c>
      <c r="N418" s="273"/>
      <c r="O418" s="61">
        <f t="shared" si="49"/>
        <v>1900</v>
      </c>
      <c r="P418" s="61">
        <f t="shared" si="50"/>
        <v>1</v>
      </c>
      <c r="R418" s="272"/>
      <c r="S418" s="272"/>
      <c r="T418" s="278" t="str">
        <f t="shared" si="51"/>
        <v>-</v>
      </c>
    </row>
    <row r="419" spans="1:20">
      <c r="A419" s="269"/>
      <c r="B419" s="53"/>
      <c r="C419" s="176"/>
      <c r="D419" s="176"/>
      <c r="E419" s="176"/>
      <c r="F419" s="56"/>
      <c r="G419" s="274"/>
      <c r="H419" s="271"/>
      <c r="I419" s="213"/>
      <c r="J419" s="213"/>
      <c r="K419" s="212">
        <f t="shared" si="46"/>
        <v>0</v>
      </c>
      <c r="L419" s="272">
        <f t="shared" si="47"/>
        <v>1900</v>
      </c>
      <c r="M419" s="272">
        <f t="shared" si="48"/>
        <v>1</v>
      </c>
      <c r="N419" s="273"/>
      <c r="O419" s="61">
        <f t="shared" si="49"/>
        <v>1900</v>
      </c>
      <c r="P419" s="61">
        <f t="shared" si="50"/>
        <v>1</v>
      </c>
      <c r="R419" s="272"/>
      <c r="S419" s="272"/>
      <c r="T419" s="278" t="str">
        <f t="shared" si="51"/>
        <v>-</v>
      </c>
    </row>
    <row r="420" spans="1:20">
      <c r="A420" s="269"/>
      <c r="B420" s="57"/>
      <c r="C420" s="176"/>
      <c r="D420" s="176"/>
      <c r="E420" s="176"/>
      <c r="F420" s="56"/>
      <c r="G420" s="274"/>
      <c r="H420" s="271"/>
      <c r="I420" s="213"/>
      <c r="J420" s="213"/>
      <c r="K420" s="212">
        <f t="shared" si="46"/>
        <v>0</v>
      </c>
      <c r="L420" s="272">
        <f t="shared" si="47"/>
        <v>1900</v>
      </c>
      <c r="M420" s="272">
        <f t="shared" si="48"/>
        <v>1</v>
      </c>
      <c r="N420" s="273"/>
      <c r="O420" s="61">
        <f t="shared" si="49"/>
        <v>1900</v>
      </c>
      <c r="P420" s="61">
        <f t="shared" si="50"/>
        <v>1</v>
      </c>
      <c r="R420" s="272"/>
      <c r="S420" s="272"/>
      <c r="T420" s="278" t="str">
        <f t="shared" si="51"/>
        <v>-</v>
      </c>
    </row>
    <row r="421" spans="1:20">
      <c r="A421" s="269"/>
      <c r="B421" s="57"/>
      <c r="C421" s="176"/>
      <c r="D421" s="176"/>
      <c r="E421" s="176"/>
      <c r="F421" s="56"/>
      <c r="G421" s="274"/>
      <c r="H421" s="271"/>
      <c r="I421" s="213"/>
      <c r="J421" s="213"/>
      <c r="K421" s="212">
        <f t="shared" si="46"/>
        <v>0</v>
      </c>
      <c r="L421" s="272">
        <f t="shared" si="47"/>
        <v>1900</v>
      </c>
      <c r="M421" s="272">
        <f t="shared" si="48"/>
        <v>1</v>
      </c>
      <c r="N421" s="273"/>
      <c r="O421" s="61">
        <f t="shared" si="49"/>
        <v>1900</v>
      </c>
      <c r="P421" s="61">
        <f t="shared" si="50"/>
        <v>1</v>
      </c>
      <c r="R421" s="272"/>
      <c r="S421" s="272"/>
      <c r="T421" s="278" t="str">
        <f t="shared" si="51"/>
        <v>-</v>
      </c>
    </row>
    <row r="422" spans="1:20">
      <c r="A422" s="269"/>
      <c r="B422" s="57"/>
      <c r="C422" s="176"/>
      <c r="D422" s="176"/>
      <c r="E422" s="176"/>
      <c r="F422" s="56"/>
      <c r="G422" s="274"/>
      <c r="H422" s="271"/>
      <c r="I422" s="213"/>
      <c r="J422" s="213"/>
      <c r="K422" s="212">
        <f t="shared" si="46"/>
        <v>0</v>
      </c>
      <c r="L422" s="272">
        <f t="shared" si="47"/>
        <v>1900</v>
      </c>
      <c r="M422" s="272">
        <f t="shared" si="48"/>
        <v>1</v>
      </c>
      <c r="N422" s="273"/>
      <c r="O422" s="61">
        <f t="shared" si="49"/>
        <v>1900</v>
      </c>
      <c r="P422" s="61">
        <f t="shared" si="50"/>
        <v>1</v>
      </c>
      <c r="R422" s="272"/>
      <c r="S422" s="272"/>
      <c r="T422" s="278" t="str">
        <f t="shared" si="51"/>
        <v>-</v>
      </c>
    </row>
    <row r="423" spans="1:20">
      <c r="A423" s="269"/>
      <c r="B423" s="57"/>
      <c r="C423" s="176"/>
      <c r="D423" s="176"/>
      <c r="E423" s="176"/>
      <c r="F423" s="56"/>
      <c r="G423" s="274"/>
      <c r="H423" s="271"/>
      <c r="I423" s="213"/>
      <c r="J423" s="213"/>
      <c r="K423" s="212">
        <f t="shared" si="46"/>
        <v>0</v>
      </c>
      <c r="L423" s="272">
        <f t="shared" si="47"/>
        <v>1900</v>
      </c>
      <c r="M423" s="272">
        <f t="shared" si="48"/>
        <v>1</v>
      </c>
      <c r="N423" s="273"/>
      <c r="O423" s="61">
        <f t="shared" si="49"/>
        <v>1900</v>
      </c>
      <c r="P423" s="61">
        <f t="shared" si="50"/>
        <v>1</v>
      </c>
      <c r="R423" s="272"/>
      <c r="S423" s="272"/>
      <c r="T423" s="278" t="str">
        <f t="shared" si="51"/>
        <v>-</v>
      </c>
    </row>
    <row r="424" spans="1:20">
      <c r="A424" s="269"/>
      <c r="B424" s="57"/>
      <c r="C424" s="176"/>
      <c r="D424" s="176"/>
      <c r="E424" s="176"/>
      <c r="F424" s="56"/>
      <c r="G424" s="274"/>
      <c r="H424" s="271"/>
      <c r="I424" s="213"/>
      <c r="J424" s="213"/>
      <c r="K424" s="212">
        <f t="shared" si="46"/>
        <v>0</v>
      </c>
      <c r="L424" s="272">
        <f t="shared" si="47"/>
        <v>1900</v>
      </c>
      <c r="M424" s="272">
        <f t="shared" si="48"/>
        <v>1</v>
      </c>
      <c r="N424" s="273"/>
      <c r="O424" s="61">
        <f t="shared" si="49"/>
        <v>1900</v>
      </c>
      <c r="P424" s="61">
        <f t="shared" si="50"/>
        <v>1</v>
      </c>
      <c r="R424" s="272"/>
      <c r="S424" s="272"/>
      <c r="T424" s="278" t="str">
        <f t="shared" si="51"/>
        <v>-</v>
      </c>
    </row>
    <row r="425" spans="1:20">
      <c r="A425" s="269"/>
      <c r="B425" s="57"/>
      <c r="C425" s="176"/>
      <c r="D425" s="176"/>
      <c r="E425" s="176"/>
      <c r="F425" s="56"/>
      <c r="G425" s="274"/>
      <c r="H425" s="271"/>
      <c r="I425" s="213"/>
      <c r="J425" s="213"/>
      <c r="K425" s="212">
        <f t="shared" si="46"/>
        <v>0</v>
      </c>
      <c r="L425" s="272">
        <f t="shared" si="47"/>
        <v>1900</v>
      </c>
      <c r="M425" s="272">
        <f t="shared" si="48"/>
        <v>1</v>
      </c>
      <c r="N425" s="273"/>
      <c r="O425" s="61">
        <f t="shared" si="49"/>
        <v>1900</v>
      </c>
      <c r="P425" s="61">
        <f t="shared" si="50"/>
        <v>1</v>
      </c>
      <c r="R425" s="272"/>
      <c r="S425" s="272"/>
      <c r="T425" s="278" t="str">
        <f t="shared" si="51"/>
        <v>-</v>
      </c>
    </row>
    <row r="426" spans="1:20">
      <c r="A426" s="269"/>
      <c r="B426" s="57"/>
      <c r="C426" s="176"/>
      <c r="D426" s="176"/>
      <c r="E426" s="176"/>
      <c r="F426" s="56"/>
      <c r="G426" s="274"/>
      <c r="H426" s="271"/>
      <c r="I426" s="213"/>
      <c r="J426" s="213"/>
      <c r="K426" s="212">
        <f t="shared" si="46"/>
        <v>0</v>
      </c>
      <c r="L426" s="272">
        <f t="shared" si="47"/>
        <v>1900</v>
      </c>
      <c r="M426" s="272">
        <f t="shared" si="48"/>
        <v>1</v>
      </c>
      <c r="N426" s="273"/>
      <c r="O426" s="61">
        <f t="shared" si="49"/>
        <v>1900</v>
      </c>
      <c r="P426" s="61">
        <f t="shared" si="50"/>
        <v>1</v>
      </c>
      <c r="R426" s="272"/>
      <c r="S426" s="272"/>
      <c r="T426" s="278" t="str">
        <f t="shared" si="51"/>
        <v>-</v>
      </c>
    </row>
    <row r="427" spans="1:20">
      <c r="A427" s="269"/>
      <c r="B427" s="57"/>
      <c r="C427" s="176"/>
      <c r="D427" s="176"/>
      <c r="E427" s="176"/>
      <c r="F427" s="56"/>
      <c r="G427" s="274"/>
      <c r="H427" s="271"/>
      <c r="I427" s="213"/>
      <c r="J427" s="213"/>
      <c r="K427" s="212">
        <f t="shared" si="46"/>
        <v>0</v>
      </c>
      <c r="L427" s="272">
        <f t="shared" si="47"/>
        <v>1900</v>
      </c>
      <c r="M427" s="272">
        <f t="shared" si="48"/>
        <v>1</v>
      </c>
      <c r="N427" s="273"/>
      <c r="O427" s="61">
        <f t="shared" si="49"/>
        <v>1900</v>
      </c>
      <c r="P427" s="61">
        <f t="shared" si="50"/>
        <v>1</v>
      </c>
      <c r="R427" s="272"/>
      <c r="S427" s="272"/>
      <c r="T427" s="278" t="str">
        <f t="shared" si="51"/>
        <v>-</v>
      </c>
    </row>
    <row r="428" spans="1:20">
      <c r="A428" s="269"/>
      <c r="B428" s="57"/>
      <c r="C428" s="176"/>
      <c r="D428" s="176"/>
      <c r="E428" s="176"/>
      <c r="F428" s="56"/>
      <c r="G428" s="274"/>
      <c r="H428" s="271"/>
      <c r="I428" s="213"/>
      <c r="J428" s="213"/>
      <c r="K428" s="212">
        <f t="shared" si="46"/>
        <v>0</v>
      </c>
      <c r="L428" s="272">
        <f t="shared" si="47"/>
        <v>1900</v>
      </c>
      <c r="M428" s="272">
        <f t="shared" si="48"/>
        <v>1</v>
      </c>
      <c r="N428" s="273"/>
      <c r="O428" s="61">
        <f t="shared" si="49"/>
        <v>1900</v>
      </c>
      <c r="P428" s="61">
        <f t="shared" si="50"/>
        <v>1</v>
      </c>
      <c r="R428" s="272"/>
      <c r="S428" s="272"/>
      <c r="T428" s="278" t="str">
        <f t="shared" si="51"/>
        <v>-</v>
      </c>
    </row>
    <row r="429" spans="1:20">
      <c r="A429" s="269"/>
      <c r="B429" s="57"/>
      <c r="C429" s="176"/>
      <c r="D429" s="176"/>
      <c r="E429" s="176"/>
      <c r="F429" s="56"/>
      <c r="G429" s="274"/>
      <c r="H429" s="271"/>
      <c r="I429" s="213"/>
      <c r="J429" s="213"/>
      <c r="K429" s="212">
        <f t="shared" si="46"/>
        <v>0</v>
      </c>
      <c r="L429" s="272">
        <f t="shared" si="47"/>
        <v>1900</v>
      </c>
      <c r="M429" s="272">
        <f t="shared" si="48"/>
        <v>1</v>
      </c>
      <c r="N429" s="273"/>
      <c r="O429" s="61">
        <f t="shared" si="49"/>
        <v>1900</v>
      </c>
      <c r="P429" s="61">
        <f t="shared" si="50"/>
        <v>1</v>
      </c>
      <c r="R429" s="272"/>
      <c r="S429" s="272"/>
      <c r="T429" s="278" t="str">
        <f t="shared" si="51"/>
        <v>-</v>
      </c>
    </row>
    <row r="430" spans="1:20">
      <c r="A430" s="269"/>
      <c r="B430" s="57"/>
      <c r="C430" s="176"/>
      <c r="D430" s="176"/>
      <c r="E430" s="176"/>
      <c r="F430" s="56"/>
      <c r="G430" s="274"/>
      <c r="H430" s="271"/>
      <c r="I430" s="213"/>
      <c r="J430" s="213"/>
      <c r="K430" s="212">
        <f t="shared" si="46"/>
        <v>0</v>
      </c>
      <c r="L430" s="272">
        <f t="shared" si="47"/>
        <v>1900</v>
      </c>
      <c r="M430" s="272">
        <f t="shared" si="48"/>
        <v>1</v>
      </c>
      <c r="N430" s="273"/>
      <c r="O430" s="61">
        <f t="shared" si="49"/>
        <v>1900</v>
      </c>
      <c r="P430" s="61">
        <f t="shared" si="50"/>
        <v>1</v>
      </c>
      <c r="R430" s="272"/>
      <c r="S430" s="272"/>
      <c r="T430" s="278" t="str">
        <f t="shared" si="51"/>
        <v>-</v>
      </c>
    </row>
    <row r="431" spans="1:20">
      <c r="A431" s="269"/>
      <c r="B431" s="57"/>
      <c r="C431" s="176"/>
      <c r="D431" s="176"/>
      <c r="E431" s="176"/>
      <c r="F431" s="56"/>
      <c r="G431" s="274"/>
      <c r="H431" s="271"/>
      <c r="I431" s="213"/>
      <c r="J431" s="213"/>
      <c r="K431" s="212">
        <f t="shared" si="46"/>
        <v>0</v>
      </c>
      <c r="L431" s="272">
        <f t="shared" si="47"/>
        <v>1900</v>
      </c>
      <c r="M431" s="272">
        <f t="shared" si="48"/>
        <v>1</v>
      </c>
      <c r="N431" s="273"/>
      <c r="O431" s="61">
        <f t="shared" si="49"/>
        <v>1900</v>
      </c>
      <c r="P431" s="61">
        <f t="shared" si="50"/>
        <v>1</v>
      </c>
      <c r="R431" s="272"/>
      <c r="S431" s="272"/>
      <c r="T431" s="278" t="str">
        <f t="shared" si="51"/>
        <v>-</v>
      </c>
    </row>
    <row r="432" spans="1:20">
      <c r="A432" s="269"/>
      <c r="B432" s="57"/>
      <c r="C432" s="176"/>
      <c r="D432" s="176"/>
      <c r="E432" s="176"/>
      <c r="F432" s="56"/>
      <c r="G432" s="274"/>
      <c r="H432" s="271"/>
      <c r="I432" s="213"/>
      <c r="J432" s="213"/>
      <c r="K432" s="212">
        <f t="shared" si="46"/>
        <v>0</v>
      </c>
      <c r="L432" s="272">
        <f t="shared" si="47"/>
        <v>1900</v>
      </c>
      <c r="M432" s="272">
        <f t="shared" si="48"/>
        <v>1</v>
      </c>
      <c r="N432" s="273"/>
      <c r="O432" s="61">
        <f t="shared" si="49"/>
        <v>1900</v>
      </c>
      <c r="P432" s="61">
        <f t="shared" si="50"/>
        <v>1</v>
      </c>
      <c r="R432" s="272"/>
      <c r="S432" s="272"/>
      <c r="T432" s="278" t="str">
        <f t="shared" si="51"/>
        <v>-</v>
      </c>
    </row>
    <row r="433" spans="1:20">
      <c r="A433" s="269"/>
      <c r="B433" s="57"/>
      <c r="C433" s="175"/>
      <c r="D433" s="176"/>
      <c r="E433" s="175"/>
      <c r="F433" s="56"/>
      <c r="G433" s="274"/>
      <c r="H433" s="271"/>
      <c r="I433" s="213"/>
      <c r="J433" s="213"/>
      <c r="K433" s="212">
        <f t="shared" si="46"/>
        <v>0</v>
      </c>
      <c r="L433" s="272">
        <f t="shared" si="47"/>
        <v>1900</v>
      </c>
      <c r="M433" s="272">
        <f t="shared" si="48"/>
        <v>1</v>
      </c>
      <c r="N433" s="273"/>
      <c r="O433" s="61">
        <f t="shared" si="49"/>
        <v>1900</v>
      </c>
      <c r="P433" s="61">
        <f t="shared" si="50"/>
        <v>1</v>
      </c>
      <c r="R433" s="272"/>
      <c r="S433" s="272"/>
      <c r="T433" s="278" t="str">
        <f t="shared" si="51"/>
        <v>-</v>
      </c>
    </row>
    <row r="434" spans="1:20">
      <c r="A434" s="269"/>
      <c r="B434" s="57"/>
      <c r="C434" s="175"/>
      <c r="D434" s="176"/>
      <c r="E434" s="175"/>
      <c r="F434" s="56"/>
      <c r="G434" s="274"/>
      <c r="H434" s="271"/>
      <c r="I434" s="213"/>
      <c r="J434" s="213"/>
      <c r="K434" s="212">
        <f t="shared" si="46"/>
        <v>0</v>
      </c>
      <c r="L434" s="272">
        <f t="shared" si="47"/>
        <v>1900</v>
      </c>
      <c r="M434" s="272">
        <f t="shared" si="48"/>
        <v>1</v>
      </c>
      <c r="N434" s="273"/>
      <c r="O434" s="61">
        <f t="shared" si="49"/>
        <v>1900</v>
      </c>
      <c r="P434" s="61">
        <f t="shared" si="50"/>
        <v>1</v>
      </c>
      <c r="R434" s="272"/>
      <c r="S434" s="272"/>
      <c r="T434" s="278" t="str">
        <f t="shared" si="51"/>
        <v>-</v>
      </c>
    </row>
    <row r="435" spans="1:20">
      <c r="A435" s="269"/>
      <c r="B435" s="57"/>
      <c r="C435" s="175"/>
      <c r="D435" s="176"/>
      <c r="E435" s="175"/>
      <c r="F435" s="56"/>
      <c r="G435" s="274"/>
      <c r="H435" s="271"/>
      <c r="I435" s="213"/>
      <c r="J435" s="213"/>
      <c r="K435" s="212">
        <f t="shared" si="46"/>
        <v>0</v>
      </c>
      <c r="L435" s="272">
        <f t="shared" si="47"/>
        <v>1900</v>
      </c>
      <c r="M435" s="272">
        <f t="shared" si="48"/>
        <v>1</v>
      </c>
      <c r="N435" s="273"/>
      <c r="O435" s="61">
        <f t="shared" si="49"/>
        <v>1900</v>
      </c>
      <c r="P435" s="61">
        <f t="shared" si="50"/>
        <v>1</v>
      </c>
      <c r="R435" s="272"/>
      <c r="S435" s="272"/>
      <c r="T435" s="278" t="str">
        <f t="shared" si="51"/>
        <v>-</v>
      </c>
    </row>
    <row r="436" spans="1:20">
      <c r="A436" s="269"/>
      <c r="B436" s="57"/>
      <c r="C436" s="175"/>
      <c r="D436" s="176"/>
      <c r="E436" s="175"/>
      <c r="F436" s="56"/>
      <c r="G436" s="274"/>
      <c r="H436" s="271"/>
      <c r="I436" s="213"/>
      <c r="J436" s="213"/>
      <c r="K436" s="212">
        <f t="shared" si="46"/>
        <v>0</v>
      </c>
      <c r="L436" s="272">
        <f t="shared" si="47"/>
        <v>1900</v>
      </c>
      <c r="M436" s="272">
        <f t="shared" si="48"/>
        <v>1</v>
      </c>
      <c r="N436" s="273"/>
      <c r="O436" s="61">
        <f t="shared" si="49"/>
        <v>1900</v>
      </c>
      <c r="P436" s="61">
        <f t="shared" si="50"/>
        <v>1</v>
      </c>
      <c r="R436" s="272"/>
      <c r="S436" s="272"/>
      <c r="T436" s="278" t="str">
        <f t="shared" si="51"/>
        <v>-</v>
      </c>
    </row>
    <row r="437" spans="1:20">
      <c r="A437" s="269"/>
      <c r="B437" s="57"/>
      <c r="C437" s="175"/>
      <c r="D437" s="176"/>
      <c r="E437" s="175"/>
      <c r="F437" s="56"/>
      <c r="G437" s="274"/>
      <c r="H437" s="271"/>
      <c r="I437" s="213"/>
      <c r="J437" s="213"/>
      <c r="K437" s="212">
        <f t="shared" si="46"/>
        <v>0</v>
      </c>
      <c r="L437" s="272">
        <f t="shared" si="47"/>
        <v>1900</v>
      </c>
      <c r="M437" s="272">
        <f t="shared" si="48"/>
        <v>1</v>
      </c>
      <c r="N437" s="273"/>
      <c r="O437" s="61">
        <f t="shared" si="49"/>
        <v>1900</v>
      </c>
      <c r="P437" s="61">
        <f t="shared" si="50"/>
        <v>1</v>
      </c>
      <c r="R437" s="272"/>
      <c r="S437" s="272"/>
      <c r="T437" s="278" t="str">
        <f t="shared" si="51"/>
        <v>-</v>
      </c>
    </row>
    <row r="438" spans="1:20">
      <c r="A438" s="269"/>
      <c r="B438" s="57"/>
      <c r="C438" s="175"/>
      <c r="D438" s="176"/>
      <c r="E438" s="175"/>
      <c r="F438" s="56"/>
      <c r="G438" s="274"/>
      <c r="H438" s="271"/>
      <c r="I438" s="213"/>
      <c r="J438" s="213"/>
      <c r="K438" s="212">
        <f t="shared" si="46"/>
        <v>0</v>
      </c>
      <c r="L438" s="272">
        <f t="shared" si="47"/>
        <v>1900</v>
      </c>
      <c r="M438" s="272">
        <f t="shared" si="48"/>
        <v>1</v>
      </c>
      <c r="N438" s="273"/>
      <c r="O438" s="61">
        <f t="shared" si="49"/>
        <v>1900</v>
      </c>
      <c r="P438" s="61">
        <f t="shared" si="50"/>
        <v>1</v>
      </c>
      <c r="R438" s="272"/>
      <c r="S438" s="272"/>
      <c r="T438" s="278" t="str">
        <f t="shared" si="51"/>
        <v>-</v>
      </c>
    </row>
    <row r="439" spans="1:20">
      <c r="A439" s="269"/>
      <c r="B439" s="57"/>
      <c r="C439" s="175"/>
      <c r="D439" s="176"/>
      <c r="E439" s="175"/>
      <c r="F439" s="56"/>
      <c r="G439" s="274"/>
      <c r="H439" s="271"/>
      <c r="I439" s="213"/>
      <c r="J439" s="213"/>
      <c r="K439" s="212">
        <f t="shared" si="46"/>
        <v>0</v>
      </c>
      <c r="L439" s="272">
        <f t="shared" si="47"/>
        <v>1900</v>
      </c>
      <c r="M439" s="272">
        <f t="shared" si="48"/>
        <v>1</v>
      </c>
      <c r="N439" s="273"/>
      <c r="O439" s="61">
        <f t="shared" si="49"/>
        <v>1900</v>
      </c>
      <c r="P439" s="61">
        <f t="shared" si="50"/>
        <v>1</v>
      </c>
      <c r="R439" s="272"/>
      <c r="S439" s="272"/>
      <c r="T439" s="278" t="str">
        <f t="shared" si="51"/>
        <v>-</v>
      </c>
    </row>
    <row r="440" spans="1:20">
      <c r="A440" s="269"/>
      <c r="B440" s="57"/>
      <c r="C440" s="175"/>
      <c r="D440" s="176"/>
      <c r="E440" s="175"/>
      <c r="F440" s="56"/>
      <c r="G440" s="274"/>
      <c r="H440" s="271"/>
      <c r="I440" s="213"/>
      <c r="J440" s="213"/>
      <c r="K440" s="212">
        <f t="shared" si="46"/>
        <v>0</v>
      </c>
      <c r="L440" s="272">
        <f t="shared" si="47"/>
        <v>1900</v>
      </c>
      <c r="M440" s="272">
        <f t="shared" si="48"/>
        <v>1</v>
      </c>
      <c r="N440" s="273"/>
      <c r="O440" s="61">
        <f t="shared" si="49"/>
        <v>1900</v>
      </c>
      <c r="P440" s="61">
        <f t="shared" si="50"/>
        <v>1</v>
      </c>
      <c r="R440" s="272"/>
      <c r="S440" s="272"/>
      <c r="T440" s="278" t="str">
        <f t="shared" si="51"/>
        <v>-</v>
      </c>
    </row>
    <row r="441" spans="1:20">
      <c r="A441" s="269"/>
      <c r="B441" s="57"/>
      <c r="C441" s="175"/>
      <c r="D441" s="176"/>
      <c r="E441" s="175"/>
      <c r="F441" s="56"/>
      <c r="G441" s="274"/>
      <c r="H441" s="271"/>
      <c r="I441" s="213"/>
      <c r="J441" s="213"/>
      <c r="K441" s="212">
        <f t="shared" si="46"/>
        <v>0</v>
      </c>
      <c r="L441" s="272">
        <f t="shared" si="47"/>
        <v>1900</v>
      </c>
      <c r="M441" s="272">
        <f t="shared" si="48"/>
        <v>1</v>
      </c>
      <c r="N441" s="273"/>
      <c r="O441" s="61">
        <f t="shared" si="49"/>
        <v>1900</v>
      </c>
      <c r="P441" s="61">
        <f t="shared" si="50"/>
        <v>1</v>
      </c>
      <c r="R441" s="272"/>
      <c r="S441" s="272"/>
      <c r="T441" s="278" t="str">
        <f t="shared" si="51"/>
        <v>-</v>
      </c>
    </row>
    <row r="442" spans="1:20">
      <c r="A442" s="269"/>
      <c r="B442" s="57"/>
      <c r="C442" s="175"/>
      <c r="D442" s="176"/>
      <c r="E442" s="175"/>
      <c r="F442" s="56"/>
      <c r="G442" s="274"/>
      <c r="H442" s="271"/>
      <c r="I442" s="213"/>
      <c r="J442" s="213"/>
      <c r="K442" s="212">
        <f t="shared" si="46"/>
        <v>0</v>
      </c>
      <c r="L442" s="272">
        <f t="shared" si="47"/>
        <v>1900</v>
      </c>
      <c r="M442" s="272">
        <f t="shared" si="48"/>
        <v>1</v>
      </c>
      <c r="N442" s="273"/>
      <c r="O442" s="61">
        <f t="shared" si="49"/>
        <v>1900</v>
      </c>
      <c r="P442" s="61">
        <f t="shared" si="50"/>
        <v>1</v>
      </c>
      <c r="R442" s="272"/>
      <c r="S442" s="272"/>
      <c r="T442" s="278" t="str">
        <f t="shared" si="51"/>
        <v>-</v>
      </c>
    </row>
    <row r="443" spans="1:20">
      <c r="A443" s="269"/>
      <c r="B443" s="57"/>
      <c r="C443" s="175"/>
      <c r="D443" s="176"/>
      <c r="E443" s="175"/>
      <c r="F443" s="56"/>
      <c r="G443" s="274"/>
      <c r="H443" s="271"/>
      <c r="I443" s="213"/>
      <c r="J443" s="213"/>
      <c r="K443" s="212">
        <f t="shared" si="46"/>
        <v>0</v>
      </c>
      <c r="L443" s="272">
        <f t="shared" si="47"/>
        <v>1900</v>
      </c>
      <c r="M443" s="272">
        <f t="shared" si="48"/>
        <v>1</v>
      </c>
      <c r="N443" s="273"/>
      <c r="O443" s="61">
        <f t="shared" si="49"/>
        <v>1900</v>
      </c>
      <c r="P443" s="61">
        <f t="shared" si="50"/>
        <v>1</v>
      </c>
      <c r="R443" s="272"/>
      <c r="S443" s="272"/>
      <c r="T443" s="278" t="str">
        <f t="shared" si="51"/>
        <v>-</v>
      </c>
    </row>
    <row r="444" spans="1:20">
      <c r="A444" s="269"/>
      <c r="B444" s="57"/>
      <c r="C444" s="175"/>
      <c r="D444" s="176"/>
      <c r="E444" s="175"/>
      <c r="F444" s="56"/>
      <c r="G444" s="274"/>
      <c r="H444" s="271"/>
      <c r="I444" s="213"/>
      <c r="J444" s="213"/>
      <c r="K444" s="212">
        <f t="shared" si="46"/>
        <v>0</v>
      </c>
      <c r="L444" s="272">
        <f t="shared" si="47"/>
        <v>1900</v>
      </c>
      <c r="M444" s="272">
        <f t="shared" si="48"/>
        <v>1</v>
      </c>
      <c r="N444" s="273"/>
      <c r="O444" s="61">
        <f t="shared" si="49"/>
        <v>1900</v>
      </c>
      <c r="P444" s="61">
        <f t="shared" si="50"/>
        <v>1</v>
      </c>
      <c r="R444" s="272"/>
      <c r="S444" s="272"/>
      <c r="T444" s="278" t="str">
        <f t="shared" si="51"/>
        <v>-</v>
      </c>
    </row>
    <row r="445" spans="1:20">
      <c r="A445" s="269"/>
      <c r="B445" s="57"/>
      <c r="C445" s="175"/>
      <c r="D445" s="176"/>
      <c r="E445" s="175"/>
      <c r="F445" s="56"/>
      <c r="G445" s="274"/>
      <c r="H445" s="271"/>
      <c r="I445" s="213"/>
      <c r="J445" s="213"/>
      <c r="K445" s="212">
        <f t="shared" si="46"/>
        <v>0</v>
      </c>
      <c r="L445" s="272">
        <f t="shared" si="47"/>
        <v>1900</v>
      </c>
      <c r="M445" s="272">
        <f t="shared" si="48"/>
        <v>1</v>
      </c>
      <c r="N445" s="273"/>
      <c r="O445" s="61">
        <f t="shared" si="49"/>
        <v>1900</v>
      </c>
      <c r="P445" s="61">
        <f t="shared" si="50"/>
        <v>1</v>
      </c>
      <c r="R445" s="272"/>
      <c r="S445" s="272"/>
      <c r="T445" s="278" t="str">
        <f t="shared" si="51"/>
        <v>-</v>
      </c>
    </row>
    <row r="446" spans="1:20">
      <c r="A446" s="269"/>
      <c r="B446" s="57"/>
      <c r="C446" s="175"/>
      <c r="D446" s="176"/>
      <c r="E446" s="175"/>
      <c r="F446" s="56"/>
      <c r="G446" s="274"/>
      <c r="H446" s="271"/>
      <c r="I446" s="213"/>
      <c r="J446" s="213"/>
      <c r="K446" s="212">
        <f t="shared" si="46"/>
        <v>0</v>
      </c>
      <c r="L446" s="272">
        <f t="shared" si="47"/>
        <v>1900</v>
      </c>
      <c r="M446" s="272">
        <f t="shared" si="48"/>
        <v>1</v>
      </c>
      <c r="N446" s="273"/>
      <c r="O446" s="61">
        <f t="shared" si="49"/>
        <v>1900</v>
      </c>
      <c r="P446" s="61">
        <f t="shared" si="50"/>
        <v>1</v>
      </c>
      <c r="R446" s="272"/>
      <c r="S446" s="272"/>
      <c r="T446" s="278" t="str">
        <f t="shared" si="51"/>
        <v>-</v>
      </c>
    </row>
    <row r="447" spans="1:20">
      <c r="A447" s="269"/>
      <c r="B447" s="57"/>
      <c r="C447" s="175"/>
      <c r="D447" s="176"/>
      <c r="E447" s="175"/>
      <c r="F447" s="56"/>
      <c r="G447" s="274"/>
      <c r="H447" s="271"/>
      <c r="I447" s="213"/>
      <c r="J447" s="213"/>
      <c r="K447" s="212">
        <f t="shared" si="46"/>
        <v>0</v>
      </c>
      <c r="L447" s="272">
        <f t="shared" si="47"/>
        <v>1900</v>
      </c>
      <c r="M447" s="272">
        <f t="shared" si="48"/>
        <v>1</v>
      </c>
      <c r="N447" s="273"/>
      <c r="O447" s="61">
        <f t="shared" si="49"/>
        <v>1900</v>
      </c>
      <c r="P447" s="61">
        <f t="shared" si="50"/>
        <v>1</v>
      </c>
      <c r="R447" s="272"/>
      <c r="S447" s="272"/>
      <c r="T447" s="278" t="str">
        <f t="shared" si="51"/>
        <v>-</v>
      </c>
    </row>
    <row r="448" spans="1:20">
      <c r="A448" s="269"/>
      <c r="B448" s="57"/>
      <c r="C448" s="175"/>
      <c r="D448" s="176"/>
      <c r="E448" s="175"/>
      <c r="F448" s="56"/>
      <c r="G448" s="274"/>
      <c r="H448" s="271"/>
      <c r="I448" s="213"/>
      <c r="J448" s="213"/>
      <c r="K448" s="212">
        <f t="shared" si="46"/>
        <v>0</v>
      </c>
      <c r="L448" s="272">
        <f t="shared" si="47"/>
        <v>1900</v>
      </c>
      <c r="M448" s="272">
        <f t="shared" si="48"/>
        <v>1</v>
      </c>
      <c r="N448" s="273"/>
      <c r="O448" s="61">
        <f t="shared" si="49"/>
        <v>1900</v>
      </c>
      <c r="P448" s="61">
        <f t="shared" si="50"/>
        <v>1</v>
      </c>
      <c r="R448" s="272"/>
      <c r="S448" s="272"/>
      <c r="T448" s="278" t="str">
        <f t="shared" si="51"/>
        <v>-</v>
      </c>
    </row>
    <row r="449" spans="1:20">
      <c r="A449" s="269"/>
      <c r="B449" s="57"/>
      <c r="C449" s="175"/>
      <c r="D449" s="176"/>
      <c r="E449" s="175"/>
      <c r="F449" s="56"/>
      <c r="G449" s="274"/>
      <c r="H449" s="271"/>
      <c r="I449" s="213"/>
      <c r="J449" s="213"/>
      <c r="K449" s="212">
        <f t="shared" si="46"/>
        <v>0</v>
      </c>
      <c r="L449" s="272">
        <f t="shared" si="47"/>
        <v>1900</v>
      </c>
      <c r="M449" s="272">
        <f t="shared" si="48"/>
        <v>1</v>
      </c>
      <c r="N449" s="273"/>
      <c r="O449" s="61">
        <f t="shared" si="49"/>
        <v>1900</v>
      </c>
      <c r="P449" s="61">
        <f t="shared" si="50"/>
        <v>1</v>
      </c>
      <c r="R449" s="272"/>
      <c r="S449" s="272"/>
      <c r="T449" s="278" t="str">
        <f t="shared" si="51"/>
        <v>-</v>
      </c>
    </row>
    <row r="450" spans="1:20">
      <c r="A450" s="269"/>
      <c r="B450" s="57"/>
      <c r="C450" s="175"/>
      <c r="D450" s="176"/>
      <c r="E450" s="175"/>
      <c r="F450" s="56"/>
      <c r="G450" s="274"/>
      <c r="H450" s="271"/>
      <c r="I450" s="213"/>
      <c r="J450" s="213"/>
      <c r="K450" s="212">
        <f t="shared" si="46"/>
        <v>0</v>
      </c>
      <c r="L450" s="272">
        <f t="shared" si="47"/>
        <v>1900</v>
      </c>
      <c r="M450" s="272">
        <f t="shared" si="48"/>
        <v>1</v>
      </c>
      <c r="N450" s="273"/>
      <c r="O450" s="61">
        <f t="shared" si="49"/>
        <v>1900</v>
      </c>
      <c r="P450" s="61">
        <f t="shared" si="50"/>
        <v>1</v>
      </c>
      <c r="R450" s="272"/>
      <c r="S450" s="272"/>
      <c r="T450" s="278" t="str">
        <f t="shared" si="51"/>
        <v>-</v>
      </c>
    </row>
    <row r="451" spans="1:20">
      <c r="A451" s="269"/>
      <c r="B451" s="57"/>
      <c r="C451" s="175"/>
      <c r="D451" s="176"/>
      <c r="E451" s="175"/>
      <c r="F451" s="56"/>
      <c r="G451" s="274"/>
      <c r="H451" s="271"/>
      <c r="I451" s="213"/>
      <c r="J451" s="213"/>
      <c r="K451" s="212">
        <f t="shared" si="46"/>
        <v>0</v>
      </c>
      <c r="L451" s="272">
        <f t="shared" si="47"/>
        <v>1900</v>
      </c>
      <c r="M451" s="272">
        <f t="shared" si="48"/>
        <v>1</v>
      </c>
      <c r="N451" s="273"/>
      <c r="O451" s="61">
        <f t="shared" si="49"/>
        <v>1900</v>
      </c>
      <c r="P451" s="61">
        <f t="shared" si="50"/>
        <v>1</v>
      </c>
      <c r="R451" s="272"/>
      <c r="S451" s="272"/>
      <c r="T451" s="278" t="str">
        <f t="shared" si="51"/>
        <v>-</v>
      </c>
    </row>
    <row r="452" spans="1:20">
      <c r="A452" s="269"/>
      <c r="B452" s="57"/>
      <c r="C452" s="175"/>
      <c r="D452" s="176"/>
      <c r="E452" s="175"/>
      <c r="F452" s="56"/>
      <c r="G452" s="274"/>
      <c r="H452" s="271"/>
      <c r="I452" s="213"/>
      <c r="J452" s="213"/>
      <c r="K452" s="212">
        <f t="shared" si="46"/>
        <v>0</v>
      </c>
      <c r="L452" s="272">
        <f t="shared" si="47"/>
        <v>1900</v>
      </c>
      <c r="M452" s="272">
        <f t="shared" si="48"/>
        <v>1</v>
      </c>
      <c r="N452" s="273"/>
      <c r="O452" s="61">
        <f t="shared" si="49"/>
        <v>1900</v>
      </c>
      <c r="P452" s="61">
        <f t="shared" si="50"/>
        <v>1</v>
      </c>
      <c r="R452" s="272"/>
      <c r="S452" s="272"/>
      <c r="T452" s="278" t="str">
        <f t="shared" si="51"/>
        <v>-</v>
      </c>
    </row>
    <row r="453" spans="1:20">
      <c r="A453" s="269"/>
      <c r="B453" s="57"/>
      <c r="C453" s="175"/>
      <c r="D453" s="176"/>
      <c r="E453" s="175"/>
      <c r="F453" s="56"/>
      <c r="G453" s="274"/>
      <c r="H453" s="271"/>
      <c r="I453" s="213"/>
      <c r="J453" s="213"/>
      <c r="K453" s="212">
        <f t="shared" si="46"/>
        <v>0</v>
      </c>
      <c r="L453" s="272">
        <f t="shared" si="47"/>
        <v>1900</v>
      </c>
      <c r="M453" s="272">
        <f t="shared" si="48"/>
        <v>1</v>
      </c>
      <c r="N453" s="273"/>
      <c r="O453" s="61">
        <f t="shared" si="49"/>
        <v>1900</v>
      </c>
      <c r="P453" s="61">
        <f t="shared" si="50"/>
        <v>1</v>
      </c>
      <c r="R453" s="272"/>
      <c r="S453" s="272"/>
      <c r="T453" s="278" t="str">
        <f t="shared" si="51"/>
        <v>-</v>
      </c>
    </row>
    <row r="454" spans="1:20">
      <c r="A454" s="269"/>
      <c r="B454" s="57"/>
      <c r="C454" s="175"/>
      <c r="D454" s="176"/>
      <c r="E454" s="175"/>
      <c r="F454" s="56"/>
      <c r="G454" s="274"/>
      <c r="H454" s="271"/>
      <c r="I454" s="213"/>
      <c r="J454" s="213"/>
      <c r="K454" s="212">
        <f t="shared" si="46"/>
        <v>0</v>
      </c>
      <c r="L454" s="272">
        <f t="shared" si="47"/>
        <v>1900</v>
      </c>
      <c r="M454" s="272">
        <f t="shared" si="48"/>
        <v>1</v>
      </c>
      <c r="N454" s="273"/>
      <c r="O454" s="61">
        <f t="shared" si="49"/>
        <v>1900</v>
      </c>
      <c r="P454" s="61">
        <f t="shared" si="50"/>
        <v>1</v>
      </c>
      <c r="R454" s="272"/>
      <c r="S454" s="272"/>
      <c r="T454" s="278" t="str">
        <f t="shared" si="51"/>
        <v>-</v>
      </c>
    </row>
    <row r="455" spans="1:20">
      <c r="A455" s="269"/>
      <c r="B455" s="57"/>
      <c r="C455" s="175"/>
      <c r="D455" s="176"/>
      <c r="E455" s="175"/>
      <c r="F455" s="56"/>
      <c r="G455" s="274"/>
      <c r="H455" s="271"/>
      <c r="I455" s="213"/>
      <c r="J455" s="213"/>
      <c r="K455" s="212">
        <f t="shared" si="46"/>
        <v>0</v>
      </c>
      <c r="L455" s="272">
        <f t="shared" si="47"/>
        <v>1900</v>
      </c>
      <c r="M455" s="272">
        <f t="shared" si="48"/>
        <v>1</v>
      </c>
      <c r="N455" s="273"/>
      <c r="O455" s="61">
        <f t="shared" si="49"/>
        <v>1900</v>
      </c>
      <c r="P455" s="61">
        <f t="shared" si="50"/>
        <v>1</v>
      </c>
      <c r="R455" s="272"/>
      <c r="S455" s="272"/>
      <c r="T455" s="278" t="str">
        <f t="shared" si="51"/>
        <v>-</v>
      </c>
    </row>
    <row r="456" spans="1:20">
      <c r="A456" s="269"/>
      <c r="B456" s="57"/>
      <c r="C456" s="175"/>
      <c r="D456" s="176"/>
      <c r="E456" s="175"/>
      <c r="F456" s="56"/>
      <c r="G456" s="274"/>
      <c r="H456" s="271"/>
      <c r="I456" s="213"/>
      <c r="J456" s="213"/>
      <c r="K456" s="212">
        <f t="shared" si="46"/>
        <v>0</v>
      </c>
      <c r="L456" s="272">
        <f t="shared" si="47"/>
        <v>1900</v>
      </c>
      <c r="M456" s="272">
        <f t="shared" si="48"/>
        <v>1</v>
      </c>
      <c r="N456" s="273"/>
      <c r="O456" s="61">
        <f t="shared" si="49"/>
        <v>1900</v>
      </c>
      <c r="P456" s="61">
        <f t="shared" si="50"/>
        <v>1</v>
      </c>
      <c r="R456" s="272"/>
      <c r="S456" s="272"/>
      <c r="T456" s="278" t="str">
        <f t="shared" si="51"/>
        <v>-</v>
      </c>
    </row>
    <row r="457" spans="1:20">
      <c r="A457" s="269"/>
      <c r="B457" s="57"/>
      <c r="C457" s="175"/>
      <c r="D457" s="176"/>
      <c r="E457" s="175"/>
      <c r="F457" s="56"/>
      <c r="G457" s="274"/>
      <c r="H457" s="271"/>
      <c r="I457" s="213"/>
      <c r="J457" s="213"/>
      <c r="K457" s="212">
        <f t="shared" si="46"/>
        <v>0</v>
      </c>
      <c r="L457" s="272">
        <f t="shared" si="47"/>
        <v>1900</v>
      </c>
      <c r="M457" s="272">
        <f t="shared" si="48"/>
        <v>1</v>
      </c>
      <c r="N457" s="273"/>
      <c r="O457" s="61">
        <f t="shared" si="49"/>
        <v>1900</v>
      </c>
      <c r="P457" s="61">
        <f t="shared" si="50"/>
        <v>1</v>
      </c>
      <c r="R457" s="272"/>
      <c r="S457" s="272"/>
      <c r="T457" s="278" t="str">
        <f t="shared" si="51"/>
        <v>-</v>
      </c>
    </row>
    <row r="458" spans="1:20">
      <c r="A458" s="269"/>
      <c r="B458" s="57"/>
      <c r="C458" s="175"/>
      <c r="D458" s="176"/>
      <c r="E458" s="175"/>
      <c r="F458" s="56"/>
      <c r="G458" s="274"/>
      <c r="H458" s="271"/>
      <c r="I458" s="213"/>
      <c r="J458" s="213"/>
      <c r="K458" s="212">
        <f t="shared" si="46"/>
        <v>0</v>
      </c>
      <c r="L458" s="272">
        <f t="shared" si="47"/>
        <v>1900</v>
      </c>
      <c r="M458" s="272">
        <f t="shared" si="48"/>
        <v>1</v>
      </c>
      <c r="N458" s="273"/>
      <c r="O458" s="61">
        <f t="shared" si="49"/>
        <v>1900</v>
      </c>
      <c r="P458" s="61">
        <f t="shared" si="50"/>
        <v>1</v>
      </c>
      <c r="R458" s="272"/>
      <c r="S458" s="272"/>
      <c r="T458" s="278" t="str">
        <f t="shared" si="51"/>
        <v>-</v>
      </c>
    </row>
    <row r="459" spans="1:20">
      <c r="A459" s="269"/>
      <c r="B459" s="57"/>
      <c r="C459" s="175"/>
      <c r="D459" s="176"/>
      <c r="E459" s="175"/>
      <c r="F459" s="56"/>
      <c r="G459" s="274"/>
      <c r="H459" s="271"/>
      <c r="I459" s="213"/>
      <c r="J459" s="213"/>
      <c r="K459" s="212">
        <f t="shared" si="46"/>
        <v>0</v>
      </c>
      <c r="L459" s="272">
        <f t="shared" si="47"/>
        <v>1900</v>
      </c>
      <c r="M459" s="272">
        <f t="shared" si="48"/>
        <v>1</v>
      </c>
      <c r="N459" s="273"/>
      <c r="O459" s="61">
        <f t="shared" si="49"/>
        <v>1900</v>
      </c>
      <c r="P459" s="61">
        <f t="shared" si="50"/>
        <v>1</v>
      </c>
      <c r="R459" s="272"/>
      <c r="S459" s="272"/>
      <c r="T459" s="278" t="str">
        <f t="shared" si="51"/>
        <v>-</v>
      </c>
    </row>
    <row r="460" spans="1:20">
      <c r="A460" s="269"/>
      <c r="B460" s="57"/>
      <c r="C460" s="175"/>
      <c r="D460" s="176"/>
      <c r="E460" s="175"/>
      <c r="F460" s="56"/>
      <c r="G460" s="274"/>
      <c r="H460" s="271"/>
      <c r="I460" s="213"/>
      <c r="J460" s="213"/>
      <c r="K460" s="212">
        <f t="shared" si="46"/>
        <v>0</v>
      </c>
      <c r="L460" s="272">
        <f t="shared" si="47"/>
        <v>1900</v>
      </c>
      <c r="M460" s="272">
        <f t="shared" si="48"/>
        <v>1</v>
      </c>
      <c r="N460" s="273"/>
      <c r="O460" s="61">
        <f t="shared" si="49"/>
        <v>1900</v>
      </c>
      <c r="P460" s="61">
        <f t="shared" si="50"/>
        <v>1</v>
      </c>
      <c r="R460" s="272"/>
      <c r="S460" s="272"/>
      <c r="T460" s="278" t="str">
        <f t="shared" si="51"/>
        <v>-</v>
      </c>
    </row>
    <row r="461" spans="1:20">
      <c r="A461" s="269"/>
      <c r="B461" s="57"/>
      <c r="C461" s="175"/>
      <c r="D461" s="176"/>
      <c r="E461" s="175"/>
      <c r="F461" s="56"/>
      <c r="G461" s="274"/>
      <c r="H461" s="271"/>
      <c r="I461" s="213"/>
      <c r="J461" s="213"/>
      <c r="K461" s="212">
        <f t="shared" si="46"/>
        <v>0</v>
      </c>
      <c r="L461" s="272">
        <f t="shared" si="47"/>
        <v>1900</v>
      </c>
      <c r="M461" s="272">
        <f t="shared" si="48"/>
        <v>1</v>
      </c>
      <c r="N461" s="273"/>
      <c r="O461" s="61">
        <f t="shared" si="49"/>
        <v>1900</v>
      </c>
      <c r="P461" s="61">
        <f t="shared" si="50"/>
        <v>1</v>
      </c>
      <c r="R461" s="272"/>
      <c r="S461" s="272"/>
      <c r="T461" s="278" t="str">
        <f t="shared" si="51"/>
        <v>-</v>
      </c>
    </row>
    <row r="462" spans="1:20">
      <c r="A462" s="269"/>
      <c r="B462" s="57"/>
      <c r="C462" s="175"/>
      <c r="D462" s="176"/>
      <c r="E462" s="175"/>
      <c r="F462" s="56"/>
      <c r="G462" s="274"/>
      <c r="H462" s="271"/>
      <c r="I462" s="213"/>
      <c r="J462" s="213"/>
      <c r="K462" s="212">
        <f t="shared" si="46"/>
        <v>0</v>
      </c>
      <c r="L462" s="272">
        <f t="shared" si="47"/>
        <v>1900</v>
      </c>
      <c r="M462" s="272">
        <f t="shared" si="48"/>
        <v>1</v>
      </c>
      <c r="N462" s="273"/>
      <c r="O462" s="61">
        <f t="shared" si="49"/>
        <v>1900</v>
      </c>
      <c r="P462" s="61">
        <f t="shared" si="50"/>
        <v>1</v>
      </c>
      <c r="R462" s="272"/>
      <c r="S462" s="272"/>
      <c r="T462" s="278" t="str">
        <f t="shared" si="51"/>
        <v>-</v>
      </c>
    </row>
    <row r="463" spans="1:20">
      <c r="A463" s="269"/>
      <c r="B463" s="57"/>
      <c r="C463" s="175"/>
      <c r="D463" s="176"/>
      <c r="E463" s="175"/>
      <c r="F463" s="56"/>
      <c r="G463" s="274"/>
      <c r="H463" s="271"/>
      <c r="I463" s="213"/>
      <c r="J463" s="213"/>
      <c r="K463" s="212">
        <f t="shared" ref="K463:K526" si="52">I463+H463+J463</f>
        <v>0</v>
      </c>
      <c r="L463" s="272">
        <f t="shared" si="47"/>
        <v>1900</v>
      </c>
      <c r="M463" s="272">
        <f t="shared" si="48"/>
        <v>1</v>
      </c>
      <c r="N463" s="273"/>
      <c r="O463" s="61">
        <f t="shared" si="49"/>
        <v>1900</v>
      </c>
      <c r="P463" s="61">
        <f t="shared" si="50"/>
        <v>1</v>
      </c>
      <c r="R463" s="272"/>
      <c r="S463" s="272"/>
      <c r="T463" s="278" t="str">
        <f t="shared" si="51"/>
        <v>-</v>
      </c>
    </row>
    <row r="464" spans="1:20">
      <c r="A464" s="269"/>
      <c r="B464" s="57"/>
      <c r="C464" s="175"/>
      <c r="D464" s="176"/>
      <c r="E464" s="175"/>
      <c r="F464" s="56"/>
      <c r="G464" s="274"/>
      <c r="H464" s="271"/>
      <c r="I464" s="213"/>
      <c r="J464" s="213"/>
      <c r="K464" s="212">
        <f t="shared" si="52"/>
        <v>0</v>
      </c>
      <c r="L464" s="272">
        <f t="shared" ref="L464:L527" si="53">YEAR(B464)</f>
        <v>1900</v>
      </c>
      <c r="M464" s="272">
        <f t="shared" ref="M464:M527" si="54">MONTH(B464)</f>
        <v>1</v>
      </c>
      <c r="N464" s="273"/>
      <c r="O464" s="61">
        <f t="shared" ref="O464:O527" si="55">YEAR(B464)</f>
        <v>1900</v>
      </c>
      <c r="P464" s="61">
        <f t="shared" ref="P464:P527" si="56">MONTH(B464)</f>
        <v>1</v>
      </c>
      <c r="R464" s="272"/>
      <c r="S464" s="272"/>
      <c r="T464" s="278" t="str">
        <f t="shared" ref="T464:T527" si="57">IF($E464&gt;0,IF((R464+S464)=$E464,"OK","Error"),"-")</f>
        <v>-</v>
      </c>
    </row>
    <row r="465" spans="1:20">
      <c r="A465" s="269"/>
      <c r="B465" s="57"/>
      <c r="C465" s="175"/>
      <c r="D465" s="176"/>
      <c r="E465" s="175"/>
      <c r="F465" s="56"/>
      <c r="G465" s="274"/>
      <c r="H465" s="271"/>
      <c r="I465" s="213"/>
      <c r="J465" s="213"/>
      <c r="K465" s="212">
        <f t="shared" si="52"/>
        <v>0</v>
      </c>
      <c r="L465" s="272">
        <f t="shared" si="53"/>
        <v>1900</v>
      </c>
      <c r="M465" s="272">
        <f t="shared" si="54"/>
        <v>1</v>
      </c>
      <c r="N465" s="273"/>
      <c r="O465" s="61">
        <f t="shared" si="55"/>
        <v>1900</v>
      </c>
      <c r="P465" s="61">
        <f t="shared" si="56"/>
        <v>1</v>
      </c>
      <c r="R465" s="272"/>
      <c r="S465" s="272"/>
      <c r="T465" s="278" t="str">
        <f t="shared" si="57"/>
        <v>-</v>
      </c>
    </row>
    <row r="466" spans="1:20">
      <c r="A466" s="269"/>
      <c r="B466" s="57"/>
      <c r="C466" s="175"/>
      <c r="D466" s="176"/>
      <c r="E466" s="175"/>
      <c r="F466" s="56"/>
      <c r="G466" s="274"/>
      <c r="H466" s="271"/>
      <c r="I466" s="213"/>
      <c r="J466" s="213"/>
      <c r="K466" s="212">
        <f t="shared" si="52"/>
        <v>0</v>
      </c>
      <c r="L466" s="272">
        <f t="shared" si="53"/>
        <v>1900</v>
      </c>
      <c r="M466" s="272">
        <f t="shared" si="54"/>
        <v>1</v>
      </c>
      <c r="N466" s="273"/>
      <c r="O466" s="61">
        <f t="shared" si="55"/>
        <v>1900</v>
      </c>
      <c r="P466" s="61">
        <f t="shared" si="56"/>
        <v>1</v>
      </c>
      <c r="R466" s="272"/>
      <c r="S466" s="272"/>
      <c r="T466" s="278" t="str">
        <f t="shared" si="57"/>
        <v>-</v>
      </c>
    </row>
    <row r="467" spans="1:20">
      <c r="A467" s="269"/>
      <c r="B467" s="57"/>
      <c r="C467" s="175"/>
      <c r="D467" s="176"/>
      <c r="E467" s="175"/>
      <c r="F467" s="56"/>
      <c r="G467" s="274"/>
      <c r="H467" s="271"/>
      <c r="I467" s="213"/>
      <c r="J467" s="213"/>
      <c r="K467" s="212">
        <f t="shared" si="52"/>
        <v>0</v>
      </c>
      <c r="L467" s="272">
        <f t="shared" si="53"/>
        <v>1900</v>
      </c>
      <c r="M467" s="272">
        <f t="shared" si="54"/>
        <v>1</v>
      </c>
      <c r="N467" s="273"/>
      <c r="O467" s="61">
        <f t="shared" si="55"/>
        <v>1900</v>
      </c>
      <c r="P467" s="61">
        <f t="shared" si="56"/>
        <v>1</v>
      </c>
      <c r="R467" s="272"/>
      <c r="S467" s="272"/>
      <c r="T467" s="278" t="str">
        <f t="shared" si="57"/>
        <v>-</v>
      </c>
    </row>
    <row r="468" spans="1:20">
      <c r="A468" s="269"/>
      <c r="B468" s="57"/>
      <c r="C468" s="175"/>
      <c r="D468" s="176"/>
      <c r="E468" s="175"/>
      <c r="F468" s="56"/>
      <c r="G468" s="274"/>
      <c r="H468" s="271"/>
      <c r="I468" s="213"/>
      <c r="J468" s="213"/>
      <c r="K468" s="212">
        <f t="shared" si="52"/>
        <v>0</v>
      </c>
      <c r="L468" s="272">
        <f t="shared" si="53"/>
        <v>1900</v>
      </c>
      <c r="M468" s="272">
        <f t="shared" si="54"/>
        <v>1</v>
      </c>
      <c r="N468" s="273"/>
      <c r="O468" s="61">
        <f t="shared" si="55"/>
        <v>1900</v>
      </c>
      <c r="P468" s="61">
        <f t="shared" si="56"/>
        <v>1</v>
      </c>
      <c r="R468" s="272"/>
      <c r="S468" s="272"/>
      <c r="T468" s="278" t="str">
        <f t="shared" si="57"/>
        <v>-</v>
      </c>
    </row>
    <row r="469" spans="1:20">
      <c r="A469" s="269"/>
      <c r="B469" s="57"/>
      <c r="C469" s="175"/>
      <c r="D469" s="176"/>
      <c r="E469" s="175"/>
      <c r="F469" s="56"/>
      <c r="G469" s="274"/>
      <c r="H469" s="271"/>
      <c r="I469" s="213"/>
      <c r="J469" s="213"/>
      <c r="K469" s="212">
        <f t="shared" si="52"/>
        <v>0</v>
      </c>
      <c r="L469" s="272">
        <f t="shared" si="53"/>
        <v>1900</v>
      </c>
      <c r="M469" s="272">
        <f t="shared" si="54"/>
        <v>1</v>
      </c>
      <c r="N469" s="273"/>
      <c r="O469" s="61">
        <f t="shared" si="55"/>
        <v>1900</v>
      </c>
      <c r="P469" s="61">
        <f t="shared" si="56"/>
        <v>1</v>
      </c>
      <c r="R469" s="272"/>
      <c r="S469" s="272"/>
      <c r="T469" s="278" t="str">
        <f t="shared" si="57"/>
        <v>-</v>
      </c>
    </row>
    <row r="470" spans="1:20">
      <c r="A470" s="269"/>
      <c r="B470" s="57"/>
      <c r="C470" s="175"/>
      <c r="D470" s="176"/>
      <c r="E470" s="175"/>
      <c r="F470" s="56"/>
      <c r="G470" s="274"/>
      <c r="H470" s="271"/>
      <c r="I470" s="213"/>
      <c r="J470" s="213"/>
      <c r="K470" s="212">
        <f t="shared" si="52"/>
        <v>0</v>
      </c>
      <c r="L470" s="272">
        <f t="shared" si="53"/>
        <v>1900</v>
      </c>
      <c r="M470" s="272">
        <f t="shared" si="54"/>
        <v>1</v>
      </c>
      <c r="N470" s="273"/>
      <c r="O470" s="61">
        <f t="shared" si="55"/>
        <v>1900</v>
      </c>
      <c r="P470" s="61">
        <f t="shared" si="56"/>
        <v>1</v>
      </c>
      <c r="R470" s="272"/>
      <c r="S470" s="272"/>
      <c r="T470" s="278" t="str">
        <f t="shared" si="57"/>
        <v>-</v>
      </c>
    </row>
    <row r="471" spans="1:20">
      <c r="A471" s="269"/>
      <c r="B471" s="57"/>
      <c r="C471" s="175"/>
      <c r="D471" s="176"/>
      <c r="E471" s="175"/>
      <c r="F471" s="56"/>
      <c r="G471" s="274"/>
      <c r="H471" s="271"/>
      <c r="I471" s="213"/>
      <c r="J471" s="213"/>
      <c r="K471" s="212">
        <f t="shared" si="52"/>
        <v>0</v>
      </c>
      <c r="L471" s="272">
        <f t="shared" si="53"/>
        <v>1900</v>
      </c>
      <c r="M471" s="272">
        <f t="shared" si="54"/>
        <v>1</v>
      </c>
      <c r="N471" s="273"/>
      <c r="O471" s="61">
        <f t="shared" si="55"/>
        <v>1900</v>
      </c>
      <c r="P471" s="61">
        <f t="shared" si="56"/>
        <v>1</v>
      </c>
      <c r="R471" s="272"/>
      <c r="S471" s="272"/>
      <c r="T471" s="278" t="str">
        <f t="shared" si="57"/>
        <v>-</v>
      </c>
    </row>
    <row r="472" spans="1:20">
      <c r="A472" s="269"/>
      <c r="B472" s="57"/>
      <c r="C472" s="175"/>
      <c r="D472" s="176"/>
      <c r="E472" s="175"/>
      <c r="F472" s="56"/>
      <c r="G472" s="274"/>
      <c r="H472" s="271"/>
      <c r="I472" s="213"/>
      <c r="J472" s="213"/>
      <c r="K472" s="212">
        <f t="shared" si="52"/>
        <v>0</v>
      </c>
      <c r="L472" s="272">
        <f t="shared" si="53"/>
        <v>1900</v>
      </c>
      <c r="M472" s="272">
        <f t="shared" si="54"/>
        <v>1</v>
      </c>
      <c r="N472" s="273"/>
      <c r="O472" s="61">
        <f t="shared" si="55"/>
        <v>1900</v>
      </c>
      <c r="P472" s="61">
        <f t="shared" si="56"/>
        <v>1</v>
      </c>
      <c r="R472" s="272"/>
      <c r="S472" s="272"/>
      <c r="T472" s="278" t="str">
        <f t="shared" si="57"/>
        <v>-</v>
      </c>
    </row>
    <row r="473" spans="1:20">
      <c r="A473" s="269"/>
      <c r="B473" s="57"/>
      <c r="C473" s="175"/>
      <c r="D473" s="176"/>
      <c r="E473" s="175"/>
      <c r="F473" s="56"/>
      <c r="G473" s="274"/>
      <c r="H473" s="271"/>
      <c r="I473" s="213"/>
      <c r="J473" s="213"/>
      <c r="K473" s="212">
        <f t="shared" si="52"/>
        <v>0</v>
      </c>
      <c r="L473" s="272">
        <f t="shared" si="53"/>
        <v>1900</v>
      </c>
      <c r="M473" s="272">
        <f t="shared" si="54"/>
        <v>1</v>
      </c>
      <c r="N473" s="273"/>
      <c r="O473" s="61">
        <f t="shared" si="55"/>
        <v>1900</v>
      </c>
      <c r="P473" s="61">
        <f t="shared" si="56"/>
        <v>1</v>
      </c>
      <c r="R473" s="272"/>
      <c r="S473" s="272"/>
      <c r="T473" s="278" t="str">
        <f t="shared" si="57"/>
        <v>-</v>
      </c>
    </row>
    <row r="474" spans="1:20">
      <c r="A474" s="269"/>
      <c r="B474" s="57"/>
      <c r="C474" s="175"/>
      <c r="D474" s="176"/>
      <c r="E474" s="175"/>
      <c r="F474" s="56"/>
      <c r="G474" s="274"/>
      <c r="H474" s="271"/>
      <c r="I474" s="213"/>
      <c r="J474" s="213"/>
      <c r="K474" s="212">
        <f t="shared" si="52"/>
        <v>0</v>
      </c>
      <c r="L474" s="272">
        <f t="shared" si="53"/>
        <v>1900</v>
      </c>
      <c r="M474" s="272">
        <f t="shared" si="54"/>
        <v>1</v>
      </c>
      <c r="N474" s="273"/>
      <c r="O474" s="61">
        <f t="shared" si="55"/>
        <v>1900</v>
      </c>
      <c r="P474" s="61">
        <f t="shared" si="56"/>
        <v>1</v>
      </c>
      <c r="R474" s="272"/>
      <c r="S474" s="272"/>
      <c r="T474" s="278" t="str">
        <f t="shared" si="57"/>
        <v>-</v>
      </c>
    </row>
    <row r="475" spans="1:20">
      <c r="A475" s="269"/>
      <c r="B475" s="57"/>
      <c r="C475" s="175"/>
      <c r="D475" s="176"/>
      <c r="E475" s="175"/>
      <c r="F475" s="56"/>
      <c r="G475" s="274"/>
      <c r="H475" s="271"/>
      <c r="I475" s="213"/>
      <c r="J475" s="213"/>
      <c r="K475" s="212">
        <f t="shared" si="52"/>
        <v>0</v>
      </c>
      <c r="L475" s="272">
        <f t="shared" si="53"/>
        <v>1900</v>
      </c>
      <c r="M475" s="272">
        <f t="shared" si="54"/>
        <v>1</v>
      </c>
      <c r="N475" s="273"/>
      <c r="O475" s="61">
        <f t="shared" si="55"/>
        <v>1900</v>
      </c>
      <c r="P475" s="61">
        <f t="shared" si="56"/>
        <v>1</v>
      </c>
      <c r="R475" s="272"/>
      <c r="S475" s="272"/>
      <c r="T475" s="278" t="str">
        <f t="shared" si="57"/>
        <v>-</v>
      </c>
    </row>
    <row r="476" spans="1:20">
      <c r="A476" s="269"/>
      <c r="B476" s="57"/>
      <c r="C476" s="175"/>
      <c r="D476" s="176"/>
      <c r="E476" s="175"/>
      <c r="F476" s="56"/>
      <c r="G476" s="274"/>
      <c r="H476" s="271"/>
      <c r="I476" s="213"/>
      <c r="J476" s="213"/>
      <c r="K476" s="212">
        <f t="shared" si="52"/>
        <v>0</v>
      </c>
      <c r="L476" s="272">
        <f t="shared" si="53"/>
        <v>1900</v>
      </c>
      <c r="M476" s="272">
        <f t="shared" si="54"/>
        <v>1</v>
      </c>
      <c r="N476" s="273"/>
      <c r="O476" s="61">
        <f t="shared" si="55"/>
        <v>1900</v>
      </c>
      <c r="P476" s="61">
        <f t="shared" si="56"/>
        <v>1</v>
      </c>
      <c r="R476" s="272"/>
      <c r="S476" s="272"/>
      <c r="T476" s="278" t="str">
        <f t="shared" si="57"/>
        <v>-</v>
      </c>
    </row>
    <row r="477" spans="1:20">
      <c r="A477" s="269"/>
      <c r="B477" s="57"/>
      <c r="C477" s="175"/>
      <c r="D477" s="176"/>
      <c r="E477" s="175"/>
      <c r="F477" s="56"/>
      <c r="G477" s="274"/>
      <c r="H477" s="271"/>
      <c r="I477" s="213"/>
      <c r="J477" s="213"/>
      <c r="K477" s="212">
        <f t="shared" si="52"/>
        <v>0</v>
      </c>
      <c r="L477" s="272">
        <f t="shared" si="53"/>
        <v>1900</v>
      </c>
      <c r="M477" s="272">
        <f t="shared" si="54"/>
        <v>1</v>
      </c>
      <c r="N477" s="273"/>
      <c r="O477" s="61">
        <f t="shared" si="55"/>
        <v>1900</v>
      </c>
      <c r="P477" s="61">
        <f t="shared" si="56"/>
        <v>1</v>
      </c>
      <c r="R477" s="272"/>
      <c r="S477" s="272"/>
      <c r="T477" s="278" t="str">
        <f t="shared" si="57"/>
        <v>-</v>
      </c>
    </row>
    <row r="478" spans="1:20">
      <c r="A478" s="269"/>
      <c r="B478" s="57"/>
      <c r="C478" s="175"/>
      <c r="D478" s="176"/>
      <c r="E478" s="175"/>
      <c r="F478" s="56"/>
      <c r="G478" s="274"/>
      <c r="H478" s="271"/>
      <c r="I478" s="213"/>
      <c r="J478" s="213"/>
      <c r="K478" s="212">
        <f t="shared" si="52"/>
        <v>0</v>
      </c>
      <c r="L478" s="272">
        <f t="shared" si="53"/>
        <v>1900</v>
      </c>
      <c r="M478" s="272">
        <f t="shared" si="54"/>
        <v>1</v>
      </c>
      <c r="N478" s="273"/>
      <c r="O478" s="61">
        <f t="shared" si="55"/>
        <v>1900</v>
      </c>
      <c r="P478" s="61">
        <f t="shared" si="56"/>
        <v>1</v>
      </c>
      <c r="R478" s="272"/>
      <c r="S478" s="272"/>
      <c r="T478" s="278" t="str">
        <f t="shared" si="57"/>
        <v>-</v>
      </c>
    </row>
    <row r="479" spans="1:20">
      <c r="A479" s="269"/>
      <c r="B479" s="57"/>
      <c r="C479" s="175"/>
      <c r="D479" s="176"/>
      <c r="E479" s="175"/>
      <c r="F479" s="56"/>
      <c r="G479" s="274"/>
      <c r="H479" s="271"/>
      <c r="I479" s="213"/>
      <c r="J479" s="213"/>
      <c r="K479" s="212">
        <f t="shared" si="52"/>
        <v>0</v>
      </c>
      <c r="L479" s="272">
        <f t="shared" si="53"/>
        <v>1900</v>
      </c>
      <c r="M479" s="272">
        <f t="shared" si="54"/>
        <v>1</v>
      </c>
      <c r="N479" s="273"/>
      <c r="O479" s="61">
        <f t="shared" si="55"/>
        <v>1900</v>
      </c>
      <c r="P479" s="61">
        <f t="shared" si="56"/>
        <v>1</v>
      </c>
      <c r="R479" s="272"/>
      <c r="S479" s="272"/>
      <c r="T479" s="278" t="str">
        <f t="shared" si="57"/>
        <v>-</v>
      </c>
    </row>
    <row r="480" spans="1:20">
      <c r="A480" s="269"/>
      <c r="B480" s="57"/>
      <c r="C480" s="175"/>
      <c r="D480" s="176"/>
      <c r="E480" s="175"/>
      <c r="F480" s="56"/>
      <c r="G480" s="274"/>
      <c r="H480" s="271"/>
      <c r="I480" s="213"/>
      <c r="J480" s="213"/>
      <c r="K480" s="212">
        <f t="shared" si="52"/>
        <v>0</v>
      </c>
      <c r="L480" s="272">
        <f t="shared" si="53"/>
        <v>1900</v>
      </c>
      <c r="M480" s="272">
        <f t="shared" si="54"/>
        <v>1</v>
      </c>
      <c r="N480" s="273"/>
      <c r="O480" s="61">
        <f t="shared" si="55"/>
        <v>1900</v>
      </c>
      <c r="P480" s="61">
        <f t="shared" si="56"/>
        <v>1</v>
      </c>
      <c r="R480" s="272"/>
      <c r="S480" s="272"/>
      <c r="T480" s="278" t="str">
        <f t="shared" si="57"/>
        <v>-</v>
      </c>
    </row>
    <row r="481" spans="1:20">
      <c r="A481" s="269"/>
      <c r="B481" s="57"/>
      <c r="C481" s="175"/>
      <c r="D481" s="176"/>
      <c r="E481" s="175"/>
      <c r="F481" s="56"/>
      <c r="G481" s="274"/>
      <c r="H481" s="271"/>
      <c r="I481" s="213"/>
      <c r="J481" s="213"/>
      <c r="K481" s="212">
        <f t="shared" si="52"/>
        <v>0</v>
      </c>
      <c r="L481" s="272">
        <f t="shared" si="53"/>
        <v>1900</v>
      </c>
      <c r="M481" s="272">
        <f t="shared" si="54"/>
        <v>1</v>
      </c>
      <c r="N481" s="273"/>
      <c r="O481" s="61">
        <f t="shared" si="55"/>
        <v>1900</v>
      </c>
      <c r="P481" s="61">
        <f t="shared" si="56"/>
        <v>1</v>
      </c>
      <c r="R481" s="272"/>
      <c r="S481" s="272"/>
      <c r="T481" s="278" t="str">
        <f t="shared" si="57"/>
        <v>-</v>
      </c>
    </row>
    <row r="482" spans="1:20">
      <c r="A482" s="269"/>
      <c r="B482" s="57"/>
      <c r="C482" s="175"/>
      <c r="D482" s="176"/>
      <c r="E482" s="175"/>
      <c r="F482" s="56"/>
      <c r="G482" s="274"/>
      <c r="H482" s="271"/>
      <c r="I482" s="213"/>
      <c r="J482" s="213"/>
      <c r="K482" s="212">
        <f t="shared" si="52"/>
        <v>0</v>
      </c>
      <c r="L482" s="272">
        <f t="shared" si="53"/>
        <v>1900</v>
      </c>
      <c r="M482" s="272">
        <f t="shared" si="54"/>
        <v>1</v>
      </c>
      <c r="N482" s="273"/>
      <c r="O482" s="61">
        <f t="shared" si="55"/>
        <v>1900</v>
      </c>
      <c r="P482" s="61">
        <f t="shared" si="56"/>
        <v>1</v>
      </c>
      <c r="R482" s="272"/>
      <c r="S482" s="272"/>
      <c r="T482" s="278" t="str">
        <f t="shared" si="57"/>
        <v>-</v>
      </c>
    </row>
    <row r="483" spans="1:20">
      <c r="A483" s="269"/>
      <c r="B483" s="57"/>
      <c r="C483" s="175"/>
      <c r="D483" s="176"/>
      <c r="E483" s="175"/>
      <c r="F483" s="56"/>
      <c r="G483" s="274"/>
      <c r="H483" s="271"/>
      <c r="I483" s="213"/>
      <c r="J483" s="213"/>
      <c r="K483" s="212">
        <f t="shared" si="52"/>
        <v>0</v>
      </c>
      <c r="L483" s="272">
        <f t="shared" si="53"/>
        <v>1900</v>
      </c>
      <c r="M483" s="272">
        <f t="shared" si="54"/>
        <v>1</v>
      </c>
      <c r="N483" s="273"/>
      <c r="O483" s="61">
        <f t="shared" si="55"/>
        <v>1900</v>
      </c>
      <c r="P483" s="61">
        <f t="shared" si="56"/>
        <v>1</v>
      </c>
      <c r="R483" s="272"/>
      <c r="S483" s="272"/>
      <c r="T483" s="278" t="str">
        <f t="shared" si="57"/>
        <v>-</v>
      </c>
    </row>
    <row r="484" spans="1:20">
      <c r="A484" s="269"/>
      <c r="B484" s="57"/>
      <c r="C484" s="176"/>
      <c r="D484" s="176"/>
      <c r="E484" s="176"/>
      <c r="F484" s="56"/>
      <c r="G484" s="274"/>
      <c r="H484" s="271"/>
      <c r="I484" s="213"/>
      <c r="J484" s="213"/>
      <c r="K484" s="212">
        <f t="shared" si="52"/>
        <v>0</v>
      </c>
      <c r="L484" s="272">
        <f t="shared" si="53"/>
        <v>1900</v>
      </c>
      <c r="M484" s="272">
        <f t="shared" si="54"/>
        <v>1</v>
      </c>
      <c r="N484" s="273"/>
      <c r="O484" s="61">
        <f t="shared" si="55"/>
        <v>1900</v>
      </c>
      <c r="P484" s="61">
        <f t="shared" si="56"/>
        <v>1</v>
      </c>
      <c r="R484" s="272"/>
      <c r="S484" s="272"/>
      <c r="T484" s="278" t="str">
        <f t="shared" si="57"/>
        <v>-</v>
      </c>
    </row>
    <row r="485" spans="1:20">
      <c r="A485" s="269"/>
      <c r="B485" s="57"/>
      <c r="C485" s="176"/>
      <c r="D485" s="176"/>
      <c r="E485" s="176"/>
      <c r="F485" s="56"/>
      <c r="G485" s="274"/>
      <c r="H485" s="271"/>
      <c r="I485" s="213"/>
      <c r="J485" s="213"/>
      <c r="K485" s="212">
        <f t="shared" si="52"/>
        <v>0</v>
      </c>
      <c r="L485" s="272">
        <f t="shared" si="53"/>
        <v>1900</v>
      </c>
      <c r="M485" s="272">
        <f t="shared" si="54"/>
        <v>1</v>
      </c>
      <c r="N485" s="273"/>
      <c r="O485" s="61">
        <f t="shared" si="55"/>
        <v>1900</v>
      </c>
      <c r="P485" s="61">
        <f t="shared" si="56"/>
        <v>1</v>
      </c>
      <c r="R485" s="272"/>
      <c r="S485" s="272"/>
      <c r="T485" s="278" t="str">
        <f t="shared" si="57"/>
        <v>-</v>
      </c>
    </row>
    <row r="486" spans="1:20">
      <c r="A486" s="269"/>
      <c r="B486" s="57"/>
      <c r="C486" s="176"/>
      <c r="D486" s="176"/>
      <c r="E486" s="176"/>
      <c r="F486" s="56"/>
      <c r="G486" s="274"/>
      <c r="H486" s="271"/>
      <c r="I486" s="213"/>
      <c r="J486" s="213"/>
      <c r="K486" s="212">
        <f t="shared" si="52"/>
        <v>0</v>
      </c>
      <c r="L486" s="272">
        <f t="shared" si="53"/>
        <v>1900</v>
      </c>
      <c r="M486" s="272">
        <f t="shared" si="54"/>
        <v>1</v>
      </c>
      <c r="N486" s="273"/>
      <c r="O486" s="61">
        <f t="shared" si="55"/>
        <v>1900</v>
      </c>
      <c r="P486" s="61">
        <f t="shared" si="56"/>
        <v>1</v>
      </c>
      <c r="R486" s="272"/>
      <c r="S486" s="272"/>
      <c r="T486" s="278" t="str">
        <f t="shared" si="57"/>
        <v>-</v>
      </c>
    </row>
    <row r="487" spans="1:20">
      <c r="A487" s="269"/>
      <c r="B487" s="57"/>
      <c r="C487" s="176"/>
      <c r="D487" s="176"/>
      <c r="E487" s="176"/>
      <c r="F487" s="56"/>
      <c r="G487" s="274"/>
      <c r="H487" s="271"/>
      <c r="I487" s="213"/>
      <c r="J487" s="213"/>
      <c r="K487" s="212">
        <f t="shared" si="52"/>
        <v>0</v>
      </c>
      <c r="L487" s="272">
        <f t="shared" si="53"/>
        <v>1900</v>
      </c>
      <c r="M487" s="272">
        <f t="shared" si="54"/>
        <v>1</v>
      </c>
      <c r="N487" s="273"/>
      <c r="O487" s="61">
        <f t="shared" si="55"/>
        <v>1900</v>
      </c>
      <c r="P487" s="61">
        <f t="shared" si="56"/>
        <v>1</v>
      </c>
      <c r="R487" s="272"/>
      <c r="S487" s="272"/>
      <c r="T487" s="278" t="str">
        <f t="shared" si="57"/>
        <v>-</v>
      </c>
    </row>
    <row r="488" spans="1:20">
      <c r="A488" s="269"/>
      <c r="B488" s="57"/>
      <c r="C488" s="176"/>
      <c r="D488" s="176"/>
      <c r="E488" s="176"/>
      <c r="F488" s="56"/>
      <c r="G488" s="274"/>
      <c r="H488" s="271"/>
      <c r="I488" s="213"/>
      <c r="J488" s="213"/>
      <c r="K488" s="212">
        <f t="shared" si="52"/>
        <v>0</v>
      </c>
      <c r="L488" s="272">
        <f t="shared" si="53"/>
        <v>1900</v>
      </c>
      <c r="M488" s="272">
        <f t="shared" si="54"/>
        <v>1</v>
      </c>
      <c r="N488" s="273"/>
      <c r="O488" s="61">
        <f t="shared" si="55"/>
        <v>1900</v>
      </c>
      <c r="P488" s="61">
        <f t="shared" si="56"/>
        <v>1</v>
      </c>
      <c r="R488" s="272"/>
      <c r="S488" s="272"/>
      <c r="T488" s="278" t="str">
        <f t="shared" si="57"/>
        <v>-</v>
      </c>
    </row>
    <row r="489" spans="1:20">
      <c r="A489" s="269"/>
      <c r="B489" s="57"/>
      <c r="C489" s="176"/>
      <c r="D489" s="176"/>
      <c r="E489" s="176"/>
      <c r="F489" s="56"/>
      <c r="G489" s="274"/>
      <c r="H489" s="271"/>
      <c r="I489" s="213"/>
      <c r="J489" s="213"/>
      <c r="K489" s="212">
        <f t="shared" si="52"/>
        <v>0</v>
      </c>
      <c r="L489" s="272">
        <f t="shared" si="53"/>
        <v>1900</v>
      </c>
      <c r="M489" s="272">
        <f t="shared" si="54"/>
        <v>1</v>
      </c>
      <c r="N489" s="273"/>
      <c r="O489" s="61">
        <f t="shared" si="55"/>
        <v>1900</v>
      </c>
      <c r="P489" s="61">
        <f t="shared" si="56"/>
        <v>1</v>
      </c>
      <c r="R489" s="272"/>
      <c r="S489" s="272"/>
      <c r="T489" s="278" t="str">
        <f t="shared" si="57"/>
        <v>-</v>
      </c>
    </row>
    <row r="490" spans="1:20">
      <c r="A490" s="269"/>
      <c r="B490" s="57"/>
      <c r="C490" s="176"/>
      <c r="D490" s="176"/>
      <c r="E490" s="176"/>
      <c r="F490" s="56"/>
      <c r="G490" s="274"/>
      <c r="H490" s="271"/>
      <c r="I490" s="213"/>
      <c r="J490" s="213"/>
      <c r="K490" s="212">
        <f t="shared" si="52"/>
        <v>0</v>
      </c>
      <c r="L490" s="272">
        <f t="shared" si="53"/>
        <v>1900</v>
      </c>
      <c r="M490" s="272">
        <f t="shared" si="54"/>
        <v>1</v>
      </c>
      <c r="N490" s="273"/>
      <c r="O490" s="61">
        <f t="shared" si="55"/>
        <v>1900</v>
      </c>
      <c r="P490" s="61">
        <f t="shared" si="56"/>
        <v>1</v>
      </c>
      <c r="R490" s="272"/>
      <c r="S490" s="272"/>
      <c r="T490" s="278" t="str">
        <f t="shared" si="57"/>
        <v>-</v>
      </c>
    </row>
    <row r="491" spans="1:20">
      <c r="A491" s="269"/>
      <c r="B491" s="57"/>
      <c r="C491" s="176"/>
      <c r="D491" s="176"/>
      <c r="E491" s="176"/>
      <c r="F491" s="56"/>
      <c r="G491" s="274"/>
      <c r="H491" s="271"/>
      <c r="I491" s="213"/>
      <c r="J491" s="213"/>
      <c r="K491" s="212">
        <f t="shared" si="52"/>
        <v>0</v>
      </c>
      <c r="L491" s="272">
        <f t="shared" si="53"/>
        <v>1900</v>
      </c>
      <c r="M491" s="272">
        <f t="shared" si="54"/>
        <v>1</v>
      </c>
      <c r="N491" s="273"/>
      <c r="O491" s="61">
        <f t="shared" si="55"/>
        <v>1900</v>
      </c>
      <c r="P491" s="61">
        <f t="shared" si="56"/>
        <v>1</v>
      </c>
      <c r="R491" s="272"/>
      <c r="S491" s="272"/>
      <c r="T491" s="278" t="str">
        <f t="shared" si="57"/>
        <v>-</v>
      </c>
    </row>
    <row r="492" spans="1:20">
      <c r="A492" s="269"/>
      <c r="B492" s="57"/>
      <c r="C492" s="176"/>
      <c r="D492" s="176"/>
      <c r="E492" s="176"/>
      <c r="F492" s="56"/>
      <c r="G492" s="274"/>
      <c r="H492" s="271"/>
      <c r="I492" s="213"/>
      <c r="J492" s="213"/>
      <c r="K492" s="212">
        <f t="shared" si="52"/>
        <v>0</v>
      </c>
      <c r="L492" s="272">
        <f t="shared" si="53"/>
        <v>1900</v>
      </c>
      <c r="M492" s="272">
        <f t="shared" si="54"/>
        <v>1</v>
      </c>
      <c r="N492" s="273"/>
      <c r="O492" s="61">
        <f t="shared" si="55"/>
        <v>1900</v>
      </c>
      <c r="P492" s="61">
        <f t="shared" si="56"/>
        <v>1</v>
      </c>
      <c r="R492" s="272"/>
      <c r="S492" s="272"/>
      <c r="T492" s="278" t="str">
        <f t="shared" si="57"/>
        <v>-</v>
      </c>
    </row>
    <row r="493" spans="1:20">
      <c r="A493" s="269"/>
      <c r="B493" s="57"/>
      <c r="C493" s="176"/>
      <c r="D493" s="176"/>
      <c r="E493" s="176"/>
      <c r="F493" s="56"/>
      <c r="G493" s="274"/>
      <c r="H493" s="271"/>
      <c r="I493" s="213"/>
      <c r="J493" s="213"/>
      <c r="K493" s="212">
        <f t="shared" si="52"/>
        <v>0</v>
      </c>
      <c r="L493" s="272">
        <f t="shared" si="53"/>
        <v>1900</v>
      </c>
      <c r="M493" s="272">
        <f t="shared" si="54"/>
        <v>1</v>
      </c>
      <c r="N493" s="273"/>
      <c r="O493" s="61">
        <f t="shared" si="55"/>
        <v>1900</v>
      </c>
      <c r="P493" s="61">
        <f t="shared" si="56"/>
        <v>1</v>
      </c>
      <c r="R493" s="272"/>
      <c r="S493" s="272"/>
      <c r="T493" s="278" t="str">
        <f t="shared" si="57"/>
        <v>-</v>
      </c>
    </row>
    <row r="494" spans="1:20">
      <c r="A494" s="269"/>
      <c r="B494" s="57"/>
      <c r="C494" s="176"/>
      <c r="D494" s="176"/>
      <c r="E494" s="176"/>
      <c r="F494" s="56"/>
      <c r="G494" s="274"/>
      <c r="H494" s="271"/>
      <c r="I494" s="213"/>
      <c r="J494" s="213"/>
      <c r="K494" s="212">
        <f t="shared" si="52"/>
        <v>0</v>
      </c>
      <c r="L494" s="272">
        <f t="shared" si="53"/>
        <v>1900</v>
      </c>
      <c r="M494" s="272">
        <f t="shared" si="54"/>
        <v>1</v>
      </c>
      <c r="N494" s="273"/>
      <c r="O494" s="61">
        <f t="shared" si="55"/>
        <v>1900</v>
      </c>
      <c r="P494" s="61">
        <f t="shared" si="56"/>
        <v>1</v>
      </c>
      <c r="R494" s="272"/>
      <c r="S494" s="272"/>
      <c r="T494" s="278" t="str">
        <f t="shared" si="57"/>
        <v>-</v>
      </c>
    </row>
    <row r="495" spans="1:20">
      <c r="A495" s="269"/>
      <c r="B495" s="57"/>
      <c r="C495" s="176"/>
      <c r="D495" s="176"/>
      <c r="E495" s="176"/>
      <c r="F495" s="56"/>
      <c r="G495" s="274"/>
      <c r="H495" s="271"/>
      <c r="I495" s="213"/>
      <c r="J495" s="213"/>
      <c r="K495" s="212">
        <f t="shared" si="52"/>
        <v>0</v>
      </c>
      <c r="L495" s="272">
        <f t="shared" si="53"/>
        <v>1900</v>
      </c>
      <c r="M495" s="272">
        <f t="shared" si="54"/>
        <v>1</v>
      </c>
      <c r="N495" s="273"/>
      <c r="O495" s="61">
        <f t="shared" si="55"/>
        <v>1900</v>
      </c>
      <c r="P495" s="61">
        <f t="shared" si="56"/>
        <v>1</v>
      </c>
      <c r="R495" s="272"/>
      <c r="S495" s="272"/>
      <c r="T495" s="278" t="str">
        <f t="shared" si="57"/>
        <v>-</v>
      </c>
    </row>
    <row r="496" spans="1:20">
      <c r="A496" s="269"/>
      <c r="B496" s="57"/>
      <c r="C496" s="176"/>
      <c r="D496" s="176"/>
      <c r="E496" s="176"/>
      <c r="F496" s="56"/>
      <c r="G496" s="274"/>
      <c r="H496" s="271"/>
      <c r="I496" s="213"/>
      <c r="J496" s="213"/>
      <c r="K496" s="212">
        <f t="shared" si="52"/>
        <v>0</v>
      </c>
      <c r="L496" s="272">
        <f t="shared" si="53"/>
        <v>1900</v>
      </c>
      <c r="M496" s="272">
        <f t="shared" si="54"/>
        <v>1</v>
      </c>
      <c r="N496" s="273"/>
      <c r="O496" s="61">
        <f t="shared" si="55"/>
        <v>1900</v>
      </c>
      <c r="P496" s="61">
        <f t="shared" si="56"/>
        <v>1</v>
      </c>
      <c r="R496" s="272"/>
      <c r="S496" s="272"/>
      <c r="T496" s="278" t="str">
        <f t="shared" si="57"/>
        <v>-</v>
      </c>
    </row>
    <row r="497" spans="1:20">
      <c r="A497" s="269"/>
      <c r="B497" s="57"/>
      <c r="C497" s="176"/>
      <c r="D497" s="176"/>
      <c r="E497" s="176"/>
      <c r="F497" s="56"/>
      <c r="G497" s="274"/>
      <c r="H497" s="271"/>
      <c r="I497" s="213"/>
      <c r="J497" s="213"/>
      <c r="K497" s="212">
        <f t="shared" si="52"/>
        <v>0</v>
      </c>
      <c r="L497" s="272">
        <f t="shared" si="53"/>
        <v>1900</v>
      </c>
      <c r="M497" s="272">
        <f t="shared" si="54"/>
        <v>1</v>
      </c>
      <c r="N497" s="273"/>
      <c r="O497" s="61">
        <f t="shared" si="55"/>
        <v>1900</v>
      </c>
      <c r="P497" s="61">
        <f t="shared" si="56"/>
        <v>1</v>
      </c>
      <c r="R497" s="272"/>
      <c r="S497" s="272"/>
      <c r="T497" s="278" t="str">
        <f t="shared" si="57"/>
        <v>-</v>
      </c>
    </row>
    <row r="498" spans="1:20">
      <c r="A498" s="269"/>
      <c r="B498" s="57"/>
      <c r="C498" s="176"/>
      <c r="D498" s="176"/>
      <c r="E498" s="176"/>
      <c r="F498" s="56"/>
      <c r="G498" s="274"/>
      <c r="H498" s="271"/>
      <c r="I498" s="213"/>
      <c r="J498" s="213"/>
      <c r="K498" s="212">
        <f t="shared" si="52"/>
        <v>0</v>
      </c>
      <c r="L498" s="272">
        <f t="shared" si="53"/>
        <v>1900</v>
      </c>
      <c r="M498" s="272">
        <f t="shared" si="54"/>
        <v>1</v>
      </c>
      <c r="N498" s="273"/>
      <c r="O498" s="61">
        <f t="shared" si="55"/>
        <v>1900</v>
      </c>
      <c r="P498" s="61">
        <f t="shared" si="56"/>
        <v>1</v>
      </c>
      <c r="R498" s="272"/>
      <c r="S498" s="272"/>
      <c r="T498" s="278" t="str">
        <f t="shared" si="57"/>
        <v>-</v>
      </c>
    </row>
    <row r="499" spans="1:20">
      <c r="A499" s="269"/>
      <c r="B499" s="57"/>
      <c r="C499" s="176"/>
      <c r="D499" s="176"/>
      <c r="E499" s="176"/>
      <c r="F499" s="56"/>
      <c r="G499" s="274"/>
      <c r="H499" s="271"/>
      <c r="I499" s="213"/>
      <c r="J499" s="213"/>
      <c r="K499" s="212">
        <f t="shared" si="52"/>
        <v>0</v>
      </c>
      <c r="L499" s="272">
        <f t="shared" si="53"/>
        <v>1900</v>
      </c>
      <c r="M499" s="272">
        <f t="shared" si="54"/>
        <v>1</v>
      </c>
      <c r="N499" s="273"/>
      <c r="O499" s="61">
        <f t="shared" si="55"/>
        <v>1900</v>
      </c>
      <c r="P499" s="61">
        <f t="shared" si="56"/>
        <v>1</v>
      </c>
      <c r="R499" s="272"/>
      <c r="S499" s="272"/>
      <c r="T499" s="278" t="str">
        <f t="shared" si="57"/>
        <v>-</v>
      </c>
    </row>
    <row r="500" spans="1:20">
      <c r="A500" s="269"/>
      <c r="B500" s="57"/>
      <c r="C500" s="176"/>
      <c r="D500" s="176"/>
      <c r="E500" s="176"/>
      <c r="F500" s="56"/>
      <c r="G500" s="274"/>
      <c r="H500" s="271"/>
      <c r="I500" s="213"/>
      <c r="J500" s="213"/>
      <c r="K500" s="212">
        <f t="shared" si="52"/>
        <v>0</v>
      </c>
      <c r="L500" s="272">
        <f t="shared" si="53"/>
        <v>1900</v>
      </c>
      <c r="M500" s="272">
        <f t="shared" si="54"/>
        <v>1</v>
      </c>
      <c r="N500" s="273"/>
      <c r="O500" s="61">
        <f t="shared" si="55"/>
        <v>1900</v>
      </c>
      <c r="P500" s="61">
        <f t="shared" si="56"/>
        <v>1</v>
      </c>
      <c r="R500" s="272"/>
      <c r="S500" s="272"/>
      <c r="T500" s="278" t="str">
        <f t="shared" si="57"/>
        <v>-</v>
      </c>
    </row>
    <row r="501" spans="1:20">
      <c r="A501" s="269"/>
      <c r="B501" s="57"/>
      <c r="C501" s="175"/>
      <c r="D501" s="175"/>
      <c r="E501" s="175"/>
      <c r="F501" s="56"/>
      <c r="G501" s="274"/>
      <c r="H501" s="271"/>
      <c r="I501" s="213"/>
      <c r="J501" s="213"/>
      <c r="K501" s="212">
        <f t="shared" si="52"/>
        <v>0</v>
      </c>
      <c r="L501" s="272">
        <f t="shared" si="53"/>
        <v>1900</v>
      </c>
      <c r="M501" s="272">
        <f t="shared" si="54"/>
        <v>1</v>
      </c>
      <c r="N501" s="273"/>
      <c r="O501" s="61">
        <f t="shared" si="55"/>
        <v>1900</v>
      </c>
      <c r="P501" s="61">
        <f t="shared" si="56"/>
        <v>1</v>
      </c>
      <c r="R501" s="272"/>
      <c r="S501" s="272"/>
      <c r="T501" s="278" t="str">
        <f t="shared" si="57"/>
        <v>-</v>
      </c>
    </row>
    <row r="502" spans="1:20">
      <c r="A502" s="269"/>
      <c r="B502" s="57"/>
      <c r="C502" s="175"/>
      <c r="D502" s="175"/>
      <c r="E502" s="175"/>
      <c r="F502" s="56"/>
      <c r="G502" s="274"/>
      <c r="H502" s="271"/>
      <c r="I502" s="213"/>
      <c r="J502" s="213"/>
      <c r="K502" s="212">
        <f t="shared" si="52"/>
        <v>0</v>
      </c>
      <c r="L502" s="272">
        <f t="shared" si="53"/>
        <v>1900</v>
      </c>
      <c r="M502" s="272">
        <f t="shared" si="54"/>
        <v>1</v>
      </c>
      <c r="N502" s="273"/>
      <c r="O502" s="61">
        <f t="shared" si="55"/>
        <v>1900</v>
      </c>
      <c r="P502" s="61">
        <f t="shared" si="56"/>
        <v>1</v>
      </c>
      <c r="R502" s="272"/>
      <c r="S502" s="272"/>
      <c r="T502" s="278" t="str">
        <f t="shared" si="57"/>
        <v>-</v>
      </c>
    </row>
    <row r="503" spans="1:20">
      <c r="A503" s="269"/>
      <c r="B503" s="57"/>
      <c r="C503" s="176"/>
      <c r="D503" s="176"/>
      <c r="E503" s="176"/>
      <c r="F503" s="56"/>
      <c r="G503" s="274"/>
      <c r="H503" s="271"/>
      <c r="I503" s="213"/>
      <c r="J503" s="213"/>
      <c r="K503" s="212">
        <f t="shared" si="52"/>
        <v>0</v>
      </c>
      <c r="L503" s="272">
        <f t="shared" si="53"/>
        <v>1900</v>
      </c>
      <c r="M503" s="272">
        <f t="shared" si="54"/>
        <v>1</v>
      </c>
      <c r="N503" s="273"/>
      <c r="O503" s="61">
        <f t="shared" si="55"/>
        <v>1900</v>
      </c>
      <c r="P503" s="61">
        <f t="shared" si="56"/>
        <v>1</v>
      </c>
      <c r="R503" s="272"/>
      <c r="S503" s="272"/>
      <c r="T503" s="278" t="str">
        <f t="shared" si="57"/>
        <v>-</v>
      </c>
    </row>
    <row r="504" spans="1:20">
      <c r="A504" s="269"/>
      <c r="B504" s="57"/>
      <c r="C504" s="176"/>
      <c r="D504" s="176"/>
      <c r="E504" s="176"/>
      <c r="F504" s="56"/>
      <c r="G504" s="274"/>
      <c r="H504" s="271"/>
      <c r="I504" s="213"/>
      <c r="J504" s="213"/>
      <c r="K504" s="212">
        <f t="shared" si="52"/>
        <v>0</v>
      </c>
      <c r="L504" s="272">
        <f t="shared" si="53"/>
        <v>1900</v>
      </c>
      <c r="M504" s="272">
        <f t="shared" si="54"/>
        <v>1</v>
      </c>
      <c r="N504" s="273"/>
      <c r="O504" s="61">
        <f t="shared" si="55"/>
        <v>1900</v>
      </c>
      <c r="P504" s="61">
        <f t="shared" si="56"/>
        <v>1</v>
      </c>
      <c r="R504" s="272"/>
      <c r="S504" s="272"/>
      <c r="T504" s="278" t="str">
        <f t="shared" si="57"/>
        <v>-</v>
      </c>
    </row>
    <row r="505" spans="1:20">
      <c r="A505" s="269"/>
      <c r="B505" s="57"/>
      <c r="C505" s="175"/>
      <c r="D505" s="175"/>
      <c r="E505" s="175"/>
      <c r="F505" s="56"/>
      <c r="G505" s="274"/>
      <c r="H505" s="271"/>
      <c r="I505" s="213"/>
      <c r="J505" s="213"/>
      <c r="K505" s="212">
        <f t="shared" si="52"/>
        <v>0</v>
      </c>
      <c r="L505" s="272">
        <f t="shared" si="53"/>
        <v>1900</v>
      </c>
      <c r="M505" s="272">
        <f t="shared" si="54"/>
        <v>1</v>
      </c>
      <c r="N505" s="273"/>
      <c r="O505" s="61">
        <f t="shared" si="55"/>
        <v>1900</v>
      </c>
      <c r="P505" s="61">
        <f t="shared" si="56"/>
        <v>1</v>
      </c>
      <c r="R505" s="272"/>
      <c r="S505" s="272"/>
      <c r="T505" s="278" t="str">
        <f t="shared" si="57"/>
        <v>-</v>
      </c>
    </row>
    <row r="506" spans="1:20">
      <c r="A506" s="269"/>
      <c r="B506" s="57"/>
      <c r="C506" s="175"/>
      <c r="D506" s="175"/>
      <c r="E506" s="175"/>
      <c r="F506" s="56"/>
      <c r="G506" s="274"/>
      <c r="H506" s="271"/>
      <c r="I506" s="213"/>
      <c r="J506" s="213"/>
      <c r="K506" s="212">
        <f t="shared" si="52"/>
        <v>0</v>
      </c>
      <c r="L506" s="272">
        <f t="shared" si="53"/>
        <v>1900</v>
      </c>
      <c r="M506" s="272">
        <f t="shared" si="54"/>
        <v>1</v>
      </c>
      <c r="N506" s="273"/>
      <c r="O506" s="61">
        <f t="shared" si="55"/>
        <v>1900</v>
      </c>
      <c r="P506" s="61">
        <f t="shared" si="56"/>
        <v>1</v>
      </c>
      <c r="R506" s="272"/>
      <c r="S506" s="272"/>
      <c r="T506" s="278" t="str">
        <f t="shared" si="57"/>
        <v>-</v>
      </c>
    </row>
    <row r="507" spans="1:20">
      <c r="A507" s="269"/>
      <c r="B507" s="57"/>
      <c r="C507" s="55"/>
      <c r="D507" s="55"/>
      <c r="E507" s="55"/>
      <c r="F507" s="55"/>
      <c r="G507" s="274"/>
      <c r="H507" s="271"/>
      <c r="I507" s="213"/>
      <c r="J507" s="213"/>
      <c r="K507" s="212">
        <f t="shared" si="52"/>
        <v>0</v>
      </c>
      <c r="L507" s="272">
        <f t="shared" si="53"/>
        <v>1900</v>
      </c>
      <c r="M507" s="272">
        <f t="shared" si="54"/>
        <v>1</v>
      </c>
      <c r="N507" s="273"/>
      <c r="O507" s="61">
        <f t="shared" si="55"/>
        <v>1900</v>
      </c>
      <c r="P507" s="61">
        <f t="shared" si="56"/>
        <v>1</v>
      </c>
      <c r="R507" s="272"/>
      <c r="S507" s="272"/>
      <c r="T507" s="278" t="str">
        <f t="shared" si="57"/>
        <v>-</v>
      </c>
    </row>
    <row r="508" spans="1:20">
      <c r="A508" s="269"/>
      <c r="B508" s="57"/>
      <c r="C508" s="55"/>
      <c r="D508" s="55"/>
      <c r="E508" s="55"/>
      <c r="F508" s="55"/>
      <c r="G508" s="274"/>
      <c r="H508" s="271"/>
      <c r="I508" s="213"/>
      <c r="J508" s="213"/>
      <c r="K508" s="212">
        <f t="shared" si="52"/>
        <v>0</v>
      </c>
      <c r="L508" s="272">
        <f t="shared" si="53"/>
        <v>1900</v>
      </c>
      <c r="M508" s="272">
        <f t="shared" si="54"/>
        <v>1</v>
      </c>
      <c r="N508" s="273"/>
      <c r="O508" s="61">
        <f t="shared" si="55"/>
        <v>1900</v>
      </c>
      <c r="P508" s="61">
        <f t="shared" si="56"/>
        <v>1</v>
      </c>
      <c r="R508" s="272"/>
      <c r="S508" s="272"/>
      <c r="T508" s="278" t="str">
        <f t="shared" si="57"/>
        <v>-</v>
      </c>
    </row>
    <row r="509" spans="1:20">
      <c r="A509" s="269"/>
      <c r="B509" s="57"/>
      <c r="C509" s="55"/>
      <c r="D509" s="55"/>
      <c r="E509" s="55"/>
      <c r="F509" s="55"/>
      <c r="G509" s="274"/>
      <c r="H509" s="271"/>
      <c r="I509" s="213"/>
      <c r="J509" s="213"/>
      <c r="K509" s="212">
        <f t="shared" si="52"/>
        <v>0</v>
      </c>
      <c r="L509" s="272">
        <f t="shared" si="53"/>
        <v>1900</v>
      </c>
      <c r="M509" s="272">
        <f t="shared" si="54"/>
        <v>1</v>
      </c>
      <c r="N509" s="273"/>
      <c r="O509" s="61">
        <f t="shared" si="55"/>
        <v>1900</v>
      </c>
      <c r="P509" s="61">
        <f t="shared" si="56"/>
        <v>1</v>
      </c>
      <c r="R509" s="272"/>
      <c r="S509" s="272"/>
      <c r="T509" s="278" t="str">
        <f t="shared" si="57"/>
        <v>-</v>
      </c>
    </row>
    <row r="510" spans="1:20">
      <c r="A510" s="269"/>
      <c r="B510" s="57"/>
      <c r="C510" s="55"/>
      <c r="D510" s="55"/>
      <c r="E510" s="55"/>
      <c r="F510" s="55"/>
      <c r="G510" s="274"/>
      <c r="H510" s="271"/>
      <c r="I510" s="213"/>
      <c r="J510" s="213"/>
      <c r="K510" s="212">
        <f t="shared" si="52"/>
        <v>0</v>
      </c>
      <c r="L510" s="272">
        <f t="shared" si="53"/>
        <v>1900</v>
      </c>
      <c r="M510" s="272">
        <f t="shared" si="54"/>
        <v>1</v>
      </c>
      <c r="N510" s="273"/>
      <c r="O510" s="61">
        <f t="shared" si="55"/>
        <v>1900</v>
      </c>
      <c r="P510" s="61">
        <f t="shared" si="56"/>
        <v>1</v>
      </c>
      <c r="R510" s="272"/>
      <c r="S510" s="272"/>
      <c r="T510" s="278" t="str">
        <f t="shared" si="57"/>
        <v>-</v>
      </c>
    </row>
    <row r="511" spans="1:20">
      <c r="A511" s="269"/>
      <c r="B511" s="57"/>
      <c r="C511" s="55"/>
      <c r="D511" s="55"/>
      <c r="E511" s="55"/>
      <c r="F511" s="55"/>
      <c r="G511" s="274"/>
      <c r="H511" s="271"/>
      <c r="I511" s="213"/>
      <c r="J511" s="213"/>
      <c r="K511" s="212">
        <f t="shared" si="52"/>
        <v>0</v>
      </c>
      <c r="L511" s="272">
        <f t="shared" si="53"/>
        <v>1900</v>
      </c>
      <c r="M511" s="272">
        <f t="shared" si="54"/>
        <v>1</v>
      </c>
      <c r="N511" s="273"/>
      <c r="O511" s="61">
        <f t="shared" si="55"/>
        <v>1900</v>
      </c>
      <c r="P511" s="61">
        <f t="shared" si="56"/>
        <v>1</v>
      </c>
      <c r="R511" s="272"/>
      <c r="S511" s="272"/>
      <c r="T511" s="278" t="str">
        <f t="shared" si="57"/>
        <v>-</v>
      </c>
    </row>
    <row r="512" spans="1:20">
      <c r="A512" s="269"/>
      <c r="B512" s="57"/>
      <c r="C512" s="55"/>
      <c r="D512" s="55"/>
      <c r="E512" s="55"/>
      <c r="F512" s="55"/>
      <c r="G512" s="274"/>
      <c r="H512" s="271"/>
      <c r="I512" s="213"/>
      <c r="J512" s="213"/>
      <c r="K512" s="212">
        <f t="shared" si="52"/>
        <v>0</v>
      </c>
      <c r="L512" s="272">
        <f t="shared" si="53"/>
        <v>1900</v>
      </c>
      <c r="M512" s="272">
        <f t="shared" si="54"/>
        <v>1</v>
      </c>
      <c r="N512" s="273"/>
      <c r="O512" s="61">
        <f t="shared" si="55"/>
        <v>1900</v>
      </c>
      <c r="P512" s="61">
        <f t="shared" si="56"/>
        <v>1</v>
      </c>
      <c r="R512" s="272"/>
      <c r="S512" s="272"/>
      <c r="T512" s="278" t="str">
        <f t="shared" si="57"/>
        <v>-</v>
      </c>
    </row>
    <row r="513" spans="1:20">
      <c r="A513" s="269"/>
      <c r="B513" s="57"/>
      <c r="C513" s="55"/>
      <c r="D513" s="55"/>
      <c r="E513" s="55"/>
      <c r="F513" s="55"/>
      <c r="G513" s="274"/>
      <c r="H513" s="271"/>
      <c r="I513" s="213"/>
      <c r="J513" s="213"/>
      <c r="K513" s="212">
        <f t="shared" si="52"/>
        <v>0</v>
      </c>
      <c r="L513" s="272">
        <f t="shared" si="53"/>
        <v>1900</v>
      </c>
      <c r="M513" s="272">
        <f t="shared" si="54"/>
        <v>1</v>
      </c>
      <c r="N513" s="273"/>
      <c r="O513" s="61">
        <f t="shared" si="55"/>
        <v>1900</v>
      </c>
      <c r="P513" s="61">
        <f t="shared" si="56"/>
        <v>1</v>
      </c>
      <c r="R513" s="272"/>
      <c r="S513" s="272"/>
      <c r="T513" s="278" t="str">
        <f t="shared" si="57"/>
        <v>-</v>
      </c>
    </row>
    <row r="514" spans="1:20">
      <c r="A514" s="269"/>
      <c r="B514" s="57"/>
      <c r="C514" s="55"/>
      <c r="D514" s="55"/>
      <c r="E514" s="55"/>
      <c r="F514" s="55"/>
      <c r="G514" s="274"/>
      <c r="H514" s="271"/>
      <c r="I514" s="213"/>
      <c r="J514" s="213"/>
      <c r="K514" s="212">
        <f t="shared" si="52"/>
        <v>0</v>
      </c>
      <c r="L514" s="272">
        <f t="shared" si="53"/>
        <v>1900</v>
      </c>
      <c r="M514" s="272">
        <f t="shared" si="54"/>
        <v>1</v>
      </c>
      <c r="N514" s="273"/>
      <c r="O514" s="61">
        <f t="shared" si="55"/>
        <v>1900</v>
      </c>
      <c r="P514" s="61">
        <f t="shared" si="56"/>
        <v>1</v>
      </c>
      <c r="R514" s="272"/>
      <c r="S514" s="272"/>
      <c r="T514" s="278" t="str">
        <f t="shared" si="57"/>
        <v>-</v>
      </c>
    </row>
    <row r="515" spans="1:20">
      <c r="A515" s="269"/>
      <c r="B515" s="57"/>
      <c r="C515" s="55"/>
      <c r="D515" s="55"/>
      <c r="E515" s="55"/>
      <c r="F515" s="55"/>
      <c r="G515" s="274"/>
      <c r="H515" s="271"/>
      <c r="I515" s="213"/>
      <c r="J515" s="213"/>
      <c r="K515" s="212">
        <f t="shared" si="52"/>
        <v>0</v>
      </c>
      <c r="L515" s="272">
        <f t="shared" si="53"/>
        <v>1900</v>
      </c>
      <c r="M515" s="272">
        <f t="shared" si="54"/>
        <v>1</v>
      </c>
      <c r="N515" s="273"/>
      <c r="O515" s="61">
        <f t="shared" si="55"/>
        <v>1900</v>
      </c>
      <c r="P515" s="61">
        <f t="shared" si="56"/>
        <v>1</v>
      </c>
      <c r="R515" s="272"/>
      <c r="S515" s="272"/>
      <c r="T515" s="278" t="str">
        <f t="shared" si="57"/>
        <v>-</v>
      </c>
    </row>
    <row r="516" spans="1:20">
      <c r="A516" s="269"/>
      <c r="B516" s="57"/>
      <c r="C516" s="55"/>
      <c r="D516" s="55"/>
      <c r="E516" s="55"/>
      <c r="F516" s="55"/>
      <c r="G516" s="274"/>
      <c r="H516" s="271"/>
      <c r="I516" s="213"/>
      <c r="J516" s="213"/>
      <c r="K516" s="212">
        <f t="shared" si="52"/>
        <v>0</v>
      </c>
      <c r="L516" s="272">
        <f t="shared" si="53"/>
        <v>1900</v>
      </c>
      <c r="M516" s="272">
        <f t="shared" si="54"/>
        <v>1</v>
      </c>
      <c r="N516" s="273"/>
      <c r="O516" s="61">
        <f t="shared" si="55"/>
        <v>1900</v>
      </c>
      <c r="P516" s="61">
        <f t="shared" si="56"/>
        <v>1</v>
      </c>
      <c r="R516" s="272"/>
      <c r="S516" s="272"/>
      <c r="T516" s="278" t="str">
        <f t="shared" si="57"/>
        <v>-</v>
      </c>
    </row>
    <row r="517" spans="1:20">
      <c r="A517" s="269"/>
      <c r="B517" s="57"/>
      <c r="C517" s="55"/>
      <c r="D517" s="55"/>
      <c r="E517" s="55"/>
      <c r="F517" s="55"/>
      <c r="G517" s="274"/>
      <c r="H517" s="271"/>
      <c r="I517" s="213"/>
      <c r="J517" s="213"/>
      <c r="K517" s="212">
        <f t="shared" si="52"/>
        <v>0</v>
      </c>
      <c r="L517" s="272">
        <f t="shared" si="53"/>
        <v>1900</v>
      </c>
      <c r="M517" s="272">
        <f t="shared" si="54"/>
        <v>1</v>
      </c>
      <c r="N517" s="273"/>
      <c r="O517" s="61">
        <f t="shared" si="55"/>
        <v>1900</v>
      </c>
      <c r="P517" s="61">
        <f t="shared" si="56"/>
        <v>1</v>
      </c>
      <c r="R517" s="272"/>
      <c r="S517" s="272"/>
      <c r="T517" s="278" t="str">
        <f t="shared" si="57"/>
        <v>-</v>
      </c>
    </row>
    <row r="518" spans="1:20">
      <c r="A518" s="269"/>
      <c r="B518" s="57"/>
      <c r="C518" s="55"/>
      <c r="D518" s="55"/>
      <c r="E518" s="55"/>
      <c r="F518" s="55"/>
      <c r="G518" s="274"/>
      <c r="H518" s="271"/>
      <c r="I518" s="213"/>
      <c r="J518" s="213"/>
      <c r="K518" s="212">
        <f t="shared" si="52"/>
        <v>0</v>
      </c>
      <c r="L518" s="272">
        <f t="shared" si="53"/>
        <v>1900</v>
      </c>
      <c r="M518" s="272">
        <f t="shared" si="54"/>
        <v>1</v>
      </c>
      <c r="N518" s="273"/>
      <c r="O518" s="61">
        <f t="shared" si="55"/>
        <v>1900</v>
      </c>
      <c r="P518" s="61">
        <f t="shared" si="56"/>
        <v>1</v>
      </c>
      <c r="R518" s="272"/>
      <c r="S518" s="272"/>
      <c r="T518" s="278" t="str">
        <f t="shared" si="57"/>
        <v>-</v>
      </c>
    </row>
    <row r="519" spans="1:20">
      <c r="A519" s="269"/>
      <c r="B519" s="57"/>
      <c r="C519" s="55"/>
      <c r="D519" s="55"/>
      <c r="E519" s="55"/>
      <c r="F519" s="55"/>
      <c r="G519" s="274"/>
      <c r="H519" s="271"/>
      <c r="I519" s="213"/>
      <c r="J519" s="213"/>
      <c r="K519" s="212">
        <f t="shared" si="52"/>
        <v>0</v>
      </c>
      <c r="L519" s="272">
        <f t="shared" si="53"/>
        <v>1900</v>
      </c>
      <c r="M519" s="272">
        <f t="shared" si="54"/>
        <v>1</v>
      </c>
      <c r="N519" s="273"/>
      <c r="O519" s="61">
        <f t="shared" si="55"/>
        <v>1900</v>
      </c>
      <c r="P519" s="61">
        <f t="shared" si="56"/>
        <v>1</v>
      </c>
      <c r="R519" s="272"/>
      <c r="S519" s="272"/>
      <c r="T519" s="278" t="str">
        <f t="shared" si="57"/>
        <v>-</v>
      </c>
    </row>
    <row r="520" spans="1:20">
      <c r="A520" s="269"/>
      <c r="B520" s="57"/>
      <c r="C520" s="55"/>
      <c r="D520" s="55"/>
      <c r="E520" s="55"/>
      <c r="F520" s="55"/>
      <c r="G520" s="274"/>
      <c r="H520" s="271"/>
      <c r="I520" s="213"/>
      <c r="J520" s="213"/>
      <c r="K520" s="212">
        <f t="shared" si="52"/>
        <v>0</v>
      </c>
      <c r="L520" s="272">
        <f t="shared" si="53"/>
        <v>1900</v>
      </c>
      <c r="M520" s="272">
        <f t="shared" si="54"/>
        <v>1</v>
      </c>
      <c r="N520" s="273"/>
      <c r="O520" s="61">
        <f t="shared" si="55"/>
        <v>1900</v>
      </c>
      <c r="P520" s="61">
        <f t="shared" si="56"/>
        <v>1</v>
      </c>
      <c r="R520" s="272"/>
      <c r="S520" s="272"/>
      <c r="T520" s="278" t="str">
        <f t="shared" si="57"/>
        <v>-</v>
      </c>
    </row>
    <row r="521" spans="1:20">
      <c r="A521" s="269"/>
      <c r="B521" s="57"/>
      <c r="C521" s="55"/>
      <c r="D521" s="55"/>
      <c r="E521" s="55"/>
      <c r="F521" s="55"/>
      <c r="G521" s="274"/>
      <c r="H521" s="271"/>
      <c r="I521" s="213"/>
      <c r="J521" s="213"/>
      <c r="K521" s="212">
        <f t="shared" si="52"/>
        <v>0</v>
      </c>
      <c r="L521" s="272">
        <f t="shared" si="53"/>
        <v>1900</v>
      </c>
      <c r="M521" s="272">
        <f t="shared" si="54"/>
        <v>1</v>
      </c>
      <c r="N521" s="273"/>
      <c r="O521" s="61">
        <f t="shared" si="55"/>
        <v>1900</v>
      </c>
      <c r="P521" s="61">
        <f t="shared" si="56"/>
        <v>1</v>
      </c>
      <c r="R521" s="272"/>
      <c r="S521" s="272"/>
      <c r="T521" s="278" t="str">
        <f t="shared" si="57"/>
        <v>-</v>
      </c>
    </row>
    <row r="522" spans="1:20">
      <c r="A522" s="269"/>
      <c r="B522" s="57"/>
      <c r="C522" s="55"/>
      <c r="D522" s="55"/>
      <c r="E522" s="55"/>
      <c r="F522" s="55"/>
      <c r="G522" s="274"/>
      <c r="H522" s="271"/>
      <c r="I522" s="213"/>
      <c r="J522" s="213"/>
      <c r="K522" s="212">
        <f t="shared" si="52"/>
        <v>0</v>
      </c>
      <c r="L522" s="272">
        <f t="shared" si="53"/>
        <v>1900</v>
      </c>
      <c r="M522" s="272">
        <f t="shared" si="54"/>
        <v>1</v>
      </c>
      <c r="N522" s="273"/>
      <c r="O522" s="61">
        <f t="shared" si="55"/>
        <v>1900</v>
      </c>
      <c r="P522" s="61">
        <f t="shared" si="56"/>
        <v>1</v>
      </c>
      <c r="R522" s="272"/>
      <c r="S522" s="272"/>
      <c r="T522" s="278" t="str">
        <f t="shared" si="57"/>
        <v>-</v>
      </c>
    </row>
    <row r="523" spans="1:20">
      <c r="A523" s="269"/>
      <c r="B523" s="57"/>
      <c r="C523" s="55"/>
      <c r="D523" s="55"/>
      <c r="E523" s="55"/>
      <c r="F523" s="55"/>
      <c r="G523" s="274"/>
      <c r="H523" s="271"/>
      <c r="I523" s="213"/>
      <c r="J523" s="213"/>
      <c r="K523" s="212">
        <f t="shared" si="52"/>
        <v>0</v>
      </c>
      <c r="L523" s="272">
        <f t="shared" si="53"/>
        <v>1900</v>
      </c>
      <c r="M523" s="272">
        <f t="shared" si="54"/>
        <v>1</v>
      </c>
      <c r="N523" s="273"/>
      <c r="O523" s="61">
        <f t="shared" si="55"/>
        <v>1900</v>
      </c>
      <c r="P523" s="61">
        <f t="shared" si="56"/>
        <v>1</v>
      </c>
      <c r="R523" s="272"/>
      <c r="S523" s="272"/>
      <c r="T523" s="278" t="str">
        <f t="shared" si="57"/>
        <v>-</v>
      </c>
    </row>
    <row r="524" spans="1:20">
      <c r="A524" s="269"/>
      <c r="B524" s="57"/>
      <c r="C524" s="55"/>
      <c r="D524" s="55"/>
      <c r="E524" s="55"/>
      <c r="F524" s="55"/>
      <c r="G524" s="274"/>
      <c r="H524" s="271"/>
      <c r="I524" s="213"/>
      <c r="J524" s="213"/>
      <c r="K524" s="212">
        <f t="shared" si="52"/>
        <v>0</v>
      </c>
      <c r="L524" s="272">
        <f t="shared" si="53"/>
        <v>1900</v>
      </c>
      <c r="M524" s="272">
        <f t="shared" si="54"/>
        <v>1</v>
      </c>
      <c r="N524" s="273"/>
      <c r="O524" s="61">
        <f t="shared" si="55"/>
        <v>1900</v>
      </c>
      <c r="P524" s="61">
        <f t="shared" si="56"/>
        <v>1</v>
      </c>
      <c r="R524" s="272"/>
      <c r="S524" s="272"/>
      <c r="T524" s="278" t="str">
        <f t="shared" si="57"/>
        <v>-</v>
      </c>
    </row>
    <row r="525" spans="1:20">
      <c r="A525" s="269"/>
      <c r="B525" s="57"/>
      <c r="C525" s="55"/>
      <c r="D525" s="55"/>
      <c r="E525" s="55"/>
      <c r="F525" s="55"/>
      <c r="G525" s="274"/>
      <c r="H525" s="271"/>
      <c r="I525" s="213"/>
      <c r="J525" s="213"/>
      <c r="K525" s="212">
        <f t="shared" si="52"/>
        <v>0</v>
      </c>
      <c r="L525" s="272">
        <f t="shared" si="53"/>
        <v>1900</v>
      </c>
      <c r="M525" s="272">
        <f t="shared" si="54"/>
        <v>1</v>
      </c>
      <c r="N525" s="273"/>
      <c r="O525" s="61">
        <f t="shared" si="55"/>
        <v>1900</v>
      </c>
      <c r="P525" s="61">
        <f t="shared" si="56"/>
        <v>1</v>
      </c>
      <c r="R525" s="272"/>
      <c r="S525" s="272"/>
      <c r="T525" s="278" t="str">
        <f t="shared" si="57"/>
        <v>-</v>
      </c>
    </row>
    <row r="526" spans="1:20">
      <c r="A526" s="269"/>
      <c r="B526" s="57"/>
      <c r="C526" s="55"/>
      <c r="D526" s="55"/>
      <c r="E526" s="55"/>
      <c r="F526" s="55"/>
      <c r="G526" s="274"/>
      <c r="H526" s="271"/>
      <c r="I526" s="213"/>
      <c r="J526" s="213"/>
      <c r="K526" s="212">
        <f t="shared" si="52"/>
        <v>0</v>
      </c>
      <c r="L526" s="272">
        <f t="shared" si="53"/>
        <v>1900</v>
      </c>
      <c r="M526" s="272">
        <f t="shared" si="54"/>
        <v>1</v>
      </c>
      <c r="N526" s="273"/>
      <c r="O526" s="61">
        <f t="shared" si="55"/>
        <v>1900</v>
      </c>
      <c r="P526" s="61">
        <f t="shared" si="56"/>
        <v>1</v>
      </c>
      <c r="R526" s="272"/>
      <c r="S526" s="272"/>
      <c r="T526" s="278" t="str">
        <f t="shared" si="57"/>
        <v>-</v>
      </c>
    </row>
    <row r="527" spans="1:20">
      <c r="A527" s="269"/>
      <c r="B527" s="57"/>
      <c r="C527" s="55"/>
      <c r="D527" s="55"/>
      <c r="E527" s="55"/>
      <c r="F527" s="55"/>
      <c r="G527" s="274"/>
      <c r="H527" s="271"/>
      <c r="I527" s="213"/>
      <c r="J527" s="213"/>
      <c r="K527" s="212">
        <f t="shared" ref="K527:K590" si="58">I527+H527+J527</f>
        <v>0</v>
      </c>
      <c r="L527" s="272">
        <f t="shared" si="53"/>
        <v>1900</v>
      </c>
      <c r="M527" s="272">
        <f t="shared" si="54"/>
        <v>1</v>
      </c>
      <c r="N527" s="273"/>
      <c r="O527" s="61">
        <f t="shared" si="55"/>
        <v>1900</v>
      </c>
      <c r="P527" s="61">
        <f t="shared" si="56"/>
        <v>1</v>
      </c>
      <c r="R527" s="272"/>
      <c r="S527" s="272"/>
      <c r="T527" s="278" t="str">
        <f t="shared" si="57"/>
        <v>-</v>
      </c>
    </row>
    <row r="528" spans="1:20">
      <c r="A528" s="269"/>
      <c r="B528" s="57"/>
      <c r="C528" s="55"/>
      <c r="D528" s="55"/>
      <c r="E528" s="55"/>
      <c r="F528" s="55"/>
      <c r="G528" s="274"/>
      <c r="H528" s="271"/>
      <c r="I528" s="213"/>
      <c r="J528" s="213"/>
      <c r="K528" s="212">
        <f t="shared" si="58"/>
        <v>0</v>
      </c>
      <c r="L528" s="272">
        <f t="shared" ref="L528:L591" si="59">YEAR(B528)</f>
        <v>1900</v>
      </c>
      <c r="M528" s="272">
        <f t="shared" ref="M528:M591" si="60">MONTH(B528)</f>
        <v>1</v>
      </c>
      <c r="N528" s="273"/>
      <c r="O528" s="61">
        <f t="shared" ref="O528:O591" si="61">YEAR(B528)</f>
        <v>1900</v>
      </c>
      <c r="P528" s="61">
        <f t="shared" ref="P528:P591" si="62">MONTH(B528)</f>
        <v>1</v>
      </c>
      <c r="R528" s="272"/>
      <c r="S528" s="272"/>
      <c r="T528" s="278" t="str">
        <f t="shared" ref="T528:T591" si="63">IF($E528&gt;0,IF((R528+S528)=$E528,"OK","Error"),"-")</f>
        <v>-</v>
      </c>
    </row>
    <row r="529" spans="1:20">
      <c r="A529" s="269"/>
      <c r="B529" s="57"/>
      <c r="C529" s="55"/>
      <c r="D529" s="55"/>
      <c r="E529" s="55"/>
      <c r="F529" s="55"/>
      <c r="G529" s="274"/>
      <c r="H529" s="271"/>
      <c r="I529" s="213"/>
      <c r="J529" s="213"/>
      <c r="K529" s="212">
        <f t="shared" si="58"/>
        <v>0</v>
      </c>
      <c r="L529" s="272">
        <f t="shared" si="59"/>
        <v>1900</v>
      </c>
      <c r="M529" s="272">
        <f t="shared" si="60"/>
        <v>1</v>
      </c>
      <c r="N529" s="273"/>
      <c r="O529" s="61">
        <f t="shared" si="61"/>
        <v>1900</v>
      </c>
      <c r="P529" s="61">
        <f t="shared" si="62"/>
        <v>1</v>
      </c>
      <c r="R529" s="272"/>
      <c r="S529" s="272"/>
      <c r="T529" s="278" t="str">
        <f t="shared" si="63"/>
        <v>-</v>
      </c>
    </row>
    <row r="530" spans="1:20">
      <c r="A530" s="269"/>
      <c r="B530" s="57"/>
      <c r="C530" s="55"/>
      <c r="D530" s="55"/>
      <c r="E530" s="55"/>
      <c r="F530" s="55"/>
      <c r="G530" s="274"/>
      <c r="H530" s="271"/>
      <c r="I530" s="213"/>
      <c r="J530" s="213"/>
      <c r="K530" s="212">
        <f t="shared" si="58"/>
        <v>0</v>
      </c>
      <c r="L530" s="272">
        <f t="shared" si="59"/>
        <v>1900</v>
      </c>
      <c r="M530" s="272">
        <f t="shared" si="60"/>
        <v>1</v>
      </c>
      <c r="N530" s="273"/>
      <c r="O530" s="61">
        <f t="shared" si="61"/>
        <v>1900</v>
      </c>
      <c r="P530" s="61">
        <f t="shared" si="62"/>
        <v>1</v>
      </c>
      <c r="R530" s="272"/>
      <c r="S530" s="272"/>
      <c r="T530" s="278" t="str">
        <f t="shared" si="63"/>
        <v>-</v>
      </c>
    </row>
    <row r="531" spans="1:20">
      <c r="A531" s="269"/>
      <c r="B531" s="57"/>
      <c r="C531" s="55"/>
      <c r="D531" s="55"/>
      <c r="E531" s="55"/>
      <c r="F531" s="55"/>
      <c r="G531" s="274"/>
      <c r="H531" s="271"/>
      <c r="I531" s="213"/>
      <c r="J531" s="213"/>
      <c r="K531" s="212">
        <f t="shared" si="58"/>
        <v>0</v>
      </c>
      <c r="L531" s="272">
        <f t="shared" si="59"/>
        <v>1900</v>
      </c>
      <c r="M531" s="272">
        <f t="shared" si="60"/>
        <v>1</v>
      </c>
      <c r="N531" s="273"/>
      <c r="O531" s="61">
        <f t="shared" si="61"/>
        <v>1900</v>
      </c>
      <c r="P531" s="61">
        <f t="shared" si="62"/>
        <v>1</v>
      </c>
      <c r="R531" s="272"/>
      <c r="S531" s="272"/>
      <c r="T531" s="278" t="str">
        <f t="shared" si="63"/>
        <v>-</v>
      </c>
    </row>
    <row r="532" spans="1:20">
      <c r="A532" s="269"/>
      <c r="B532" s="57"/>
      <c r="C532" s="55"/>
      <c r="D532" s="55"/>
      <c r="E532" s="55"/>
      <c r="F532" s="55"/>
      <c r="G532" s="274"/>
      <c r="H532" s="271"/>
      <c r="I532" s="213"/>
      <c r="J532" s="213"/>
      <c r="K532" s="212">
        <f t="shared" si="58"/>
        <v>0</v>
      </c>
      <c r="L532" s="272">
        <f t="shared" si="59"/>
        <v>1900</v>
      </c>
      <c r="M532" s="272">
        <f t="shared" si="60"/>
        <v>1</v>
      </c>
      <c r="N532" s="273"/>
      <c r="O532" s="61">
        <f t="shared" si="61"/>
        <v>1900</v>
      </c>
      <c r="P532" s="61">
        <f t="shared" si="62"/>
        <v>1</v>
      </c>
      <c r="R532" s="272"/>
      <c r="S532" s="272"/>
      <c r="T532" s="278" t="str">
        <f t="shared" si="63"/>
        <v>-</v>
      </c>
    </row>
    <row r="533" spans="1:20">
      <c r="A533" s="269"/>
      <c r="B533" s="57"/>
      <c r="C533" s="55"/>
      <c r="D533" s="55"/>
      <c r="E533" s="55"/>
      <c r="F533" s="55"/>
      <c r="G533" s="274"/>
      <c r="H533" s="271"/>
      <c r="I533" s="213"/>
      <c r="J533" s="213"/>
      <c r="K533" s="212">
        <f t="shared" si="58"/>
        <v>0</v>
      </c>
      <c r="L533" s="272">
        <f t="shared" si="59"/>
        <v>1900</v>
      </c>
      <c r="M533" s="272">
        <f t="shared" si="60"/>
        <v>1</v>
      </c>
      <c r="N533" s="273"/>
      <c r="O533" s="61">
        <f t="shared" si="61"/>
        <v>1900</v>
      </c>
      <c r="P533" s="61">
        <f t="shared" si="62"/>
        <v>1</v>
      </c>
      <c r="R533" s="272"/>
      <c r="S533" s="272"/>
      <c r="T533" s="278" t="str">
        <f t="shared" si="63"/>
        <v>-</v>
      </c>
    </row>
    <row r="534" spans="1:20">
      <c r="A534" s="269"/>
      <c r="B534" s="57"/>
      <c r="C534" s="55"/>
      <c r="D534" s="55"/>
      <c r="E534" s="55"/>
      <c r="F534" s="55"/>
      <c r="G534" s="274"/>
      <c r="H534" s="271"/>
      <c r="I534" s="213"/>
      <c r="J534" s="213"/>
      <c r="K534" s="212">
        <f t="shared" si="58"/>
        <v>0</v>
      </c>
      <c r="L534" s="272">
        <f t="shared" si="59"/>
        <v>1900</v>
      </c>
      <c r="M534" s="272">
        <f t="shared" si="60"/>
        <v>1</v>
      </c>
      <c r="N534" s="273"/>
      <c r="O534" s="61">
        <f t="shared" si="61"/>
        <v>1900</v>
      </c>
      <c r="P534" s="61">
        <f t="shared" si="62"/>
        <v>1</v>
      </c>
      <c r="R534" s="272"/>
      <c r="S534" s="272"/>
      <c r="T534" s="278" t="str">
        <f t="shared" si="63"/>
        <v>-</v>
      </c>
    </row>
    <row r="535" spans="1:20">
      <c r="A535" s="269"/>
      <c r="B535" s="57"/>
      <c r="C535" s="55"/>
      <c r="D535" s="55"/>
      <c r="E535" s="55"/>
      <c r="F535" s="55"/>
      <c r="G535" s="274"/>
      <c r="H535" s="271"/>
      <c r="I535" s="213"/>
      <c r="J535" s="213"/>
      <c r="K535" s="212">
        <f t="shared" si="58"/>
        <v>0</v>
      </c>
      <c r="L535" s="272">
        <f t="shared" si="59"/>
        <v>1900</v>
      </c>
      <c r="M535" s="272">
        <f t="shared" si="60"/>
        <v>1</v>
      </c>
      <c r="N535" s="273"/>
      <c r="O535" s="61">
        <f t="shared" si="61"/>
        <v>1900</v>
      </c>
      <c r="P535" s="61">
        <f t="shared" si="62"/>
        <v>1</v>
      </c>
      <c r="R535" s="272"/>
      <c r="S535" s="272"/>
      <c r="T535" s="278" t="str">
        <f t="shared" si="63"/>
        <v>-</v>
      </c>
    </row>
    <row r="536" spans="1:20">
      <c r="A536" s="269"/>
      <c r="B536" s="57"/>
      <c r="C536" s="55"/>
      <c r="D536" s="55"/>
      <c r="E536" s="55"/>
      <c r="F536" s="55"/>
      <c r="G536" s="274"/>
      <c r="H536" s="271"/>
      <c r="I536" s="213"/>
      <c r="J536" s="213"/>
      <c r="K536" s="212">
        <f t="shared" si="58"/>
        <v>0</v>
      </c>
      <c r="L536" s="272">
        <f t="shared" si="59"/>
        <v>1900</v>
      </c>
      <c r="M536" s="272">
        <f t="shared" si="60"/>
        <v>1</v>
      </c>
      <c r="N536" s="273"/>
      <c r="O536" s="61">
        <f t="shared" si="61"/>
        <v>1900</v>
      </c>
      <c r="P536" s="61">
        <f t="shared" si="62"/>
        <v>1</v>
      </c>
      <c r="R536" s="272"/>
      <c r="S536" s="272"/>
      <c r="T536" s="278" t="str">
        <f t="shared" si="63"/>
        <v>-</v>
      </c>
    </row>
    <row r="537" spans="1:20">
      <c r="A537" s="269"/>
      <c r="B537" s="57"/>
      <c r="C537" s="55"/>
      <c r="D537" s="55"/>
      <c r="E537" s="55"/>
      <c r="F537" s="55"/>
      <c r="G537" s="274"/>
      <c r="H537" s="271"/>
      <c r="I537" s="213"/>
      <c r="J537" s="213"/>
      <c r="K537" s="212">
        <f t="shared" si="58"/>
        <v>0</v>
      </c>
      <c r="L537" s="272">
        <f t="shared" si="59"/>
        <v>1900</v>
      </c>
      <c r="M537" s="272">
        <f t="shared" si="60"/>
        <v>1</v>
      </c>
      <c r="N537" s="273"/>
      <c r="O537" s="61">
        <f t="shared" si="61"/>
        <v>1900</v>
      </c>
      <c r="P537" s="61">
        <f t="shared" si="62"/>
        <v>1</v>
      </c>
      <c r="R537" s="272"/>
      <c r="S537" s="272"/>
      <c r="T537" s="278" t="str">
        <f t="shared" si="63"/>
        <v>-</v>
      </c>
    </row>
    <row r="538" spans="1:20">
      <c r="A538" s="269"/>
      <c r="B538" s="57"/>
      <c r="C538" s="55"/>
      <c r="D538" s="55"/>
      <c r="E538" s="55"/>
      <c r="F538" s="55"/>
      <c r="G538" s="274"/>
      <c r="H538" s="271"/>
      <c r="I538" s="213"/>
      <c r="J538" s="213"/>
      <c r="K538" s="212">
        <f t="shared" si="58"/>
        <v>0</v>
      </c>
      <c r="L538" s="272">
        <f t="shared" si="59"/>
        <v>1900</v>
      </c>
      <c r="M538" s="272">
        <f t="shared" si="60"/>
        <v>1</v>
      </c>
      <c r="N538" s="273"/>
      <c r="O538" s="61">
        <f t="shared" si="61"/>
        <v>1900</v>
      </c>
      <c r="P538" s="61">
        <f t="shared" si="62"/>
        <v>1</v>
      </c>
      <c r="R538" s="272"/>
      <c r="S538" s="272"/>
      <c r="T538" s="278" t="str">
        <f t="shared" si="63"/>
        <v>-</v>
      </c>
    </row>
    <row r="539" spans="1:20">
      <c r="A539" s="269"/>
      <c r="B539" s="57"/>
      <c r="C539" s="55"/>
      <c r="D539" s="55"/>
      <c r="E539" s="55"/>
      <c r="F539" s="55"/>
      <c r="G539" s="274"/>
      <c r="H539" s="271"/>
      <c r="I539" s="213"/>
      <c r="J539" s="213"/>
      <c r="K539" s="212">
        <f t="shared" si="58"/>
        <v>0</v>
      </c>
      <c r="L539" s="272">
        <f t="shared" si="59"/>
        <v>1900</v>
      </c>
      <c r="M539" s="272">
        <f t="shared" si="60"/>
        <v>1</v>
      </c>
      <c r="N539" s="273"/>
      <c r="O539" s="61">
        <f t="shared" si="61"/>
        <v>1900</v>
      </c>
      <c r="P539" s="61">
        <f t="shared" si="62"/>
        <v>1</v>
      </c>
      <c r="R539" s="272"/>
      <c r="S539" s="272"/>
      <c r="T539" s="278" t="str">
        <f t="shared" si="63"/>
        <v>-</v>
      </c>
    </row>
    <row r="540" spans="1:20">
      <c r="A540" s="269"/>
      <c r="B540" s="57"/>
      <c r="C540" s="55"/>
      <c r="D540" s="55"/>
      <c r="E540" s="55"/>
      <c r="F540" s="55"/>
      <c r="G540" s="274"/>
      <c r="H540" s="271"/>
      <c r="I540" s="213"/>
      <c r="J540" s="213"/>
      <c r="K540" s="212">
        <f t="shared" si="58"/>
        <v>0</v>
      </c>
      <c r="L540" s="272">
        <f t="shared" si="59"/>
        <v>1900</v>
      </c>
      <c r="M540" s="272">
        <f t="shared" si="60"/>
        <v>1</v>
      </c>
      <c r="N540" s="273"/>
      <c r="O540" s="61">
        <f t="shared" si="61"/>
        <v>1900</v>
      </c>
      <c r="P540" s="61">
        <f t="shared" si="62"/>
        <v>1</v>
      </c>
      <c r="R540" s="272"/>
      <c r="S540" s="272"/>
      <c r="T540" s="278" t="str">
        <f t="shared" si="63"/>
        <v>-</v>
      </c>
    </row>
    <row r="541" spans="1:20">
      <c r="A541" s="269"/>
      <c r="B541" s="57"/>
      <c r="C541" s="55"/>
      <c r="D541" s="55"/>
      <c r="E541" s="55"/>
      <c r="F541" s="55"/>
      <c r="G541" s="274"/>
      <c r="H541" s="271"/>
      <c r="I541" s="213"/>
      <c r="J541" s="213"/>
      <c r="K541" s="212">
        <f t="shared" si="58"/>
        <v>0</v>
      </c>
      <c r="L541" s="272">
        <f t="shared" si="59"/>
        <v>1900</v>
      </c>
      <c r="M541" s="272">
        <f t="shared" si="60"/>
        <v>1</v>
      </c>
      <c r="N541" s="273"/>
      <c r="O541" s="61">
        <f t="shared" si="61"/>
        <v>1900</v>
      </c>
      <c r="P541" s="61">
        <f t="shared" si="62"/>
        <v>1</v>
      </c>
      <c r="R541" s="272"/>
      <c r="S541" s="272"/>
      <c r="T541" s="278" t="str">
        <f t="shared" si="63"/>
        <v>-</v>
      </c>
    </row>
    <row r="542" spans="1:20">
      <c r="A542" s="269"/>
      <c r="B542" s="57"/>
      <c r="C542" s="55"/>
      <c r="D542" s="55"/>
      <c r="E542" s="55"/>
      <c r="F542" s="55"/>
      <c r="G542" s="274"/>
      <c r="H542" s="271"/>
      <c r="I542" s="213"/>
      <c r="J542" s="213"/>
      <c r="K542" s="212">
        <f t="shared" si="58"/>
        <v>0</v>
      </c>
      <c r="L542" s="272">
        <f t="shared" si="59"/>
        <v>1900</v>
      </c>
      <c r="M542" s="272">
        <f t="shared" si="60"/>
        <v>1</v>
      </c>
      <c r="N542" s="273"/>
      <c r="O542" s="61">
        <f t="shared" si="61"/>
        <v>1900</v>
      </c>
      <c r="P542" s="61">
        <f t="shared" si="62"/>
        <v>1</v>
      </c>
      <c r="R542" s="272"/>
      <c r="S542" s="272"/>
      <c r="T542" s="278" t="str">
        <f t="shared" si="63"/>
        <v>-</v>
      </c>
    </row>
    <row r="543" spans="1:20">
      <c r="A543" s="269"/>
      <c r="B543" s="57"/>
      <c r="C543" s="55"/>
      <c r="D543" s="55"/>
      <c r="E543" s="55"/>
      <c r="F543" s="55"/>
      <c r="G543" s="274"/>
      <c r="H543" s="271"/>
      <c r="I543" s="213"/>
      <c r="J543" s="213"/>
      <c r="K543" s="212">
        <f t="shared" si="58"/>
        <v>0</v>
      </c>
      <c r="L543" s="272">
        <f t="shared" si="59"/>
        <v>1900</v>
      </c>
      <c r="M543" s="272">
        <f t="shared" si="60"/>
        <v>1</v>
      </c>
      <c r="N543" s="273"/>
      <c r="O543" s="61">
        <f t="shared" si="61"/>
        <v>1900</v>
      </c>
      <c r="P543" s="61">
        <f t="shared" si="62"/>
        <v>1</v>
      </c>
      <c r="R543" s="272"/>
      <c r="S543" s="272"/>
      <c r="T543" s="278" t="str">
        <f t="shared" si="63"/>
        <v>-</v>
      </c>
    </row>
    <row r="544" spans="1:20">
      <c r="A544" s="269"/>
      <c r="B544" s="57"/>
      <c r="C544" s="55"/>
      <c r="D544" s="55"/>
      <c r="E544" s="55"/>
      <c r="F544" s="55"/>
      <c r="G544" s="274"/>
      <c r="H544" s="271"/>
      <c r="I544" s="213"/>
      <c r="J544" s="213"/>
      <c r="K544" s="212">
        <f t="shared" si="58"/>
        <v>0</v>
      </c>
      <c r="L544" s="272">
        <f t="shared" si="59"/>
        <v>1900</v>
      </c>
      <c r="M544" s="272">
        <f t="shared" si="60"/>
        <v>1</v>
      </c>
      <c r="N544" s="273"/>
      <c r="O544" s="61">
        <f t="shared" si="61"/>
        <v>1900</v>
      </c>
      <c r="P544" s="61">
        <f t="shared" si="62"/>
        <v>1</v>
      </c>
      <c r="R544" s="272"/>
      <c r="S544" s="272"/>
      <c r="T544" s="278" t="str">
        <f t="shared" si="63"/>
        <v>-</v>
      </c>
    </row>
    <row r="545" spans="1:20">
      <c r="A545" s="269"/>
      <c r="B545" s="57"/>
      <c r="C545" s="55"/>
      <c r="D545" s="55"/>
      <c r="E545" s="55"/>
      <c r="F545" s="55"/>
      <c r="G545" s="274"/>
      <c r="H545" s="271"/>
      <c r="I545" s="213"/>
      <c r="J545" s="213"/>
      <c r="K545" s="212">
        <f t="shared" si="58"/>
        <v>0</v>
      </c>
      <c r="L545" s="272">
        <f t="shared" si="59"/>
        <v>1900</v>
      </c>
      <c r="M545" s="272">
        <f t="shared" si="60"/>
        <v>1</v>
      </c>
      <c r="N545" s="273"/>
      <c r="O545" s="61">
        <f t="shared" si="61"/>
        <v>1900</v>
      </c>
      <c r="P545" s="61">
        <f t="shared" si="62"/>
        <v>1</v>
      </c>
      <c r="R545" s="272"/>
      <c r="S545" s="272"/>
      <c r="T545" s="278" t="str">
        <f t="shared" si="63"/>
        <v>-</v>
      </c>
    </row>
    <row r="546" spans="1:20">
      <c r="A546" s="269"/>
      <c r="B546" s="57"/>
      <c r="C546" s="55"/>
      <c r="D546" s="55"/>
      <c r="E546" s="55"/>
      <c r="F546" s="55"/>
      <c r="G546" s="274"/>
      <c r="H546" s="271"/>
      <c r="I546" s="213"/>
      <c r="J546" s="213"/>
      <c r="K546" s="212">
        <f t="shared" si="58"/>
        <v>0</v>
      </c>
      <c r="L546" s="272">
        <f t="shared" si="59"/>
        <v>1900</v>
      </c>
      <c r="M546" s="272">
        <f t="shared" si="60"/>
        <v>1</v>
      </c>
      <c r="N546" s="273"/>
      <c r="O546" s="61">
        <f t="shared" si="61"/>
        <v>1900</v>
      </c>
      <c r="P546" s="61">
        <f t="shared" si="62"/>
        <v>1</v>
      </c>
      <c r="R546" s="272"/>
      <c r="S546" s="272"/>
      <c r="T546" s="278" t="str">
        <f t="shared" si="63"/>
        <v>-</v>
      </c>
    </row>
    <row r="547" spans="1:20">
      <c r="A547" s="269"/>
      <c r="B547" s="57"/>
      <c r="C547" s="55"/>
      <c r="D547" s="55"/>
      <c r="E547" s="55"/>
      <c r="F547" s="55"/>
      <c r="G547" s="274"/>
      <c r="H547" s="271"/>
      <c r="I547" s="213"/>
      <c r="J547" s="213"/>
      <c r="K547" s="212">
        <f t="shared" si="58"/>
        <v>0</v>
      </c>
      <c r="L547" s="272">
        <f t="shared" si="59"/>
        <v>1900</v>
      </c>
      <c r="M547" s="272">
        <f t="shared" si="60"/>
        <v>1</v>
      </c>
      <c r="N547" s="273"/>
      <c r="O547" s="61">
        <f t="shared" si="61"/>
        <v>1900</v>
      </c>
      <c r="P547" s="61">
        <f t="shared" si="62"/>
        <v>1</v>
      </c>
      <c r="R547" s="272"/>
      <c r="S547" s="272"/>
      <c r="T547" s="278" t="str">
        <f t="shared" si="63"/>
        <v>-</v>
      </c>
    </row>
    <row r="548" spans="1:20">
      <c r="A548" s="269"/>
      <c r="B548" s="57"/>
      <c r="C548" s="55"/>
      <c r="D548" s="55"/>
      <c r="E548" s="55"/>
      <c r="F548" s="55"/>
      <c r="G548" s="274"/>
      <c r="H548" s="271"/>
      <c r="I548" s="213"/>
      <c r="J548" s="213"/>
      <c r="K548" s="212">
        <f t="shared" si="58"/>
        <v>0</v>
      </c>
      <c r="L548" s="272">
        <f t="shared" si="59"/>
        <v>1900</v>
      </c>
      <c r="M548" s="272">
        <f t="shared" si="60"/>
        <v>1</v>
      </c>
      <c r="N548" s="273"/>
      <c r="O548" s="61">
        <f t="shared" si="61"/>
        <v>1900</v>
      </c>
      <c r="P548" s="61">
        <f t="shared" si="62"/>
        <v>1</v>
      </c>
      <c r="R548" s="272"/>
      <c r="S548" s="272"/>
      <c r="T548" s="278" t="str">
        <f t="shared" si="63"/>
        <v>-</v>
      </c>
    </row>
    <row r="549" spans="1:20">
      <c r="A549" s="269"/>
      <c r="B549" s="57"/>
      <c r="C549" s="55"/>
      <c r="D549" s="55"/>
      <c r="E549" s="55"/>
      <c r="F549" s="55"/>
      <c r="G549" s="274"/>
      <c r="H549" s="271"/>
      <c r="I549" s="213"/>
      <c r="J549" s="213"/>
      <c r="K549" s="212">
        <f t="shared" si="58"/>
        <v>0</v>
      </c>
      <c r="L549" s="272">
        <f t="shared" si="59"/>
        <v>1900</v>
      </c>
      <c r="M549" s="272">
        <f t="shared" si="60"/>
        <v>1</v>
      </c>
      <c r="N549" s="273"/>
      <c r="O549" s="61">
        <f t="shared" si="61"/>
        <v>1900</v>
      </c>
      <c r="P549" s="61">
        <f t="shared" si="62"/>
        <v>1</v>
      </c>
      <c r="R549" s="272"/>
      <c r="S549" s="272"/>
      <c r="T549" s="278" t="str">
        <f t="shared" si="63"/>
        <v>-</v>
      </c>
    </row>
    <row r="550" spans="1:20">
      <c r="A550" s="269"/>
      <c r="B550" s="57"/>
      <c r="C550" s="55"/>
      <c r="D550" s="55"/>
      <c r="E550" s="55"/>
      <c r="F550" s="55"/>
      <c r="G550" s="274"/>
      <c r="H550" s="271"/>
      <c r="I550" s="213"/>
      <c r="J550" s="213"/>
      <c r="K550" s="212">
        <f t="shared" si="58"/>
        <v>0</v>
      </c>
      <c r="L550" s="272">
        <f t="shared" si="59"/>
        <v>1900</v>
      </c>
      <c r="M550" s="272">
        <f t="shared" si="60"/>
        <v>1</v>
      </c>
      <c r="N550" s="273"/>
      <c r="O550" s="61">
        <f t="shared" si="61"/>
        <v>1900</v>
      </c>
      <c r="P550" s="61">
        <f t="shared" si="62"/>
        <v>1</v>
      </c>
      <c r="R550" s="272"/>
      <c r="S550" s="272"/>
      <c r="T550" s="278" t="str">
        <f t="shared" si="63"/>
        <v>-</v>
      </c>
    </row>
    <row r="551" spans="1:20">
      <c r="A551" s="269"/>
      <c r="B551" s="57"/>
      <c r="C551" s="55"/>
      <c r="D551" s="55"/>
      <c r="E551" s="55"/>
      <c r="F551" s="55"/>
      <c r="G551" s="274"/>
      <c r="H551" s="271"/>
      <c r="I551" s="213"/>
      <c r="J551" s="213"/>
      <c r="K551" s="212">
        <f t="shared" si="58"/>
        <v>0</v>
      </c>
      <c r="L551" s="272">
        <f t="shared" si="59"/>
        <v>1900</v>
      </c>
      <c r="M551" s="272">
        <f t="shared" si="60"/>
        <v>1</v>
      </c>
      <c r="N551" s="273"/>
      <c r="O551" s="61">
        <f t="shared" si="61"/>
        <v>1900</v>
      </c>
      <c r="P551" s="61">
        <f t="shared" si="62"/>
        <v>1</v>
      </c>
      <c r="R551" s="272"/>
      <c r="S551" s="272"/>
      <c r="T551" s="278" t="str">
        <f t="shared" si="63"/>
        <v>-</v>
      </c>
    </row>
    <row r="552" spans="1:20">
      <c r="A552" s="269"/>
      <c r="B552" s="57"/>
      <c r="C552" s="55"/>
      <c r="D552" s="55"/>
      <c r="E552" s="55"/>
      <c r="F552" s="55"/>
      <c r="G552" s="274"/>
      <c r="H552" s="271"/>
      <c r="I552" s="213"/>
      <c r="J552" s="213"/>
      <c r="K552" s="212">
        <f t="shared" si="58"/>
        <v>0</v>
      </c>
      <c r="L552" s="272">
        <f t="shared" si="59"/>
        <v>1900</v>
      </c>
      <c r="M552" s="272">
        <f t="shared" si="60"/>
        <v>1</v>
      </c>
      <c r="N552" s="273"/>
      <c r="O552" s="61">
        <f t="shared" si="61"/>
        <v>1900</v>
      </c>
      <c r="P552" s="61">
        <f t="shared" si="62"/>
        <v>1</v>
      </c>
      <c r="R552" s="272"/>
      <c r="S552" s="272"/>
      <c r="T552" s="278" t="str">
        <f t="shared" si="63"/>
        <v>-</v>
      </c>
    </row>
    <row r="553" spans="1:20">
      <c r="A553" s="269"/>
      <c r="B553" s="57"/>
      <c r="C553" s="55"/>
      <c r="D553" s="55"/>
      <c r="E553" s="55"/>
      <c r="F553" s="55"/>
      <c r="G553" s="274"/>
      <c r="H553" s="271"/>
      <c r="I553" s="213"/>
      <c r="J553" s="213"/>
      <c r="K553" s="212">
        <f t="shared" si="58"/>
        <v>0</v>
      </c>
      <c r="L553" s="272">
        <f t="shared" si="59"/>
        <v>1900</v>
      </c>
      <c r="M553" s="272">
        <f t="shared" si="60"/>
        <v>1</v>
      </c>
      <c r="N553" s="273"/>
      <c r="O553" s="61">
        <f t="shared" si="61"/>
        <v>1900</v>
      </c>
      <c r="P553" s="61">
        <f t="shared" si="62"/>
        <v>1</v>
      </c>
      <c r="R553" s="272"/>
      <c r="S553" s="272"/>
      <c r="T553" s="278" t="str">
        <f t="shared" si="63"/>
        <v>-</v>
      </c>
    </row>
    <row r="554" spans="1:20">
      <c r="A554" s="269"/>
      <c r="B554" s="57"/>
      <c r="C554" s="55"/>
      <c r="D554" s="55"/>
      <c r="E554" s="55"/>
      <c r="F554" s="55"/>
      <c r="G554" s="274"/>
      <c r="H554" s="271"/>
      <c r="I554" s="213"/>
      <c r="J554" s="213"/>
      <c r="K554" s="212">
        <f t="shared" si="58"/>
        <v>0</v>
      </c>
      <c r="L554" s="272">
        <f t="shared" si="59"/>
        <v>1900</v>
      </c>
      <c r="M554" s="272">
        <f t="shared" si="60"/>
        <v>1</v>
      </c>
      <c r="N554" s="273"/>
      <c r="O554" s="61">
        <f t="shared" si="61"/>
        <v>1900</v>
      </c>
      <c r="P554" s="61">
        <f t="shared" si="62"/>
        <v>1</v>
      </c>
      <c r="R554" s="272"/>
      <c r="S554" s="272"/>
      <c r="T554" s="278" t="str">
        <f t="shared" si="63"/>
        <v>-</v>
      </c>
    </row>
    <row r="555" spans="1:20">
      <c r="A555" s="269"/>
      <c r="B555" s="57"/>
      <c r="C555" s="55"/>
      <c r="D555" s="55"/>
      <c r="E555" s="55"/>
      <c r="F555" s="55"/>
      <c r="G555" s="274"/>
      <c r="H555" s="271"/>
      <c r="I555" s="213"/>
      <c r="J555" s="213"/>
      <c r="K555" s="212">
        <f t="shared" si="58"/>
        <v>0</v>
      </c>
      <c r="L555" s="272">
        <f t="shared" si="59"/>
        <v>1900</v>
      </c>
      <c r="M555" s="272">
        <f t="shared" si="60"/>
        <v>1</v>
      </c>
      <c r="N555" s="273"/>
      <c r="O555" s="61">
        <f t="shared" si="61"/>
        <v>1900</v>
      </c>
      <c r="P555" s="61">
        <f t="shared" si="62"/>
        <v>1</v>
      </c>
      <c r="R555" s="272"/>
      <c r="S555" s="272"/>
      <c r="T555" s="278" t="str">
        <f t="shared" si="63"/>
        <v>-</v>
      </c>
    </row>
    <row r="556" spans="1:20">
      <c r="A556" s="269"/>
      <c r="B556" s="57"/>
      <c r="C556" s="55"/>
      <c r="D556" s="55"/>
      <c r="E556" s="55"/>
      <c r="F556" s="55"/>
      <c r="G556" s="274"/>
      <c r="H556" s="271"/>
      <c r="I556" s="213"/>
      <c r="J556" s="213"/>
      <c r="K556" s="212">
        <f t="shared" si="58"/>
        <v>0</v>
      </c>
      <c r="L556" s="272">
        <f t="shared" si="59"/>
        <v>1900</v>
      </c>
      <c r="M556" s="272">
        <f t="shared" si="60"/>
        <v>1</v>
      </c>
      <c r="N556" s="273"/>
      <c r="O556" s="61">
        <f t="shared" si="61"/>
        <v>1900</v>
      </c>
      <c r="P556" s="61">
        <f t="shared" si="62"/>
        <v>1</v>
      </c>
      <c r="R556" s="272"/>
      <c r="S556" s="272"/>
      <c r="T556" s="278" t="str">
        <f t="shared" si="63"/>
        <v>-</v>
      </c>
    </row>
    <row r="557" spans="1:20">
      <c r="A557" s="269"/>
      <c r="B557" s="57"/>
      <c r="C557" s="55"/>
      <c r="D557" s="55"/>
      <c r="E557" s="55"/>
      <c r="F557" s="55"/>
      <c r="G557" s="274"/>
      <c r="H557" s="271"/>
      <c r="I557" s="213"/>
      <c r="J557" s="213"/>
      <c r="K557" s="212">
        <f t="shared" si="58"/>
        <v>0</v>
      </c>
      <c r="L557" s="272">
        <f t="shared" si="59"/>
        <v>1900</v>
      </c>
      <c r="M557" s="272">
        <f t="shared" si="60"/>
        <v>1</v>
      </c>
      <c r="N557" s="273"/>
      <c r="O557" s="61">
        <f t="shared" si="61"/>
        <v>1900</v>
      </c>
      <c r="P557" s="61">
        <f t="shared" si="62"/>
        <v>1</v>
      </c>
      <c r="R557" s="272"/>
      <c r="S557" s="272"/>
      <c r="T557" s="278" t="str">
        <f t="shared" si="63"/>
        <v>-</v>
      </c>
    </row>
    <row r="558" spans="1:20">
      <c r="A558" s="269"/>
      <c r="B558" s="57"/>
      <c r="C558" s="55"/>
      <c r="D558" s="55"/>
      <c r="E558" s="55"/>
      <c r="F558" s="55"/>
      <c r="G558" s="274"/>
      <c r="H558" s="271"/>
      <c r="I558" s="213"/>
      <c r="J558" s="213"/>
      <c r="K558" s="212">
        <f t="shared" si="58"/>
        <v>0</v>
      </c>
      <c r="L558" s="272">
        <f t="shared" si="59"/>
        <v>1900</v>
      </c>
      <c r="M558" s="272">
        <f t="shared" si="60"/>
        <v>1</v>
      </c>
      <c r="N558" s="273"/>
      <c r="O558" s="61">
        <f t="shared" si="61"/>
        <v>1900</v>
      </c>
      <c r="P558" s="61">
        <f t="shared" si="62"/>
        <v>1</v>
      </c>
      <c r="R558" s="272"/>
      <c r="S558" s="272"/>
      <c r="T558" s="278" t="str">
        <f t="shared" si="63"/>
        <v>-</v>
      </c>
    </row>
    <row r="559" spans="1:20">
      <c r="A559" s="269"/>
      <c r="B559" s="57"/>
      <c r="C559" s="55"/>
      <c r="D559" s="55"/>
      <c r="E559" s="55"/>
      <c r="F559" s="55"/>
      <c r="G559" s="274"/>
      <c r="H559" s="271"/>
      <c r="I559" s="213"/>
      <c r="J559" s="213"/>
      <c r="K559" s="212">
        <f t="shared" si="58"/>
        <v>0</v>
      </c>
      <c r="L559" s="272">
        <f t="shared" si="59"/>
        <v>1900</v>
      </c>
      <c r="M559" s="272">
        <f t="shared" si="60"/>
        <v>1</v>
      </c>
      <c r="N559" s="273"/>
      <c r="O559" s="61">
        <f t="shared" si="61"/>
        <v>1900</v>
      </c>
      <c r="P559" s="61">
        <f t="shared" si="62"/>
        <v>1</v>
      </c>
      <c r="R559" s="272"/>
      <c r="S559" s="272"/>
      <c r="T559" s="278" t="str">
        <f t="shared" si="63"/>
        <v>-</v>
      </c>
    </row>
    <row r="560" spans="1:20">
      <c r="A560" s="269"/>
      <c r="B560" s="57"/>
      <c r="C560" s="55"/>
      <c r="D560" s="55"/>
      <c r="E560" s="55"/>
      <c r="F560" s="55"/>
      <c r="G560" s="274"/>
      <c r="H560" s="271"/>
      <c r="I560" s="213"/>
      <c r="J560" s="213"/>
      <c r="K560" s="212">
        <f t="shared" si="58"/>
        <v>0</v>
      </c>
      <c r="L560" s="272">
        <f t="shared" si="59"/>
        <v>1900</v>
      </c>
      <c r="M560" s="272">
        <f t="shared" si="60"/>
        <v>1</v>
      </c>
      <c r="N560" s="273"/>
      <c r="O560" s="61">
        <f t="shared" si="61"/>
        <v>1900</v>
      </c>
      <c r="P560" s="61">
        <f t="shared" si="62"/>
        <v>1</v>
      </c>
      <c r="R560" s="272"/>
      <c r="S560" s="272"/>
      <c r="T560" s="278" t="str">
        <f t="shared" si="63"/>
        <v>-</v>
      </c>
    </row>
    <row r="561" spans="1:20">
      <c r="A561" s="269"/>
      <c r="B561" s="57"/>
      <c r="C561" s="55"/>
      <c r="D561" s="55"/>
      <c r="E561" s="55"/>
      <c r="F561" s="55"/>
      <c r="G561" s="274"/>
      <c r="H561" s="271"/>
      <c r="I561" s="213"/>
      <c r="J561" s="213"/>
      <c r="K561" s="212">
        <f t="shared" si="58"/>
        <v>0</v>
      </c>
      <c r="L561" s="272">
        <f t="shared" si="59"/>
        <v>1900</v>
      </c>
      <c r="M561" s="272">
        <f t="shared" si="60"/>
        <v>1</v>
      </c>
      <c r="N561" s="273"/>
      <c r="O561" s="61">
        <f t="shared" si="61"/>
        <v>1900</v>
      </c>
      <c r="P561" s="61">
        <f t="shared" si="62"/>
        <v>1</v>
      </c>
      <c r="R561" s="272"/>
      <c r="S561" s="272"/>
      <c r="T561" s="278" t="str">
        <f t="shared" si="63"/>
        <v>-</v>
      </c>
    </row>
    <row r="562" spans="1:20">
      <c r="A562" s="269"/>
      <c r="B562" s="57"/>
      <c r="C562" s="55"/>
      <c r="D562" s="55"/>
      <c r="E562" s="55"/>
      <c r="F562" s="55"/>
      <c r="G562" s="274"/>
      <c r="H562" s="271"/>
      <c r="I562" s="213"/>
      <c r="J562" s="213"/>
      <c r="K562" s="212">
        <f t="shared" si="58"/>
        <v>0</v>
      </c>
      <c r="L562" s="272">
        <f t="shared" si="59"/>
        <v>1900</v>
      </c>
      <c r="M562" s="272">
        <f t="shared" si="60"/>
        <v>1</v>
      </c>
      <c r="N562" s="273"/>
      <c r="O562" s="61">
        <f t="shared" si="61"/>
        <v>1900</v>
      </c>
      <c r="P562" s="61">
        <f t="shared" si="62"/>
        <v>1</v>
      </c>
      <c r="R562" s="272"/>
      <c r="S562" s="272"/>
      <c r="T562" s="278" t="str">
        <f t="shared" si="63"/>
        <v>-</v>
      </c>
    </row>
    <row r="563" spans="1:20">
      <c r="A563" s="269"/>
      <c r="B563" s="57"/>
      <c r="C563" s="55"/>
      <c r="D563" s="55"/>
      <c r="E563" s="55"/>
      <c r="F563" s="55"/>
      <c r="G563" s="274"/>
      <c r="H563" s="271"/>
      <c r="I563" s="213"/>
      <c r="J563" s="213"/>
      <c r="K563" s="212">
        <f t="shared" si="58"/>
        <v>0</v>
      </c>
      <c r="L563" s="272">
        <f t="shared" si="59"/>
        <v>1900</v>
      </c>
      <c r="M563" s="272">
        <f t="shared" si="60"/>
        <v>1</v>
      </c>
      <c r="N563" s="273"/>
      <c r="O563" s="61">
        <f t="shared" si="61"/>
        <v>1900</v>
      </c>
      <c r="P563" s="61">
        <f t="shared" si="62"/>
        <v>1</v>
      </c>
      <c r="R563" s="272"/>
      <c r="S563" s="272"/>
      <c r="T563" s="278" t="str">
        <f t="shared" si="63"/>
        <v>-</v>
      </c>
    </row>
    <row r="564" spans="1:20">
      <c r="A564" s="269"/>
      <c r="B564" s="57"/>
      <c r="C564" s="55"/>
      <c r="D564" s="55"/>
      <c r="E564" s="55"/>
      <c r="F564" s="55"/>
      <c r="G564" s="274"/>
      <c r="H564" s="271"/>
      <c r="I564" s="213"/>
      <c r="J564" s="213"/>
      <c r="K564" s="212">
        <f t="shared" si="58"/>
        <v>0</v>
      </c>
      <c r="L564" s="272">
        <f t="shared" si="59"/>
        <v>1900</v>
      </c>
      <c r="M564" s="272">
        <f t="shared" si="60"/>
        <v>1</v>
      </c>
      <c r="N564" s="273"/>
      <c r="O564" s="61">
        <f t="shared" si="61"/>
        <v>1900</v>
      </c>
      <c r="P564" s="61">
        <f t="shared" si="62"/>
        <v>1</v>
      </c>
      <c r="R564" s="272"/>
      <c r="S564" s="272"/>
      <c r="T564" s="278" t="str">
        <f t="shared" si="63"/>
        <v>-</v>
      </c>
    </row>
    <row r="565" spans="1:20">
      <c r="A565" s="269"/>
      <c r="B565" s="57"/>
      <c r="C565" s="55"/>
      <c r="D565" s="55"/>
      <c r="E565" s="55"/>
      <c r="F565" s="55"/>
      <c r="G565" s="274"/>
      <c r="H565" s="271"/>
      <c r="I565" s="213"/>
      <c r="J565" s="213"/>
      <c r="K565" s="212">
        <f t="shared" si="58"/>
        <v>0</v>
      </c>
      <c r="L565" s="272">
        <f t="shared" si="59"/>
        <v>1900</v>
      </c>
      <c r="M565" s="272">
        <f t="shared" si="60"/>
        <v>1</v>
      </c>
      <c r="N565" s="273"/>
      <c r="O565" s="61">
        <f t="shared" si="61"/>
        <v>1900</v>
      </c>
      <c r="P565" s="61">
        <f t="shared" si="62"/>
        <v>1</v>
      </c>
      <c r="R565" s="272"/>
      <c r="S565" s="272"/>
      <c r="T565" s="278" t="str">
        <f t="shared" si="63"/>
        <v>-</v>
      </c>
    </row>
    <row r="566" spans="1:20">
      <c r="A566" s="269"/>
      <c r="B566" s="57"/>
      <c r="C566" s="55"/>
      <c r="D566" s="55"/>
      <c r="E566" s="55"/>
      <c r="F566" s="55"/>
      <c r="G566" s="274"/>
      <c r="H566" s="271"/>
      <c r="I566" s="213"/>
      <c r="J566" s="213"/>
      <c r="K566" s="212">
        <f t="shared" si="58"/>
        <v>0</v>
      </c>
      <c r="L566" s="272">
        <f t="shared" si="59"/>
        <v>1900</v>
      </c>
      <c r="M566" s="272">
        <f t="shared" si="60"/>
        <v>1</v>
      </c>
      <c r="N566" s="273"/>
      <c r="O566" s="61">
        <f t="shared" si="61"/>
        <v>1900</v>
      </c>
      <c r="P566" s="61">
        <f t="shared" si="62"/>
        <v>1</v>
      </c>
      <c r="R566" s="272"/>
      <c r="S566" s="272"/>
      <c r="T566" s="278" t="str">
        <f t="shared" si="63"/>
        <v>-</v>
      </c>
    </row>
    <row r="567" spans="1:20">
      <c r="A567" s="269"/>
      <c r="B567" s="57"/>
      <c r="C567" s="55"/>
      <c r="D567" s="55"/>
      <c r="E567" s="55"/>
      <c r="F567" s="55"/>
      <c r="G567" s="274"/>
      <c r="H567" s="271"/>
      <c r="I567" s="213"/>
      <c r="J567" s="213"/>
      <c r="K567" s="212">
        <f t="shared" si="58"/>
        <v>0</v>
      </c>
      <c r="L567" s="272">
        <f t="shared" si="59"/>
        <v>1900</v>
      </c>
      <c r="M567" s="272">
        <f t="shared" si="60"/>
        <v>1</v>
      </c>
      <c r="N567" s="273"/>
      <c r="O567" s="61">
        <f t="shared" si="61"/>
        <v>1900</v>
      </c>
      <c r="P567" s="61">
        <f t="shared" si="62"/>
        <v>1</v>
      </c>
      <c r="R567" s="272"/>
      <c r="S567" s="272"/>
      <c r="T567" s="278" t="str">
        <f t="shared" si="63"/>
        <v>-</v>
      </c>
    </row>
    <row r="568" spans="1:20">
      <c r="A568" s="269"/>
      <c r="B568" s="57"/>
      <c r="C568" s="55"/>
      <c r="D568" s="55"/>
      <c r="E568" s="55"/>
      <c r="F568" s="55"/>
      <c r="G568" s="274"/>
      <c r="H568" s="271"/>
      <c r="I568" s="213"/>
      <c r="J568" s="213"/>
      <c r="K568" s="212">
        <f t="shared" si="58"/>
        <v>0</v>
      </c>
      <c r="L568" s="272">
        <f t="shared" si="59"/>
        <v>1900</v>
      </c>
      <c r="M568" s="272">
        <f t="shared" si="60"/>
        <v>1</v>
      </c>
      <c r="N568" s="273"/>
      <c r="O568" s="61">
        <f t="shared" si="61"/>
        <v>1900</v>
      </c>
      <c r="P568" s="61">
        <f t="shared" si="62"/>
        <v>1</v>
      </c>
      <c r="R568" s="272"/>
      <c r="S568" s="272"/>
      <c r="T568" s="278" t="str">
        <f t="shared" si="63"/>
        <v>-</v>
      </c>
    </row>
    <row r="569" spans="1:20">
      <c r="A569" s="269"/>
      <c r="B569" s="57"/>
      <c r="C569" s="55"/>
      <c r="D569" s="55"/>
      <c r="E569" s="55"/>
      <c r="F569" s="55"/>
      <c r="G569" s="274"/>
      <c r="H569" s="271"/>
      <c r="I569" s="213"/>
      <c r="J569" s="213"/>
      <c r="K569" s="212">
        <f t="shared" si="58"/>
        <v>0</v>
      </c>
      <c r="L569" s="272">
        <f t="shared" si="59"/>
        <v>1900</v>
      </c>
      <c r="M569" s="272">
        <f t="shared" si="60"/>
        <v>1</v>
      </c>
      <c r="N569" s="273"/>
      <c r="O569" s="61">
        <f t="shared" si="61"/>
        <v>1900</v>
      </c>
      <c r="P569" s="61">
        <f t="shared" si="62"/>
        <v>1</v>
      </c>
      <c r="R569" s="272"/>
      <c r="S569" s="272"/>
      <c r="T569" s="278" t="str">
        <f t="shared" si="63"/>
        <v>-</v>
      </c>
    </row>
    <row r="570" spans="1:20">
      <c r="A570" s="269"/>
      <c r="B570" s="57"/>
      <c r="C570" s="55"/>
      <c r="D570" s="55"/>
      <c r="E570" s="55"/>
      <c r="F570" s="55"/>
      <c r="G570" s="274"/>
      <c r="H570" s="271"/>
      <c r="I570" s="213"/>
      <c r="J570" s="213"/>
      <c r="K570" s="212">
        <f t="shared" si="58"/>
        <v>0</v>
      </c>
      <c r="L570" s="272">
        <f t="shared" si="59"/>
        <v>1900</v>
      </c>
      <c r="M570" s="272">
        <f t="shared" si="60"/>
        <v>1</v>
      </c>
      <c r="N570" s="273"/>
      <c r="O570" s="61">
        <f t="shared" si="61"/>
        <v>1900</v>
      </c>
      <c r="P570" s="61">
        <f t="shared" si="62"/>
        <v>1</v>
      </c>
      <c r="R570" s="272"/>
      <c r="S570" s="272"/>
      <c r="T570" s="278" t="str">
        <f t="shared" si="63"/>
        <v>-</v>
      </c>
    </row>
    <row r="571" spans="1:20">
      <c r="A571" s="269"/>
      <c r="B571" s="57"/>
      <c r="C571" s="55"/>
      <c r="D571" s="55"/>
      <c r="E571" s="55"/>
      <c r="F571" s="55"/>
      <c r="G571" s="274"/>
      <c r="H571" s="271"/>
      <c r="I571" s="213"/>
      <c r="J571" s="213"/>
      <c r="K571" s="212">
        <f t="shared" si="58"/>
        <v>0</v>
      </c>
      <c r="L571" s="272">
        <f t="shared" si="59"/>
        <v>1900</v>
      </c>
      <c r="M571" s="272">
        <f t="shared" si="60"/>
        <v>1</v>
      </c>
      <c r="N571" s="273"/>
      <c r="O571" s="61">
        <f t="shared" si="61"/>
        <v>1900</v>
      </c>
      <c r="P571" s="61">
        <f t="shared" si="62"/>
        <v>1</v>
      </c>
      <c r="R571" s="272"/>
      <c r="S571" s="272"/>
      <c r="T571" s="278" t="str">
        <f t="shared" si="63"/>
        <v>-</v>
      </c>
    </row>
    <row r="572" spans="1:20">
      <c r="A572" s="269"/>
      <c r="B572" s="57"/>
      <c r="C572" s="55"/>
      <c r="D572" s="55"/>
      <c r="E572" s="55"/>
      <c r="F572" s="55"/>
      <c r="G572" s="274"/>
      <c r="H572" s="271"/>
      <c r="I572" s="213"/>
      <c r="J572" s="213"/>
      <c r="K572" s="212">
        <f t="shared" si="58"/>
        <v>0</v>
      </c>
      <c r="L572" s="272">
        <f t="shared" si="59"/>
        <v>1900</v>
      </c>
      <c r="M572" s="272">
        <f t="shared" si="60"/>
        <v>1</v>
      </c>
      <c r="N572" s="273"/>
      <c r="O572" s="61">
        <f t="shared" si="61"/>
        <v>1900</v>
      </c>
      <c r="P572" s="61">
        <f t="shared" si="62"/>
        <v>1</v>
      </c>
      <c r="R572" s="272"/>
      <c r="S572" s="272"/>
      <c r="T572" s="278" t="str">
        <f t="shared" si="63"/>
        <v>-</v>
      </c>
    </row>
    <row r="573" spans="1:20">
      <c r="A573" s="269"/>
      <c r="B573" s="57"/>
      <c r="C573" s="55"/>
      <c r="D573" s="55"/>
      <c r="E573" s="55"/>
      <c r="F573" s="55"/>
      <c r="G573" s="274"/>
      <c r="H573" s="271"/>
      <c r="I573" s="213"/>
      <c r="J573" s="213"/>
      <c r="K573" s="212">
        <f t="shared" si="58"/>
        <v>0</v>
      </c>
      <c r="L573" s="272">
        <f t="shared" si="59"/>
        <v>1900</v>
      </c>
      <c r="M573" s="272">
        <f t="shared" si="60"/>
        <v>1</v>
      </c>
      <c r="N573" s="273"/>
      <c r="O573" s="61">
        <f t="shared" si="61"/>
        <v>1900</v>
      </c>
      <c r="P573" s="61">
        <f t="shared" si="62"/>
        <v>1</v>
      </c>
      <c r="R573" s="272"/>
      <c r="S573" s="272"/>
      <c r="T573" s="278" t="str">
        <f t="shared" si="63"/>
        <v>-</v>
      </c>
    </row>
    <row r="574" spans="1:20">
      <c r="A574" s="269"/>
      <c r="B574" s="57"/>
      <c r="C574" s="55"/>
      <c r="D574" s="55"/>
      <c r="E574" s="55"/>
      <c r="F574" s="55"/>
      <c r="G574" s="274"/>
      <c r="H574" s="271"/>
      <c r="I574" s="213"/>
      <c r="J574" s="213"/>
      <c r="K574" s="212">
        <f t="shared" si="58"/>
        <v>0</v>
      </c>
      <c r="L574" s="272">
        <f t="shared" si="59"/>
        <v>1900</v>
      </c>
      <c r="M574" s="272">
        <f t="shared" si="60"/>
        <v>1</v>
      </c>
      <c r="N574" s="273"/>
      <c r="O574" s="61">
        <f t="shared" si="61"/>
        <v>1900</v>
      </c>
      <c r="P574" s="61">
        <f t="shared" si="62"/>
        <v>1</v>
      </c>
      <c r="R574" s="272"/>
      <c r="S574" s="272"/>
      <c r="T574" s="278" t="str">
        <f t="shared" si="63"/>
        <v>-</v>
      </c>
    </row>
    <row r="575" spans="1:20">
      <c r="A575" s="269"/>
      <c r="B575" s="57"/>
      <c r="C575" s="55"/>
      <c r="D575" s="55"/>
      <c r="E575" s="55"/>
      <c r="F575" s="55"/>
      <c r="G575" s="274"/>
      <c r="H575" s="271"/>
      <c r="I575" s="213"/>
      <c r="J575" s="213"/>
      <c r="K575" s="212">
        <f t="shared" si="58"/>
        <v>0</v>
      </c>
      <c r="L575" s="272">
        <f t="shared" si="59"/>
        <v>1900</v>
      </c>
      <c r="M575" s="272">
        <f t="shared" si="60"/>
        <v>1</v>
      </c>
      <c r="N575" s="273"/>
      <c r="O575" s="61">
        <f t="shared" si="61"/>
        <v>1900</v>
      </c>
      <c r="P575" s="61">
        <f t="shared" si="62"/>
        <v>1</v>
      </c>
      <c r="R575" s="272"/>
      <c r="S575" s="272"/>
      <c r="T575" s="278" t="str">
        <f t="shared" si="63"/>
        <v>-</v>
      </c>
    </row>
    <row r="576" spans="1:20">
      <c r="A576" s="269"/>
      <c r="B576" s="57"/>
      <c r="C576" s="55"/>
      <c r="D576" s="55"/>
      <c r="E576" s="55"/>
      <c r="F576" s="55"/>
      <c r="G576" s="274"/>
      <c r="H576" s="271"/>
      <c r="I576" s="213"/>
      <c r="J576" s="213"/>
      <c r="K576" s="212">
        <f t="shared" si="58"/>
        <v>0</v>
      </c>
      <c r="L576" s="272">
        <f t="shared" si="59"/>
        <v>1900</v>
      </c>
      <c r="M576" s="272">
        <f t="shared" si="60"/>
        <v>1</v>
      </c>
      <c r="N576" s="273"/>
      <c r="O576" s="61">
        <f t="shared" si="61"/>
        <v>1900</v>
      </c>
      <c r="P576" s="61">
        <f t="shared" si="62"/>
        <v>1</v>
      </c>
      <c r="R576" s="272"/>
      <c r="S576" s="272"/>
      <c r="T576" s="278" t="str">
        <f t="shared" si="63"/>
        <v>-</v>
      </c>
    </row>
    <row r="577" spans="1:20">
      <c r="A577" s="269"/>
      <c r="B577" s="57"/>
      <c r="C577" s="55"/>
      <c r="D577" s="55"/>
      <c r="E577" s="55"/>
      <c r="F577" s="55"/>
      <c r="G577" s="274"/>
      <c r="H577" s="271"/>
      <c r="I577" s="213"/>
      <c r="J577" s="213"/>
      <c r="K577" s="212">
        <f t="shared" si="58"/>
        <v>0</v>
      </c>
      <c r="L577" s="272">
        <f t="shared" si="59"/>
        <v>1900</v>
      </c>
      <c r="M577" s="272">
        <f t="shared" si="60"/>
        <v>1</v>
      </c>
      <c r="N577" s="273"/>
      <c r="O577" s="61">
        <f t="shared" si="61"/>
        <v>1900</v>
      </c>
      <c r="P577" s="61">
        <f t="shared" si="62"/>
        <v>1</v>
      </c>
      <c r="R577" s="272"/>
      <c r="S577" s="272"/>
      <c r="T577" s="278" t="str">
        <f t="shared" si="63"/>
        <v>-</v>
      </c>
    </row>
    <row r="578" spans="1:20">
      <c r="A578" s="269"/>
      <c r="B578" s="57"/>
      <c r="C578" s="55"/>
      <c r="D578" s="55"/>
      <c r="E578" s="55"/>
      <c r="F578" s="55"/>
      <c r="G578" s="274"/>
      <c r="H578" s="271"/>
      <c r="I578" s="213"/>
      <c r="J578" s="213"/>
      <c r="K578" s="212">
        <f t="shared" si="58"/>
        <v>0</v>
      </c>
      <c r="L578" s="272">
        <f t="shared" si="59"/>
        <v>1900</v>
      </c>
      <c r="M578" s="272">
        <f t="shared" si="60"/>
        <v>1</v>
      </c>
      <c r="N578" s="273"/>
      <c r="O578" s="61">
        <f t="shared" si="61"/>
        <v>1900</v>
      </c>
      <c r="P578" s="61">
        <f t="shared" si="62"/>
        <v>1</v>
      </c>
      <c r="R578" s="272"/>
      <c r="S578" s="272"/>
      <c r="T578" s="278" t="str">
        <f t="shared" si="63"/>
        <v>-</v>
      </c>
    </row>
    <row r="579" spans="1:20">
      <c r="A579" s="269"/>
      <c r="B579" s="57"/>
      <c r="C579" s="55"/>
      <c r="D579" s="55"/>
      <c r="E579" s="55"/>
      <c r="F579" s="55"/>
      <c r="G579" s="274"/>
      <c r="H579" s="271"/>
      <c r="I579" s="213"/>
      <c r="J579" s="213"/>
      <c r="K579" s="212">
        <f t="shared" si="58"/>
        <v>0</v>
      </c>
      <c r="L579" s="272">
        <f t="shared" si="59"/>
        <v>1900</v>
      </c>
      <c r="M579" s="272">
        <f t="shared" si="60"/>
        <v>1</v>
      </c>
      <c r="N579" s="273"/>
      <c r="O579" s="61">
        <f t="shared" si="61"/>
        <v>1900</v>
      </c>
      <c r="P579" s="61">
        <f t="shared" si="62"/>
        <v>1</v>
      </c>
      <c r="R579" s="272"/>
      <c r="S579" s="272"/>
      <c r="T579" s="278" t="str">
        <f t="shared" si="63"/>
        <v>-</v>
      </c>
    </row>
    <row r="580" spans="1:20">
      <c r="A580" s="269"/>
      <c r="B580" s="57"/>
      <c r="C580" s="55"/>
      <c r="D580" s="55"/>
      <c r="E580" s="55"/>
      <c r="F580" s="55"/>
      <c r="G580" s="274"/>
      <c r="H580" s="271"/>
      <c r="I580" s="213"/>
      <c r="J580" s="213"/>
      <c r="K580" s="212">
        <f t="shared" si="58"/>
        <v>0</v>
      </c>
      <c r="L580" s="272">
        <f t="shared" si="59"/>
        <v>1900</v>
      </c>
      <c r="M580" s="272">
        <f t="shared" si="60"/>
        <v>1</v>
      </c>
      <c r="N580" s="273"/>
      <c r="O580" s="61">
        <f t="shared" si="61"/>
        <v>1900</v>
      </c>
      <c r="P580" s="61">
        <f t="shared" si="62"/>
        <v>1</v>
      </c>
      <c r="R580" s="272"/>
      <c r="S580" s="272"/>
      <c r="T580" s="278" t="str">
        <f t="shared" si="63"/>
        <v>-</v>
      </c>
    </row>
    <row r="581" spans="1:20">
      <c r="A581" s="269"/>
      <c r="B581" s="57"/>
      <c r="C581" s="55"/>
      <c r="D581" s="55"/>
      <c r="E581" s="55"/>
      <c r="F581" s="55"/>
      <c r="G581" s="274"/>
      <c r="H581" s="271"/>
      <c r="I581" s="213"/>
      <c r="J581" s="213"/>
      <c r="K581" s="212">
        <f t="shared" si="58"/>
        <v>0</v>
      </c>
      <c r="L581" s="272">
        <f t="shared" si="59"/>
        <v>1900</v>
      </c>
      <c r="M581" s="272">
        <f t="shared" si="60"/>
        <v>1</v>
      </c>
      <c r="N581" s="273"/>
      <c r="O581" s="61">
        <f t="shared" si="61"/>
        <v>1900</v>
      </c>
      <c r="P581" s="61">
        <f t="shared" si="62"/>
        <v>1</v>
      </c>
      <c r="R581" s="272"/>
      <c r="S581" s="272"/>
      <c r="T581" s="278" t="str">
        <f t="shared" si="63"/>
        <v>-</v>
      </c>
    </row>
    <row r="582" spans="1:20">
      <c r="A582" s="269"/>
      <c r="B582" s="57"/>
      <c r="C582" s="55"/>
      <c r="D582" s="55"/>
      <c r="E582" s="55"/>
      <c r="F582" s="55"/>
      <c r="G582" s="274"/>
      <c r="H582" s="271"/>
      <c r="I582" s="213"/>
      <c r="J582" s="213"/>
      <c r="K582" s="212">
        <f t="shared" si="58"/>
        <v>0</v>
      </c>
      <c r="L582" s="272">
        <f t="shared" si="59"/>
        <v>1900</v>
      </c>
      <c r="M582" s="272">
        <f t="shared" si="60"/>
        <v>1</v>
      </c>
      <c r="N582" s="273"/>
      <c r="O582" s="61">
        <f t="shared" si="61"/>
        <v>1900</v>
      </c>
      <c r="P582" s="61">
        <f t="shared" si="62"/>
        <v>1</v>
      </c>
      <c r="R582" s="272"/>
      <c r="S582" s="272"/>
      <c r="T582" s="278" t="str">
        <f t="shared" si="63"/>
        <v>-</v>
      </c>
    </row>
    <row r="583" spans="1:20">
      <c r="A583" s="269"/>
      <c r="B583" s="57"/>
      <c r="C583" s="55"/>
      <c r="D583" s="55"/>
      <c r="E583" s="55"/>
      <c r="F583" s="55"/>
      <c r="G583" s="274"/>
      <c r="H583" s="271"/>
      <c r="I583" s="213"/>
      <c r="J583" s="213"/>
      <c r="K583" s="212">
        <f t="shared" si="58"/>
        <v>0</v>
      </c>
      <c r="L583" s="272">
        <f t="shared" si="59"/>
        <v>1900</v>
      </c>
      <c r="M583" s="272">
        <f t="shared" si="60"/>
        <v>1</v>
      </c>
      <c r="N583" s="273"/>
      <c r="O583" s="61">
        <f t="shared" si="61"/>
        <v>1900</v>
      </c>
      <c r="P583" s="61">
        <f t="shared" si="62"/>
        <v>1</v>
      </c>
      <c r="R583" s="272"/>
      <c r="S583" s="272"/>
      <c r="T583" s="278" t="str">
        <f t="shared" si="63"/>
        <v>-</v>
      </c>
    </row>
    <row r="584" spans="1:20">
      <c r="A584" s="269"/>
      <c r="B584" s="57"/>
      <c r="C584" s="55"/>
      <c r="D584" s="55"/>
      <c r="E584" s="55"/>
      <c r="F584" s="55"/>
      <c r="G584" s="274"/>
      <c r="H584" s="271"/>
      <c r="I584" s="213"/>
      <c r="J584" s="213"/>
      <c r="K584" s="212">
        <f t="shared" si="58"/>
        <v>0</v>
      </c>
      <c r="L584" s="272">
        <f t="shared" si="59"/>
        <v>1900</v>
      </c>
      <c r="M584" s="272">
        <f t="shared" si="60"/>
        <v>1</v>
      </c>
      <c r="N584" s="273"/>
      <c r="O584" s="61">
        <f t="shared" si="61"/>
        <v>1900</v>
      </c>
      <c r="P584" s="61">
        <f t="shared" si="62"/>
        <v>1</v>
      </c>
      <c r="R584" s="272"/>
      <c r="S584" s="272"/>
      <c r="T584" s="278" t="str">
        <f t="shared" si="63"/>
        <v>-</v>
      </c>
    </row>
    <row r="585" spans="1:20">
      <c r="A585" s="269"/>
      <c r="B585" s="57"/>
      <c r="C585" s="55"/>
      <c r="D585" s="55"/>
      <c r="E585" s="55"/>
      <c r="F585" s="55"/>
      <c r="G585" s="274"/>
      <c r="H585" s="271"/>
      <c r="I585" s="213"/>
      <c r="J585" s="213"/>
      <c r="K585" s="212">
        <f t="shared" si="58"/>
        <v>0</v>
      </c>
      <c r="L585" s="272">
        <f t="shared" si="59"/>
        <v>1900</v>
      </c>
      <c r="M585" s="272">
        <f t="shared" si="60"/>
        <v>1</v>
      </c>
      <c r="N585" s="273"/>
      <c r="O585" s="61">
        <f t="shared" si="61"/>
        <v>1900</v>
      </c>
      <c r="P585" s="61">
        <f t="shared" si="62"/>
        <v>1</v>
      </c>
      <c r="R585" s="272"/>
      <c r="S585" s="272"/>
      <c r="T585" s="278" t="str">
        <f t="shared" si="63"/>
        <v>-</v>
      </c>
    </row>
    <row r="586" spans="1:20">
      <c r="A586" s="269"/>
      <c r="B586" s="57"/>
      <c r="C586" s="55"/>
      <c r="D586" s="55"/>
      <c r="E586" s="55"/>
      <c r="F586" s="55"/>
      <c r="G586" s="274"/>
      <c r="H586" s="271"/>
      <c r="I586" s="213"/>
      <c r="J586" s="213"/>
      <c r="K586" s="212">
        <f t="shared" si="58"/>
        <v>0</v>
      </c>
      <c r="L586" s="272">
        <f t="shared" si="59"/>
        <v>1900</v>
      </c>
      <c r="M586" s="272">
        <f t="shared" si="60"/>
        <v>1</v>
      </c>
      <c r="N586" s="273"/>
      <c r="O586" s="61">
        <f t="shared" si="61"/>
        <v>1900</v>
      </c>
      <c r="P586" s="61">
        <f t="shared" si="62"/>
        <v>1</v>
      </c>
      <c r="R586" s="272"/>
      <c r="S586" s="272"/>
      <c r="T586" s="278" t="str">
        <f t="shared" si="63"/>
        <v>-</v>
      </c>
    </row>
    <row r="587" spans="1:20">
      <c r="A587" s="269"/>
      <c r="B587" s="57"/>
      <c r="C587" s="55"/>
      <c r="D587" s="55"/>
      <c r="E587" s="55"/>
      <c r="F587" s="55"/>
      <c r="G587" s="274"/>
      <c r="H587" s="271"/>
      <c r="I587" s="213"/>
      <c r="J587" s="213"/>
      <c r="K587" s="212">
        <f t="shared" si="58"/>
        <v>0</v>
      </c>
      <c r="L587" s="272">
        <f t="shared" si="59"/>
        <v>1900</v>
      </c>
      <c r="M587" s="272">
        <f t="shared" si="60"/>
        <v>1</v>
      </c>
      <c r="N587" s="273"/>
      <c r="O587" s="61">
        <f t="shared" si="61"/>
        <v>1900</v>
      </c>
      <c r="P587" s="61">
        <f t="shared" si="62"/>
        <v>1</v>
      </c>
      <c r="R587" s="272"/>
      <c r="S587" s="272"/>
      <c r="T587" s="278" t="str">
        <f t="shared" si="63"/>
        <v>-</v>
      </c>
    </row>
    <row r="588" spans="1:20">
      <c r="A588" s="269"/>
      <c r="B588" s="57"/>
      <c r="C588" s="55"/>
      <c r="D588" s="55"/>
      <c r="E588" s="55"/>
      <c r="F588" s="55"/>
      <c r="G588" s="274"/>
      <c r="H588" s="271"/>
      <c r="I588" s="213"/>
      <c r="J588" s="213"/>
      <c r="K588" s="212">
        <f t="shared" si="58"/>
        <v>0</v>
      </c>
      <c r="L588" s="272">
        <f t="shared" si="59"/>
        <v>1900</v>
      </c>
      <c r="M588" s="272">
        <f t="shared" si="60"/>
        <v>1</v>
      </c>
      <c r="N588" s="273"/>
      <c r="O588" s="61">
        <f t="shared" si="61"/>
        <v>1900</v>
      </c>
      <c r="P588" s="61">
        <f t="shared" si="62"/>
        <v>1</v>
      </c>
      <c r="R588" s="272"/>
      <c r="S588" s="272"/>
      <c r="T588" s="278" t="str">
        <f t="shared" si="63"/>
        <v>-</v>
      </c>
    </row>
    <row r="589" spans="1:20">
      <c r="A589" s="269"/>
      <c r="B589" s="57"/>
      <c r="C589" s="55"/>
      <c r="D589" s="55"/>
      <c r="E589" s="55"/>
      <c r="F589" s="55"/>
      <c r="G589" s="274"/>
      <c r="H589" s="271"/>
      <c r="I589" s="213"/>
      <c r="J589" s="213"/>
      <c r="K589" s="212">
        <f t="shared" si="58"/>
        <v>0</v>
      </c>
      <c r="L589" s="272">
        <f t="shared" si="59"/>
        <v>1900</v>
      </c>
      <c r="M589" s="272">
        <f t="shared" si="60"/>
        <v>1</v>
      </c>
      <c r="N589" s="273"/>
      <c r="O589" s="61">
        <f t="shared" si="61"/>
        <v>1900</v>
      </c>
      <c r="P589" s="61">
        <f t="shared" si="62"/>
        <v>1</v>
      </c>
      <c r="R589" s="272"/>
      <c r="S589" s="272"/>
      <c r="T589" s="278" t="str">
        <f t="shared" si="63"/>
        <v>-</v>
      </c>
    </row>
    <row r="590" spans="1:20">
      <c r="A590" s="269"/>
      <c r="B590" s="57"/>
      <c r="C590" s="55"/>
      <c r="D590" s="55"/>
      <c r="E590" s="55"/>
      <c r="F590" s="55"/>
      <c r="G590" s="274"/>
      <c r="H590" s="271"/>
      <c r="I590" s="213"/>
      <c r="J590" s="213"/>
      <c r="K590" s="212">
        <f t="shared" si="58"/>
        <v>0</v>
      </c>
      <c r="L590" s="272">
        <f t="shared" si="59"/>
        <v>1900</v>
      </c>
      <c r="M590" s="272">
        <f t="shared" si="60"/>
        <v>1</v>
      </c>
      <c r="N590" s="273"/>
      <c r="O590" s="61">
        <f t="shared" si="61"/>
        <v>1900</v>
      </c>
      <c r="P590" s="61">
        <f t="shared" si="62"/>
        <v>1</v>
      </c>
      <c r="R590" s="272"/>
      <c r="S590" s="272"/>
      <c r="T590" s="278" t="str">
        <f t="shared" si="63"/>
        <v>-</v>
      </c>
    </row>
    <row r="591" spans="1:20">
      <c r="A591" s="269"/>
      <c r="B591" s="57"/>
      <c r="C591" s="55"/>
      <c r="D591" s="55"/>
      <c r="E591" s="55"/>
      <c r="F591" s="55"/>
      <c r="G591" s="274"/>
      <c r="H591" s="271"/>
      <c r="I591" s="213"/>
      <c r="J591" s="213"/>
      <c r="K591" s="212">
        <f t="shared" ref="K591:K654" si="64">I591+H591+J591</f>
        <v>0</v>
      </c>
      <c r="L591" s="272">
        <f t="shared" si="59"/>
        <v>1900</v>
      </c>
      <c r="M591" s="272">
        <f t="shared" si="60"/>
        <v>1</v>
      </c>
      <c r="N591" s="273"/>
      <c r="O591" s="61">
        <f t="shared" si="61"/>
        <v>1900</v>
      </c>
      <c r="P591" s="61">
        <f t="shared" si="62"/>
        <v>1</v>
      </c>
      <c r="R591" s="272"/>
      <c r="S591" s="272"/>
      <c r="T591" s="278" t="str">
        <f t="shared" si="63"/>
        <v>-</v>
      </c>
    </row>
    <row r="592" spans="1:20">
      <c r="A592" s="269"/>
      <c r="B592" s="57"/>
      <c r="C592" s="55"/>
      <c r="D592" s="55"/>
      <c r="E592" s="55"/>
      <c r="F592" s="55"/>
      <c r="G592" s="274"/>
      <c r="H592" s="271"/>
      <c r="I592" s="213"/>
      <c r="J592" s="213"/>
      <c r="K592" s="212">
        <f t="shared" si="64"/>
        <v>0</v>
      </c>
      <c r="L592" s="272">
        <f t="shared" ref="L592:L655" si="65">YEAR(B592)</f>
        <v>1900</v>
      </c>
      <c r="M592" s="272">
        <f t="shared" ref="M592:M655" si="66">MONTH(B592)</f>
        <v>1</v>
      </c>
      <c r="N592" s="273"/>
      <c r="O592" s="61">
        <f t="shared" ref="O592:O655" si="67">YEAR(B592)</f>
        <v>1900</v>
      </c>
      <c r="P592" s="61">
        <f t="shared" ref="P592:P655" si="68">MONTH(B592)</f>
        <v>1</v>
      </c>
      <c r="R592" s="272"/>
      <c r="S592" s="272"/>
      <c r="T592" s="278" t="str">
        <f t="shared" ref="T592:T655" si="69">IF($E592&gt;0,IF((R592+S592)=$E592,"OK","Error"),"-")</f>
        <v>-</v>
      </c>
    </row>
    <row r="593" spans="1:20">
      <c r="A593" s="269"/>
      <c r="B593" s="57"/>
      <c r="C593" s="55"/>
      <c r="D593" s="55"/>
      <c r="E593" s="55"/>
      <c r="F593" s="55"/>
      <c r="G593" s="274"/>
      <c r="H593" s="271"/>
      <c r="I593" s="213"/>
      <c r="J593" s="213"/>
      <c r="K593" s="212">
        <f t="shared" si="64"/>
        <v>0</v>
      </c>
      <c r="L593" s="272">
        <f t="shared" si="65"/>
        <v>1900</v>
      </c>
      <c r="M593" s="272">
        <f t="shared" si="66"/>
        <v>1</v>
      </c>
      <c r="N593" s="273"/>
      <c r="O593" s="61">
        <f t="shared" si="67"/>
        <v>1900</v>
      </c>
      <c r="P593" s="61">
        <f t="shared" si="68"/>
        <v>1</v>
      </c>
      <c r="R593" s="272"/>
      <c r="S593" s="272"/>
      <c r="T593" s="278" t="str">
        <f t="shared" si="69"/>
        <v>-</v>
      </c>
    </row>
    <row r="594" spans="1:20">
      <c r="A594" s="269"/>
      <c r="B594" s="57"/>
      <c r="C594" s="55"/>
      <c r="D594" s="55"/>
      <c r="E594" s="55"/>
      <c r="F594" s="55"/>
      <c r="G594" s="274"/>
      <c r="H594" s="271"/>
      <c r="I594" s="213"/>
      <c r="J594" s="213"/>
      <c r="K594" s="212">
        <f t="shared" si="64"/>
        <v>0</v>
      </c>
      <c r="L594" s="272">
        <f t="shared" si="65"/>
        <v>1900</v>
      </c>
      <c r="M594" s="272">
        <f t="shared" si="66"/>
        <v>1</v>
      </c>
      <c r="N594" s="273"/>
      <c r="O594" s="61">
        <f t="shared" si="67"/>
        <v>1900</v>
      </c>
      <c r="P594" s="61">
        <f t="shared" si="68"/>
        <v>1</v>
      </c>
      <c r="R594" s="272"/>
      <c r="S594" s="272"/>
      <c r="T594" s="278" t="str">
        <f t="shared" si="69"/>
        <v>-</v>
      </c>
    </row>
    <row r="595" spans="1:20">
      <c r="A595" s="269"/>
      <c r="B595" s="57"/>
      <c r="C595" s="55"/>
      <c r="D595" s="55"/>
      <c r="E595" s="55"/>
      <c r="F595" s="55"/>
      <c r="G595" s="274"/>
      <c r="H595" s="271"/>
      <c r="I595" s="213"/>
      <c r="J595" s="213"/>
      <c r="K595" s="212">
        <f t="shared" si="64"/>
        <v>0</v>
      </c>
      <c r="L595" s="272">
        <f t="shared" si="65"/>
        <v>1900</v>
      </c>
      <c r="M595" s="272">
        <f t="shared" si="66"/>
        <v>1</v>
      </c>
      <c r="N595" s="273"/>
      <c r="O595" s="61">
        <f t="shared" si="67"/>
        <v>1900</v>
      </c>
      <c r="P595" s="61">
        <f t="shared" si="68"/>
        <v>1</v>
      </c>
      <c r="R595" s="272"/>
      <c r="S595" s="272"/>
      <c r="T595" s="278" t="str">
        <f t="shared" si="69"/>
        <v>-</v>
      </c>
    </row>
    <row r="596" spans="1:20">
      <c r="A596" s="269"/>
      <c r="B596" s="57"/>
      <c r="C596" s="55"/>
      <c r="D596" s="55"/>
      <c r="E596" s="55"/>
      <c r="F596" s="55"/>
      <c r="G596" s="274"/>
      <c r="H596" s="271"/>
      <c r="I596" s="213"/>
      <c r="J596" s="213"/>
      <c r="K596" s="212">
        <f t="shared" si="64"/>
        <v>0</v>
      </c>
      <c r="L596" s="272">
        <f t="shared" si="65"/>
        <v>1900</v>
      </c>
      <c r="M596" s="272">
        <f t="shared" si="66"/>
        <v>1</v>
      </c>
      <c r="N596" s="273"/>
      <c r="O596" s="61">
        <f t="shared" si="67"/>
        <v>1900</v>
      </c>
      <c r="P596" s="61">
        <f t="shared" si="68"/>
        <v>1</v>
      </c>
      <c r="R596" s="272"/>
      <c r="S596" s="272"/>
      <c r="T596" s="278" t="str">
        <f t="shared" si="69"/>
        <v>-</v>
      </c>
    </row>
    <row r="597" spans="1:20">
      <c r="A597" s="269"/>
      <c r="B597" s="57"/>
      <c r="C597" s="55"/>
      <c r="D597" s="55"/>
      <c r="E597" s="55"/>
      <c r="F597" s="55"/>
      <c r="G597" s="274"/>
      <c r="H597" s="271"/>
      <c r="I597" s="213"/>
      <c r="J597" s="213"/>
      <c r="K597" s="212">
        <f t="shared" si="64"/>
        <v>0</v>
      </c>
      <c r="L597" s="272">
        <f t="shared" si="65"/>
        <v>1900</v>
      </c>
      <c r="M597" s="272">
        <f t="shared" si="66"/>
        <v>1</v>
      </c>
      <c r="N597" s="273"/>
      <c r="O597" s="61">
        <f t="shared" si="67"/>
        <v>1900</v>
      </c>
      <c r="P597" s="61">
        <f t="shared" si="68"/>
        <v>1</v>
      </c>
      <c r="R597" s="272"/>
      <c r="S597" s="272"/>
      <c r="T597" s="278" t="str">
        <f t="shared" si="69"/>
        <v>-</v>
      </c>
    </row>
    <row r="598" spans="1:20">
      <c r="A598" s="269"/>
      <c r="B598" s="57"/>
      <c r="C598" s="55"/>
      <c r="D598" s="55"/>
      <c r="E598" s="55"/>
      <c r="F598" s="55"/>
      <c r="G598" s="274"/>
      <c r="H598" s="271"/>
      <c r="I598" s="213"/>
      <c r="J598" s="213"/>
      <c r="K598" s="212">
        <f t="shared" si="64"/>
        <v>0</v>
      </c>
      <c r="L598" s="272">
        <f t="shared" si="65"/>
        <v>1900</v>
      </c>
      <c r="M598" s="272">
        <f t="shared" si="66"/>
        <v>1</v>
      </c>
      <c r="N598" s="273"/>
      <c r="O598" s="61">
        <f t="shared" si="67"/>
        <v>1900</v>
      </c>
      <c r="P598" s="61">
        <f t="shared" si="68"/>
        <v>1</v>
      </c>
      <c r="R598" s="272"/>
      <c r="S598" s="272"/>
      <c r="T598" s="278" t="str">
        <f t="shared" si="69"/>
        <v>-</v>
      </c>
    </row>
    <row r="599" spans="1:20">
      <c r="A599" s="269"/>
      <c r="B599" s="57"/>
      <c r="C599" s="55"/>
      <c r="D599" s="55"/>
      <c r="E599" s="55"/>
      <c r="F599" s="55"/>
      <c r="G599" s="274"/>
      <c r="H599" s="271"/>
      <c r="I599" s="213"/>
      <c r="J599" s="213"/>
      <c r="K599" s="212">
        <f t="shared" si="64"/>
        <v>0</v>
      </c>
      <c r="L599" s="272">
        <f t="shared" si="65"/>
        <v>1900</v>
      </c>
      <c r="M599" s="272">
        <f t="shared" si="66"/>
        <v>1</v>
      </c>
      <c r="N599" s="273"/>
      <c r="O599" s="61">
        <f t="shared" si="67"/>
        <v>1900</v>
      </c>
      <c r="P599" s="61">
        <f t="shared" si="68"/>
        <v>1</v>
      </c>
      <c r="R599" s="272"/>
      <c r="S599" s="272"/>
      <c r="T599" s="278" t="str">
        <f t="shared" si="69"/>
        <v>-</v>
      </c>
    </row>
    <row r="600" spans="1:20">
      <c r="A600" s="269"/>
      <c r="B600" s="57"/>
      <c r="C600" s="55"/>
      <c r="D600" s="55"/>
      <c r="E600" s="55"/>
      <c r="F600" s="55"/>
      <c r="G600" s="274"/>
      <c r="H600" s="271"/>
      <c r="I600" s="213"/>
      <c r="J600" s="213"/>
      <c r="K600" s="212">
        <f t="shared" si="64"/>
        <v>0</v>
      </c>
      <c r="L600" s="272">
        <f t="shared" si="65"/>
        <v>1900</v>
      </c>
      <c r="M600" s="272">
        <f t="shared" si="66"/>
        <v>1</v>
      </c>
      <c r="N600" s="273"/>
      <c r="O600" s="61">
        <f t="shared" si="67"/>
        <v>1900</v>
      </c>
      <c r="P600" s="61">
        <f t="shared" si="68"/>
        <v>1</v>
      </c>
      <c r="R600" s="272"/>
      <c r="S600" s="272"/>
      <c r="T600" s="278" t="str">
        <f t="shared" si="69"/>
        <v>-</v>
      </c>
    </row>
    <row r="601" spans="1:20">
      <c r="A601" s="269"/>
      <c r="B601" s="57"/>
      <c r="C601" s="55"/>
      <c r="D601" s="55"/>
      <c r="E601" s="55"/>
      <c r="F601" s="55"/>
      <c r="G601" s="274"/>
      <c r="H601" s="271"/>
      <c r="I601" s="213"/>
      <c r="J601" s="213"/>
      <c r="K601" s="212">
        <f t="shared" si="64"/>
        <v>0</v>
      </c>
      <c r="L601" s="272">
        <f t="shared" si="65"/>
        <v>1900</v>
      </c>
      <c r="M601" s="272">
        <f t="shared" si="66"/>
        <v>1</v>
      </c>
      <c r="N601" s="273"/>
      <c r="O601" s="61">
        <f t="shared" si="67"/>
        <v>1900</v>
      </c>
      <c r="P601" s="61">
        <f t="shared" si="68"/>
        <v>1</v>
      </c>
      <c r="R601" s="272"/>
      <c r="S601" s="272"/>
      <c r="T601" s="278" t="str">
        <f t="shared" si="69"/>
        <v>-</v>
      </c>
    </row>
    <row r="602" spans="1:20">
      <c r="A602" s="269"/>
      <c r="B602" s="57"/>
      <c r="C602" s="55"/>
      <c r="D602" s="55"/>
      <c r="E602" s="55"/>
      <c r="F602" s="55"/>
      <c r="G602" s="274"/>
      <c r="H602" s="271"/>
      <c r="I602" s="213"/>
      <c r="J602" s="213"/>
      <c r="K602" s="212">
        <f t="shared" si="64"/>
        <v>0</v>
      </c>
      <c r="L602" s="272">
        <f t="shared" si="65"/>
        <v>1900</v>
      </c>
      <c r="M602" s="272">
        <f t="shared" si="66"/>
        <v>1</v>
      </c>
      <c r="N602" s="273"/>
      <c r="O602" s="61">
        <f t="shared" si="67"/>
        <v>1900</v>
      </c>
      <c r="P602" s="61">
        <f t="shared" si="68"/>
        <v>1</v>
      </c>
      <c r="R602" s="272"/>
      <c r="S602" s="272"/>
      <c r="T602" s="278" t="str">
        <f t="shared" si="69"/>
        <v>-</v>
      </c>
    </row>
    <row r="603" spans="1:20">
      <c r="A603" s="269"/>
      <c r="B603" s="57"/>
      <c r="C603" s="55"/>
      <c r="D603" s="55"/>
      <c r="E603" s="55"/>
      <c r="F603" s="55"/>
      <c r="G603" s="274"/>
      <c r="H603" s="271"/>
      <c r="I603" s="213"/>
      <c r="J603" s="213"/>
      <c r="K603" s="212">
        <f t="shared" si="64"/>
        <v>0</v>
      </c>
      <c r="L603" s="272">
        <f t="shared" si="65"/>
        <v>1900</v>
      </c>
      <c r="M603" s="272">
        <f t="shared" si="66"/>
        <v>1</v>
      </c>
      <c r="N603" s="273"/>
      <c r="O603" s="61">
        <f t="shared" si="67"/>
        <v>1900</v>
      </c>
      <c r="P603" s="61">
        <f t="shared" si="68"/>
        <v>1</v>
      </c>
      <c r="R603" s="272"/>
      <c r="S603" s="272"/>
      <c r="T603" s="278" t="str">
        <f t="shared" si="69"/>
        <v>-</v>
      </c>
    </row>
    <row r="604" spans="1:20">
      <c r="A604" s="269"/>
      <c r="B604" s="57"/>
      <c r="C604" s="55"/>
      <c r="D604" s="55"/>
      <c r="E604" s="55"/>
      <c r="F604" s="55"/>
      <c r="G604" s="274"/>
      <c r="H604" s="271"/>
      <c r="I604" s="213"/>
      <c r="J604" s="213"/>
      <c r="K604" s="212">
        <f t="shared" si="64"/>
        <v>0</v>
      </c>
      <c r="L604" s="272">
        <f t="shared" si="65"/>
        <v>1900</v>
      </c>
      <c r="M604" s="272">
        <f t="shared" si="66"/>
        <v>1</v>
      </c>
      <c r="N604" s="273"/>
      <c r="O604" s="61">
        <f t="shared" si="67"/>
        <v>1900</v>
      </c>
      <c r="P604" s="61">
        <f t="shared" si="68"/>
        <v>1</v>
      </c>
      <c r="R604" s="272"/>
      <c r="S604" s="272"/>
      <c r="T604" s="273" t="str">
        <f t="shared" si="69"/>
        <v>-</v>
      </c>
    </row>
    <row r="605" spans="1:20">
      <c r="A605" s="269"/>
      <c r="B605" s="57"/>
      <c r="C605" s="55"/>
      <c r="D605" s="55"/>
      <c r="E605" s="55"/>
      <c r="F605" s="55"/>
      <c r="G605" s="274"/>
      <c r="H605" s="271"/>
      <c r="I605" s="213"/>
      <c r="J605" s="213"/>
      <c r="K605" s="212">
        <f t="shared" si="64"/>
        <v>0</v>
      </c>
      <c r="L605" s="272">
        <f t="shared" si="65"/>
        <v>1900</v>
      </c>
      <c r="M605" s="272">
        <f t="shared" si="66"/>
        <v>1</v>
      </c>
      <c r="N605" s="273"/>
      <c r="O605" s="61">
        <f t="shared" si="67"/>
        <v>1900</v>
      </c>
      <c r="P605" s="61">
        <f t="shared" si="68"/>
        <v>1</v>
      </c>
      <c r="R605" s="272"/>
      <c r="S605" s="272"/>
      <c r="T605" s="273" t="str">
        <f t="shared" si="69"/>
        <v>-</v>
      </c>
    </row>
    <row r="606" spans="1:20">
      <c r="A606" s="269"/>
      <c r="B606" s="57"/>
      <c r="C606" s="55"/>
      <c r="D606" s="55"/>
      <c r="E606" s="55"/>
      <c r="F606" s="55"/>
      <c r="G606" s="274"/>
      <c r="H606" s="271"/>
      <c r="I606" s="213"/>
      <c r="J606" s="213"/>
      <c r="K606" s="212">
        <f t="shared" si="64"/>
        <v>0</v>
      </c>
      <c r="L606" s="272">
        <f t="shared" si="65"/>
        <v>1900</v>
      </c>
      <c r="M606" s="272">
        <f t="shared" si="66"/>
        <v>1</v>
      </c>
      <c r="N606" s="273"/>
      <c r="O606" s="61">
        <f t="shared" si="67"/>
        <v>1900</v>
      </c>
      <c r="P606" s="61">
        <f t="shared" si="68"/>
        <v>1</v>
      </c>
      <c r="R606" s="272"/>
      <c r="S606" s="272"/>
      <c r="T606" s="273" t="str">
        <f t="shared" si="69"/>
        <v>-</v>
      </c>
    </row>
    <row r="607" spans="1:20">
      <c r="A607" s="269"/>
      <c r="B607" s="57"/>
      <c r="C607" s="55"/>
      <c r="D607" s="55"/>
      <c r="E607" s="55"/>
      <c r="F607" s="55"/>
      <c r="G607" s="274"/>
      <c r="H607" s="271"/>
      <c r="I607" s="213"/>
      <c r="J607" s="213"/>
      <c r="K607" s="212">
        <f t="shared" si="64"/>
        <v>0</v>
      </c>
      <c r="L607" s="272">
        <f t="shared" si="65"/>
        <v>1900</v>
      </c>
      <c r="M607" s="272">
        <f t="shared" si="66"/>
        <v>1</v>
      </c>
      <c r="N607" s="273"/>
      <c r="O607" s="61">
        <f t="shared" si="67"/>
        <v>1900</v>
      </c>
      <c r="P607" s="61">
        <f t="shared" si="68"/>
        <v>1</v>
      </c>
      <c r="R607" s="272"/>
      <c r="S607" s="272"/>
      <c r="T607" s="273" t="str">
        <f t="shared" si="69"/>
        <v>-</v>
      </c>
    </row>
    <row r="608" spans="1:20">
      <c r="A608" s="269"/>
      <c r="B608" s="57"/>
      <c r="C608" s="55"/>
      <c r="D608" s="55"/>
      <c r="E608" s="55"/>
      <c r="F608" s="55"/>
      <c r="G608" s="274"/>
      <c r="H608" s="271"/>
      <c r="I608" s="213"/>
      <c r="J608" s="213"/>
      <c r="K608" s="212">
        <f t="shared" si="64"/>
        <v>0</v>
      </c>
      <c r="L608" s="272">
        <f t="shared" si="65"/>
        <v>1900</v>
      </c>
      <c r="M608" s="272">
        <f t="shared" si="66"/>
        <v>1</v>
      </c>
      <c r="N608" s="273"/>
      <c r="O608" s="61">
        <f t="shared" si="67"/>
        <v>1900</v>
      </c>
      <c r="P608" s="61">
        <f t="shared" si="68"/>
        <v>1</v>
      </c>
      <c r="R608" s="272"/>
      <c r="S608" s="272"/>
      <c r="T608" s="273" t="str">
        <f t="shared" si="69"/>
        <v>-</v>
      </c>
    </row>
    <row r="609" spans="1:20">
      <c r="A609" s="269"/>
      <c r="B609" s="57"/>
      <c r="C609" s="55"/>
      <c r="D609" s="55"/>
      <c r="E609" s="55"/>
      <c r="F609" s="55"/>
      <c r="G609" s="274"/>
      <c r="H609" s="271"/>
      <c r="I609" s="213"/>
      <c r="J609" s="213"/>
      <c r="K609" s="212">
        <f t="shared" si="64"/>
        <v>0</v>
      </c>
      <c r="L609" s="272">
        <f t="shared" si="65"/>
        <v>1900</v>
      </c>
      <c r="M609" s="272">
        <f t="shared" si="66"/>
        <v>1</v>
      </c>
      <c r="N609" s="273"/>
      <c r="O609" s="61">
        <f t="shared" si="67"/>
        <v>1900</v>
      </c>
      <c r="P609" s="61">
        <f t="shared" si="68"/>
        <v>1</v>
      </c>
      <c r="R609" s="272"/>
      <c r="S609" s="272"/>
      <c r="T609" s="273" t="str">
        <f t="shared" si="69"/>
        <v>-</v>
      </c>
    </row>
    <row r="610" spans="1:20">
      <c r="A610" s="269"/>
      <c r="B610" s="57"/>
      <c r="C610" s="55"/>
      <c r="D610" s="55"/>
      <c r="E610" s="55"/>
      <c r="F610" s="55"/>
      <c r="G610" s="274"/>
      <c r="H610" s="271"/>
      <c r="I610" s="213"/>
      <c r="J610" s="213"/>
      <c r="K610" s="212">
        <f t="shared" si="64"/>
        <v>0</v>
      </c>
      <c r="L610" s="272">
        <f t="shared" si="65"/>
        <v>1900</v>
      </c>
      <c r="M610" s="272">
        <f t="shared" si="66"/>
        <v>1</v>
      </c>
      <c r="N610" s="273"/>
      <c r="O610" s="61">
        <f t="shared" si="67"/>
        <v>1900</v>
      </c>
      <c r="P610" s="61">
        <f t="shared" si="68"/>
        <v>1</v>
      </c>
      <c r="R610" s="272"/>
      <c r="S610" s="272"/>
      <c r="T610" s="273" t="str">
        <f t="shared" si="69"/>
        <v>-</v>
      </c>
    </row>
    <row r="611" spans="1:20">
      <c r="A611" s="269"/>
      <c r="B611" s="57"/>
      <c r="C611" s="55"/>
      <c r="D611" s="55"/>
      <c r="E611" s="55"/>
      <c r="F611" s="55"/>
      <c r="G611" s="274"/>
      <c r="H611" s="271"/>
      <c r="I611" s="213"/>
      <c r="J611" s="213"/>
      <c r="K611" s="212">
        <f t="shared" si="64"/>
        <v>0</v>
      </c>
      <c r="L611" s="272">
        <f t="shared" si="65"/>
        <v>1900</v>
      </c>
      <c r="M611" s="272">
        <f t="shared" si="66"/>
        <v>1</v>
      </c>
      <c r="N611" s="273"/>
      <c r="O611" s="61">
        <f t="shared" si="67"/>
        <v>1900</v>
      </c>
      <c r="P611" s="61">
        <f t="shared" si="68"/>
        <v>1</v>
      </c>
      <c r="R611" s="272"/>
      <c r="S611" s="272"/>
      <c r="T611" s="273" t="str">
        <f t="shared" si="69"/>
        <v>-</v>
      </c>
    </row>
    <row r="612" spans="1:20">
      <c r="A612" s="269"/>
      <c r="B612" s="57"/>
      <c r="C612" s="55"/>
      <c r="D612" s="55"/>
      <c r="E612" s="55"/>
      <c r="F612" s="55"/>
      <c r="G612" s="274"/>
      <c r="H612" s="271"/>
      <c r="I612" s="213"/>
      <c r="J612" s="213"/>
      <c r="K612" s="212">
        <f t="shared" si="64"/>
        <v>0</v>
      </c>
      <c r="L612" s="272">
        <f t="shared" si="65"/>
        <v>1900</v>
      </c>
      <c r="M612" s="272">
        <f t="shared" si="66"/>
        <v>1</v>
      </c>
      <c r="N612" s="273"/>
      <c r="O612" s="61">
        <f t="shared" si="67"/>
        <v>1900</v>
      </c>
      <c r="P612" s="61">
        <f t="shared" si="68"/>
        <v>1</v>
      </c>
      <c r="R612" s="272"/>
      <c r="S612" s="272"/>
      <c r="T612" s="273" t="str">
        <f t="shared" si="69"/>
        <v>-</v>
      </c>
    </row>
    <row r="613" spans="1:20">
      <c r="A613" s="269"/>
      <c r="B613" s="57"/>
      <c r="C613" s="55"/>
      <c r="D613" s="55"/>
      <c r="E613" s="55"/>
      <c r="F613" s="55"/>
      <c r="G613" s="274"/>
      <c r="H613" s="271"/>
      <c r="I613" s="213"/>
      <c r="J613" s="213"/>
      <c r="K613" s="212">
        <f t="shared" si="64"/>
        <v>0</v>
      </c>
      <c r="L613" s="272">
        <f t="shared" si="65"/>
        <v>1900</v>
      </c>
      <c r="M613" s="272">
        <f t="shared" si="66"/>
        <v>1</v>
      </c>
      <c r="N613" s="273"/>
      <c r="O613" s="61">
        <f t="shared" si="67"/>
        <v>1900</v>
      </c>
      <c r="P613" s="61">
        <f t="shared" si="68"/>
        <v>1</v>
      </c>
      <c r="R613" s="272"/>
      <c r="S613" s="272"/>
      <c r="T613" s="273" t="str">
        <f t="shared" si="69"/>
        <v>-</v>
      </c>
    </row>
    <row r="614" spans="1:20">
      <c r="A614" s="269"/>
      <c r="B614" s="57"/>
      <c r="C614" s="55"/>
      <c r="D614" s="55"/>
      <c r="E614" s="55"/>
      <c r="F614" s="55"/>
      <c r="G614" s="274"/>
      <c r="H614" s="271"/>
      <c r="I614" s="213"/>
      <c r="J614" s="213"/>
      <c r="K614" s="212">
        <f t="shared" si="64"/>
        <v>0</v>
      </c>
      <c r="L614" s="272">
        <f t="shared" si="65"/>
        <v>1900</v>
      </c>
      <c r="M614" s="272">
        <f t="shared" si="66"/>
        <v>1</v>
      </c>
      <c r="N614" s="273"/>
      <c r="O614" s="61">
        <f t="shared" si="67"/>
        <v>1900</v>
      </c>
      <c r="P614" s="61">
        <f t="shared" si="68"/>
        <v>1</v>
      </c>
      <c r="R614" s="272"/>
      <c r="S614" s="272"/>
      <c r="T614" s="273" t="str">
        <f t="shared" si="69"/>
        <v>-</v>
      </c>
    </row>
    <row r="615" spans="1:20">
      <c r="A615" s="269"/>
      <c r="B615" s="57"/>
      <c r="C615" s="55"/>
      <c r="D615" s="55"/>
      <c r="E615" s="55"/>
      <c r="F615" s="55"/>
      <c r="G615" s="274"/>
      <c r="H615" s="271"/>
      <c r="I615" s="213"/>
      <c r="J615" s="213"/>
      <c r="K615" s="212">
        <f t="shared" si="64"/>
        <v>0</v>
      </c>
      <c r="L615" s="272">
        <f t="shared" si="65"/>
        <v>1900</v>
      </c>
      <c r="M615" s="272">
        <f t="shared" si="66"/>
        <v>1</v>
      </c>
      <c r="N615" s="273"/>
      <c r="O615" s="61">
        <f t="shared" si="67"/>
        <v>1900</v>
      </c>
      <c r="P615" s="61">
        <f t="shared" si="68"/>
        <v>1</v>
      </c>
      <c r="R615" s="272"/>
      <c r="S615" s="272"/>
      <c r="T615" s="273" t="str">
        <f t="shared" si="69"/>
        <v>-</v>
      </c>
    </row>
    <row r="616" spans="1:20">
      <c r="A616" s="269"/>
      <c r="B616" s="57"/>
      <c r="C616" s="55"/>
      <c r="D616" s="55"/>
      <c r="E616" s="55"/>
      <c r="F616" s="55"/>
      <c r="G616" s="274"/>
      <c r="H616" s="271"/>
      <c r="I616" s="213"/>
      <c r="J616" s="213"/>
      <c r="K616" s="212">
        <f t="shared" si="64"/>
        <v>0</v>
      </c>
      <c r="L616" s="272">
        <f t="shared" si="65"/>
        <v>1900</v>
      </c>
      <c r="M616" s="272">
        <f t="shared" si="66"/>
        <v>1</v>
      </c>
      <c r="N616" s="273"/>
      <c r="O616" s="61">
        <f t="shared" si="67"/>
        <v>1900</v>
      </c>
      <c r="P616" s="61">
        <f t="shared" si="68"/>
        <v>1</v>
      </c>
      <c r="R616" s="272"/>
      <c r="S616" s="272"/>
      <c r="T616" s="273" t="str">
        <f t="shared" si="69"/>
        <v>-</v>
      </c>
    </row>
    <row r="617" spans="1:20">
      <c r="A617" s="269"/>
      <c r="B617" s="57"/>
      <c r="C617" s="55"/>
      <c r="D617" s="55"/>
      <c r="E617" s="55"/>
      <c r="F617" s="55"/>
      <c r="G617" s="274"/>
      <c r="H617" s="271"/>
      <c r="I617" s="213"/>
      <c r="J617" s="213"/>
      <c r="K617" s="212">
        <f t="shared" si="64"/>
        <v>0</v>
      </c>
      <c r="L617" s="272">
        <f t="shared" si="65"/>
        <v>1900</v>
      </c>
      <c r="M617" s="272">
        <f t="shared" si="66"/>
        <v>1</v>
      </c>
      <c r="N617" s="273"/>
      <c r="O617" s="61">
        <f t="shared" si="67"/>
        <v>1900</v>
      </c>
      <c r="P617" s="61">
        <f t="shared" si="68"/>
        <v>1</v>
      </c>
      <c r="R617" s="272"/>
      <c r="S617" s="272"/>
      <c r="T617" s="273" t="str">
        <f t="shared" si="69"/>
        <v>-</v>
      </c>
    </row>
    <row r="618" spans="1:20">
      <c r="A618" s="269"/>
      <c r="B618" s="57"/>
      <c r="C618" s="55"/>
      <c r="D618" s="55"/>
      <c r="E618" s="55"/>
      <c r="F618" s="55"/>
      <c r="G618" s="274"/>
      <c r="H618" s="271"/>
      <c r="I618" s="213"/>
      <c r="J618" s="213"/>
      <c r="K618" s="212">
        <f t="shared" si="64"/>
        <v>0</v>
      </c>
      <c r="L618" s="272">
        <f t="shared" si="65"/>
        <v>1900</v>
      </c>
      <c r="M618" s="272">
        <f t="shared" si="66"/>
        <v>1</v>
      </c>
      <c r="N618" s="273"/>
      <c r="O618" s="61">
        <f t="shared" si="67"/>
        <v>1900</v>
      </c>
      <c r="P618" s="61">
        <f t="shared" si="68"/>
        <v>1</v>
      </c>
      <c r="R618" s="272"/>
      <c r="S618" s="272"/>
      <c r="T618" s="273" t="str">
        <f t="shared" si="69"/>
        <v>-</v>
      </c>
    </row>
    <row r="619" spans="1:20">
      <c r="A619" s="269"/>
      <c r="B619" s="57"/>
      <c r="C619" s="55"/>
      <c r="D619" s="55"/>
      <c r="E619" s="55"/>
      <c r="F619" s="55"/>
      <c r="G619" s="274"/>
      <c r="H619" s="271"/>
      <c r="I619" s="213"/>
      <c r="J619" s="213"/>
      <c r="K619" s="212">
        <f t="shared" si="64"/>
        <v>0</v>
      </c>
      <c r="L619" s="272">
        <f t="shared" si="65"/>
        <v>1900</v>
      </c>
      <c r="M619" s="272">
        <f t="shared" si="66"/>
        <v>1</v>
      </c>
      <c r="N619" s="273"/>
      <c r="O619" s="61">
        <f t="shared" si="67"/>
        <v>1900</v>
      </c>
      <c r="P619" s="61">
        <f t="shared" si="68"/>
        <v>1</v>
      </c>
      <c r="R619" s="272"/>
      <c r="S619" s="272"/>
      <c r="T619" s="273" t="str">
        <f t="shared" si="69"/>
        <v>-</v>
      </c>
    </row>
    <row r="620" spans="1:20">
      <c r="A620" s="269"/>
      <c r="B620" s="57"/>
      <c r="C620" s="55"/>
      <c r="D620" s="55"/>
      <c r="E620" s="55"/>
      <c r="F620" s="55"/>
      <c r="G620" s="274"/>
      <c r="H620" s="271"/>
      <c r="I620" s="213"/>
      <c r="J620" s="213"/>
      <c r="K620" s="212">
        <f t="shared" si="64"/>
        <v>0</v>
      </c>
      <c r="L620" s="272">
        <f t="shared" si="65"/>
        <v>1900</v>
      </c>
      <c r="M620" s="272">
        <f t="shared" si="66"/>
        <v>1</v>
      </c>
      <c r="N620" s="273"/>
      <c r="O620" s="61">
        <f t="shared" si="67"/>
        <v>1900</v>
      </c>
      <c r="P620" s="61">
        <f t="shared" si="68"/>
        <v>1</v>
      </c>
      <c r="R620" s="272"/>
      <c r="S620" s="272"/>
      <c r="T620" s="273" t="str">
        <f t="shared" si="69"/>
        <v>-</v>
      </c>
    </row>
    <row r="621" spans="1:20">
      <c r="A621" s="269"/>
      <c r="B621" s="57"/>
      <c r="C621" s="55"/>
      <c r="D621" s="55"/>
      <c r="E621" s="55"/>
      <c r="F621" s="55"/>
      <c r="G621" s="274"/>
      <c r="H621" s="271"/>
      <c r="I621" s="213"/>
      <c r="J621" s="213"/>
      <c r="K621" s="212">
        <f t="shared" si="64"/>
        <v>0</v>
      </c>
      <c r="L621" s="272">
        <f t="shared" si="65"/>
        <v>1900</v>
      </c>
      <c r="M621" s="272">
        <f t="shared" si="66"/>
        <v>1</v>
      </c>
      <c r="N621" s="273"/>
      <c r="O621" s="61">
        <f t="shared" si="67"/>
        <v>1900</v>
      </c>
      <c r="P621" s="61">
        <f t="shared" si="68"/>
        <v>1</v>
      </c>
      <c r="R621" s="272"/>
      <c r="S621" s="272"/>
      <c r="T621" s="273" t="str">
        <f t="shared" si="69"/>
        <v>-</v>
      </c>
    </row>
    <row r="622" spans="1:20">
      <c r="A622" s="269"/>
      <c r="B622" s="57"/>
      <c r="C622" s="55"/>
      <c r="D622" s="55"/>
      <c r="E622" s="55"/>
      <c r="F622" s="55"/>
      <c r="G622" s="274"/>
      <c r="H622" s="271"/>
      <c r="I622" s="213"/>
      <c r="J622" s="213"/>
      <c r="K622" s="212">
        <f t="shared" si="64"/>
        <v>0</v>
      </c>
      <c r="L622" s="272">
        <f t="shared" si="65"/>
        <v>1900</v>
      </c>
      <c r="M622" s="272">
        <f t="shared" si="66"/>
        <v>1</v>
      </c>
      <c r="N622" s="273"/>
      <c r="O622" s="61">
        <f t="shared" si="67"/>
        <v>1900</v>
      </c>
      <c r="P622" s="61">
        <f t="shared" si="68"/>
        <v>1</v>
      </c>
      <c r="R622" s="272"/>
      <c r="S622" s="272"/>
      <c r="T622" s="273" t="str">
        <f t="shared" si="69"/>
        <v>-</v>
      </c>
    </row>
    <row r="623" spans="1:20">
      <c r="A623" s="269"/>
      <c r="B623" s="57"/>
      <c r="C623" s="55"/>
      <c r="D623" s="55"/>
      <c r="E623" s="55"/>
      <c r="F623" s="55"/>
      <c r="G623" s="274"/>
      <c r="H623" s="271"/>
      <c r="I623" s="213"/>
      <c r="J623" s="213"/>
      <c r="K623" s="212">
        <f t="shared" si="64"/>
        <v>0</v>
      </c>
      <c r="L623" s="272">
        <f t="shared" si="65"/>
        <v>1900</v>
      </c>
      <c r="M623" s="272">
        <f t="shared" si="66"/>
        <v>1</v>
      </c>
      <c r="N623" s="273"/>
      <c r="O623" s="61">
        <f t="shared" si="67"/>
        <v>1900</v>
      </c>
      <c r="P623" s="61">
        <f t="shared" si="68"/>
        <v>1</v>
      </c>
      <c r="R623" s="272"/>
      <c r="S623" s="272"/>
      <c r="T623" s="273" t="str">
        <f t="shared" si="69"/>
        <v>-</v>
      </c>
    </row>
    <row r="624" spans="1:20">
      <c r="A624" s="269"/>
      <c r="B624" s="57"/>
      <c r="C624" s="55"/>
      <c r="D624" s="55"/>
      <c r="E624" s="55"/>
      <c r="F624" s="55"/>
      <c r="G624" s="274"/>
      <c r="H624" s="271"/>
      <c r="I624" s="213"/>
      <c r="J624" s="213"/>
      <c r="K624" s="212">
        <f t="shared" si="64"/>
        <v>0</v>
      </c>
      <c r="L624" s="272">
        <f t="shared" si="65"/>
        <v>1900</v>
      </c>
      <c r="M624" s="272">
        <f t="shared" si="66"/>
        <v>1</v>
      </c>
      <c r="N624" s="273"/>
      <c r="O624" s="61">
        <f t="shared" si="67"/>
        <v>1900</v>
      </c>
      <c r="P624" s="61">
        <f t="shared" si="68"/>
        <v>1</v>
      </c>
      <c r="R624" s="272"/>
      <c r="S624" s="272"/>
      <c r="T624" s="273" t="str">
        <f t="shared" si="69"/>
        <v>-</v>
      </c>
    </row>
    <row r="625" spans="1:20">
      <c r="A625" s="269"/>
      <c r="B625" s="57"/>
      <c r="C625" s="55"/>
      <c r="D625" s="55"/>
      <c r="E625" s="55"/>
      <c r="F625" s="55"/>
      <c r="G625" s="274"/>
      <c r="H625" s="271"/>
      <c r="I625" s="213"/>
      <c r="J625" s="213"/>
      <c r="K625" s="212">
        <f t="shared" si="64"/>
        <v>0</v>
      </c>
      <c r="L625" s="272">
        <f t="shared" si="65"/>
        <v>1900</v>
      </c>
      <c r="M625" s="272">
        <f t="shared" si="66"/>
        <v>1</v>
      </c>
      <c r="N625" s="273"/>
      <c r="O625" s="61">
        <f t="shared" si="67"/>
        <v>1900</v>
      </c>
      <c r="P625" s="61">
        <f t="shared" si="68"/>
        <v>1</v>
      </c>
      <c r="R625" s="272"/>
      <c r="S625" s="272"/>
      <c r="T625" s="273" t="str">
        <f t="shared" si="69"/>
        <v>-</v>
      </c>
    </row>
    <row r="626" spans="1:20">
      <c r="A626" s="269"/>
      <c r="B626" s="57"/>
      <c r="C626" s="55"/>
      <c r="D626" s="55"/>
      <c r="E626" s="55"/>
      <c r="F626" s="55"/>
      <c r="G626" s="274"/>
      <c r="H626" s="271"/>
      <c r="I626" s="213"/>
      <c r="J626" s="213"/>
      <c r="K626" s="212">
        <f t="shared" si="64"/>
        <v>0</v>
      </c>
      <c r="L626" s="272">
        <f t="shared" si="65"/>
        <v>1900</v>
      </c>
      <c r="M626" s="272">
        <f t="shared" si="66"/>
        <v>1</v>
      </c>
      <c r="N626" s="273"/>
      <c r="O626" s="61">
        <f t="shared" si="67"/>
        <v>1900</v>
      </c>
      <c r="P626" s="61">
        <f t="shared" si="68"/>
        <v>1</v>
      </c>
      <c r="R626" s="272"/>
      <c r="S626" s="272"/>
      <c r="T626" s="273" t="str">
        <f t="shared" si="69"/>
        <v>-</v>
      </c>
    </row>
    <row r="627" spans="1:20">
      <c r="A627" s="269"/>
      <c r="B627" s="57"/>
      <c r="C627" s="55"/>
      <c r="D627" s="55"/>
      <c r="E627" s="55"/>
      <c r="F627" s="55"/>
      <c r="G627" s="274"/>
      <c r="H627" s="271"/>
      <c r="I627" s="213"/>
      <c r="J627" s="213"/>
      <c r="K627" s="212">
        <f t="shared" si="64"/>
        <v>0</v>
      </c>
      <c r="L627" s="272">
        <f t="shared" si="65"/>
        <v>1900</v>
      </c>
      <c r="M627" s="272">
        <f t="shared" si="66"/>
        <v>1</v>
      </c>
      <c r="N627" s="273"/>
      <c r="O627" s="61">
        <f t="shared" si="67"/>
        <v>1900</v>
      </c>
      <c r="P627" s="61">
        <f t="shared" si="68"/>
        <v>1</v>
      </c>
      <c r="R627" s="272"/>
      <c r="S627" s="272"/>
      <c r="T627" s="273" t="str">
        <f t="shared" si="69"/>
        <v>-</v>
      </c>
    </row>
    <row r="628" spans="1:20">
      <c r="A628" s="269"/>
      <c r="B628" s="57"/>
      <c r="C628" s="55"/>
      <c r="D628" s="55"/>
      <c r="E628" s="55"/>
      <c r="F628" s="55"/>
      <c r="G628" s="274"/>
      <c r="H628" s="271"/>
      <c r="I628" s="213"/>
      <c r="J628" s="213"/>
      <c r="K628" s="212">
        <f t="shared" si="64"/>
        <v>0</v>
      </c>
      <c r="L628" s="272">
        <f t="shared" si="65"/>
        <v>1900</v>
      </c>
      <c r="M628" s="272">
        <f t="shared" si="66"/>
        <v>1</v>
      </c>
      <c r="N628" s="273"/>
      <c r="O628" s="61">
        <f t="shared" si="67"/>
        <v>1900</v>
      </c>
      <c r="P628" s="61">
        <f t="shared" si="68"/>
        <v>1</v>
      </c>
      <c r="R628" s="272"/>
      <c r="S628" s="272"/>
      <c r="T628" s="273" t="str">
        <f t="shared" si="69"/>
        <v>-</v>
      </c>
    </row>
    <row r="629" spans="1:20">
      <c r="A629" s="269"/>
      <c r="B629" s="57"/>
      <c r="C629" s="55"/>
      <c r="D629" s="55"/>
      <c r="E629" s="55"/>
      <c r="F629" s="55"/>
      <c r="G629" s="274"/>
      <c r="H629" s="271"/>
      <c r="I629" s="213"/>
      <c r="J629" s="213"/>
      <c r="K629" s="212">
        <f t="shared" si="64"/>
        <v>0</v>
      </c>
      <c r="L629" s="272">
        <f t="shared" si="65"/>
        <v>1900</v>
      </c>
      <c r="M629" s="272">
        <f t="shared" si="66"/>
        <v>1</v>
      </c>
      <c r="N629" s="273"/>
      <c r="O629" s="61">
        <f t="shared" si="67"/>
        <v>1900</v>
      </c>
      <c r="P629" s="61">
        <f t="shared" si="68"/>
        <v>1</v>
      </c>
      <c r="R629" s="272"/>
      <c r="S629" s="272"/>
      <c r="T629" s="273" t="str">
        <f t="shared" si="69"/>
        <v>-</v>
      </c>
    </row>
    <row r="630" spans="1:20">
      <c r="A630" s="269"/>
      <c r="B630" s="57"/>
      <c r="C630" s="55"/>
      <c r="D630" s="55"/>
      <c r="E630" s="55"/>
      <c r="F630" s="55"/>
      <c r="G630" s="274"/>
      <c r="H630" s="271"/>
      <c r="I630" s="213"/>
      <c r="J630" s="213"/>
      <c r="K630" s="212">
        <f t="shared" si="64"/>
        <v>0</v>
      </c>
      <c r="L630" s="272">
        <f t="shared" si="65"/>
        <v>1900</v>
      </c>
      <c r="M630" s="272">
        <f t="shared" si="66"/>
        <v>1</v>
      </c>
      <c r="N630" s="273"/>
      <c r="O630" s="61">
        <f t="shared" si="67"/>
        <v>1900</v>
      </c>
      <c r="P630" s="61">
        <f t="shared" si="68"/>
        <v>1</v>
      </c>
      <c r="R630" s="272"/>
      <c r="S630" s="272"/>
      <c r="T630" s="273" t="str">
        <f t="shared" si="69"/>
        <v>-</v>
      </c>
    </row>
    <row r="631" spans="1:20">
      <c r="A631" s="269"/>
      <c r="B631" s="57"/>
      <c r="C631" s="55"/>
      <c r="D631" s="55"/>
      <c r="E631" s="55"/>
      <c r="F631" s="55"/>
      <c r="G631" s="274"/>
      <c r="H631" s="271"/>
      <c r="I631" s="213"/>
      <c r="J631" s="213"/>
      <c r="K631" s="212">
        <f t="shared" si="64"/>
        <v>0</v>
      </c>
      <c r="L631" s="272">
        <f t="shared" si="65"/>
        <v>1900</v>
      </c>
      <c r="M631" s="272">
        <f t="shared" si="66"/>
        <v>1</v>
      </c>
      <c r="N631" s="273"/>
      <c r="O631" s="61">
        <f t="shared" si="67"/>
        <v>1900</v>
      </c>
      <c r="P631" s="61">
        <f t="shared" si="68"/>
        <v>1</v>
      </c>
      <c r="R631" s="272"/>
      <c r="S631" s="272"/>
      <c r="T631" s="273" t="str">
        <f t="shared" si="69"/>
        <v>-</v>
      </c>
    </row>
    <row r="632" spans="1:20">
      <c r="A632" s="269"/>
      <c r="B632" s="57"/>
      <c r="C632" s="55"/>
      <c r="D632" s="55"/>
      <c r="E632" s="55"/>
      <c r="F632" s="55"/>
      <c r="G632" s="274"/>
      <c r="H632" s="271"/>
      <c r="I632" s="213"/>
      <c r="J632" s="213"/>
      <c r="K632" s="212">
        <f t="shared" si="64"/>
        <v>0</v>
      </c>
      <c r="L632" s="272">
        <f t="shared" si="65"/>
        <v>1900</v>
      </c>
      <c r="M632" s="272">
        <f t="shared" si="66"/>
        <v>1</v>
      </c>
      <c r="N632" s="273"/>
      <c r="O632" s="61">
        <f t="shared" si="67"/>
        <v>1900</v>
      </c>
      <c r="P632" s="61">
        <f t="shared" si="68"/>
        <v>1</v>
      </c>
      <c r="R632" s="272"/>
      <c r="S632" s="272"/>
      <c r="T632" s="273" t="str">
        <f t="shared" si="69"/>
        <v>-</v>
      </c>
    </row>
    <row r="633" spans="1:20">
      <c r="A633" s="269"/>
      <c r="B633" s="57"/>
      <c r="C633" s="55"/>
      <c r="D633" s="55"/>
      <c r="E633" s="55"/>
      <c r="F633" s="55"/>
      <c r="G633" s="274"/>
      <c r="H633" s="271"/>
      <c r="I633" s="213"/>
      <c r="J633" s="213"/>
      <c r="K633" s="212">
        <f t="shared" si="64"/>
        <v>0</v>
      </c>
      <c r="L633" s="272">
        <f t="shared" si="65"/>
        <v>1900</v>
      </c>
      <c r="M633" s="272">
        <f t="shared" si="66"/>
        <v>1</v>
      </c>
      <c r="N633" s="273"/>
      <c r="O633" s="61">
        <f t="shared" si="67"/>
        <v>1900</v>
      </c>
      <c r="P633" s="61">
        <f t="shared" si="68"/>
        <v>1</v>
      </c>
      <c r="R633" s="272"/>
      <c r="S633" s="272"/>
      <c r="T633" s="273" t="str">
        <f t="shared" si="69"/>
        <v>-</v>
      </c>
    </row>
    <row r="634" spans="1:20">
      <c r="A634" s="269"/>
      <c r="B634" s="57"/>
      <c r="C634" s="55"/>
      <c r="D634" s="55"/>
      <c r="E634" s="55"/>
      <c r="F634" s="55"/>
      <c r="G634" s="274"/>
      <c r="H634" s="271"/>
      <c r="I634" s="213"/>
      <c r="J634" s="213"/>
      <c r="K634" s="212">
        <f t="shared" si="64"/>
        <v>0</v>
      </c>
      <c r="L634" s="272">
        <f t="shared" si="65"/>
        <v>1900</v>
      </c>
      <c r="M634" s="272">
        <f t="shared" si="66"/>
        <v>1</v>
      </c>
      <c r="N634" s="273"/>
      <c r="O634" s="61">
        <f t="shared" si="67"/>
        <v>1900</v>
      </c>
      <c r="P634" s="61">
        <f t="shared" si="68"/>
        <v>1</v>
      </c>
      <c r="R634" s="272"/>
      <c r="S634" s="272"/>
      <c r="T634" s="273" t="str">
        <f t="shared" si="69"/>
        <v>-</v>
      </c>
    </row>
    <row r="635" spans="1:20">
      <c r="A635" s="269"/>
      <c r="B635" s="57"/>
      <c r="C635" s="55"/>
      <c r="D635" s="55"/>
      <c r="E635" s="55"/>
      <c r="F635" s="55"/>
      <c r="G635" s="274"/>
      <c r="H635" s="271"/>
      <c r="I635" s="213"/>
      <c r="J635" s="213"/>
      <c r="K635" s="212">
        <f t="shared" si="64"/>
        <v>0</v>
      </c>
      <c r="L635" s="272">
        <f t="shared" si="65"/>
        <v>1900</v>
      </c>
      <c r="M635" s="272">
        <f t="shared" si="66"/>
        <v>1</v>
      </c>
      <c r="N635" s="273"/>
      <c r="O635" s="61">
        <f t="shared" si="67"/>
        <v>1900</v>
      </c>
      <c r="P635" s="61">
        <f t="shared" si="68"/>
        <v>1</v>
      </c>
      <c r="R635" s="272"/>
      <c r="S635" s="272"/>
      <c r="T635" s="273" t="str">
        <f t="shared" si="69"/>
        <v>-</v>
      </c>
    </row>
    <row r="636" spans="1:20">
      <c r="A636" s="269"/>
      <c r="B636" s="57"/>
      <c r="C636" s="55"/>
      <c r="D636" s="55"/>
      <c r="E636" s="55"/>
      <c r="F636" s="55"/>
      <c r="G636" s="274"/>
      <c r="H636" s="271"/>
      <c r="I636" s="213"/>
      <c r="J636" s="213"/>
      <c r="K636" s="212">
        <f t="shared" si="64"/>
        <v>0</v>
      </c>
      <c r="L636" s="272">
        <f t="shared" si="65"/>
        <v>1900</v>
      </c>
      <c r="M636" s="272">
        <f t="shared" si="66"/>
        <v>1</v>
      </c>
      <c r="N636" s="273"/>
      <c r="O636" s="61">
        <f t="shared" si="67"/>
        <v>1900</v>
      </c>
      <c r="P636" s="61">
        <f t="shared" si="68"/>
        <v>1</v>
      </c>
      <c r="R636" s="272"/>
      <c r="S636" s="272"/>
      <c r="T636" s="273" t="str">
        <f t="shared" si="69"/>
        <v>-</v>
      </c>
    </row>
    <row r="637" spans="1:20">
      <c r="A637" s="269"/>
      <c r="B637" s="57"/>
      <c r="C637" s="55"/>
      <c r="D637" s="55"/>
      <c r="E637" s="55"/>
      <c r="F637" s="55"/>
      <c r="G637" s="274"/>
      <c r="H637" s="271"/>
      <c r="I637" s="213"/>
      <c r="J637" s="213"/>
      <c r="K637" s="212">
        <f t="shared" si="64"/>
        <v>0</v>
      </c>
      <c r="L637" s="272">
        <f t="shared" si="65"/>
        <v>1900</v>
      </c>
      <c r="M637" s="272">
        <f t="shared" si="66"/>
        <v>1</v>
      </c>
      <c r="N637" s="273"/>
      <c r="O637" s="61">
        <f t="shared" si="67"/>
        <v>1900</v>
      </c>
      <c r="P637" s="61">
        <f t="shared" si="68"/>
        <v>1</v>
      </c>
      <c r="R637" s="272"/>
      <c r="S637" s="272"/>
      <c r="T637" s="273" t="str">
        <f t="shared" si="69"/>
        <v>-</v>
      </c>
    </row>
    <row r="638" spans="1:20">
      <c r="A638" s="269"/>
      <c r="B638" s="57"/>
      <c r="C638" s="55"/>
      <c r="D638" s="55"/>
      <c r="E638" s="55"/>
      <c r="F638" s="55"/>
      <c r="G638" s="274"/>
      <c r="H638" s="271"/>
      <c r="I638" s="213"/>
      <c r="J638" s="213"/>
      <c r="K638" s="212">
        <f t="shared" si="64"/>
        <v>0</v>
      </c>
      <c r="L638" s="272">
        <f t="shared" si="65"/>
        <v>1900</v>
      </c>
      <c r="M638" s="272">
        <f t="shared" si="66"/>
        <v>1</v>
      </c>
      <c r="N638" s="273"/>
      <c r="O638" s="61">
        <f t="shared" si="67"/>
        <v>1900</v>
      </c>
      <c r="P638" s="61">
        <f t="shared" si="68"/>
        <v>1</v>
      </c>
      <c r="R638" s="272"/>
      <c r="S638" s="272"/>
      <c r="T638" s="273" t="str">
        <f t="shared" si="69"/>
        <v>-</v>
      </c>
    </row>
    <row r="639" spans="1:20">
      <c r="A639" s="269"/>
      <c r="B639" s="57"/>
      <c r="C639" s="55"/>
      <c r="D639" s="55"/>
      <c r="E639" s="55"/>
      <c r="F639" s="55"/>
      <c r="G639" s="274"/>
      <c r="H639" s="271"/>
      <c r="I639" s="213"/>
      <c r="J639" s="213"/>
      <c r="K639" s="212">
        <f t="shared" si="64"/>
        <v>0</v>
      </c>
      <c r="L639" s="272">
        <f t="shared" si="65"/>
        <v>1900</v>
      </c>
      <c r="M639" s="272">
        <f t="shared" si="66"/>
        <v>1</v>
      </c>
      <c r="N639" s="273"/>
      <c r="O639" s="61">
        <f t="shared" si="67"/>
        <v>1900</v>
      </c>
      <c r="P639" s="61">
        <f t="shared" si="68"/>
        <v>1</v>
      </c>
      <c r="R639" s="272"/>
      <c r="S639" s="272"/>
      <c r="T639" s="273" t="str">
        <f t="shared" si="69"/>
        <v>-</v>
      </c>
    </row>
    <row r="640" spans="1:20">
      <c r="A640" s="269"/>
      <c r="B640" s="57"/>
      <c r="C640" s="55"/>
      <c r="D640" s="55"/>
      <c r="E640" s="55"/>
      <c r="F640" s="55"/>
      <c r="G640" s="274"/>
      <c r="H640" s="271"/>
      <c r="I640" s="213"/>
      <c r="J640" s="213"/>
      <c r="K640" s="212">
        <f t="shared" si="64"/>
        <v>0</v>
      </c>
      <c r="L640" s="272">
        <f t="shared" si="65"/>
        <v>1900</v>
      </c>
      <c r="M640" s="272">
        <f t="shared" si="66"/>
        <v>1</v>
      </c>
      <c r="N640" s="273"/>
      <c r="O640" s="61">
        <f t="shared" si="67"/>
        <v>1900</v>
      </c>
      <c r="P640" s="61">
        <f t="shared" si="68"/>
        <v>1</v>
      </c>
      <c r="R640" s="272"/>
      <c r="S640" s="272"/>
      <c r="T640" s="273" t="str">
        <f t="shared" si="69"/>
        <v>-</v>
      </c>
    </row>
    <row r="641" spans="1:20">
      <c r="A641" s="269"/>
      <c r="B641" s="57"/>
      <c r="C641" s="55"/>
      <c r="D641" s="55"/>
      <c r="E641" s="55"/>
      <c r="F641" s="55"/>
      <c r="G641" s="274"/>
      <c r="H641" s="271"/>
      <c r="I641" s="213"/>
      <c r="J641" s="213"/>
      <c r="K641" s="212">
        <f t="shared" si="64"/>
        <v>0</v>
      </c>
      <c r="L641" s="272">
        <f t="shared" si="65"/>
        <v>1900</v>
      </c>
      <c r="M641" s="272">
        <f t="shared" si="66"/>
        <v>1</v>
      </c>
      <c r="N641" s="273"/>
      <c r="O641" s="61">
        <f t="shared" si="67"/>
        <v>1900</v>
      </c>
      <c r="P641" s="61">
        <f t="shared" si="68"/>
        <v>1</v>
      </c>
      <c r="R641" s="272"/>
      <c r="S641" s="272"/>
      <c r="T641" s="273" t="str">
        <f t="shared" si="69"/>
        <v>-</v>
      </c>
    </row>
    <row r="642" spans="1:20">
      <c r="A642" s="269"/>
      <c r="B642" s="57"/>
      <c r="C642" s="55"/>
      <c r="D642" s="55"/>
      <c r="E642" s="55"/>
      <c r="F642" s="55"/>
      <c r="G642" s="274"/>
      <c r="H642" s="271"/>
      <c r="I642" s="213"/>
      <c r="J642" s="213"/>
      <c r="K642" s="212">
        <f t="shared" si="64"/>
        <v>0</v>
      </c>
      <c r="L642" s="272">
        <f t="shared" si="65"/>
        <v>1900</v>
      </c>
      <c r="M642" s="272">
        <f t="shared" si="66"/>
        <v>1</v>
      </c>
      <c r="N642" s="273"/>
      <c r="O642" s="61">
        <f t="shared" si="67"/>
        <v>1900</v>
      </c>
      <c r="P642" s="61">
        <f t="shared" si="68"/>
        <v>1</v>
      </c>
      <c r="R642" s="272"/>
      <c r="S642" s="272"/>
      <c r="T642" s="273" t="str">
        <f t="shared" si="69"/>
        <v>-</v>
      </c>
    </row>
    <row r="643" spans="1:20">
      <c r="A643" s="269"/>
      <c r="B643" s="57"/>
      <c r="C643" s="55"/>
      <c r="D643" s="55"/>
      <c r="E643" s="55"/>
      <c r="F643" s="55"/>
      <c r="G643" s="274"/>
      <c r="H643" s="271"/>
      <c r="I643" s="213"/>
      <c r="J643" s="213"/>
      <c r="K643" s="212">
        <f t="shared" si="64"/>
        <v>0</v>
      </c>
      <c r="L643" s="272">
        <f t="shared" si="65"/>
        <v>1900</v>
      </c>
      <c r="M643" s="272">
        <f t="shared" si="66"/>
        <v>1</v>
      </c>
      <c r="N643" s="273"/>
      <c r="O643" s="61">
        <f t="shared" si="67"/>
        <v>1900</v>
      </c>
      <c r="P643" s="61">
        <f t="shared" si="68"/>
        <v>1</v>
      </c>
      <c r="R643" s="272"/>
      <c r="S643" s="272"/>
      <c r="T643" s="273" t="str">
        <f t="shared" si="69"/>
        <v>-</v>
      </c>
    </row>
    <row r="644" spans="1:20">
      <c r="A644" s="269"/>
      <c r="B644" s="57"/>
      <c r="C644" s="55"/>
      <c r="D644" s="55"/>
      <c r="E644" s="55"/>
      <c r="F644" s="55"/>
      <c r="G644" s="274"/>
      <c r="H644" s="271"/>
      <c r="I644" s="213"/>
      <c r="J644" s="213"/>
      <c r="K644" s="212">
        <f t="shared" si="64"/>
        <v>0</v>
      </c>
      <c r="L644" s="272">
        <f t="shared" si="65"/>
        <v>1900</v>
      </c>
      <c r="M644" s="272">
        <f t="shared" si="66"/>
        <v>1</v>
      </c>
      <c r="N644" s="273"/>
      <c r="O644" s="61">
        <f t="shared" si="67"/>
        <v>1900</v>
      </c>
      <c r="P644" s="61">
        <f t="shared" si="68"/>
        <v>1</v>
      </c>
      <c r="R644" s="272"/>
      <c r="S644" s="272"/>
      <c r="T644" s="273" t="str">
        <f t="shared" si="69"/>
        <v>-</v>
      </c>
    </row>
    <row r="645" spans="1:20">
      <c r="A645" s="269"/>
      <c r="B645" s="57"/>
      <c r="C645" s="55"/>
      <c r="D645" s="55"/>
      <c r="E645" s="55"/>
      <c r="F645" s="55"/>
      <c r="G645" s="274"/>
      <c r="H645" s="271"/>
      <c r="I645" s="213"/>
      <c r="J645" s="213"/>
      <c r="K645" s="212">
        <f t="shared" si="64"/>
        <v>0</v>
      </c>
      <c r="L645" s="272">
        <f t="shared" si="65"/>
        <v>1900</v>
      </c>
      <c r="M645" s="272">
        <f t="shared" si="66"/>
        <v>1</v>
      </c>
      <c r="N645" s="273"/>
      <c r="O645" s="61">
        <f t="shared" si="67"/>
        <v>1900</v>
      </c>
      <c r="P645" s="61">
        <f t="shared" si="68"/>
        <v>1</v>
      </c>
      <c r="R645" s="272"/>
      <c r="S645" s="272"/>
      <c r="T645" s="273" t="str">
        <f t="shared" si="69"/>
        <v>-</v>
      </c>
    </row>
    <row r="646" spans="1:20">
      <c r="A646" s="269"/>
      <c r="B646" s="57"/>
      <c r="C646" s="55"/>
      <c r="D646" s="55"/>
      <c r="E646" s="55"/>
      <c r="F646" s="55"/>
      <c r="G646" s="274"/>
      <c r="H646" s="271"/>
      <c r="I646" s="213"/>
      <c r="J646" s="213"/>
      <c r="K646" s="212">
        <f t="shared" si="64"/>
        <v>0</v>
      </c>
      <c r="L646" s="272">
        <f t="shared" si="65"/>
        <v>1900</v>
      </c>
      <c r="M646" s="272">
        <f t="shared" si="66"/>
        <v>1</v>
      </c>
      <c r="N646" s="273"/>
      <c r="O646" s="61">
        <f t="shared" si="67"/>
        <v>1900</v>
      </c>
      <c r="P646" s="61">
        <f t="shared" si="68"/>
        <v>1</v>
      </c>
      <c r="R646" s="272"/>
      <c r="S646" s="272"/>
      <c r="T646" s="273" t="str">
        <f t="shared" si="69"/>
        <v>-</v>
      </c>
    </row>
    <row r="647" spans="1:20">
      <c r="A647" s="269"/>
      <c r="B647" s="57"/>
      <c r="C647" s="55"/>
      <c r="D647" s="55"/>
      <c r="E647" s="55"/>
      <c r="F647" s="55"/>
      <c r="G647" s="274"/>
      <c r="H647" s="271"/>
      <c r="I647" s="213"/>
      <c r="J647" s="213"/>
      <c r="K647" s="212">
        <f t="shared" si="64"/>
        <v>0</v>
      </c>
      <c r="L647" s="272">
        <f t="shared" si="65"/>
        <v>1900</v>
      </c>
      <c r="M647" s="272">
        <f t="shared" si="66"/>
        <v>1</v>
      </c>
      <c r="N647" s="273"/>
      <c r="O647" s="61">
        <f t="shared" si="67"/>
        <v>1900</v>
      </c>
      <c r="P647" s="61">
        <f t="shared" si="68"/>
        <v>1</v>
      </c>
      <c r="R647" s="272"/>
      <c r="S647" s="272"/>
      <c r="T647" s="273" t="str">
        <f t="shared" si="69"/>
        <v>-</v>
      </c>
    </row>
    <row r="648" spans="1:20">
      <c r="A648" s="269"/>
      <c r="B648" s="57"/>
      <c r="C648" s="55"/>
      <c r="D648" s="55"/>
      <c r="E648" s="55"/>
      <c r="F648" s="55"/>
      <c r="G648" s="274"/>
      <c r="H648" s="271"/>
      <c r="I648" s="213"/>
      <c r="J648" s="213"/>
      <c r="K648" s="212">
        <f t="shared" si="64"/>
        <v>0</v>
      </c>
      <c r="L648" s="272">
        <f t="shared" si="65"/>
        <v>1900</v>
      </c>
      <c r="M648" s="272">
        <f t="shared" si="66"/>
        <v>1</v>
      </c>
      <c r="N648" s="273"/>
      <c r="O648" s="61">
        <f t="shared" si="67"/>
        <v>1900</v>
      </c>
      <c r="P648" s="61">
        <f t="shared" si="68"/>
        <v>1</v>
      </c>
      <c r="R648" s="272"/>
      <c r="S648" s="272"/>
      <c r="T648" s="273" t="str">
        <f t="shared" si="69"/>
        <v>-</v>
      </c>
    </row>
    <row r="649" spans="1:20">
      <c r="A649" s="269"/>
      <c r="B649" s="57"/>
      <c r="C649" s="55"/>
      <c r="D649" s="55"/>
      <c r="E649" s="55"/>
      <c r="F649" s="55"/>
      <c r="G649" s="274"/>
      <c r="H649" s="271"/>
      <c r="I649" s="213"/>
      <c r="J649" s="213"/>
      <c r="K649" s="212">
        <f t="shared" si="64"/>
        <v>0</v>
      </c>
      <c r="L649" s="272">
        <f t="shared" si="65"/>
        <v>1900</v>
      </c>
      <c r="M649" s="272">
        <f t="shared" si="66"/>
        <v>1</v>
      </c>
      <c r="N649" s="273"/>
      <c r="O649" s="61">
        <f t="shared" si="67"/>
        <v>1900</v>
      </c>
      <c r="P649" s="61">
        <f t="shared" si="68"/>
        <v>1</v>
      </c>
      <c r="R649" s="272"/>
      <c r="S649" s="272"/>
      <c r="T649" s="273" t="str">
        <f t="shared" si="69"/>
        <v>-</v>
      </c>
    </row>
    <row r="650" spans="1:20">
      <c r="A650" s="269"/>
      <c r="B650" s="57"/>
      <c r="C650" s="55"/>
      <c r="D650" s="55"/>
      <c r="E650" s="55"/>
      <c r="F650" s="55"/>
      <c r="G650" s="274"/>
      <c r="H650" s="271"/>
      <c r="I650" s="213"/>
      <c r="J650" s="213"/>
      <c r="K650" s="212">
        <f t="shared" si="64"/>
        <v>0</v>
      </c>
      <c r="L650" s="272">
        <f t="shared" si="65"/>
        <v>1900</v>
      </c>
      <c r="M650" s="272">
        <f t="shared" si="66"/>
        <v>1</v>
      </c>
      <c r="N650" s="273"/>
      <c r="O650" s="61">
        <f t="shared" si="67"/>
        <v>1900</v>
      </c>
      <c r="P650" s="61">
        <f t="shared" si="68"/>
        <v>1</v>
      </c>
      <c r="R650" s="272"/>
      <c r="S650" s="272"/>
      <c r="T650" s="273" t="str">
        <f t="shared" si="69"/>
        <v>-</v>
      </c>
    </row>
    <row r="651" spans="1:20">
      <c r="A651" s="269"/>
      <c r="B651" s="57"/>
      <c r="C651" s="55"/>
      <c r="D651" s="55"/>
      <c r="E651" s="55"/>
      <c r="F651" s="55"/>
      <c r="G651" s="274"/>
      <c r="H651" s="271"/>
      <c r="I651" s="213"/>
      <c r="J651" s="213"/>
      <c r="K651" s="212">
        <f t="shared" si="64"/>
        <v>0</v>
      </c>
      <c r="L651" s="272">
        <f t="shared" si="65"/>
        <v>1900</v>
      </c>
      <c r="M651" s="272">
        <f t="shared" si="66"/>
        <v>1</v>
      </c>
      <c r="N651" s="273"/>
      <c r="O651" s="61">
        <f t="shared" si="67"/>
        <v>1900</v>
      </c>
      <c r="P651" s="61">
        <f t="shared" si="68"/>
        <v>1</v>
      </c>
      <c r="R651" s="272"/>
      <c r="S651" s="272"/>
      <c r="T651" s="273" t="str">
        <f t="shared" si="69"/>
        <v>-</v>
      </c>
    </row>
    <row r="652" spans="1:20">
      <c r="A652" s="269"/>
      <c r="B652" s="57"/>
      <c r="C652" s="55"/>
      <c r="D652" s="55"/>
      <c r="E652" s="55"/>
      <c r="F652" s="55"/>
      <c r="G652" s="274"/>
      <c r="H652" s="271"/>
      <c r="I652" s="213"/>
      <c r="J652" s="213"/>
      <c r="K652" s="212">
        <f t="shared" si="64"/>
        <v>0</v>
      </c>
      <c r="L652" s="272">
        <f t="shared" si="65"/>
        <v>1900</v>
      </c>
      <c r="M652" s="272">
        <f t="shared" si="66"/>
        <v>1</v>
      </c>
      <c r="N652" s="273"/>
      <c r="O652" s="61">
        <f t="shared" si="67"/>
        <v>1900</v>
      </c>
      <c r="P652" s="61">
        <f t="shared" si="68"/>
        <v>1</v>
      </c>
      <c r="R652" s="272"/>
      <c r="S652" s="272"/>
      <c r="T652" s="273" t="str">
        <f t="shared" si="69"/>
        <v>-</v>
      </c>
    </row>
    <row r="653" spans="1:20">
      <c r="A653" s="269"/>
      <c r="B653" s="57"/>
      <c r="C653" s="55"/>
      <c r="D653" s="55"/>
      <c r="E653" s="55"/>
      <c r="F653" s="55"/>
      <c r="G653" s="274"/>
      <c r="H653" s="271"/>
      <c r="I653" s="213"/>
      <c r="J653" s="213"/>
      <c r="K653" s="212">
        <f t="shared" si="64"/>
        <v>0</v>
      </c>
      <c r="L653" s="272">
        <f t="shared" si="65"/>
        <v>1900</v>
      </c>
      <c r="M653" s="272">
        <f t="shared" si="66"/>
        <v>1</v>
      </c>
      <c r="N653" s="273"/>
      <c r="O653" s="61">
        <f t="shared" si="67"/>
        <v>1900</v>
      </c>
      <c r="P653" s="61">
        <f t="shared" si="68"/>
        <v>1</v>
      </c>
      <c r="R653" s="272"/>
      <c r="S653" s="272"/>
      <c r="T653" s="273" t="str">
        <f t="shared" si="69"/>
        <v>-</v>
      </c>
    </row>
    <row r="654" spans="1:20">
      <c r="A654" s="269"/>
      <c r="B654" s="57"/>
      <c r="C654" s="55"/>
      <c r="D654" s="55"/>
      <c r="E654" s="55"/>
      <c r="F654" s="55"/>
      <c r="G654" s="274"/>
      <c r="H654" s="271"/>
      <c r="I654" s="213"/>
      <c r="J654" s="213"/>
      <c r="K654" s="212">
        <f t="shared" si="64"/>
        <v>0</v>
      </c>
      <c r="L654" s="272">
        <f t="shared" si="65"/>
        <v>1900</v>
      </c>
      <c r="M654" s="272">
        <f t="shared" si="66"/>
        <v>1</v>
      </c>
      <c r="N654" s="273"/>
      <c r="O654" s="61">
        <f t="shared" si="67"/>
        <v>1900</v>
      </c>
      <c r="P654" s="61">
        <f t="shared" si="68"/>
        <v>1</v>
      </c>
      <c r="R654" s="272"/>
      <c r="S654" s="272"/>
      <c r="T654" s="273" t="str">
        <f t="shared" si="69"/>
        <v>-</v>
      </c>
    </row>
    <row r="655" spans="1:20">
      <c r="A655" s="269"/>
      <c r="B655" s="57"/>
      <c r="C655" s="55"/>
      <c r="D655" s="55"/>
      <c r="E655" s="55"/>
      <c r="F655" s="55"/>
      <c r="G655" s="274"/>
      <c r="H655" s="271"/>
      <c r="I655" s="213"/>
      <c r="J655" s="213"/>
      <c r="K655" s="212">
        <f t="shared" ref="K655:K718" si="70">I655+H655+J655</f>
        <v>0</v>
      </c>
      <c r="L655" s="272">
        <f t="shared" si="65"/>
        <v>1900</v>
      </c>
      <c r="M655" s="272">
        <f t="shared" si="66"/>
        <v>1</v>
      </c>
      <c r="N655" s="273"/>
      <c r="O655" s="61">
        <f t="shared" si="67"/>
        <v>1900</v>
      </c>
      <c r="P655" s="61">
        <f t="shared" si="68"/>
        <v>1</v>
      </c>
      <c r="R655" s="272"/>
      <c r="S655" s="272"/>
      <c r="T655" s="273" t="str">
        <f t="shared" si="69"/>
        <v>-</v>
      </c>
    </row>
    <row r="656" spans="1:20">
      <c r="A656" s="269"/>
      <c r="B656" s="57"/>
      <c r="C656" s="55"/>
      <c r="D656" s="55"/>
      <c r="E656" s="55"/>
      <c r="F656" s="55"/>
      <c r="G656" s="274"/>
      <c r="H656" s="271"/>
      <c r="I656" s="213"/>
      <c r="J656" s="213"/>
      <c r="K656" s="212">
        <f t="shared" si="70"/>
        <v>0</v>
      </c>
      <c r="L656" s="272">
        <f t="shared" ref="L656:L719" si="71">YEAR(B656)</f>
        <v>1900</v>
      </c>
      <c r="M656" s="272">
        <f t="shared" ref="M656:M719" si="72">MONTH(B656)</f>
        <v>1</v>
      </c>
      <c r="N656" s="273"/>
      <c r="O656" s="61">
        <f t="shared" ref="O656:O719" si="73">YEAR(B656)</f>
        <v>1900</v>
      </c>
      <c r="P656" s="61">
        <f t="shared" ref="P656:P719" si="74">MONTH(B656)</f>
        <v>1</v>
      </c>
      <c r="R656" s="272"/>
      <c r="S656" s="272"/>
      <c r="T656" s="273" t="str">
        <f t="shared" ref="T656:T719" si="75">IF($E656&gt;0,IF((R656+S656)=$E656,"OK","Error"),"-")</f>
        <v>-</v>
      </c>
    </row>
    <row r="657" spans="1:20">
      <c r="A657" s="269"/>
      <c r="B657" s="57"/>
      <c r="C657" s="55"/>
      <c r="D657" s="55"/>
      <c r="E657" s="55"/>
      <c r="F657" s="55"/>
      <c r="G657" s="274"/>
      <c r="H657" s="271"/>
      <c r="I657" s="213"/>
      <c r="J657" s="213"/>
      <c r="K657" s="212">
        <f t="shared" si="70"/>
        <v>0</v>
      </c>
      <c r="L657" s="272">
        <f t="shared" si="71"/>
        <v>1900</v>
      </c>
      <c r="M657" s="272">
        <f t="shared" si="72"/>
        <v>1</v>
      </c>
      <c r="N657" s="273"/>
      <c r="O657" s="61">
        <f t="shared" si="73"/>
        <v>1900</v>
      </c>
      <c r="P657" s="61">
        <f t="shared" si="74"/>
        <v>1</v>
      </c>
      <c r="R657" s="272"/>
      <c r="S657" s="272"/>
      <c r="T657" s="273" t="str">
        <f t="shared" si="75"/>
        <v>-</v>
      </c>
    </row>
    <row r="658" spans="1:20">
      <c r="A658" s="269"/>
      <c r="B658" s="57"/>
      <c r="C658" s="55"/>
      <c r="D658" s="55"/>
      <c r="E658" s="55"/>
      <c r="F658" s="55"/>
      <c r="G658" s="274"/>
      <c r="H658" s="271"/>
      <c r="I658" s="213"/>
      <c r="J658" s="213"/>
      <c r="K658" s="212">
        <f t="shared" si="70"/>
        <v>0</v>
      </c>
      <c r="L658" s="272">
        <f t="shared" si="71"/>
        <v>1900</v>
      </c>
      <c r="M658" s="272">
        <f t="shared" si="72"/>
        <v>1</v>
      </c>
      <c r="N658" s="273"/>
      <c r="O658" s="61">
        <f t="shared" si="73"/>
        <v>1900</v>
      </c>
      <c r="P658" s="61">
        <f t="shared" si="74"/>
        <v>1</v>
      </c>
      <c r="R658" s="272"/>
      <c r="S658" s="272"/>
      <c r="T658" s="273" t="str">
        <f t="shared" si="75"/>
        <v>-</v>
      </c>
    </row>
    <row r="659" spans="1:20">
      <c r="A659" s="269"/>
      <c r="B659" s="57"/>
      <c r="C659" s="55"/>
      <c r="D659" s="55"/>
      <c r="E659" s="55"/>
      <c r="F659" s="55"/>
      <c r="G659" s="274"/>
      <c r="H659" s="271"/>
      <c r="I659" s="213"/>
      <c r="J659" s="213"/>
      <c r="K659" s="212">
        <f t="shared" si="70"/>
        <v>0</v>
      </c>
      <c r="L659" s="272">
        <f t="shared" si="71"/>
        <v>1900</v>
      </c>
      <c r="M659" s="272">
        <f t="shared" si="72"/>
        <v>1</v>
      </c>
      <c r="N659" s="273"/>
      <c r="O659" s="61">
        <f t="shared" si="73"/>
        <v>1900</v>
      </c>
      <c r="P659" s="61">
        <f t="shared" si="74"/>
        <v>1</v>
      </c>
      <c r="R659" s="272"/>
      <c r="S659" s="272"/>
      <c r="T659" s="273" t="str">
        <f t="shared" si="75"/>
        <v>-</v>
      </c>
    </row>
    <row r="660" spans="1:20">
      <c r="A660" s="269"/>
      <c r="B660" s="57"/>
      <c r="C660" s="55"/>
      <c r="D660" s="55"/>
      <c r="E660" s="55"/>
      <c r="F660" s="55"/>
      <c r="G660" s="274"/>
      <c r="H660" s="271"/>
      <c r="I660" s="213"/>
      <c r="J660" s="213"/>
      <c r="K660" s="212">
        <f t="shared" si="70"/>
        <v>0</v>
      </c>
      <c r="L660" s="272">
        <f t="shared" si="71"/>
        <v>1900</v>
      </c>
      <c r="M660" s="272">
        <f t="shared" si="72"/>
        <v>1</v>
      </c>
      <c r="N660" s="273"/>
      <c r="O660" s="61">
        <f t="shared" si="73"/>
        <v>1900</v>
      </c>
      <c r="P660" s="61">
        <f t="shared" si="74"/>
        <v>1</v>
      </c>
      <c r="R660" s="272"/>
      <c r="S660" s="272"/>
      <c r="T660" s="273" t="str">
        <f t="shared" si="75"/>
        <v>-</v>
      </c>
    </row>
    <row r="661" spans="1:20">
      <c r="A661" s="269"/>
      <c r="B661" s="57"/>
      <c r="C661" s="55"/>
      <c r="D661" s="55"/>
      <c r="E661" s="55"/>
      <c r="F661" s="55"/>
      <c r="G661" s="274"/>
      <c r="H661" s="271"/>
      <c r="I661" s="213"/>
      <c r="J661" s="213"/>
      <c r="K661" s="212">
        <f t="shared" si="70"/>
        <v>0</v>
      </c>
      <c r="L661" s="272">
        <f t="shared" si="71"/>
        <v>1900</v>
      </c>
      <c r="M661" s="272">
        <f t="shared" si="72"/>
        <v>1</v>
      </c>
      <c r="N661" s="273"/>
      <c r="O661" s="61">
        <f t="shared" si="73"/>
        <v>1900</v>
      </c>
      <c r="P661" s="61">
        <f t="shared" si="74"/>
        <v>1</v>
      </c>
      <c r="R661" s="272"/>
      <c r="S661" s="272"/>
      <c r="T661" s="273" t="str">
        <f t="shared" si="75"/>
        <v>-</v>
      </c>
    </row>
    <row r="662" spans="1:20">
      <c r="A662" s="269"/>
      <c r="B662" s="57"/>
      <c r="C662" s="55"/>
      <c r="D662" s="55"/>
      <c r="E662" s="55"/>
      <c r="F662" s="55"/>
      <c r="G662" s="274"/>
      <c r="H662" s="271"/>
      <c r="I662" s="213"/>
      <c r="J662" s="213"/>
      <c r="K662" s="212">
        <f t="shared" si="70"/>
        <v>0</v>
      </c>
      <c r="L662" s="272">
        <f t="shared" si="71"/>
        <v>1900</v>
      </c>
      <c r="M662" s="272">
        <f t="shared" si="72"/>
        <v>1</v>
      </c>
      <c r="N662" s="273"/>
      <c r="O662" s="61">
        <f t="shared" si="73"/>
        <v>1900</v>
      </c>
      <c r="P662" s="61">
        <f t="shared" si="74"/>
        <v>1</v>
      </c>
      <c r="R662" s="272"/>
      <c r="S662" s="272"/>
      <c r="T662" s="273" t="str">
        <f t="shared" si="75"/>
        <v>-</v>
      </c>
    </row>
    <row r="663" spans="1:20">
      <c r="A663" s="269"/>
      <c r="B663" s="57"/>
      <c r="C663" s="55"/>
      <c r="D663" s="55"/>
      <c r="E663" s="55"/>
      <c r="F663" s="55"/>
      <c r="G663" s="274"/>
      <c r="H663" s="271"/>
      <c r="I663" s="213"/>
      <c r="J663" s="213"/>
      <c r="K663" s="212">
        <f t="shared" si="70"/>
        <v>0</v>
      </c>
      <c r="L663" s="272">
        <f t="shared" si="71"/>
        <v>1900</v>
      </c>
      <c r="M663" s="272">
        <f t="shared" si="72"/>
        <v>1</v>
      </c>
      <c r="N663" s="273"/>
      <c r="O663" s="61">
        <f t="shared" si="73"/>
        <v>1900</v>
      </c>
      <c r="P663" s="61">
        <f t="shared" si="74"/>
        <v>1</v>
      </c>
      <c r="R663" s="272"/>
      <c r="S663" s="272"/>
      <c r="T663" s="273" t="str">
        <f t="shared" si="75"/>
        <v>-</v>
      </c>
    </row>
    <row r="664" spans="1:20">
      <c r="A664" s="269"/>
      <c r="B664" s="57"/>
      <c r="C664" s="55"/>
      <c r="D664" s="55"/>
      <c r="E664" s="55"/>
      <c r="F664" s="55"/>
      <c r="G664" s="274"/>
      <c r="H664" s="271"/>
      <c r="I664" s="213"/>
      <c r="J664" s="213"/>
      <c r="K664" s="212">
        <f t="shared" si="70"/>
        <v>0</v>
      </c>
      <c r="L664" s="272">
        <f t="shared" si="71"/>
        <v>1900</v>
      </c>
      <c r="M664" s="272">
        <f t="shared" si="72"/>
        <v>1</v>
      </c>
      <c r="N664" s="273"/>
      <c r="O664" s="61">
        <f t="shared" si="73"/>
        <v>1900</v>
      </c>
      <c r="P664" s="61">
        <f t="shared" si="74"/>
        <v>1</v>
      </c>
      <c r="R664" s="272"/>
      <c r="S664" s="272"/>
      <c r="T664" s="273" t="str">
        <f t="shared" si="75"/>
        <v>-</v>
      </c>
    </row>
    <row r="665" spans="1:20">
      <c r="A665" s="269"/>
      <c r="B665" s="57"/>
      <c r="C665" s="55"/>
      <c r="D665" s="55"/>
      <c r="E665" s="55"/>
      <c r="F665" s="55"/>
      <c r="G665" s="274"/>
      <c r="H665" s="271"/>
      <c r="I665" s="213"/>
      <c r="J665" s="213"/>
      <c r="K665" s="212">
        <f t="shared" si="70"/>
        <v>0</v>
      </c>
      <c r="L665" s="272">
        <f t="shared" si="71"/>
        <v>1900</v>
      </c>
      <c r="M665" s="272">
        <f t="shared" si="72"/>
        <v>1</v>
      </c>
      <c r="N665" s="273"/>
      <c r="O665" s="61">
        <f t="shared" si="73"/>
        <v>1900</v>
      </c>
      <c r="P665" s="61">
        <f t="shared" si="74"/>
        <v>1</v>
      </c>
      <c r="R665" s="272"/>
      <c r="S665" s="272"/>
      <c r="T665" s="273" t="str">
        <f t="shared" si="75"/>
        <v>-</v>
      </c>
    </row>
    <row r="666" spans="1:20">
      <c r="A666" s="269"/>
      <c r="B666" s="57"/>
      <c r="C666" s="55"/>
      <c r="D666" s="55"/>
      <c r="E666" s="55"/>
      <c r="F666" s="55"/>
      <c r="G666" s="274"/>
      <c r="H666" s="271"/>
      <c r="I666" s="213"/>
      <c r="J666" s="213"/>
      <c r="K666" s="212">
        <f t="shared" si="70"/>
        <v>0</v>
      </c>
      <c r="L666" s="272">
        <f t="shared" si="71"/>
        <v>1900</v>
      </c>
      <c r="M666" s="272">
        <f t="shared" si="72"/>
        <v>1</v>
      </c>
      <c r="N666" s="273"/>
      <c r="O666" s="61">
        <f t="shared" si="73"/>
        <v>1900</v>
      </c>
      <c r="P666" s="61">
        <f t="shared" si="74"/>
        <v>1</v>
      </c>
      <c r="R666" s="272"/>
      <c r="S666" s="272"/>
      <c r="T666" s="273" t="str">
        <f t="shared" si="75"/>
        <v>-</v>
      </c>
    </row>
    <row r="667" spans="1:20">
      <c r="A667" s="269"/>
      <c r="B667" s="57"/>
      <c r="C667" s="55"/>
      <c r="D667" s="55"/>
      <c r="E667" s="55"/>
      <c r="F667" s="55"/>
      <c r="G667" s="274"/>
      <c r="H667" s="271"/>
      <c r="I667" s="213"/>
      <c r="J667" s="213"/>
      <c r="K667" s="212">
        <f t="shared" si="70"/>
        <v>0</v>
      </c>
      <c r="L667" s="272">
        <f t="shared" si="71"/>
        <v>1900</v>
      </c>
      <c r="M667" s="272">
        <f t="shared" si="72"/>
        <v>1</v>
      </c>
      <c r="N667" s="273"/>
      <c r="O667" s="61">
        <f t="shared" si="73"/>
        <v>1900</v>
      </c>
      <c r="P667" s="61">
        <f t="shared" si="74"/>
        <v>1</v>
      </c>
      <c r="R667" s="272"/>
      <c r="S667" s="272"/>
      <c r="T667" s="273" t="str">
        <f t="shared" si="75"/>
        <v>-</v>
      </c>
    </row>
    <row r="668" spans="1:20">
      <c r="A668" s="269"/>
      <c r="B668" s="57"/>
      <c r="C668" s="55"/>
      <c r="D668" s="55"/>
      <c r="E668" s="55"/>
      <c r="F668" s="55"/>
      <c r="G668" s="274"/>
      <c r="H668" s="271"/>
      <c r="I668" s="213"/>
      <c r="J668" s="213"/>
      <c r="K668" s="212">
        <f t="shared" si="70"/>
        <v>0</v>
      </c>
      <c r="L668" s="272">
        <f t="shared" si="71"/>
        <v>1900</v>
      </c>
      <c r="M668" s="272">
        <f t="shared" si="72"/>
        <v>1</v>
      </c>
      <c r="N668" s="273"/>
      <c r="O668" s="61">
        <f t="shared" si="73"/>
        <v>1900</v>
      </c>
      <c r="P668" s="61">
        <f t="shared" si="74"/>
        <v>1</v>
      </c>
      <c r="R668" s="272"/>
      <c r="S668" s="272"/>
      <c r="T668" s="273" t="str">
        <f t="shared" si="75"/>
        <v>-</v>
      </c>
    </row>
    <row r="669" spans="1:20">
      <c r="A669" s="269"/>
      <c r="B669" s="57"/>
      <c r="C669" s="55"/>
      <c r="D669" s="55"/>
      <c r="E669" s="55"/>
      <c r="F669" s="55"/>
      <c r="G669" s="274"/>
      <c r="H669" s="271"/>
      <c r="I669" s="213"/>
      <c r="J669" s="213"/>
      <c r="K669" s="212">
        <f t="shared" si="70"/>
        <v>0</v>
      </c>
      <c r="L669" s="272">
        <f t="shared" si="71"/>
        <v>1900</v>
      </c>
      <c r="M669" s="272">
        <f t="shared" si="72"/>
        <v>1</v>
      </c>
      <c r="N669" s="273"/>
      <c r="O669" s="61">
        <f t="shared" si="73"/>
        <v>1900</v>
      </c>
      <c r="P669" s="61">
        <f t="shared" si="74"/>
        <v>1</v>
      </c>
      <c r="R669" s="272"/>
      <c r="S669" s="272"/>
      <c r="T669" s="273" t="str">
        <f t="shared" si="75"/>
        <v>-</v>
      </c>
    </row>
    <row r="670" spans="1:20">
      <c r="A670" s="269"/>
      <c r="B670" s="57"/>
      <c r="C670" s="55"/>
      <c r="D670" s="55"/>
      <c r="E670" s="55"/>
      <c r="F670" s="55"/>
      <c r="G670" s="274"/>
      <c r="H670" s="271"/>
      <c r="I670" s="213"/>
      <c r="J670" s="213"/>
      <c r="K670" s="212">
        <f t="shared" si="70"/>
        <v>0</v>
      </c>
      <c r="L670" s="272">
        <f t="shared" si="71"/>
        <v>1900</v>
      </c>
      <c r="M670" s="272">
        <f t="shared" si="72"/>
        <v>1</v>
      </c>
      <c r="N670" s="273"/>
      <c r="O670" s="61">
        <f t="shared" si="73"/>
        <v>1900</v>
      </c>
      <c r="P670" s="61">
        <f t="shared" si="74"/>
        <v>1</v>
      </c>
      <c r="R670" s="272"/>
      <c r="S670" s="272"/>
      <c r="T670" s="273" t="str">
        <f t="shared" si="75"/>
        <v>-</v>
      </c>
    </row>
    <row r="671" spans="1:20">
      <c r="A671" s="269"/>
      <c r="B671" s="57"/>
      <c r="C671" s="55"/>
      <c r="D671" s="55"/>
      <c r="E671" s="55"/>
      <c r="F671" s="55"/>
      <c r="G671" s="274"/>
      <c r="H671" s="271"/>
      <c r="I671" s="213"/>
      <c r="J671" s="213"/>
      <c r="K671" s="212">
        <f t="shared" si="70"/>
        <v>0</v>
      </c>
      <c r="L671" s="272">
        <f t="shared" si="71"/>
        <v>1900</v>
      </c>
      <c r="M671" s="272">
        <f t="shared" si="72"/>
        <v>1</v>
      </c>
      <c r="N671" s="273"/>
      <c r="O671" s="61">
        <f t="shared" si="73"/>
        <v>1900</v>
      </c>
      <c r="P671" s="61">
        <f t="shared" si="74"/>
        <v>1</v>
      </c>
      <c r="R671" s="272"/>
      <c r="S671" s="272"/>
      <c r="T671" s="273" t="str">
        <f t="shared" si="75"/>
        <v>-</v>
      </c>
    </row>
    <row r="672" spans="1:20">
      <c r="A672" s="269"/>
      <c r="B672" s="57"/>
      <c r="C672" s="55"/>
      <c r="D672" s="55"/>
      <c r="E672" s="55"/>
      <c r="F672" s="55"/>
      <c r="G672" s="274"/>
      <c r="H672" s="271"/>
      <c r="I672" s="213"/>
      <c r="J672" s="213"/>
      <c r="K672" s="212">
        <f t="shared" si="70"/>
        <v>0</v>
      </c>
      <c r="L672" s="272">
        <f t="shared" si="71"/>
        <v>1900</v>
      </c>
      <c r="M672" s="272">
        <f t="shared" si="72"/>
        <v>1</v>
      </c>
      <c r="N672" s="273"/>
      <c r="O672" s="61">
        <f t="shared" si="73"/>
        <v>1900</v>
      </c>
      <c r="P672" s="61">
        <f t="shared" si="74"/>
        <v>1</v>
      </c>
      <c r="R672" s="272"/>
      <c r="S672" s="272"/>
      <c r="T672" s="273" t="str">
        <f t="shared" si="75"/>
        <v>-</v>
      </c>
    </row>
    <row r="673" spans="1:20">
      <c r="A673" s="269"/>
      <c r="B673" s="57"/>
      <c r="C673" s="55"/>
      <c r="D673" s="55"/>
      <c r="E673" s="55"/>
      <c r="F673" s="55"/>
      <c r="G673" s="274"/>
      <c r="H673" s="271"/>
      <c r="I673" s="213"/>
      <c r="J673" s="213"/>
      <c r="K673" s="212">
        <f t="shared" si="70"/>
        <v>0</v>
      </c>
      <c r="L673" s="272">
        <f t="shared" si="71"/>
        <v>1900</v>
      </c>
      <c r="M673" s="272">
        <f t="shared" si="72"/>
        <v>1</v>
      </c>
      <c r="N673" s="273"/>
      <c r="O673" s="61">
        <f t="shared" si="73"/>
        <v>1900</v>
      </c>
      <c r="P673" s="61">
        <f t="shared" si="74"/>
        <v>1</v>
      </c>
      <c r="R673" s="272"/>
      <c r="S673" s="272"/>
      <c r="T673" s="273" t="str">
        <f t="shared" si="75"/>
        <v>-</v>
      </c>
    </row>
    <row r="674" spans="1:20">
      <c r="A674" s="269"/>
      <c r="B674" s="57"/>
      <c r="C674" s="55"/>
      <c r="D674" s="55"/>
      <c r="E674" s="55"/>
      <c r="F674" s="55"/>
      <c r="G674" s="274"/>
      <c r="H674" s="271"/>
      <c r="I674" s="213"/>
      <c r="J674" s="213"/>
      <c r="K674" s="212">
        <f t="shared" si="70"/>
        <v>0</v>
      </c>
      <c r="L674" s="272">
        <f t="shared" si="71"/>
        <v>1900</v>
      </c>
      <c r="M674" s="272">
        <f t="shared" si="72"/>
        <v>1</v>
      </c>
      <c r="N674" s="273"/>
      <c r="O674" s="61">
        <f t="shared" si="73"/>
        <v>1900</v>
      </c>
      <c r="P674" s="61">
        <f t="shared" si="74"/>
        <v>1</v>
      </c>
      <c r="R674" s="272"/>
      <c r="S674" s="272"/>
      <c r="T674" s="273" t="str">
        <f t="shared" si="75"/>
        <v>-</v>
      </c>
    </row>
    <row r="675" spans="1:20">
      <c r="A675" s="269"/>
      <c r="B675" s="57"/>
      <c r="C675" s="55"/>
      <c r="D675" s="55"/>
      <c r="E675" s="55"/>
      <c r="F675" s="55"/>
      <c r="G675" s="274"/>
      <c r="H675" s="271"/>
      <c r="I675" s="213"/>
      <c r="J675" s="213"/>
      <c r="K675" s="212">
        <f t="shared" si="70"/>
        <v>0</v>
      </c>
      <c r="L675" s="272">
        <f t="shared" si="71"/>
        <v>1900</v>
      </c>
      <c r="M675" s="272">
        <f t="shared" si="72"/>
        <v>1</v>
      </c>
      <c r="N675" s="273"/>
      <c r="O675" s="61">
        <f t="shared" si="73"/>
        <v>1900</v>
      </c>
      <c r="P675" s="61">
        <f t="shared" si="74"/>
        <v>1</v>
      </c>
      <c r="R675" s="272"/>
      <c r="S675" s="272"/>
      <c r="T675" s="273" t="str">
        <f t="shared" si="75"/>
        <v>-</v>
      </c>
    </row>
    <row r="676" spans="1:20">
      <c r="A676" s="269"/>
      <c r="B676" s="57"/>
      <c r="C676" s="55"/>
      <c r="D676" s="55"/>
      <c r="E676" s="55"/>
      <c r="F676" s="55"/>
      <c r="G676" s="274"/>
      <c r="H676" s="271"/>
      <c r="I676" s="213"/>
      <c r="J676" s="213"/>
      <c r="K676" s="212">
        <f t="shared" si="70"/>
        <v>0</v>
      </c>
      <c r="L676" s="272">
        <f t="shared" si="71"/>
        <v>1900</v>
      </c>
      <c r="M676" s="272">
        <f t="shared" si="72"/>
        <v>1</v>
      </c>
      <c r="N676" s="273"/>
      <c r="O676" s="61">
        <f t="shared" si="73"/>
        <v>1900</v>
      </c>
      <c r="P676" s="61">
        <f t="shared" si="74"/>
        <v>1</v>
      </c>
      <c r="R676" s="272"/>
      <c r="S676" s="272"/>
      <c r="T676" s="273" t="str">
        <f t="shared" si="75"/>
        <v>-</v>
      </c>
    </row>
    <row r="677" spans="1:20">
      <c r="A677" s="269"/>
      <c r="B677" s="57"/>
      <c r="C677" s="55"/>
      <c r="D677" s="55"/>
      <c r="E677" s="55"/>
      <c r="F677" s="55"/>
      <c r="G677" s="274"/>
      <c r="H677" s="271"/>
      <c r="I677" s="213"/>
      <c r="J677" s="213"/>
      <c r="K677" s="212">
        <f t="shared" si="70"/>
        <v>0</v>
      </c>
      <c r="L677" s="272">
        <f t="shared" si="71"/>
        <v>1900</v>
      </c>
      <c r="M677" s="272">
        <f t="shared" si="72"/>
        <v>1</v>
      </c>
      <c r="N677" s="273"/>
      <c r="O677" s="61">
        <f t="shared" si="73"/>
        <v>1900</v>
      </c>
      <c r="P677" s="61">
        <f t="shared" si="74"/>
        <v>1</v>
      </c>
      <c r="R677" s="272"/>
      <c r="S677" s="272"/>
      <c r="T677" s="273" t="str">
        <f t="shared" si="75"/>
        <v>-</v>
      </c>
    </row>
    <row r="678" spans="1:20">
      <c r="A678" s="269"/>
      <c r="B678" s="57"/>
      <c r="C678" s="55"/>
      <c r="D678" s="55"/>
      <c r="E678" s="55"/>
      <c r="F678" s="55"/>
      <c r="G678" s="274"/>
      <c r="H678" s="271"/>
      <c r="I678" s="213"/>
      <c r="J678" s="213"/>
      <c r="K678" s="212">
        <f t="shared" si="70"/>
        <v>0</v>
      </c>
      <c r="L678" s="272">
        <f t="shared" si="71"/>
        <v>1900</v>
      </c>
      <c r="M678" s="272">
        <f t="shared" si="72"/>
        <v>1</v>
      </c>
      <c r="N678" s="273"/>
      <c r="O678" s="61">
        <f t="shared" si="73"/>
        <v>1900</v>
      </c>
      <c r="P678" s="61">
        <f t="shared" si="74"/>
        <v>1</v>
      </c>
      <c r="R678" s="272"/>
      <c r="S678" s="272"/>
      <c r="T678" s="273" t="str">
        <f t="shared" si="75"/>
        <v>-</v>
      </c>
    </row>
    <row r="679" spans="1:20">
      <c r="A679" s="269"/>
      <c r="B679" s="57"/>
      <c r="C679" s="55"/>
      <c r="D679" s="55"/>
      <c r="E679" s="55"/>
      <c r="F679" s="55"/>
      <c r="G679" s="274"/>
      <c r="H679" s="271"/>
      <c r="I679" s="213"/>
      <c r="J679" s="213"/>
      <c r="K679" s="212">
        <f t="shared" si="70"/>
        <v>0</v>
      </c>
      <c r="L679" s="272">
        <f t="shared" si="71"/>
        <v>1900</v>
      </c>
      <c r="M679" s="272">
        <f t="shared" si="72"/>
        <v>1</v>
      </c>
      <c r="N679" s="273"/>
      <c r="O679" s="61">
        <f t="shared" si="73"/>
        <v>1900</v>
      </c>
      <c r="P679" s="61">
        <f t="shared" si="74"/>
        <v>1</v>
      </c>
      <c r="R679" s="272"/>
      <c r="S679" s="272"/>
      <c r="T679" s="273" t="str">
        <f t="shared" si="75"/>
        <v>-</v>
      </c>
    </row>
    <row r="680" spans="1:20">
      <c r="A680" s="269"/>
      <c r="B680" s="57"/>
      <c r="C680" s="55"/>
      <c r="D680" s="55"/>
      <c r="E680" s="55"/>
      <c r="F680" s="55"/>
      <c r="G680" s="274"/>
      <c r="H680" s="271"/>
      <c r="I680" s="213"/>
      <c r="J680" s="213"/>
      <c r="K680" s="212">
        <f t="shared" si="70"/>
        <v>0</v>
      </c>
      <c r="L680" s="272">
        <f t="shared" si="71"/>
        <v>1900</v>
      </c>
      <c r="M680" s="272">
        <f t="shared" si="72"/>
        <v>1</v>
      </c>
      <c r="N680" s="273"/>
      <c r="O680" s="61">
        <f t="shared" si="73"/>
        <v>1900</v>
      </c>
      <c r="P680" s="61">
        <f t="shared" si="74"/>
        <v>1</v>
      </c>
      <c r="R680" s="272"/>
      <c r="S680" s="272"/>
      <c r="T680" s="273" t="str">
        <f t="shared" si="75"/>
        <v>-</v>
      </c>
    </row>
    <row r="681" spans="1:20">
      <c r="A681" s="269"/>
      <c r="B681" s="57"/>
      <c r="C681" s="55"/>
      <c r="D681" s="55"/>
      <c r="E681" s="55"/>
      <c r="F681" s="55"/>
      <c r="G681" s="274"/>
      <c r="H681" s="271"/>
      <c r="I681" s="213"/>
      <c r="J681" s="213"/>
      <c r="K681" s="212">
        <f t="shared" si="70"/>
        <v>0</v>
      </c>
      <c r="L681" s="272">
        <f t="shared" si="71"/>
        <v>1900</v>
      </c>
      <c r="M681" s="272">
        <f t="shared" si="72"/>
        <v>1</v>
      </c>
      <c r="N681" s="273"/>
      <c r="O681" s="61">
        <f t="shared" si="73"/>
        <v>1900</v>
      </c>
      <c r="P681" s="61">
        <f t="shared" si="74"/>
        <v>1</v>
      </c>
      <c r="R681" s="272"/>
      <c r="S681" s="272"/>
      <c r="T681" s="273" t="str">
        <f t="shared" si="75"/>
        <v>-</v>
      </c>
    </row>
    <row r="682" spans="1:20">
      <c r="A682" s="269"/>
      <c r="B682" s="57"/>
      <c r="C682" s="55"/>
      <c r="D682" s="55"/>
      <c r="E682" s="55"/>
      <c r="F682" s="55"/>
      <c r="G682" s="274"/>
      <c r="H682" s="271"/>
      <c r="I682" s="213"/>
      <c r="J682" s="213"/>
      <c r="K682" s="212">
        <f t="shared" si="70"/>
        <v>0</v>
      </c>
      <c r="L682" s="272">
        <f t="shared" si="71"/>
        <v>1900</v>
      </c>
      <c r="M682" s="272">
        <f t="shared" si="72"/>
        <v>1</v>
      </c>
      <c r="N682" s="273"/>
      <c r="O682" s="61">
        <f t="shared" si="73"/>
        <v>1900</v>
      </c>
      <c r="P682" s="61">
        <f t="shared" si="74"/>
        <v>1</v>
      </c>
      <c r="R682" s="272"/>
      <c r="S682" s="272"/>
      <c r="T682" s="273" t="str">
        <f t="shared" si="75"/>
        <v>-</v>
      </c>
    </row>
    <row r="683" spans="1:20">
      <c r="A683" s="269"/>
      <c r="B683" s="57"/>
      <c r="C683" s="55"/>
      <c r="D683" s="55"/>
      <c r="E683" s="55"/>
      <c r="F683" s="55"/>
      <c r="G683" s="274"/>
      <c r="H683" s="271"/>
      <c r="I683" s="213"/>
      <c r="J683" s="213"/>
      <c r="K683" s="212">
        <f t="shared" si="70"/>
        <v>0</v>
      </c>
      <c r="L683" s="272">
        <f t="shared" si="71"/>
        <v>1900</v>
      </c>
      <c r="M683" s="272">
        <f t="shared" si="72"/>
        <v>1</v>
      </c>
      <c r="N683" s="273"/>
      <c r="O683" s="61">
        <f t="shared" si="73"/>
        <v>1900</v>
      </c>
      <c r="P683" s="61">
        <f t="shared" si="74"/>
        <v>1</v>
      </c>
      <c r="R683" s="272"/>
      <c r="S683" s="272"/>
      <c r="T683" s="273" t="str">
        <f t="shared" si="75"/>
        <v>-</v>
      </c>
    </row>
    <row r="684" spans="1:20">
      <c r="A684" s="269"/>
      <c r="B684" s="57"/>
      <c r="C684" s="55"/>
      <c r="D684" s="55"/>
      <c r="E684" s="55"/>
      <c r="F684" s="55"/>
      <c r="G684" s="274"/>
      <c r="H684" s="271"/>
      <c r="I684" s="213"/>
      <c r="J684" s="213"/>
      <c r="K684" s="212">
        <f t="shared" si="70"/>
        <v>0</v>
      </c>
      <c r="L684" s="272">
        <f t="shared" si="71"/>
        <v>1900</v>
      </c>
      <c r="M684" s="272">
        <f t="shared" si="72"/>
        <v>1</v>
      </c>
      <c r="N684" s="273"/>
      <c r="O684" s="61">
        <f t="shared" si="73"/>
        <v>1900</v>
      </c>
      <c r="P684" s="61">
        <f t="shared" si="74"/>
        <v>1</v>
      </c>
      <c r="R684" s="272"/>
      <c r="S684" s="272"/>
      <c r="T684" s="273" t="str">
        <f t="shared" si="75"/>
        <v>-</v>
      </c>
    </row>
    <row r="685" spans="1:20">
      <c r="A685" s="269"/>
      <c r="B685" s="57"/>
      <c r="C685" s="55"/>
      <c r="D685" s="55"/>
      <c r="E685" s="55"/>
      <c r="F685" s="55"/>
      <c r="G685" s="274"/>
      <c r="H685" s="271"/>
      <c r="I685" s="213"/>
      <c r="J685" s="213"/>
      <c r="K685" s="212">
        <f t="shared" si="70"/>
        <v>0</v>
      </c>
      <c r="L685" s="272">
        <f t="shared" si="71"/>
        <v>1900</v>
      </c>
      <c r="M685" s="272">
        <f t="shared" si="72"/>
        <v>1</v>
      </c>
      <c r="N685" s="273"/>
      <c r="O685" s="61">
        <f t="shared" si="73"/>
        <v>1900</v>
      </c>
      <c r="P685" s="61">
        <f t="shared" si="74"/>
        <v>1</v>
      </c>
      <c r="R685" s="272"/>
      <c r="S685" s="272"/>
      <c r="T685" s="273" t="str">
        <f t="shared" si="75"/>
        <v>-</v>
      </c>
    </row>
    <row r="686" spans="1:20">
      <c r="A686" s="269"/>
      <c r="B686" s="57"/>
      <c r="C686" s="55"/>
      <c r="D686" s="55"/>
      <c r="E686" s="55"/>
      <c r="F686" s="55"/>
      <c r="G686" s="274"/>
      <c r="H686" s="271"/>
      <c r="I686" s="213"/>
      <c r="J686" s="213"/>
      <c r="K686" s="212">
        <f t="shared" si="70"/>
        <v>0</v>
      </c>
      <c r="L686" s="272">
        <f t="shared" si="71"/>
        <v>1900</v>
      </c>
      <c r="M686" s="272">
        <f t="shared" si="72"/>
        <v>1</v>
      </c>
      <c r="N686" s="273"/>
      <c r="O686" s="61">
        <f t="shared" si="73"/>
        <v>1900</v>
      </c>
      <c r="P686" s="61">
        <f t="shared" si="74"/>
        <v>1</v>
      </c>
      <c r="R686" s="272"/>
      <c r="S686" s="272"/>
      <c r="T686" s="273" t="str">
        <f t="shared" si="75"/>
        <v>-</v>
      </c>
    </row>
    <row r="687" spans="1:20">
      <c r="A687" s="269"/>
      <c r="B687" s="57"/>
      <c r="C687" s="55"/>
      <c r="D687" s="55"/>
      <c r="E687" s="55"/>
      <c r="F687" s="55"/>
      <c r="G687" s="274"/>
      <c r="H687" s="271"/>
      <c r="I687" s="213"/>
      <c r="J687" s="213"/>
      <c r="K687" s="212">
        <f t="shared" si="70"/>
        <v>0</v>
      </c>
      <c r="L687" s="272">
        <f t="shared" si="71"/>
        <v>1900</v>
      </c>
      <c r="M687" s="272">
        <f t="shared" si="72"/>
        <v>1</v>
      </c>
      <c r="N687" s="273"/>
      <c r="O687" s="61">
        <f t="shared" si="73"/>
        <v>1900</v>
      </c>
      <c r="P687" s="61">
        <f t="shared" si="74"/>
        <v>1</v>
      </c>
      <c r="R687" s="272"/>
      <c r="S687" s="272"/>
      <c r="T687" s="273" t="str">
        <f t="shared" si="75"/>
        <v>-</v>
      </c>
    </row>
    <row r="688" spans="1:20">
      <c r="A688" s="269"/>
      <c r="B688" s="57"/>
      <c r="C688" s="55"/>
      <c r="D688" s="55"/>
      <c r="E688" s="55"/>
      <c r="F688" s="55"/>
      <c r="G688" s="274"/>
      <c r="H688" s="271"/>
      <c r="I688" s="213"/>
      <c r="J688" s="213"/>
      <c r="K688" s="212">
        <f t="shared" si="70"/>
        <v>0</v>
      </c>
      <c r="L688" s="272">
        <f t="shared" si="71"/>
        <v>1900</v>
      </c>
      <c r="M688" s="272">
        <f t="shared" si="72"/>
        <v>1</v>
      </c>
      <c r="N688" s="273"/>
      <c r="O688" s="61">
        <f t="shared" si="73"/>
        <v>1900</v>
      </c>
      <c r="P688" s="61">
        <f t="shared" si="74"/>
        <v>1</v>
      </c>
      <c r="R688" s="272"/>
      <c r="S688" s="272"/>
      <c r="T688" s="273" t="str">
        <f t="shared" si="75"/>
        <v>-</v>
      </c>
    </row>
    <row r="689" spans="1:20">
      <c r="A689" s="269"/>
      <c r="B689" s="57"/>
      <c r="C689" s="55"/>
      <c r="D689" s="55"/>
      <c r="E689" s="55"/>
      <c r="F689" s="55"/>
      <c r="G689" s="274"/>
      <c r="H689" s="271"/>
      <c r="I689" s="213"/>
      <c r="J689" s="213"/>
      <c r="K689" s="212">
        <f t="shared" si="70"/>
        <v>0</v>
      </c>
      <c r="L689" s="272">
        <f t="shared" si="71"/>
        <v>1900</v>
      </c>
      <c r="M689" s="272">
        <f t="shared" si="72"/>
        <v>1</v>
      </c>
      <c r="N689" s="273"/>
      <c r="O689" s="61">
        <f t="shared" si="73"/>
        <v>1900</v>
      </c>
      <c r="P689" s="61">
        <f t="shared" si="74"/>
        <v>1</v>
      </c>
      <c r="R689" s="272"/>
      <c r="S689" s="272"/>
      <c r="T689" s="273" t="str">
        <f t="shared" si="75"/>
        <v>-</v>
      </c>
    </row>
    <row r="690" spans="1:20">
      <c r="A690" s="269"/>
      <c r="B690" s="57"/>
      <c r="C690" s="55"/>
      <c r="D690" s="55"/>
      <c r="E690" s="55"/>
      <c r="F690" s="55"/>
      <c r="G690" s="274"/>
      <c r="H690" s="271"/>
      <c r="I690" s="213"/>
      <c r="J690" s="213"/>
      <c r="K690" s="212">
        <f t="shared" si="70"/>
        <v>0</v>
      </c>
      <c r="L690" s="272">
        <f t="shared" si="71"/>
        <v>1900</v>
      </c>
      <c r="M690" s="272">
        <f t="shared" si="72"/>
        <v>1</v>
      </c>
      <c r="N690" s="273"/>
      <c r="O690" s="61">
        <f t="shared" si="73"/>
        <v>1900</v>
      </c>
      <c r="P690" s="61">
        <f t="shared" si="74"/>
        <v>1</v>
      </c>
      <c r="R690" s="272"/>
      <c r="S690" s="272"/>
      <c r="T690" s="273" t="str">
        <f t="shared" si="75"/>
        <v>-</v>
      </c>
    </row>
    <row r="691" spans="1:20">
      <c r="A691" s="269"/>
      <c r="B691" s="57"/>
      <c r="C691" s="55"/>
      <c r="D691" s="55"/>
      <c r="E691" s="55"/>
      <c r="F691" s="55"/>
      <c r="G691" s="274"/>
      <c r="H691" s="271"/>
      <c r="I691" s="213"/>
      <c r="J691" s="213"/>
      <c r="K691" s="212">
        <f t="shared" si="70"/>
        <v>0</v>
      </c>
      <c r="L691" s="272">
        <f t="shared" si="71"/>
        <v>1900</v>
      </c>
      <c r="M691" s="272">
        <f t="shared" si="72"/>
        <v>1</v>
      </c>
      <c r="N691" s="273"/>
      <c r="O691" s="61">
        <f t="shared" si="73"/>
        <v>1900</v>
      </c>
      <c r="P691" s="61">
        <f t="shared" si="74"/>
        <v>1</v>
      </c>
      <c r="R691" s="272"/>
      <c r="S691" s="272"/>
      <c r="T691" s="273" t="str">
        <f t="shared" si="75"/>
        <v>-</v>
      </c>
    </row>
    <row r="692" spans="1:20">
      <c r="A692" s="269"/>
      <c r="B692" s="57"/>
      <c r="C692" s="55"/>
      <c r="D692" s="55"/>
      <c r="E692" s="55"/>
      <c r="F692" s="55"/>
      <c r="G692" s="274"/>
      <c r="H692" s="271"/>
      <c r="I692" s="213"/>
      <c r="J692" s="213"/>
      <c r="K692" s="212">
        <f t="shared" si="70"/>
        <v>0</v>
      </c>
      <c r="L692" s="272">
        <f t="shared" si="71"/>
        <v>1900</v>
      </c>
      <c r="M692" s="272">
        <f t="shared" si="72"/>
        <v>1</v>
      </c>
      <c r="N692" s="273"/>
      <c r="O692" s="61">
        <f t="shared" si="73"/>
        <v>1900</v>
      </c>
      <c r="P692" s="61">
        <f t="shared" si="74"/>
        <v>1</v>
      </c>
      <c r="R692" s="272"/>
      <c r="S692" s="272"/>
      <c r="T692" s="273" t="str">
        <f t="shared" si="75"/>
        <v>-</v>
      </c>
    </row>
    <row r="693" spans="1:20">
      <c r="A693" s="269"/>
      <c r="B693" s="57"/>
      <c r="C693" s="55"/>
      <c r="D693" s="55"/>
      <c r="E693" s="55"/>
      <c r="F693" s="55"/>
      <c r="G693" s="274"/>
      <c r="H693" s="271"/>
      <c r="I693" s="213"/>
      <c r="J693" s="213"/>
      <c r="K693" s="212">
        <f t="shared" si="70"/>
        <v>0</v>
      </c>
      <c r="L693" s="272">
        <f t="shared" si="71"/>
        <v>1900</v>
      </c>
      <c r="M693" s="272">
        <f t="shared" si="72"/>
        <v>1</v>
      </c>
      <c r="N693" s="273"/>
      <c r="O693" s="61">
        <f t="shared" si="73"/>
        <v>1900</v>
      </c>
      <c r="P693" s="61">
        <f t="shared" si="74"/>
        <v>1</v>
      </c>
      <c r="R693" s="272"/>
      <c r="S693" s="272"/>
      <c r="T693" s="273" t="str">
        <f t="shared" si="75"/>
        <v>-</v>
      </c>
    </row>
    <row r="694" spans="1:20">
      <c r="A694" s="269"/>
      <c r="B694" s="57"/>
      <c r="C694" s="55"/>
      <c r="D694" s="55"/>
      <c r="E694" s="55"/>
      <c r="F694" s="55"/>
      <c r="G694" s="274"/>
      <c r="H694" s="271"/>
      <c r="I694" s="213"/>
      <c r="J694" s="213"/>
      <c r="K694" s="212">
        <f t="shared" si="70"/>
        <v>0</v>
      </c>
      <c r="L694" s="272">
        <f t="shared" si="71"/>
        <v>1900</v>
      </c>
      <c r="M694" s="272">
        <f t="shared" si="72"/>
        <v>1</v>
      </c>
      <c r="N694" s="273"/>
      <c r="O694" s="61">
        <f t="shared" si="73"/>
        <v>1900</v>
      </c>
      <c r="P694" s="61">
        <f t="shared" si="74"/>
        <v>1</v>
      </c>
      <c r="R694" s="272"/>
      <c r="S694" s="272"/>
      <c r="T694" s="273" t="str">
        <f t="shared" si="75"/>
        <v>-</v>
      </c>
    </row>
    <row r="695" spans="1:20">
      <c r="A695" s="269"/>
      <c r="B695" s="57"/>
      <c r="C695" s="55"/>
      <c r="D695" s="55"/>
      <c r="E695" s="55"/>
      <c r="F695" s="55"/>
      <c r="G695" s="274"/>
      <c r="H695" s="271"/>
      <c r="I695" s="213"/>
      <c r="J695" s="213"/>
      <c r="K695" s="212">
        <f t="shared" si="70"/>
        <v>0</v>
      </c>
      <c r="L695" s="272">
        <f t="shared" si="71"/>
        <v>1900</v>
      </c>
      <c r="M695" s="272">
        <f t="shared" si="72"/>
        <v>1</v>
      </c>
      <c r="N695" s="273"/>
      <c r="O695" s="61">
        <f t="shared" si="73"/>
        <v>1900</v>
      </c>
      <c r="P695" s="61">
        <f t="shared" si="74"/>
        <v>1</v>
      </c>
      <c r="R695" s="272"/>
      <c r="S695" s="272"/>
      <c r="T695" s="273" t="str">
        <f t="shared" si="75"/>
        <v>-</v>
      </c>
    </row>
    <row r="696" spans="1:20">
      <c r="A696" s="269"/>
      <c r="B696" s="57"/>
      <c r="C696" s="55"/>
      <c r="D696" s="55"/>
      <c r="E696" s="55"/>
      <c r="F696" s="55"/>
      <c r="G696" s="274"/>
      <c r="H696" s="271"/>
      <c r="I696" s="213"/>
      <c r="J696" s="213"/>
      <c r="K696" s="212">
        <f t="shared" si="70"/>
        <v>0</v>
      </c>
      <c r="L696" s="272">
        <f t="shared" si="71"/>
        <v>1900</v>
      </c>
      <c r="M696" s="272">
        <f t="shared" si="72"/>
        <v>1</v>
      </c>
      <c r="N696" s="273"/>
      <c r="O696" s="61">
        <f t="shared" si="73"/>
        <v>1900</v>
      </c>
      <c r="P696" s="61">
        <f t="shared" si="74"/>
        <v>1</v>
      </c>
      <c r="R696" s="272"/>
      <c r="S696" s="272"/>
      <c r="T696" s="273" t="str">
        <f t="shared" si="75"/>
        <v>-</v>
      </c>
    </row>
    <row r="697" spans="1:20">
      <c r="A697" s="269"/>
      <c r="B697" s="57"/>
      <c r="C697" s="55"/>
      <c r="D697" s="55"/>
      <c r="E697" s="55"/>
      <c r="F697" s="55"/>
      <c r="G697" s="274"/>
      <c r="H697" s="271"/>
      <c r="I697" s="213"/>
      <c r="J697" s="213"/>
      <c r="K697" s="212">
        <f t="shared" si="70"/>
        <v>0</v>
      </c>
      <c r="L697" s="272">
        <f t="shared" si="71"/>
        <v>1900</v>
      </c>
      <c r="M697" s="272">
        <f t="shared" si="72"/>
        <v>1</v>
      </c>
      <c r="N697" s="273"/>
      <c r="O697" s="61">
        <f t="shared" si="73"/>
        <v>1900</v>
      </c>
      <c r="P697" s="61">
        <f t="shared" si="74"/>
        <v>1</v>
      </c>
      <c r="R697" s="272"/>
      <c r="S697" s="272"/>
      <c r="T697" s="273" t="str">
        <f t="shared" si="75"/>
        <v>-</v>
      </c>
    </row>
    <row r="698" spans="1:20">
      <c r="A698" s="269"/>
      <c r="B698" s="57"/>
      <c r="C698" s="55"/>
      <c r="D698" s="55"/>
      <c r="E698" s="55"/>
      <c r="F698" s="55"/>
      <c r="G698" s="274"/>
      <c r="H698" s="271"/>
      <c r="I698" s="213"/>
      <c r="J698" s="213"/>
      <c r="K698" s="212">
        <f t="shared" si="70"/>
        <v>0</v>
      </c>
      <c r="L698" s="272">
        <f t="shared" si="71"/>
        <v>1900</v>
      </c>
      <c r="M698" s="272">
        <f t="shared" si="72"/>
        <v>1</v>
      </c>
      <c r="N698" s="273"/>
      <c r="O698" s="61">
        <f t="shared" si="73"/>
        <v>1900</v>
      </c>
      <c r="P698" s="61">
        <f t="shared" si="74"/>
        <v>1</v>
      </c>
      <c r="R698" s="272"/>
      <c r="S698" s="272"/>
      <c r="T698" s="273" t="str">
        <f t="shared" si="75"/>
        <v>-</v>
      </c>
    </row>
    <row r="699" spans="1:20">
      <c r="A699" s="269"/>
      <c r="B699" s="57"/>
      <c r="C699" s="55"/>
      <c r="D699" s="55"/>
      <c r="E699" s="55"/>
      <c r="F699" s="55"/>
      <c r="G699" s="274"/>
      <c r="H699" s="271"/>
      <c r="I699" s="213"/>
      <c r="J699" s="213"/>
      <c r="K699" s="212">
        <f t="shared" si="70"/>
        <v>0</v>
      </c>
      <c r="L699" s="272">
        <f t="shared" si="71"/>
        <v>1900</v>
      </c>
      <c r="M699" s="272">
        <f t="shared" si="72"/>
        <v>1</v>
      </c>
      <c r="N699" s="273"/>
      <c r="O699" s="61">
        <f t="shared" si="73"/>
        <v>1900</v>
      </c>
      <c r="P699" s="61">
        <f t="shared" si="74"/>
        <v>1</v>
      </c>
      <c r="R699" s="272"/>
      <c r="S699" s="272"/>
      <c r="T699" s="273" t="str">
        <f t="shared" si="75"/>
        <v>-</v>
      </c>
    </row>
    <row r="700" spans="1:20">
      <c r="A700" s="269"/>
      <c r="B700" s="57"/>
      <c r="C700" s="55"/>
      <c r="D700" s="55"/>
      <c r="E700" s="55"/>
      <c r="F700" s="55"/>
      <c r="G700" s="274"/>
      <c r="H700" s="271"/>
      <c r="I700" s="213"/>
      <c r="J700" s="213"/>
      <c r="K700" s="212">
        <f t="shared" si="70"/>
        <v>0</v>
      </c>
      <c r="L700" s="272">
        <f t="shared" si="71"/>
        <v>1900</v>
      </c>
      <c r="M700" s="272">
        <f t="shared" si="72"/>
        <v>1</v>
      </c>
      <c r="N700" s="273"/>
      <c r="O700" s="61">
        <f t="shared" si="73"/>
        <v>1900</v>
      </c>
      <c r="P700" s="61">
        <f t="shared" si="74"/>
        <v>1</v>
      </c>
      <c r="R700" s="272"/>
      <c r="S700" s="272"/>
      <c r="T700" s="273" t="str">
        <f t="shared" si="75"/>
        <v>-</v>
      </c>
    </row>
    <row r="701" spans="1:20">
      <c r="A701" s="269"/>
      <c r="B701" s="57"/>
      <c r="C701" s="55"/>
      <c r="D701" s="55"/>
      <c r="E701" s="55"/>
      <c r="F701" s="55"/>
      <c r="G701" s="274"/>
      <c r="H701" s="271"/>
      <c r="I701" s="213"/>
      <c r="J701" s="213"/>
      <c r="K701" s="212">
        <f t="shared" si="70"/>
        <v>0</v>
      </c>
      <c r="L701" s="272">
        <f t="shared" si="71"/>
        <v>1900</v>
      </c>
      <c r="M701" s="272">
        <f t="shared" si="72"/>
        <v>1</v>
      </c>
      <c r="N701" s="273"/>
      <c r="O701" s="61">
        <f t="shared" si="73"/>
        <v>1900</v>
      </c>
      <c r="P701" s="61">
        <f t="shared" si="74"/>
        <v>1</v>
      </c>
      <c r="R701" s="272"/>
      <c r="S701" s="272"/>
      <c r="T701" s="273" t="str">
        <f t="shared" si="75"/>
        <v>-</v>
      </c>
    </row>
    <row r="702" spans="1:20">
      <c r="A702" s="269"/>
      <c r="B702" s="57"/>
      <c r="C702" s="55"/>
      <c r="D702" s="55"/>
      <c r="E702" s="55"/>
      <c r="F702" s="55"/>
      <c r="G702" s="274"/>
      <c r="H702" s="271"/>
      <c r="I702" s="213"/>
      <c r="J702" s="213"/>
      <c r="K702" s="212">
        <f t="shared" si="70"/>
        <v>0</v>
      </c>
      <c r="L702" s="272">
        <f t="shared" si="71"/>
        <v>1900</v>
      </c>
      <c r="M702" s="272">
        <f t="shared" si="72"/>
        <v>1</v>
      </c>
      <c r="N702" s="273"/>
      <c r="O702" s="61">
        <f t="shared" si="73"/>
        <v>1900</v>
      </c>
      <c r="P702" s="61">
        <f t="shared" si="74"/>
        <v>1</v>
      </c>
      <c r="R702" s="272"/>
      <c r="S702" s="272"/>
      <c r="T702" s="273" t="str">
        <f t="shared" si="75"/>
        <v>-</v>
      </c>
    </row>
    <row r="703" spans="1:20">
      <c r="A703" s="269"/>
      <c r="B703" s="57"/>
      <c r="C703" s="55"/>
      <c r="D703" s="55"/>
      <c r="E703" s="55"/>
      <c r="F703" s="55"/>
      <c r="G703" s="274"/>
      <c r="H703" s="271"/>
      <c r="I703" s="213"/>
      <c r="J703" s="213"/>
      <c r="K703" s="212">
        <f t="shared" si="70"/>
        <v>0</v>
      </c>
      <c r="L703" s="272">
        <f t="shared" si="71"/>
        <v>1900</v>
      </c>
      <c r="M703" s="272">
        <f t="shared" si="72"/>
        <v>1</v>
      </c>
      <c r="N703" s="273"/>
      <c r="O703" s="61">
        <f t="shared" si="73"/>
        <v>1900</v>
      </c>
      <c r="P703" s="61">
        <f t="shared" si="74"/>
        <v>1</v>
      </c>
      <c r="R703" s="272"/>
      <c r="S703" s="272"/>
      <c r="T703" s="273" t="str">
        <f t="shared" si="75"/>
        <v>-</v>
      </c>
    </row>
    <row r="704" spans="1:20">
      <c r="A704" s="269"/>
      <c r="B704" s="57"/>
      <c r="C704" s="55"/>
      <c r="D704" s="55"/>
      <c r="E704" s="55"/>
      <c r="F704" s="55"/>
      <c r="G704" s="274"/>
      <c r="H704" s="271"/>
      <c r="I704" s="213"/>
      <c r="J704" s="213"/>
      <c r="K704" s="212">
        <f t="shared" si="70"/>
        <v>0</v>
      </c>
      <c r="L704" s="272">
        <f t="shared" si="71"/>
        <v>1900</v>
      </c>
      <c r="M704" s="272">
        <f t="shared" si="72"/>
        <v>1</v>
      </c>
      <c r="N704" s="273"/>
      <c r="O704" s="61">
        <f t="shared" si="73"/>
        <v>1900</v>
      </c>
      <c r="P704" s="61">
        <f t="shared" si="74"/>
        <v>1</v>
      </c>
      <c r="R704" s="272"/>
      <c r="S704" s="272"/>
      <c r="T704" s="273" t="str">
        <f t="shared" si="75"/>
        <v>-</v>
      </c>
    </row>
    <row r="705" spans="1:20">
      <c r="A705" s="269"/>
      <c r="B705" s="57"/>
      <c r="C705" s="55"/>
      <c r="D705" s="55"/>
      <c r="E705" s="55"/>
      <c r="F705" s="55"/>
      <c r="G705" s="274"/>
      <c r="H705" s="271"/>
      <c r="I705" s="213"/>
      <c r="J705" s="213"/>
      <c r="K705" s="212">
        <f t="shared" si="70"/>
        <v>0</v>
      </c>
      <c r="L705" s="272">
        <f t="shared" si="71"/>
        <v>1900</v>
      </c>
      <c r="M705" s="272">
        <f t="shared" si="72"/>
        <v>1</v>
      </c>
      <c r="N705" s="273"/>
      <c r="O705" s="61">
        <f t="shared" si="73"/>
        <v>1900</v>
      </c>
      <c r="P705" s="61">
        <f t="shared" si="74"/>
        <v>1</v>
      </c>
      <c r="R705" s="272"/>
      <c r="S705" s="272"/>
      <c r="T705" s="273" t="str">
        <f t="shared" si="75"/>
        <v>-</v>
      </c>
    </row>
    <row r="706" spans="1:20">
      <c r="A706" s="269"/>
      <c r="B706" s="57"/>
      <c r="C706" s="55"/>
      <c r="D706" s="55"/>
      <c r="E706" s="55"/>
      <c r="F706" s="55"/>
      <c r="G706" s="274"/>
      <c r="H706" s="271"/>
      <c r="I706" s="213"/>
      <c r="J706" s="213"/>
      <c r="K706" s="212">
        <f t="shared" si="70"/>
        <v>0</v>
      </c>
      <c r="L706" s="272">
        <f t="shared" si="71"/>
        <v>1900</v>
      </c>
      <c r="M706" s="272">
        <f t="shared" si="72"/>
        <v>1</v>
      </c>
      <c r="N706" s="273"/>
      <c r="O706" s="61">
        <f t="shared" si="73"/>
        <v>1900</v>
      </c>
      <c r="P706" s="61">
        <f t="shared" si="74"/>
        <v>1</v>
      </c>
      <c r="R706" s="272"/>
      <c r="S706" s="272"/>
      <c r="T706" s="273" t="str">
        <f t="shared" si="75"/>
        <v>-</v>
      </c>
    </row>
    <row r="707" spans="1:20">
      <c r="A707" s="269"/>
      <c r="B707" s="57"/>
      <c r="C707" s="55"/>
      <c r="D707" s="55"/>
      <c r="E707" s="55"/>
      <c r="F707" s="55"/>
      <c r="G707" s="274"/>
      <c r="H707" s="271"/>
      <c r="I707" s="213"/>
      <c r="J707" s="213"/>
      <c r="K707" s="212">
        <f t="shared" si="70"/>
        <v>0</v>
      </c>
      <c r="L707" s="272">
        <f t="shared" si="71"/>
        <v>1900</v>
      </c>
      <c r="M707" s="272">
        <f t="shared" si="72"/>
        <v>1</v>
      </c>
      <c r="N707" s="273"/>
      <c r="O707" s="61">
        <f t="shared" si="73"/>
        <v>1900</v>
      </c>
      <c r="P707" s="61">
        <f t="shared" si="74"/>
        <v>1</v>
      </c>
      <c r="R707" s="272"/>
      <c r="S707" s="272"/>
      <c r="T707" s="273" t="str">
        <f t="shared" si="75"/>
        <v>-</v>
      </c>
    </row>
    <row r="708" spans="1:20">
      <c r="A708" s="269"/>
      <c r="B708" s="57"/>
      <c r="C708" s="55"/>
      <c r="D708" s="55"/>
      <c r="E708" s="55"/>
      <c r="F708" s="55"/>
      <c r="G708" s="274"/>
      <c r="H708" s="271"/>
      <c r="I708" s="213"/>
      <c r="J708" s="213"/>
      <c r="K708" s="212">
        <f t="shared" si="70"/>
        <v>0</v>
      </c>
      <c r="L708" s="272">
        <f t="shared" si="71"/>
        <v>1900</v>
      </c>
      <c r="M708" s="272">
        <f t="shared" si="72"/>
        <v>1</v>
      </c>
      <c r="N708" s="273"/>
      <c r="O708" s="61">
        <f t="shared" si="73"/>
        <v>1900</v>
      </c>
      <c r="P708" s="61">
        <f t="shared" si="74"/>
        <v>1</v>
      </c>
      <c r="R708" s="272"/>
      <c r="S708" s="272"/>
      <c r="T708" s="273" t="str">
        <f t="shared" si="75"/>
        <v>-</v>
      </c>
    </row>
    <row r="709" spans="1:20">
      <c r="A709" s="269"/>
      <c r="B709" s="57"/>
      <c r="C709" s="55"/>
      <c r="D709" s="55"/>
      <c r="E709" s="55"/>
      <c r="F709" s="55"/>
      <c r="G709" s="274"/>
      <c r="H709" s="271"/>
      <c r="I709" s="213"/>
      <c r="J709" s="213"/>
      <c r="K709" s="212">
        <f t="shared" si="70"/>
        <v>0</v>
      </c>
      <c r="L709" s="272">
        <f t="shared" si="71"/>
        <v>1900</v>
      </c>
      <c r="M709" s="272">
        <f t="shared" si="72"/>
        <v>1</v>
      </c>
      <c r="N709" s="273"/>
      <c r="O709" s="61">
        <f t="shared" si="73"/>
        <v>1900</v>
      </c>
      <c r="P709" s="61">
        <f t="shared" si="74"/>
        <v>1</v>
      </c>
      <c r="R709" s="272"/>
      <c r="S709" s="272"/>
      <c r="T709" s="273" t="str">
        <f t="shared" si="75"/>
        <v>-</v>
      </c>
    </row>
    <row r="710" spans="1:20">
      <c r="A710" s="269"/>
      <c r="B710" s="57"/>
      <c r="C710" s="55"/>
      <c r="D710" s="55"/>
      <c r="E710" s="55"/>
      <c r="F710" s="55"/>
      <c r="G710" s="274"/>
      <c r="H710" s="271"/>
      <c r="I710" s="213"/>
      <c r="J710" s="213"/>
      <c r="K710" s="212">
        <f t="shared" si="70"/>
        <v>0</v>
      </c>
      <c r="L710" s="272">
        <f t="shared" si="71"/>
        <v>1900</v>
      </c>
      <c r="M710" s="272">
        <f t="shared" si="72"/>
        <v>1</v>
      </c>
      <c r="N710" s="273"/>
      <c r="O710" s="61">
        <f t="shared" si="73"/>
        <v>1900</v>
      </c>
      <c r="P710" s="61">
        <f t="shared" si="74"/>
        <v>1</v>
      </c>
      <c r="R710" s="272"/>
      <c r="S710" s="272"/>
      <c r="T710" s="273" t="str">
        <f t="shared" si="75"/>
        <v>-</v>
      </c>
    </row>
    <row r="711" spans="1:20">
      <c r="A711" s="269"/>
      <c r="B711" s="57"/>
      <c r="C711" s="55"/>
      <c r="D711" s="55"/>
      <c r="E711" s="55"/>
      <c r="F711" s="55"/>
      <c r="G711" s="274"/>
      <c r="H711" s="271"/>
      <c r="I711" s="213"/>
      <c r="J711" s="213"/>
      <c r="K711" s="212">
        <f t="shared" si="70"/>
        <v>0</v>
      </c>
      <c r="L711" s="272">
        <f t="shared" si="71"/>
        <v>1900</v>
      </c>
      <c r="M711" s="272">
        <f t="shared" si="72"/>
        <v>1</v>
      </c>
      <c r="N711" s="273"/>
      <c r="O711" s="61">
        <f t="shared" si="73"/>
        <v>1900</v>
      </c>
      <c r="P711" s="61">
        <f t="shared" si="74"/>
        <v>1</v>
      </c>
      <c r="R711" s="272"/>
      <c r="S711" s="272"/>
      <c r="T711" s="273" t="str">
        <f t="shared" si="75"/>
        <v>-</v>
      </c>
    </row>
    <row r="712" spans="1:20">
      <c r="A712" s="269"/>
      <c r="B712" s="57"/>
      <c r="C712" s="55"/>
      <c r="D712" s="55"/>
      <c r="E712" s="55"/>
      <c r="F712" s="55"/>
      <c r="G712" s="274"/>
      <c r="H712" s="271"/>
      <c r="I712" s="213"/>
      <c r="J712" s="213"/>
      <c r="K712" s="212">
        <f t="shared" si="70"/>
        <v>0</v>
      </c>
      <c r="L712" s="272">
        <f t="shared" si="71"/>
        <v>1900</v>
      </c>
      <c r="M712" s="272">
        <f t="shared" si="72"/>
        <v>1</v>
      </c>
      <c r="N712" s="273"/>
      <c r="O712" s="61">
        <f t="shared" si="73"/>
        <v>1900</v>
      </c>
      <c r="P712" s="61">
        <f t="shared" si="74"/>
        <v>1</v>
      </c>
      <c r="R712" s="272"/>
      <c r="S712" s="272"/>
      <c r="T712" s="273" t="str">
        <f t="shared" si="75"/>
        <v>-</v>
      </c>
    </row>
    <row r="713" spans="1:20">
      <c r="A713" s="269"/>
      <c r="B713" s="57"/>
      <c r="C713" s="55"/>
      <c r="D713" s="55"/>
      <c r="E713" s="55"/>
      <c r="F713" s="55"/>
      <c r="G713" s="274"/>
      <c r="H713" s="271"/>
      <c r="I713" s="213"/>
      <c r="J713" s="213"/>
      <c r="K713" s="212">
        <f t="shared" si="70"/>
        <v>0</v>
      </c>
      <c r="L713" s="272">
        <f t="shared" si="71"/>
        <v>1900</v>
      </c>
      <c r="M713" s="272">
        <f t="shared" si="72"/>
        <v>1</v>
      </c>
      <c r="N713" s="273"/>
      <c r="O713" s="61">
        <f t="shared" si="73"/>
        <v>1900</v>
      </c>
      <c r="P713" s="61">
        <f t="shared" si="74"/>
        <v>1</v>
      </c>
      <c r="R713" s="272"/>
      <c r="S713" s="272"/>
      <c r="T713" s="273" t="str">
        <f t="shared" si="75"/>
        <v>-</v>
      </c>
    </row>
    <row r="714" spans="1:20">
      <c r="A714" s="269"/>
      <c r="B714" s="57"/>
      <c r="C714" s="55"/>
      <c r="D714" s="55"/>
      <c r="E714" s="55"/>
      <c r="F714" s="55"/>
      <c r="G714" s="274"/>
      <c r="H714" s="271"/>
      <c r="I714" s="213"/>
      <c r="J714" s="213"/>
      <c r="K714" s="212">
        <f t="shared" si="70"/>
        <v>0</v>
      </c>
      <c r="L714" s="272">
        <f t="shared" si="71"/>
        <v>1900</v>
      </c>
      <c r="M714" s="272">
        <f t="shared" si="72"/>
        <v>1</v>
      </c>
      <c r="N714" s="273"/>
      <c r="O714" s="61">
        <f t="shared" si="73"/>
        <v>1900</v>
      </c>
      <c r="P714" s="61">
        <f t="shared" si="74"/>
        <v>1</v>
      </c>
      <c r="R714" s="272"/>
      <c r="S714" s="272"/>
      <c r="T714" s="273" t="str">
        <f t="shared" si="75"/>
        <v>-</v>
      </c>
    </row>
    <row r="715" spans="1:20">
      <c r="A715" s="269"/>
      <c r="B715" s="57"/>
      <c r="C715" s="55"/>
      <c r="D715" s="55"/>
      <c r="E715" s="55"/>
      <c r="F715" s="55"/>
      <c r="G715" s="274"/>
      <c r="H715" s="271"/>
      <c r="I715" s="213"/>
      <c r="J715" s="213"/>
      <c r="K715" s="212">
        <f t="shared" si="70"/>
        <v>0</v>
      </c>
      <c r="L715" s="272">
        <f t="shared" si="71"/>
        <v>1900</v>
      </c>
      <c r="M715" s="272">
        <f t="shared" si="72"/>
        <v>1</v>
      </c>
      <c r="N715" s="273"/>
      <c r="O715" s="61">
        <f t="shared" si="73"/>
        <v>1900</v>
      </c>
      <c r="P715" s="61">
        <f t="shared" si="74"/>
        <v>1</v>
      </c>
      <c r="R715" s="272"/>
      <c r="S715" s="272"/>
      <c r="T715" s="273" t="str">
        <f t="shared" si="75"/>
        <v>-</v>
      </c>
    </row>
    <row r="716" spans="1:20">
      <c r="A716" s="269"/>
      <c r="B716" s="57"/>
      <c r="C716" s="55"/>
      <c r="D716" s="55"/>
      <c r="E716" s="55"/>
      <c r="F716" s="55"/>
      <c r="G716" s="274"/>
      <c r="H716" s="271"/>
      <c r="I716" s="213"/>
      <c r="J716" s="213"/>
      <c r="K716" s="212">
        <f t="shared" si="70"/>
        <v>0</v>
      </c>
      <c r="L716" s="272">
        <f t="shared" si="71"/>
        <v>1900</v>
      </c>
      <c r="M716" s="272">
        <f t="shared" si="72"/>
        <v>1</v>
      </c>
      <c r="N716" s="273"/>
      <c r="O716" s="61">
        <f t="shared" si="73"/>
        <v>1900</v>
      </c>
      <c r="P716" s="61">
        <f t="shared" si="74"/>
        <v>1</v>
      </c>
      <c r="R716" s="272"/>
      <c r="S716" s="272"/>
      <c r="T716" s="273" t="str">
        <f t="shared" si="75"/>
        <v>-</v>
      </c>
    </row>
    <row r="717" spans="1:20">
      <c r="A717" s="269"/>
      <c r="B717" s="57"/>
      <c r="C717" s="55"/>
      <c r="D717" s="55"/>
      <c r="E717" s="55"/>
      <c r="F717" s="55"/>
      <c r="G717" s="274"/>
      <c r="H717" s="271"/>
      <c r="I717" s="213"/>
      <c r="J717" s="213"/>
      <c r="K717" s="212">
        <f t="shared" si="70"/>
        <v>0</v>
      </c>
      <c r="L717" s="272">
        <f t="shared" si="71"/>
        <v>1900</v>
      </c>
      <c r="M717" s="272">
        <f t="shared" si="72"/>
        <v>1</v>
      </c>
      <c r="N717" s="273"/>
      <c r="O717" s="61">
        <f t="shared" si="73"/>
        <v>1900</v>
      </c>
      <c r="P717" s="61">
        <f t="shared" si="74"/>
        <v>1</v>
      </c>
      <c r="R717" s="272"/>
      <c r="S717" s="272"/>
      <c r="T717" s="273" t="str">
        <f t="shared" si="75"/>
        <v>-</v>
      </c>
    </row>
    <row r="718" spans="1:20">
      <c r="A718" s="269"/>
      <c r="B718" s="57"/>
      <c r="C718" s="55"/>
      <c r="D718" s="55"/>
      <c r="E718" s="55"/>
      <c r="F718" s="55"/>
      <c r="G718" s="274"/>
      <c r="H718" s="271"/>
      <c r="I718" s="213"/>
      <c r="J718" s="213"/>
      <c r="K718" s="212">
        <f t="shared" si="70"/>
        <v>0</v>
      </c>
      <c r="L718" s="272">
        <f t="shared" si="71"/>
        <v>1900</v>
      </c>
      <c r="M718" s="272">
        <f t="shared" si="72"/>
        <v>1</v>
      </c>
      <c r="N718" s="273"/>
      <c r="O718" s="61">
        <f t="shared" si="73"/>
        <v>1900</v>
      </c>
      <c r="P718" s="61">
        <f t="shared" si="74"/>
        <v>1</v>
      </c>
      <c r="R718" s="272"/>
      <c r="S718" s="272"/>
      <c r="T718" s="273" t="str">
        <f t="shared" si="75"/>
        <v>-</v>
      </c>
    </row>
    <row r="719" spans="1:20">
      <c r="A719" s="269"/>
      <c r="B719" s="57"/>
      <c r="C719" s="55"/>
      <c r="D719" s="55"/>
      <c r="E719" s="55"/>
      <c r="F719" s="55"/>
      <c r="G719" s="274"/>
      <c r="H719" s="271"/>
      <c r="I719" s="213"/>
      <c r="J719" s="213"/>
      <c r="K719" s="212">
        <f t="shared" ref="K719:K782" si="76">I719+H719+J719</f>
        <v>0</v>
      </c>
      <c r="L719" s="272">
        <f t="shared" si="71"/>
        <v>1900</v>
      </c>
      <c r="M719" s="272">
        <f t="shared" si="72"/>
        <v>1</v>
      </c>
      <c r="N719" s="273"/>
      <c r="O719" s="61">
        <f t="shared" si="73"/>
        <v>1900</v>
      </c>
      <c r="P719" s="61">
        <f t="shared" si="74"/>
        <v>1</v>
      </c>
      <c r="R719" s="272"/>
      <c r="S719" s="272"/>
      <c r="T719" s="273" t="str">
        <f t="shared" si="75"/>
        <v>-</v>
      </c>
    </row>
    <row r="720" spans="1:20">
      <c r="A720" s="269"/>
      <c r="B720" s="57"/>
      <c r="C720" s="55"/>
      <c r="D720" s="55"/>
      <c r="E720" s="55"/>
      <c r="F720" s="55"/>
      <c r="G720" s="274"/>
      <c r="H720" s="271"/>
      <c r="I720" s="213"/>
      <c r="J720" s="213"/>
      <c r="K720" s="212">
        <f t="shared" si="76"/>
        <v>0</v>
      </c>
      <c r="L720" s="272">
        <f t="shared" ref="L720:L783" si="77">YEAR(B720)</f>
        <v>1900</v>
      </c>
      <c r="M720" s="272">
        <f t="shared" ref="M720:M783" si="78">MONTH(B720)</f>
        <v>1</v>
      </c>
      <c r="N720" s="273"/>
      <c r="O720" s="61">
        <f t="shared" ref="O720:O783" si="79">YEAR(B720)</f>
        <v>1900</v>
      </c>
      <c r="P720" s="61">
        <f t="shared" ref="P720:P783" si="80">MONTH(B720)</f>
        <v>1</v>
      </c>
      <c r="R720" s="272"/>
      <c r="S720" s="272"/>
      <c r="T720" s="273" t="str">
        <f t="shared" ref="T720:T783" si="81">IF($E720&gt;0,IF((R720+S720)=$E720,"OK","Error"),"-")</f>
        <v>-</v>
      </c>
    </row>
    <row r="721" spans="1:20">
      <c r="A721" s="269"/>
      <c r="B721" s="57"/>
      <c r="C721" s="55"/>
      <c r="D721" s="55"/>
      <c r="E721" s="55"/>
      <c r="F721" s="55"/>
      <c r="G721" s="274"/>
      <c r="H721" s="271"/>
      <c r="I721" s="213"/>
      <c r="J721" s="213"/>
      <c r="K721" s="212">
        <f t="shared" si="76"/>
        <v>0</v>
      </c>
      <c r="L721" s="272">
        <f t="shared" si="77"/>
        <v>1900</v>
      </c>
      <c r="M721" s="272">
        <f t="shared" si="78"/>
        <v>1</v>
      </c>
      <c r="N721" s="273"/>
      <c r="O721" s="61">
        <f t="shared" si="79"/>
        <v>1900</v>
      </c>
      <c r="P721" s="61">
        <f t="shared" si="80"/>
        <v>1</v>
      </c>
      <c r="R721" s="272"/>
      <c r="S721" s="272"/>
      <c r="T721" s="273" t="str">
        <f t="shared" si="81"/>
        <v>-</v>
      </c>
    </row>
    <row r="722" spans="1:20">
      <c r="A722" s="269"/>
      <c r="B722" s="57"/>
      <c r="C722" s="55"/>
      <c r="D722" s="55"/>
      <c r="E722" s="55"/>
      <c r="F722" s="55"/>
      <c r="G722" s="274"/>
      <c r="H722" s="271"/>
      <c r="I722" s="213"/>
      <c r="J722" s="213"/>
      <c r="K722" s="212">
        <f t="shared" si="76"/>
        <v>0</v>
      </c>
      <c r="L722" s="272">
        <f t="shared" si="77"/>
        <v>1900</v>
      </c>
      <c r="M722" s="272">
        <f t="shared" si="78"/>
        <v>1</v>
      </c>
      <c r="N722" s="273"/>
      <c r="O722" s="61">
        <f t="shared" si="79"/>
        <v>1900</v>
      </c>
      <c r="P722" s="61">
        <f t="shared" si="80"/>
        <v>1</v>
      </c>
      <c r="R722" s="272"/>
      <c r="S722" s="272"/>
      <c r="T722" s="273" t="str">
        <f t="shared" si="81"/>
        <v>-</v>
      </c>
    </row>
    <row r="723" spans="1:20">
      <c r="A723" s="269"/>
      <c r="B723" s="57"/>
      <c r="C723" s="55"/>
      <c r="D723" s="55"/>
      <c r="E723" s="55"/>
      <c r="F723" s="55"/>
      <c r="G723" s="274"/>
      <c r="H723" s="271"/>
      <c r="I723" s="213"/>
      <c r="J723" s="213"/>
      <c r="K723" s="212">
        <f t="shared" si="76"/>
        <v>0</v>
      </c>
      <c r="L723" s="272">
        <f t="shared" si="77"/>
        <v>1900</v>
      </c>
      <c r="M723" s="272">
        <f t="shared" si="78"/>
        <v>1</v>
      </c>
      <c r="N723" s="273"/>
      <c r="O723" s="61">
        <f t="shared" si="79"/>
        <v>1900</v>
      </c>
      <c r="P723" s="61">
        <f t="shared" si="80"/>
        <v>1</v>
      </c>
      <c r="R723" s="272"/>
      <c r="S723" s="272"/>
      <c r="T723" s="273" t="str">
        <f t="shared" si="81"/>
        <v>-</v>
      </c>
    </row>
    <row r="724" spans="1:20">
      <c r="A724" s="269"/>
      <c r="B724" s="57"/>
      <c r="C724" s="55"/>
      <c r="D724" s="55"/>
      <c r="E724" s="55"/>
      <c r="F724" s="55"/>
      <c r="G724" s="274"/>
      <c r="H724" s="271"/>
      <c r="I724" s="213"/>
      <c r="J724" s="213"/>
      <c r="K724" s="212">
        <f t="shared" si="76"/>
        <v>0</v>
      </c>
      <c r="L724" s="272">
        <f t="shared" si="77"/>
        <v>1900</v>
      </c>
      <c r="M724" s="272">
        <f t="shared" si="78"/>
        <v>1</v>
      </c>
      <c r="N724" s="273"/>
      <c r="O724" s="61">
        <f t="shared" si="79"/>
        <v>1900</v>
      </c>
      <c r="P724" s="61">
        <f t="shared" si="80"/>
        <v>1</v>
      </c>
      <c r="R724" s="272"/>
      <c r="S724" s="272"/>
      <c r="T724" s="273" t="str">
        <f t="shared" si="81"/>
        <v>-</v>
      </c>
    </row>
    <row r="725" spans="1:20">
      <c r="A725" s="269"/>
      <c r="B725" s="57"/>
      <c r="C725" s="55"/>
      <c r="D725" s="55"/>
      <c r="E725" s="55"/>
      <c r="F725" s="55"/>
      <c r="G725" s="274"/>
      <c r="H725" s="271"/>
      <c r="I725" s="213"/>
      <c r="J725" s="213"/>
      <c r="K725" s="212">
        <f t="shared" si="76"/>
        <v>0</v>
      </c>
      <c r="L725" s="272">
        <f t="shared" si="77"/>
        <v>1900</v>
      </c>
      <c r="M725" s="272">
        <f t="shared" si="78"/>
        <v>1</v>
      </c>
      <c r="N725" s="273"/>
      <c r="O725" s="61">
        <f t="shared" si="79"/>
        <v>1900</v>
      </c>
      <c r="P725" s="61">
        <f t="shared" si="80"/>
        <v>1</v>
      </c>
      <c r="R725" s="272"/>
      <c r="S725" s="272"/>
      <c r="T725" s="273" t="str">
        <f t="shared" si="81"/>
        <v>-</v>
      </c>
    </row>
    <row r="726" spans="1:20">
      <c r="A726" s="269"/>
      <c r="B726" s="57"/>
      <c r="C726" s="55"/>
      <c r="D726" s="55"/>
      <c r="E726" s="55"/>
      <c r="F726" s="55"/>
      <c r="G726" s="274"/>
      <c r="H726" s="271"/>
      <c r="I726" s="213"/>
      <c r="J726" s="213"/>
      <c r="K726" s="212">
        <f t="shared" si="76"/>
        <v>0</v>
      </c>
      <c r="L726" s="272">
        <f t="shared" si="77"/>
        <v>1900</v>
      </c>
      <c r="M726" s="272">
        <f t="shared" si="78"/>
        <v>1</v>
      </c>
      <c r="N726" s="273"/>
      <c r="O726" s="61">
        <f t="shared" si="79"/>
        <v>1900</v>
      </c>
      <c r="P726" s="61">
        <f t="shared" si="80"/>
        <v>1</v>
      </c>
      <c r="R726" s="272"/>
      <c r="S726" s="272"/>
      <c r="T726" s="273" t="str">
        <f t="shared" si="81"/>
        <v>-</v>
      </c>
    </row>
    <row r="727" spans="1:20">
      <c r="A727" s="269"/>
      <c r="B727" s="57"/>
      <c r="C727" s="55"/>
      <c r="D727" s="55"/>
      <c r="E727" s="55"/>
      <c r="F727" s="55"/>
      <c r="G727" s="274"/>
      <c r="H727" s="271"/>
      <c r="I727" s="213"/>
      <c r="J727" s="213"/>
      <c r="K727" s="212">
        <f t="shared" si="76"/>
        <v>0</v>
      </c>
      <c r="L727" s="272">
        <f t="shared" si="77"/>
        <v>1900</v>
      </c>
      <c r="M727" s="272">
        <f t="shared" si="78"/>
        <v>1</v>
      </c>
      <c r="N727" s="273"/>
      <c r="O727" s="61">
        <f t="shared" si="79"/>
        <v>1900</v>
      </c>
      <c r="P727" s="61">
        <f t="shared" si="80"/>
        <v>1</v>
      </c>
      <c r="R727" s="272"/>
      <c r="S727" s="272"/>
      <c r="T727" s="273" t="str">
        <f t="shared" si="81"/>
        <v>-</v>
      </c>
    </row>
    <row r="728" spans="1:20">
      <c r="A728" s="269"/>
      <c r="B728" s="57"/>
      <c r="C728" s="55"/>
      <c r="D728" s="55"/>
      <c r="E728" s="55"/>
      <c r="F728" s="55"/>
      <c r="G728" s="274"/>
      <c r="H728" s="271"/>
      <c r="I728" s="213"/>
      <c r="J728" s="213"/>
      <c r="K728" s="212">
        <f t="shared" si="76"/>
        <v>0</v>
      </c>
      <c r="L728" s="272">
        <f t="shared" si="77"/>
        <v>1900</v>
      </c>
      <c r="M728" s="272">
        <f t="shared" si="78"/>
        <v>1</v>
      </c>
      <c r="N728" s="273"/>
      <c r="O728" s="61">
        <f t="shared" si="79"/>
        <v>1900</v>
      </c>
      <c r="P728" s="61">
        <f t="shared" si="80"/>
        <v>1</v>
      </c>
      <c r="R728" s="272"/>
      <c r="S728" s="272"/>
      <c r="T728" s="273" t="str">
        <f t="shared" si="81"/>
        <v>-</v>
      </c>
    </row>
    <row r="729" spans="1:20">
      <c r="A729" s="269"/>
      <c r="B729" s="57"/>
      <c r="C729" s="55"/>
      <c r="D729" s="55"/>
      <c r="E729" s="55"/>
      <c r="F729" s="55"/>
      <c r="G729" s="274"/>
      <c r="H729" s="271"/>
      <c r="I729" s="213"/>
      <c r="J729" s="213"/>
      <c r="K729" s="212">
        <f t="shared" si="76"/>
        <v>0</v>
      </c>
      <c r="L729" s="272">
        <f t="shared" si="77"/>
        <v>1900</v>
      </c>
      <c r="M729" s="272">
        <f t="shared" si="78"/>
        <v>1</v>
      </c>
      <c r="N729" s="273"/>
      <c r="O729" s="61">
        <f t="shared" si="79"/>
        <v>1900</v>
      </c>
      <c r="P729" s="61">
        <f t="shared" si="80"/>
        <v>1</v>
      </c>
      <c r="R729" s="272"/>
      <c r="S729" s="272"/>
      <c r="T729" s="273" t="str">
        <f t="shared" si="81"/>
        <v>-</v>
      </c>
    </row>
    <row r="730" spans="1:20">
      <c r="A730" s="269"/>
      <c r="B730" s="57"/>
      <c r="C730" s="55"/>
      <c r="D730" s="55"/>
      <c r="E730" s="55"/>
      <c r="F730" s="55"/>
      <c r="G730" s="274"/>
      <c r="H730" s="271"/>
      <c r="I730" s="213"/>
      <c r="J730" s="213"/>
      <c r="K730" s="212">
        <f t="shared" si="76"/>
        <v>0</v>
      </c>
      <c r="L730" s="272">
        <f t="shared" si="77"/>
        <v>1900</v>
      </c>
      <c r="M730" s="272">
        <f t="shared" si="78"/>
        <v>1</v>
      </c>
      <c r="N730" s="273"/>
      <c r="O730" s="61">
        <f t="shared" si="79"/>
        <v>1900</v>
      </c>
      <c r="P730" s="61">
        <f t="shared" si="80"/>
        <v>1</v>
      </c>
      <c r="R730" s="272"/>
      <c r="S730" s="272"/>
      <c r="T730" s="273" t="str">
        <f t="shared" si="81"/>
        <v>-</v>
      </c>
    </row>
    <row r="731" spans="1:20">
      <c r="A731" s="269"/>
      <c r="B731" s="57"/>
      <c r="C731" s="55"/>
      <c r="D731" s="55"/>
      <c r="E731" s="55"/>
      <c r="F731" s="55"/>
      <c r="G731" s="274"/>
      <c r="H731" s="271"/>
      <c r="I731" s="213"/>
      <c r="J731" s="213"/>
      <c r="K731" s="212">
        <f t="shared" si="76"/>
        <v>0</v>
      </c>
      <c r="L731" s="272">
        <f t="shared" si="77"/>
        <v>1900</v>
      </c>
      <c r="M731" s="272">
        <f t="shared" si="78"/>
        <v>1</v>
      </c>
      <c r="N731" s="273"/>
      <c r="O731" s="61">
        <f t="shared" si="79"/>
        <v>1900</v>
      </c>
      <c r="P731" s="61">
        <f t="shared" si="80"/>
        <v>1</v>
      </c>
      <c r="R731" s="272"/>
      <c r="S731" s="272"/>
      <c r="T731" s="273" t="str">
        <f t="shared" si="81"/>
        <v>-</v>
      </c>
    </row>
    <row r="732" spans="1:20">
      <c r="A732" s="269"/>
      <c r="B732" s="57"/>
      <c r="C732" s="55"/>
      <c r="D732" s="55"/>
      <c r="E732" s="55"/>
      <c r="F732" s="55"/>
      <c r="G732" s="274"/>
      <c r="H732" s="271"/>
      <c r="I732" s="213"/>
      <c r="J732" s="213"/>
      <c r="K732" s="212">
        <f t="shared" si="76"/>
        <v>0</v>
      </c>
      <c r="L732" s="272">
        <f t="shared" si="77"/>
        <v>1900</v>
      </c>
      <c r="M732" s="272">
        <f t="shared" si="78"/>
        <v>1</v>
      </c>
      <c r="N732" s="273"/>
      <c r="O732" s="61">
        <f t="shared" si="79"/>
        <v>1900</v>
      </c>
      <c r="P732" s="61">
        <f t="shared" si="80"/>
        <v>1</v>
      </c>
      <c r="R732" s="272"/>
      <c r="S732" s="272"/>
      <c r="T732" s="273" t="str">
        <f t="shared" si="81"/>
        <v>-</v>
      </c>
    </row>
    <row r="733" spans="1:20">
      <c r="A733" s="269"/>
      <c r="B733" s="57"/>
      <c r="C733" s="55"/>
      <c r="D733" s="55"/>
      <c r="E733" s="55"/>
      <c r="F733" s="55"/>
      <c r="G733" s="274"/>
      <c r="H733" s="271"/>
      <c r="I733" s="213"/>
      <c r="J733" s="213"/>
      <c r="K733" s="212">
        <f t="shared" si="76"/>
        <v>0</v>
      </c>
      <c r="L733" s="272">
        <f t="shared" si="77"/>
        <v>1900</v>
      </c>
      <c r="M733" s="272">
        <f t="shared" si="78"/>
        <v>1</v>
      </c>
      <c r="N733" s="273"/>
      <c r="O733" s="61">
        <f t="shared" si="79"/>
        <v>1900</v>
      </c>
      <c r="P733" s="61">
        <f t="shared" si="80"/>
        <v>1</v>
      </c>
      <c r="R733" s="272"/>
      <c r="S733" s="272"/>
      <c r="T733" s="273" t="str">
        <f t="shared" si="81"/>
        <v>-</v>
      </c>
    </row>
    <row r="734" spans="1:20">
      <c r="A734" s="269"/>
      <c r="B734" s="57"/>
      <c r="C734" s="55"/>
      <c r="D734" s="55"/>
      <c r="E734" s="55"/>
      <c r="F734" s="55"/>
      <c r="G734" s="274"/>
      <c r="H734" s="271"/>
      <c r="I734" s="213"/>
      <c r="J734" s="213"/>
      <c r="K734" s="212">
        <f t="shared" si="76"/>
        <v>0</v>
      </c>
      <c r="L734" s="272">
        <f t="shared" si="77"/>
        <v>1900</v>
      </c>
      <c r="M734" s="272">
        <f t="shared" si="78"/>
        <v>1</v>
      </c>
      <c r="N734" s="273"/>
      <c r="O734" s="61">
        <f t="shared" si="79"/>
        <v>1900</v>
      </c>
      <c r="P734" s="61">
        <f t="shared" si="80"/>
        <v>1</v>
      </c>
      <c r="R734" s="272"/>
      <c r="S734" s="272"/>
      <c r="T734" s="273" t="str">
        <f t="shared" si="81"/>
        <v>-</v>
      </c>
    </row>
    <row r="735" spans="1:20">
      <c r="A735" s="269"/>
      <c r="B735" s="57"/>
      <c r="C735" s="55"/>
      <c r="D735" s="55"/>
      <c r="E735" s="55"/>
      <c r="F735" s="55"/>
      <c r="G735" s="274"/>
      <c r="H735" s="271"/>
      <c r="I735" s="213"/>
      <c r="J735" s="213"/>
      <c r="K735" s="212">
        <f t="shared" si="76"/>
        <v>0</v>
      </c>
      <c r="L735" s="272">
        <f t="shared" si="77"/>
        <v>1900</v>
      </c>
      <c r="M735" s="272">
        <f t="shared" si="78"/>
        <v>1</v>
      </c>
      <c r="N735" s="273"/>
      <c r="O735" s="61">
        <f t="shared" si="79"/>
        <v>1900</v>
      </c>
      <c r="P735" s="61">
        <f t="shared" si="80"/>
        <v>1</v>
      </c>
      <c r="R735" s="272"/>
      <c r="S735" s="272"/>
      <c r="T735" s="273" t="str">
        <f t="shared" si="81"/>
        <v>-</v>
      </c>
    </row>
    <row r="736" spans="1:20">
      <c r="A736" s="269"/>
      <c r="B736" s="57"/>
      <c r="C736" s="55"/>
      <c r="D736" s="55"/>
      <c r="E736" s="55"/>
      <c r="F736" s="55"/>
      <c r="G736" s="274"/>
      <c r="H736" s="271"/>
      <c r="I736" s="213"/>
      <c r="J736" s="213"/>
      <c r="K736" s="212">
        <f t="shared" si="76"/>
        <v>0</v>
      </c>
      <c r="L736" s="272">
        <f t="shared" si="77"/>
        <v>1900</v>
      </c>
      <c r="M736" s="272">
        <f t="shared" si="78"/>
        <v>1</v>
      </c>
      <c r="N736" s="273"/>
      <c r="O736" s="61">
        <f t="shared" si="79"/>
        <v>1900</v>
      </c>
      <c r="P736" s="61">
        <f t="shared" si="80"/>
        <v>1</v>
      </c>
      <c r="R736" s="272"/>
      <c r="S736" s="272"/>
      <c r="T736" s="273" t="str">
        <f t="shared" si="81"/>
        <v>-</v>
      </c>
    </row>
    <row r="737" spans="1:20">
      <c r="A737" s="269"/>
      <c r="B737" s="57"/>
      <c r="C737" s="55"/>
      <c r="D737" s="55"/>
      <c r="E737" s="55"/>
      <c r="F737" s="55"/>
      <c r="G737" s="274"/>
      <c r="H737" s="271"/>
      <c r="I737" s="213"/>
      <c r="J737" s="213"/>
      <c r="K737" s="212">
        <f t="shared" si="76"/>
        <v>0</v>
      </c>
      <c r="L737" s="272">
        <f t="shared" si="77"/>
        <v>1900</v>
      </c>
      <c r="M737" s="272">
        <f t="shared" si="78"/>
        <v>1</v>
      </c>
      <c r="N737" s="273"/>
      <c r="O737" s="61">
        <f t="shared" si="79"/>
        <v>1900</v>
      </c>
      <c r="P737" s="61">
        <f t="shared" si="80"/>
        <v>1</v>
      </c>
      <c r="R737" s="272"/>
      <c r="S737" s="272"/>
      <c r="T737" s="273" t="str">
        <f t="shared" si="81"/>
        <v>-</v>
      </c>
    </row>
    <row r="738" spans="1:20">
      <c r="A738" s="269"/>
      <c r="B738" s="57"/>
      <c r="C738" s="55"/>
      <c r="D738" s="55"/>
      <c r="E738" s="55"/>
      <c r="F738" s="55"/>
      <c r="G738" s="274"/>
      <c r="H738" s="271"/>
      <c r="I738" s="213"/>
      <c r="J738" s="213"/>
      <c r="K738" s="212">
        <f t="shared" si="76"/>
        <v>0</v>
      </c>
      <c r="L738" s="272">
        <f t="shared" si="77"/>
        <v>1900</v>
      </c>
      <c r="M738" s="272">
        <f t="shared" si="78"/>
        <v>1</v>
      </c>
      <c r="N738" s="273"/>
      <c r="O738" s="61">
        <f t="shared" si="79"/>
        <v>1900</v>
      </c>
      <c r="P738" s="61">
        <f t="shared" si="80"/>
        <v>1</v>
      </c>
      <c r="R738" s="272"/>
      <c r="S738" s="272"/>
      <c r="T738" s="273" t="str">
        <f t="shared" si="81"/>
        <v>-</v>
      </c>
    </row>
    <row r="739" spans="1:20">
      <c r="A739" s="269"/>
      <c r="B739" s="57"/>
      <c r="C739" s="55"/>
      <c r="D739" s="55"/>
      <c r="E739" s="55"/>
      <c r="F739" s="55"/>
      <c r="G739" s="274"/>
      <c r="H739" s="271"/>
      <c r="I739" s="213"/>
      <c r="J739" s="213"/>
      <c r="K739" s="212">
        <f t="shared" si="76"/>
        <v>0</v>
      </c>
      <c r="L739" s="272">
        <f t="shared" si="77"/>
        <v>1900</v>
      </c>
      <c r="M739" s="272">
        <f t="shared" si="78"/>
        <v>1</v>
      </c>
      <c r="N739" s="273"/>
      <c r="O739" s="61">
        <f t="shared" si="79"/>
        <v>1900</v>
      </c>
      <c r="P739" s="61">
        <f t="shared" si="80"/>
        <v>1</v>
      </c>
      <c r="R739" s="272"/>
      <c r="S739" s="272"/>
      <c r="T739" s="273" t="str">
        <f t="shared" si="81"/>
        <v>-</v>
      </c>
    </row>
    <row r="740" spans="1:20">
      <c r="A740" s="269"/>
      <c r="B740" s="57"/>
      <c r="C740" s="55"/>
      <c r="D740" s="55"/>
      <c r="E740" s="55"/>
      <c r="F740" s="55"/>
      <c r="G740" s="274"/>
      <c r="H740" s="271"/>
      <c r="I740" s="213"/>
      <c r="J740" s="213"/>
      <c r="K740" s="212">
        <f t="shared" si="76"/>
        <v>0</v>
      </c>
      <c r="L740" s="272">
        <f t="shared" si="77"/>
        <v>1900</v>
      </c>
      <c r="M740" s="272">
        <f t="shared" si="78"/>
        <v>1</v>
      </c>
      <c r="N740" s="273"/>
      <c r="O740" s="61">
        <f t="shared" si="79"/>
        <v>1900</v>
      </c>
      <c r="P740" s="61">
        <f t="shared" si="80"/>
        <v>1</v>
      </c>
      <c r="R740" s="272"/>
      <c r="S740" s="272"/>
      <c r="T740" s="273" t="str">
        <f t="shared" si="81"/>
        <v>-</v>
      </c>
    </row>
    <row r="741" spans="1:20">
      <c r="A741" s="269"/>
      <c r="B741" s="57"/>
      <c r="C741" s="55"/>
      <c r="D741" s="55"/>
      <c r="E741" s="55"/>
      <c r="F741" s="55"/>
      <c r="G741" s="274"/>
      <c r="H741" s="271"/>
      <c r="I741" s="213"/>
      <c r="J741" s="213"/>
      <c r="K741" s="212">
        <f t="shared" si="76"/>
        <v>0</v>
      </c>
      <c r="L741" s="272">
        <f t="shared" si="77"/>
        <v>1900</v>
      </c>
      <c r="M741" s="272">
        <f t="shared" si="78"/>
        <v>1</v>
      </c>
      <c r="N741" s="273"/>
      <c r="O741" s="61">
        <f t="shared" si="79"/>
        <v>1900</v>
      </c>
      <c r="P741" s="61">
        <f t="shared" si="80"/>
        <v>1</v>
      </c>
      <c r="R741" s="272"/>
      <c r="S741" s="272"/>
      <c r="T741" s="273" t="str">
        <f t="shared" si="81"/>
        <v>-</v>
      </c>
    </row>
    <row r="742" spans="1:20">
      <c r="A742" s="269"/>
      <c r="B742" s="57"/>
      <c r="C742" s="55"/>
      <c r="D742" s="55"/>
      <c r="E742" s="55"/>
      <c r="F742" s="55"/>
      <c r="G742" s="274"/>
      <c r="H742" s="271"/>
      <c r="I742" s="213"/>
      <c r="J742" s="213"/>
      <c r="K742" s="212">
        <f t="shared" si="76"/>
        <v>0</v>
      </c>
      <c r="L742" s="272">
        <f t="shared" si="77"/>
        <v>1900</v>
      </c>
      <c r="M742" s="272">
        <f t="shared" si="78"/>
        <v>1</v>
      </c>
      <c r="N742" s="273"/>
      <c r="O742" s="61">
        <f t="shared" si="79"/>
        <v>1900</v>
      </c>
      <c r="P742" s="61">
        <f t="shared" si="80"/>
        <v>1</v>
      </c>
      <c r="R742" s="272"/>
      <c r="S742" s="272"/>
      <c r="T742" s="273" t="str">
        <f t="shared" si="81"/>
        <v>-</v>
      </c>
    </row>
    <row r="743" spans="1:20">
      <c r="A743" s="269"/>
      <c r="B743" s="57"/>
      <c r="C743" s="55"/>
      <c r="D743" s="55"/>
      <c r="E743" s="55"/>
      <c r="F743" s="55"/>
      <c r="G743" s="274"/>
      <c r="H743" s="271"/>
      <c r="I743" s="213"/>
      <c r="J743" s="213"/>
      <c r="K743" s="212">
        <f t="shared" si="76"/>
        <v>0</v>
      </c>
      <c r="L743" s="272">
        <f t="shared" si="77"/>
        <v>1900</v>
      </c>
      <c r="M743" s="272">
        <f t="shared" si="78"/>
        <v>1</v>
      </c>
      <c r="N743" s="273"/>
      <c r="O743" s="61">
        <f t="shared" si="79"/>
        <v>1900</v>
      </c>
      <c r="P743" s="61">
        <f t="shared" si="80"/>
        <v>1</v>
      </c>
      <c r="R743" s="272"/>
      <c r="S743" s="272"/>
      <c r="T743" s="273" t="str">
        <f t="shared" si="81"/>
        <v>-</v>
      </c>
    </row>
    <row r="744" spans="1:20">
      <c r="A744" s="269"/>
      <c r="B744" s="57"/>
      <c r="C744" s="55"/>
      <c r="D744" s="55"/>
      <c r="E744" s="55"/>
      <c r="F744" s="55"/>
      <c r="G744" s="274"/>
      <c r="H744" s="271"/>
      <c r="I744" s="213"/>
      <c r="J744" s="213"/>
      <c r="K744" s="212">
        <f t="shared" si="76"/>
        <v>0</v>
      </c>
      <c r="L744" s="272">
        <f t="shared" si="77"/>
        <v>1900</v>
      </c>
      <c r="M744" s="272">
        <f t="shared" si="78"/>
        <v>1</v>
      </c>
      <c r="N744" s="273"/>
      <c r="O744" s="61">
        <f t="shared" si="79"/>
        <v>1900</v>
      </c>
      <c r="P744" s="61">
        <f t="shared" si="80"/>
        <v>1</v>
      </c>
      <c r="R744" s="272"/>
      <c r="S744" s="272"/>
      <c r="T744" s="273" t="str">
        <f t="shared" si="81"/>
        <v>-</v>
      </c>
    </row>
    <row r="745" spans="1:20">
      <c r="A745" s="269"/>
      <c r="B745" s="57"/>
      <c r="C745" s="55"/>
      <c r="D745" s="55"/>
      <c r="E745" s="55"/>
      <c r="F745" s="55"/>
      <c r="G745" s="274"/>
      <c r="H745" s="271"/>
      <c r="I745" s="213"/>
      <c r="J745" s="213"/>
      <c r="K745" s="212">
        <f t="shared" si="76"/>
        <v>0</v>
      </c>
      <c r="L745" s="272">
        <f t="shared" si="77"/>
        <v>1900</v>
      </c>
      <c r="M745" s="272">
        <f t="shared" si="78"/>
        <v>1</v>
      </c>
      <c r="N745" s="273"/>
      <c r="O745" s="61">
        <f t="shared" si="79"/>
        <v>1900</v>
      </c>
      <c r="P745" s="61">
        <f t="shared" si="80"/>
        <v>1</v>
      </c>
      <c r="R745" s="272"/>
      <c r="S745" s="272"/>
      <c r="T745" s="273" t="str">
        <f t="shared" si="81"/>
        <v>-</v>
      </c>
    </row>
    <row r="746" spans="1:20">
      <c r="A746" s="269"/>
      <c r="B746" s="57"/>
      <c r="C746" s="55"/>
      <c r="D746" s="55"/>
      <c r="E746" s="55"/>
      <c r="F746" s="55"/>
      <c r="G746" s="274"/>
      <c r="H746" s="271"/>
      <c r="I746" s="213"/>
      <c r="J746" s="213"/>
      <c r="K746" s="212">
        <f t="shared" si="76"/>
        <v>0</v>
      </c>
      <c r="L746" s="272">
        <f t="shared" si="77"/>
        <v>1900</v>
      </c>
      <c r="M746" s="272">
        <f t="shared" si="78"/>
        <v>1</v>
      </c>
      <c r="N746" s="273"/>
      <c r="O746" s="61">
        <f t="shared" si="79"/>
        <v>1900</v>
      </c>
      <c r="P746" s="61">
        <f t="shared" si="80"/>
        <v>1</v>
      </c>
      <c r="R746" s="272"/>
      <c r="S746" s="272"/>
      <c r="T746" s="273" t="str">
        <f t="shared" si="81"/>
        <v>-</v>
      </c>
    </row>
    <row r="747" spans="1:20">
      <c r="A747" s="269"/>
      <c r="B747" s="57"/>
      <c r="C747" s="55"/>
      <c r="D747" s="55"/>
      <c r="E747" s="55"/>
      <c r="F747" s="55"/>
      <c r="G747" s="274"/>
      <c r="H747" s="271"/>
      <c r="I747" s="213"/>
      <c r="J747" s="213"/>
      <c r="K747" s="212">
        <f t="shared" si="76"/>
        <v>0</v>
      </c>
      <c r="L747" s="272">
        <f t="shared" si="77"/>
        <v>1900</v>
      </c>
      <c r="M747" s="272">
        <f t="shared" si="78"/>
        <v>1</v>
      </c>
      <c r="N747" s="273"/>
      <c r="O747" s="61">
        <f t="shared" si="79"/>
        <v>1900</v>
      </c>
      <c r="P747" s="61">
        <f t="shared" si="80"/>
        <v>1</v>
      </c>
      <c r="R747" s="272"/>
      <c r="S747" s="272"/>
      <c r="T747" s="273" t="str">
        <f t="shared" si="81"/>
        <v>-</v>
      </c>
    </row>
    <row r="748" spans="1:20">
      <c r="A748" s="269"/>
      <c r="B748" s="57"/>
      <c r="C748" s="55"/>
      <c r="D748" s="55"/>
      <c r="E748" s="55"/>
      <c r="F748" s="55"/>
      <c r="G748" s="274"/>
      <c r="H748" s="271"/>
      <c r="I748" s="213"/>
      <c r="J748" s="213"/>
      <c r="K748" s="212">
        <f t="shared" si="76"/>
        <v>0</v>
      </c>
      <c r="L748" s="272">
        <f t="shared" si="77"/>
        <v>1900</v>
      </c>
      <c r="M748" s="272">
        <f t="shared" si="78"/>
        <v>1</v>
      </c>
      <c r="N748" s="273"/>
      <c r="O748" s="61">
        <f t="shared" si="79"/>
        <v>1900</v>
      </c>
      <c r="P748" s="61">
        <f t="shared" si="80"/>
        <v>1</v>
      </c>
      <c r="R748" s="272"/>
      <c r="S748" s="272"/>
      <c r="T748" s="273" t="str">
        <f t="shared" si="81"/>
        <v>-</v>
      </c>
    </row>
    <row r="749" spans="1:20">
      <c r="A749" s="269"/>
      <c r="B749" s="57"/>
      <c r="C749" s="55"/>
      <c r="D749" s="55"/>
      <c r="E749" s="55"/>
      <c r="F749" s="55"/>
      <c r="G749" s="274"/>
      <c r="H749" s="271"/>
      <c r="I749" s="213"/>
      <c r="J749" s="213"/>
      <c r="K749" s="212">
        <f t="shared" si="76"/>
        <v>0</v>
      </c>
      <c r="L749" s="272">
        <f t="shared" si="77"/>
        <v>1900</v>
      </c>
      <c r="M749" s="272">
        <f t="shared" si="78"/>
        <v>1</v>
      </c>
      <c r="N749" s="273"/>
      <c r="O749" s="61">
        <f t="shared" si="79"/>
        <v>1900</v>
      </c>
      <c r="P749" s="61">
        <f t="shared" si="80"/>
        <v>1</v>
      </c>
      <c r="R749" s="272"/>
      <c r="S749" s="272"/>
      <c r="T749" s="273" t="str">
        <f t="shared" si="81"/>
        <v>-</v>
      </c>
    </row>
    <row r="750" spans="1:20">
      <c r="A750" s="269"/>
      <c r="B750" s="57"/>
      <c r="C750" s="55"/>
      <c r="D750" s="55"/>
      <c r="E750" s="55"/>
      <c r="F750" s="55"/>
      <c r="G750" s="274"/>
      <c r="H750" s="271"/>
      <c r="I750" s="213"/>
      <c r="J750" s="213"/>
      <c r="K750" s="212">
        <f t="shared" si="76"/>
        <v>0</v>
      </c>
      <c r="L750" s="272">
        <f t="shared" si="77"/>
        <v>1900</v>
      </c>
      <c r="M750" s="272">
        <f t="shared" si="78"/>
        <v>1</v>
      </c>
      <c r="N750" s="273"/>
      <c r="O750" s="61">
        <f t="shared" si="79"/>
        <v>1900</v>
      </c>
      <c r="P750" s="61">
        <f t="shared" si="80"/>
        <v>1</v>
      </c>
      <c r="R750" s="272"/>
      <c r="S750" s="272"/>
      <c r="T750" s="273" t="str">
        <f t="shared" si="81"/>
        <v>-</v>
      </c>
    </row>
    <row r="751" spans="1:20">
      <c r="A751" s="269"/>
      <c r="B751" s="57"/>
      <c r="C751" s="55"/>
      <c r="D751" s="55"/>
      <c r="E751" s="55"/>
      <c r="F751" s="55"/>
      <c r="G751" s="274"/>
      <c r="H751" s="271"/>
      <c r="I751" s="213"/>
      <c r="J751" s="213"/>
      <c r="K751" s="212">
        <f t="shared" si="76"/>
        <v>0</v>
      </c>
      <c r="L751" s="272">
        <f t="shared" si="77"/>
        <v>1900</v>
      </c>
      <c r="M751" s="272">
        <f t="shared" si="78"/>
        <v>1</v>
      </c>
      <c r="N751" s="273"/>
      <c r="O751" s="61">
        <f t="shared" si="79"/>
        <v>1900</v>
      </c>
      <c r="P751" s="61">
        <f t="shared" si="80"/>
        <v>1</v>
      </c>
      <c r="R751" s="272"/>
      <c r="S751" s="272"/>
      <c r="T751" s="273" t="str">
        <f t="shared" si="81"/>
        <v>-</v>
      </c>
    </row>
    <row r="752" spans="1:20">
      <c r="A752" s="269"/>
      <c r="B752" s="57"/>
      <c r="C752" s="55"/>
      <c r="D752" s="55"/>
      <c r="E752" s="55"/>
      <c r="F752" s="55"/>
      <c r="G752" s="274"/>
      <c r="H752" s="271"/>
      <c r="I752" s="213"/>
      <c r="J752" s="213"/>
      <c r="K752" s="212">
        <f t="shared" si="76"/>
        <v>0</v>
      </c>
      <c r="L752" s="272">
        <f t="shared" si="77"/>
        <v>1900</v>
      </c>
      <c r="M752" s="272">
        <f t="shared" si="78"/>
        <v>1</v>
      </c>
      <c r="N752" s="273"/>
      <c r="O752" s="61">
        <f t="shared" si="79"/>
        <v>1900</v>
      </c>
      <c r="P752" s="61">
        <f t="shared" si="80"/>
        <v>1</v>
      </c>
      <c r="R752" s="272"/>
      <c r="S752" s="272"/>
      <c r="T752" s="273" t="str">
        <f t="shared" si="81"/>
        <v>-</v>
      </c>
    </row>
    <row r="753" spans="1:20">
      <c r="A753" s="269"/>
      <c r="B753" s="57"/>
      <c r="C753" s="55"/>
      <c r="D753" s="55"/>
      <c r="E753" s="55"/>
      <c r="F753" s="55"/>
      <c r="G753" s="274"/>
      <c r="H753" s="271"/>
      <c r="I753" s="213"/>
      <c r="J753" s="213"/>
      <c r="K753" s="212">
        <f t="shared" si="76"/>
        <v>0</v>
      </c>
      <c r="L753" s="272">
        <f t="shared" si="77"/>
        <v>1900</v>
      </c>
      <c r="M753" s="272">
        <f t="shared" si="78"/>
        <v>1</v>
      </c>
      <c r="N753" s="273"/>
      <c r="O753" s="61">
        <f t="shared" si="79"/>
        <v>1900</v>
      </c>
      <c r="P753" s="61">
        <f t="shared" si="80"/>
        <v>1</v>
      </c>
      <c r="R753" s="272"/>
      <c r="S753" s="272"/>
      <c r="T753" s="273" t="str">
        <f t="shared" si="81"/>
        <v>-</v>
      </c>
    </row>
    <row r="754" spans="1:20">
      <c r="A754" s="269"/>
      <c r="B754" s="57"/>
      <c r="C754" s="55"/>
      <c r="D754" s="55"/>
      <c r="E754" s="55"/>
      <c r="F754" s="55"/>
      <c r="G754" s="274"/>
      <c r="H754" s="271"/>
      <c r="I754" s="213"/>
      <c r="J754" s="213"/>
      <c r="K754" s="212">
        <f t="shared" si="76"/>
        <v>0</v>
      </c>
      <c r="L754" s="272">
        <f t="shared" si="77"/>
        <v>1900</v>
      </c>
      <c r="M754" s="272">
        <f t="shared" si="78"/>
        <v>1</v>
      </c>
      <c r="N754" s="273"/>
      <c r="O754" s="61">
        <f t="shared" si="79"/>
        <v>1900</v>
      </c>
      <c r="P754" s="61">
        <f t="shared" si="80"/>
        <v>1</v>
      </c>
      <c r="R754" s="272"/>
      <c r="S754" s="272"/>
      <c r="T754" s="273" t="str">
        <f t="shared" si="81"/>
        <v>-</v>
      </c>
    </row>
    <row r="755" spans="1:20">
      <c r="A755" s="269"/>
      <c r="B755" s="57"/>
      <c r="C755" s="55"/>
      <c r="D755" s="55"/>
      <c r="E755" s="55"/>
      <c r="F755" s="55"/>
      <c r="G755" s="274"/>
      <c r="H755" s="271"/>
      <c r="I755" s="213"/>
      <c r="J755" s="213"/>
      <c r="K755" s="212">
        <f t="shared" si="76"/>
        <v>0</v>
      </c>
      <c r="L755" s="272">
        <f t="shared" si="77"/>
        <v>1900</v>
      </c>
      <c r="M755" s="272">
        <f t="shared" si="78"/>
        <v>1</v>
      </c>
      <c r="N755" s="273"/>
      <c r="O755" s="61">
        <f t="shared" si="79"/>
        <v>1900</v>
      </c>
      <c r="P755" s="61">
        <f t="shared" si="80"/>
        <v>1</v>
      </c>
      <c r="R755" s="272"/>
      <c r="S755" s="272"/>
      <c r="T755" s="273" t="str">
        <f t="shared" si="81"/>
        <v>-</v>
      </c>
    </row>
    <row r="756" spans="1:20">
      <c r="A756" s="269"/>
      <c r="B756" s="57"/>
      <c r="C756" s="55"/>
      <c r="D756" s="55"/>
      <c r="E756" s="55"/>
      <c r="F756" s="55"/>
      <c r="G756" s="274"/>
      <c r="H756" s="271"/>
      <c r="I756" s="213"/>
      <c r="J756" s="213"/>
      <c r="K756" s="212">
        <f t="shared" si="76"/>
        <v>0</v>
      </c>
      <c r="L756" s="272">
        <f t="shared" si="77"/>
        <v>1900</v>
      </c>
      <c r="M756" s="272">
        <f t="shared" si="78"/>
        <v>1</v>
      </c>
      <c r="N756" s="273"/>
      <c r="O756" s="61">
        <f t="shared" si="79"/>
        <v>1900</v>
      </c>
      <c r="P756" s="61">
        <f t="shared" si="80"/>
        <v>1</v>
      </c>
      <c r="R756" s="272"/>
      <c r="S756" s="272"/>
      <c r="T756" s="273" t="str">
        <f t="shared" si="81"/>
        <v>-</v>
      </c>
    </row>
    <row r="757" spans="1:20">
      <c r="A757" s="269"/>
      <c r="B757" s="57"/>
      <c r="C757" s="55"/>
      <c r="D757" s="55"/>
      <c r="E757" s="55"/>
      <c r="F757" s="55"/>
      <c r="G757" s="274"/>
      <c r="H757" s="271"/>
      <c r="I757" s="213"/>
      <c r="J757" s="213"/>
      <c r="K757" s="212">
        <f t="shared" si="76"/>
        <v>0</v>
      </c>
      <c r="L757" s="272">
        <f t="shared" si="77"/>
        <v>1900</v>
      </c>
      <c r="M757" s="272">
        <f t="shared" si="78"/>
        <v>1</v>
      </c>
      <c r="N757" s="273"/>
      <c r="O757" s="61">
        <f t="shared" si="79"/>
        <v>1900</v>
      </c>
      <c r="P757" s="61">
        <f t="shared" si="80"/>
        <v>1</v>
      </c>
      <c r="R757" s="272"/>
      <c r="S757" s="272"/>
      <c r="T757" s="273" t="str">
        <f t="shared" si="81"/>
        <v>-</v>
      </c>
    </row>
    <row r="758" spans="1:20">
      <c r="A758" s="269"/>
      <c r="B758" s="57"/>
      <c r="C758" s="55"/>
      <c r="D758" s="55"/>
      <c r="E758" s="55"/>
      <c r="F758" s="55"/>
      <c r="G758" s="274"/>
      <c r="H758" s="271"/>
      <c r="I758" s="213"/>
      <c r="J758" s="213"/>
      <c r="K758" s="212">
        <f t="shared" si="76"/>
        <v>0</v>
      </c>
      <c r="L758" s="272">
        <f t="shared" si="77"/>
        <v>1900</v>
      </c>
      <c r="M758" s="272">
        <f t="shared" si="78"/>
        <v>1</v>
      </c>
      <c r="N758" s="273"/>
      <c r="O758" s="61">
        <f t="shared" si="79"/>
        <v>1900</v>
      </c>
      <c r="P758" s="61">
        <f t="shared" si="80"/>
        <v>1</v>
      </c>
      <c r="R758" s="272"/>
      <c r="S758" s="272"/>
      <c r="T758" s="273" t="str">
        <f t="shared" si="81"/>
        <v>-</v>
      </c>
    </row>
    <row r="759" spans="1:20">
      <c r="A759" s="269"/>
      <c r="B759" s="57"/>
      <c r="C759" s="55"/>
      <c r="D759" s="55"/>
      <c r="E759" s="55"/>
      <c r="F759" s="55"/>
      <c r="G759" s="274"/>
      <c r="H759" s="271"/>
      <c r="I759" s="213"/>
      <c r="J759" s="213"/>
      <c r="K759" s="212">
        <f t="shared" si="76"/>
        <v>0</v>
      </c>
      <c r="L759" s="272">
        <f t="shared" si="77"/>
        <v>1900</v>
      </c>
      <c r="M759" s="272">
        <f t="shared" si="78"/>
        <v>1</v>
      </c>
      <c r="N759" s="273"/>
      <c r="O759" s="61">
        <f t="shared" si="79"/>
        <v>1900</v>
      </c>
      <c r="P759" s="61">
        <f t="shared" si="80"/>
        <v>1</v>
      </c>
      <c r="R759" s="272"/>
      <c r="S759" s="272"/>
      <c r="T759" s="273" t="str">
        <f t="shared" si="81"/>
        <v>-</v>
      </c>
    </row>
    <row r="760" spans="1:20">
      <c r="A760" s="269"/>
      <c r="B760" s="57"/>
      <c r="C760" s="55"/>
      <c r="D760" s="55"/>
      <c r="E760" s="55"/>
      <c r="F760" s="55"/>
      <c r="G760" s="274"/>
      <c r="H760" s="271"/>
      <c r="I760" s="213"/>
      <c r="J760" s="213"/>
      <c r="K760" s="212">
        <f t="shared" si="76"/>
        <v>0</v>
      </c>
      <c r="L760" s="272">
        <f t="shared" si="77"/>
        <v>1900</v>
      </c>
      <c r="M760" s="272">
        <f t="shared" si="78"/>
        <v>1</v>
      </c>
      <c r="N760" s="273"/>
      <c r="O760" s="61">
        <f t="shared" si="79"/>
        <v>1900</v>
      </c>
      <c r="P760" s="61">
        <f t="shared" si="80"/>
        <v>1</v>
      </c>
      <c r="R760" s="272"/>
      <c r="S760" s="272"/>
      <c r="T760" s="273" t="str">
        <f t="shared" si="81"/>
        <v>-</v>
      </c>
    </row>
    <row r="761" spans="1:20">
      <c r="A761" s="269"/>
      <c r="B761" s="57"/>
      <c r="C761" s="55"/>
      <c r="D761" s="55"/>
      <c r="E761" s="55"/>
      <c r="F761" s="55"/>
      <c r="G761" s="274"/>
      <c r="H761" s="271"/>
      <c r="I761" s="213"/>
      <c r="J761" s="213"/>
      <c r="K761" s="212">
        <f t="shared" si="76"/>
        <v>0</v>
      </c>
      <c r="L761" s="272">
        <f t="shared" si="77"/>
        <v>1900</v>
      </c>
      <c r="M761" s="272">
        <f t="shared" si="78"/>
        <v>1</v>
      </c>
      <c r="N761" s="273"/>
      <c r="O761" s="61">
        <f t="shared" si="79"/>
        <v>1900</v>
      </c>
      <c r="P761" s="61">
        <f t="shared" si="80"/>
        <v>1</v>
      </c>
      <c r="R761" s="272"/>
      <c r="S761" s="272"/>
      <c r="T761" s="273" t="str">
        <f t="shared" si="81"/>
        <v>-</v>
      </c>
    </row>
    <row r="762" spans="1:20">
      <c r="A762" s="269"/>
      <c r="B762" s="57"/>
      <c r="C762" s="55"/>
      <c r="D762" s="55"/>
      <c r="E762" s="55"/>
      <c r="F762" s="55"/>
      <c r="G762" s="274"/>
      <c r="H762" s="271"/>
      <c r="I762" s="213"/>
      <c r="J762" s="213"/>
      <c r="K762" s="212">
        <f t="shared" si="76"/>
        <v>0</v>
      </c>
      <c r="L762" s="272">
        <f t="shared" si="77"/>
        <v>1900</v>
      </c>
      <c r="M762" s="272">
        <f t="shared" si="78"/>
        <v>1</v>
      </c>
      <c r="N762" s="273"/>
      <c r="O762" s="61">
        <f t="shared" si="79"/>
        <v>1900</v>
      </c>
      <c r="P762" s="61">
        <f t="shared" si="80"/>
        <v>1</v>
      </c>
      <c r="R762" s="272"/>
      <c r="S762" s="272"/>
      <c r="T762" s="273" t="str">
        <f t="shared" si="81"/>
        <v>-</v>
      </c>
    </row>
    <row r="763" spans="1:20">
      <c r="A763" s="269"/>
      <c r="B763" s="57"/>
      <c r="C763" s="55"/>
      <c r="D763" s="55"/>
      <c r="E763" s="55"/>
      <c r="F763" s="55"/>
      <c r="G763" s="274"/>
      <c r="H763" s="271"/>
      <c r="I763" s="213"/>
      <c r="J763" s="213"/>
      <c r="K763" s="212">
        <f t="shared" si="76"/>
        <v>0</v>
      </c>
      <c r="L763" s="272">
        <f t="shared" si="77"/>
        <v>1900</v>
      </c>
      <c r="M763" s="272">
        <f t="shared" si="78"/>
        <v>1</v>
      </c>
      <c r="N763" s="273"/>
      <c r="O763" s="61">
        <f t="shared" si="79"/>
        <v>1900</v>
      </c>
      <c r="P763" s="61">
        <f t="shared" si="80"/>
        <v>1</v>
      </c>
      <c r="R763" s="272"/>
      <c r="S763" s="272"/>
      <c r="T763" s="273" t="str">
        <f t="shared" si="81"/>
        <v>-</v>
      </c>
    </row>
    <row r="764" spans="1:20">
      <c r="A764" s="269"/>
      <c r="B764" s="57"/>
      <c r="C764" s="55"/>
      <c r="D764" s="55"/>
      <c r="E764" s="55"/>
      <c r="F764" s="55"/>
      <c r="G764" s="274"/>
      <c r="H764" s="271"/>
      <c r="I764" s="213"/>
      <c r="J764" s="213"/>
      <c r="K764" s="212">
        <f t="shared" si="76"/>
        <v>0</v>
      </c>
      <c r="L764" s="272">
        <f t="shared" si="77"/>
        <v>1900</v>
      </c>
      <c r="M764" s="272">
        <f t="shared" si="78"/>
        <v>1</v>
      </c>
      <c r="N764" s="273"/>
      <c r="O764" s="61">
        <f t="shared" si="79"/>
        <v>1900</v>
      </c>
      <c r="P764" s="61">
        <f t="shared" si="80"/>
        <v>1</v>
      </c>
      <c r="R764" s="272"/>
      <c r="S764" s="272"/>
      <c r="T764" s="273" t="str">
        <f t="shared" si="81"/>
        <v>-</v>
      </c>
    </row>
    <row r="765" spans="1:20">
      <c r="A765" s="269"/>
      <c r="B765" s="57"/>
      <c r="C765" s="55"/>
      <c r="D765" s="55"/>
      <c r="E765" s="55"/>
      <c r="F765" s="55"/>
      <c r="G765" s="274"/>
      <c r="H765" s="271"/>
      <c r="I765" s="213"/>
      <c r="J765" s="213"/>
      <c r="K765" s="212">
        <f t="shared" si="76"/>
        <v>0</v>
      </c>
      <c r="L765" s="272">
        <f t="shared" si="77"/>
        <v>1900</v>
      </c>
      <c r="M765" s="272">
        <f t="shared" si="78"/>
        <v>1</v>
      </c>
      <c r="N765" s="273"/>
      <c r="O765" s="61">
        <f t="shared" si="79"/>
        <v>1900</v>
      </c>
      <c r="P765" s="61">
        <f t="shared" si="80"/>
        <v>1</v>
      </c>
      <c r="R765" s="272"/>
      <c r="S765" s="272"/>
      <c r="T765" s="273" t="str">
        <f t="shared" si="81"/>
        <v>-</v>
      </c>
    </row>
    <row r="766" spans="1:20">
      <c r="A766" s="269"/>
      <c r="B766" s="57"/>
      <c r="C766" s="55"/>
      <c r="D766" s="55"/>
      <c r="E766" s="55"/>
      <c r="F766" s="55"/>
      <c r="G766" s="274"/>
      <c r="H766" s="271"/>
      <c r="I766" s="213"/>
      <c r="J766" s="213"/>
      <c r="K766" s="212">
        <f t="shared" si="76"/>
        <v>0</v>
      </c>
      <c r="L766" s="272">
        <f t="shared" si="77"/>
        <v>1900</v>
      </c>
      <c r="M766" s="272">
        <f t="shared" si="78"/>
        <v>1</v>
      </c>
      <c r="N766" s="273"/>
      <c r="O766" s="61">
        <f t="shared" si="79"/>
        <v>1900</v>
      </c>
      <c r="P766" s="61">
        <f t="shared" si="80"/>
        <v>1</v>
      </c>
      <c r="R766" s="272"/>
      <c r="S766" s="272"/>
      <c r="T766" s="273" t="str">
        <f t="shared" si="81"/>
        <v>-</v>
      </c>
    </row>
    <row r="767" spans="1:20">
      <c r="A767" s="269"/>
      <c r="B767" s="57"/>
      <c r="C767" s="55"/>
      <c r="D767" s="55"/>
      <c r="E767" s="55"/>
      <c r="F767" s="55"/>
      <c r="G767" s="274"/>
      <c r="H767" s="271"/>
      <c r="I767" s="213"/>
      <c r="J767" s="213"/>
      <c r="K767" s="212">
        <f t="shared" si="76"/>
        <v>0</v>
      </c>
      <c r="L767" s="272">
        <f t="shared" si="77"/>
        <v>1900</v>
      </c>
      <c r="M767" s="272">
        <f t="shared" si="78"/>
        <v>1</v>
      </c>
      <c r="N767" s="273"/>
      <c r="O767" s="61">
        <f t="shared" si="79"/>
        <v>1900</v>
      </c>
      <c r="P767" s="61">
        <f t="shared" si="80"/>
        <v>1</v>
      </c>
      <c r="R767" s="272"/>
      <c r="S767" s="272"/>
      <c r="T767" s="273" t="str">
        <f t="shared" si="81"/>
        <v>-</v>
      </c>
    </row>
    <row r="768" spans="1:20">
      <c r="A768" s="269"/>
      <c r="B768" s="57"/>
      <c r="C768" s="55"/>
      <c r="D768" s="55"/>
      <c r="E768" s="55"/>
      <c r="F768" s="55"/>
      <c r="G768" s="274"/>
      <c r="H768" s="271"/>
      <c r="I768" s="213"/>
      <c r="J768" s="213"/>
      <c r="K768" s="212">
        <f t="shared" si="76"/>
        <v>0</v>
      </c>
      <c r="L768" s="272">
        <f t="shared" si="77"/>
        <v>1900</v>
      </c>
      <c r="M768" s="272">
        <f t="shared" si="78"/>
        <v>1</v>
      </c>
      <c r="N768" s="273"/>
      <c r="O768" s="61">
        <f t="shared" si="79"/>
        <v>1900</v>
      </c>
      <c r="P768" s="61">
        <f t="shared" si="80"/>
        <v>1</v>
      </c>
      <c r="R768" s="272"/>
      <c r="S768" s="272"/>
      <c r="T768" s="273" t="str">
        <f t="shared" si="81"/>
        <v>-</v>
      </c>
    </row>
    <row r="769" spans="1:20">
      <c r="A769" s="269"/>
      <c r="B769" s="57"/>
      <c r="C769" s="55"/>
      <c r="D769" s="55"/>
      <c r="E769" s="55"/>
      <c r="F769" s="55"/>
      <c r="G769" s="274"/>
      <c r="H769" s="271"/>
      <c r="I769" s="213"/>
      <c r="J769" s="213"/>
      <c r="K769" s="212">
        <f t="shared" si="76"/>
        <v>0</v>
      </c>
      <c r="L769" s="272">
        <f t="shared" si="77"/>
        <v>1900</v>
      </c>
      <c r="M769" s="272">
        <f t="shared" si="78"/>
        <v>1</v>
      </c>
      <c r="N769" s="273"/>
      <c r="O769" s="61">
        <f t="shared" si="79"/>
        <v>1900</v>
      </c>
      <c r="P769" s="61">
        <f t="shared" si="80"/>
        <v>1</v>
      </c>
      <c r="R769" s="272"/>
      <c r="S769" s="272"/>
      <c r="T769" s="273" t="str">
        <f t="shared" si="81"/>
        <v>-</v>
      </c>
    </row>
    <row r="770" spans="1:20">
      <c r="A770" s="269"/>
      <c r="B770" s="57"/>
      <c r="C770" s="55"/>
      <c r="D770" s="55"/>
      <c r="E770" s="55"/>
      <c r="F770" s="55"/>
      <c r="G770" s="274"/>
      <c r="H770" s="271"/>
      <c r="I770" s="213"/>
      <c r="J770" s="213"/>
      <c r="K770" s="212">
        <f t="shared" si="76"/>
        <v>0</v>
      </c>
      <c r="L770" s="272">
        <f t="shared" si="77"/>
        <v>1900</v>
      </c>
      <c r="M770" s="272">
        <f t="shared" si="78"/>
        <v>1</v>
      </c>
      <c r="N770" s="273"/>
      <c r="O770" s="61">
        <f t="shared" si="79"/>
        <v>1900</v>
      </c>
      <c r="P770" s="61">
        <f t="shared" si="80"/>
        <v>1</v>
      </c>
      <c r="R770" s="272"/>
      <c r="S770" s="272"/>
      <c r="T770" s="273" t="str">
        <f t="shared" si="81"/>
        <v>-</v>
      </c>
    </row>
    <row r="771" spans="1:20">
      <c r="A771" s="269"/>
      <c r="B771" s="57"/>
      <c r="C771" s="55"/>
      <c r="D771" s="55"/>
      <c r="E771" s="55"/>
      <c r="F771" s="55"/>
      <c r="G771" s="274"/>
      <c r="H771" s="271"/>
      <c r="I771" s="213"/>
      <c r="J771" s="213"/>
      <c r="K771" s="212">
        <f t="shared" si="76"/>
        <v>0</v>
      </c>
      <c r="L771" s="272">
        <f t="shared" si="77"/>
        <v>1900</v>
      </c>
      <c r="M771" s="272">
        <f t="shared" si="78"/>
        <v>1</v>
      </c>
      <c r="N771" s="273"/>
      <c r="O771" s="61">
        <f t="shared" si="79"/>
        <v>1900</v>
      </c>
      <c r="P771" s="61">
        <f t="shared" si="80"/>
        <v>1</v>
      </c>
      <c r="R771" s="272"/>
      <c r="S771" s="272"/>
      <c r="T771" s="273" t="str">
        <f t="shared" si="81"/>
        <v>-</v>
      </c>
    </row>
    <row r="772" spans="1:20">
      <c r="A772" s="269"/>
      <c r="B772" s="57"/>
      <c r="C772" s="55"/>
      <c r="D772" s="55"/>
      <c r="E772" s="55"/>
      <c r="F772" s="55"/>
      <c r="G772" s="274"/>
      <c r="H772" s="271"/>
      <c r="I772" s="213"/>
      <c r="J772" s="213"/>
      <c r="K772" s="212">
        <f t="shared" si="76"/>
        <v>0</v>
      </c>
      <c r="L772" s="272">
        <f t="shared" si="77"/>
        <v>1900</v>
      </c>
      <c r="M772" s="272">
        <f t="shared" si="78"/>
        <v>1</v>
      </c>
      <c r="N772" s="273"/>
      <c r="O772" s="61">
        <f t="shared" si="79"/>
        <v>1900</v>
      </c>
      <c r="P772" s="61">
        <f t="shared" si="80"/>
        <v>1</v>
      </c>
      <c r="R772" s="272"/>
      <c r="S772" s="272"/>
      <c r="T772" s="273" t="str">
        <f t="shared" si="81"/>
        <v>-</v>
      </c>
    </row>
    <row r="773" spans="1:20">
      <c r="A773" s="269"/>
      <c r="B773" s="57"/>
      <c r="C773" s="55"/>
      <c r="D773" s="55"/>
      <c r="E773" s="55"/>
      <c r="F773" s="55"/>
      <c r="G773" s="274"/>
      <c r="H773" s="271"/>
      <c r="I773" s="213"/>
      <c r="J773" s="213"/>
      <c r="K773" s="212">
        <f t="shared" si="76"/>
        <v>0</v>
      </c>
      <c r="L773" s="272">
        <f t="shared" si="77"/>
        <v>1900</v>
      </c>
      <c r="M773" s="272">
        <f t="shared" si="78"/>
        <v>1</v>
      </c>
      <c r="N773" s="273"/>
      <c r="O773" s="61">
        <f t="shared" si="79"/>
        <v>1900</v>
      </c>
      <c r="P773" s="61">
        <f t="shared" si="80"/>
        <v>1</v>
      </c>
      <c r="R773" s="272"/>
      <c r="S773" s="272"/>
      <c r="T773" s="273" t="str">
        <f t="shared" si="81"/>
        <v>-</v>
      </c>
    </row>
    <row r="774" spans="1:20">
      <c r="A774" s="269"/>
      <c r="B774" s="57"/>
      <c r="C774" s="55"/>
      <c r="D774" s="55"/>
      <c r="E774" s="55"/>
      <c r="F774" s="55"/>
      <c r="G774" s="274"/>
      <c r="H774" s="271"/>
      <c r="I774" s="213"/>
      <c r="J774" s="213"/>
      <c r="K774" s="212">
        <f t="shared" si="76"/>
        <v>0</v>
      </c>
      <c r="L774" s="272">
        <f t="shared" si="77"/>
        <v>1900</v>
      </c>
      <c r="M774" s="272">
        <f t="shared" si="78"/>
        <v>1</v>
      </c>
      <c r="N774" s="273"/>
      <c r="O774" s="61">
        <f t="shared" si="79"/>
        <v>1900</v>
      </c>
      <c r="P774" s="61">
        <f t="shared" si="80"/>
        <v>1</v>
      </c>
      <c r="R774" s="272"/>
      <c r="S774" s="272"/>
      <c r="T774" s="273" t="str">
        <f t="shared" si="81"/>
        <v>-</v>
      </c>
    </row>
    <row r="775" spans="1:20">
      <c r="A775" s="269"/>
      <c r="B775" s="57"/>
      <c r="C775" s="55"/>
      <c r="D775" s="55"/>
      <c r="E775" s="55"/>
      <c r="F775" s="55"/>
      <c r="G775" s="274"/>
      <c r="H775" s="271"/>
      <c r="I775" s="213"/>
      <c r="J775" s="213"/>
      <c r="K775" s="212">
        <f t="shared" si="76"/>
        <v>0</v>
      </c>
      <c r="L775" s="272">
        <f t="shared" si="77"/>
        <v>1900</v>
      </c>
      <c r="M775" s="272">
        <f t="shared" si="78"/>
        <v>1</v>
      </c>
      <c r="N775" s="273"/>
      <c r="O775" s="61">
        <f t="shared" si="79"/>
        <v>1900</v>
      </c>
      <c r="P775" s="61">
        <f t="shared" si="80"/>
        <v>1</v>
      </c>
      <c r="R775" s="272"/>
      <c r="S775" s="272"/>
      <c r="T775" s="273" t="str">
        <f t="shared" si="81"/>
        <v>-</v>
      </c>
    </row>
    <row r="776" spans="1:20">
      <c r="A776" s="269"/>
      <c r="B776" s="57"/>
      <c r="C776" s="55"/>
      <c r="D776" s="55"/>
      <c r="E776" s="55"/>
      <c r="F776" s="55"/>
      <c r="G776" s="274"/>
      <c r="H776" s="271"/>
      <c r="I776" s="213"/>
      <c r="J776" s="213"/>
      <c r="K776" s="212">
        <f t="shared" si="76"/>
        <v>0</v>
      </c>
      <c r="L776" s="272">
        <f t="shared" si="77"/>
        <v>1900</v>
      </c>
      <c r="M776" s="272">
        <f t="shared" si="78"/>
        <v>1</v>
      </c>
      <c r="N776" s="273"/>
      <c r="O776" s="61">
        <f t="shared" si="79"/>
        <v>1900</v>
      </c>
      <c r="P776" s="61">
        <f t="shared" si="80"/>
        <v>1</v>
      </c>
      <c r="R776" s="272"/>
      <c r="S776" s="272"/>
      <c r="T776" s="273" t="str">
        <f t="shared" si="81"/>
        <v>-</v>
      </c>
    </row>
    <row r="777" spans="1:20">
      <c r="A777" s="269"/>
      <c r="B777" s="57"/>
      <c r="C777" s="55"/>
      <c r="D777" s="55"/>
      <c r="E777" s="55"/>
      <c r="F777" s="55"/>
      <c r="G777" s="274"/>
      <c r="H777" s="271"/>
      <c r="I777" s="213"/>
      <c r="J777" s="213"/>
      <c r="K777" s="212">
        <f t="shared" si="76"/>
        <v>0</v>
      </c>
      <c r="L777" s="272">
        <f t="shared" si="77"/>
        <v>1900</v>
      </c>
      <c r="M777" s="272">
        <f t="shared" si="78"/>
        <v>1</v>
      </c>
      <c r="N777" s="273"/>
      <c r="O777" s="61">
        <f t="shared" si="79"/>
        <v>1900</v>
      </c>
      <c r="P777" s="61">
        <f t="shared" si="80"/>
        <v>1</v>
      </c>
      <c r="R777" s="272"/>
      <c r="S777" s="272"/>
      <c r="T777" s="273" t="str">
        <f t="shared" si="81"/>
        <v>-</v>
      </c>
    </row>
    <row r="778" spans="1:20">
      <c r="A778" s="269"/>
      <c r="B778" s="57"/>
      <c r="C778" s="55"/>
      <c r="D778" s="55"/>
      <c r="E778" s="55"/>
      <c r="F778" s="55"/>
      <c r="G778" s="274"/>
      <c r="H778" s="271"/>
      <c r="I778" s="213"/>
      <c r="J778" s="213"/>
      <c r="K778" s="212">
        <f t="shared" si="76"/>
        <v>0</v>
      </c>
      <c r="L778" s="272">
        <f t="shared" si="77"/>
        <v>1900</v>
      </c>
      <c r="M778" s="272">
        <f t="shared" si="78"/>
        <v>1</v>
      </c>
      <c r="N778" s="273"/>
      <c r="O778" s="61">
        <f t="shared" si="79"/>
        <v>1900</v>
      </c>
      <c r="P778" s="61">
        <f t="shared" si="80"/>
        <v>1</v>
      </c>
      <c r="R778" s="272"/>
      <c r="S778" s="272"/>
      <c r="T778" s="273" t="str">
        <f t="shared" si="81"/>
        <v>-</v>
      </c>
    </row>
    <row r="779" spans="1:20">
      <c r="A779" s="269"/>
      <c r="B779" s="57"/>
      <c r="C779" s="55"/>
      <c r="D779" s="55"/>
      <c r="E779" s="55"/>
      <c r="F779" s="55"/>
      <c r="G779" s="274"/>
      <c r="H779" s="271"/>
      <c r="I779" s="213"/>
      <c r="J779" s="213"/>
      <c r="K779" s="212">
        <f t="shared" si="76"/>
        <v>0</v>
      </c>
      <c r="L779" s="272">
        <f t="shared" si="77"/>
        <v>1900</v>
      </c>
      <c r="M779" s="272">
        <f t="shared" si="78"/>
        <v>1</v>
      </c>
      <c r="N779" s="273"/>
      <c r="O779" s="61">
        <f t="shared" si="79"/>
        <v>1900</v>
      </c>
      <c r="P779" s="61">
        <f t="shared" si="80"/>
        <v>1</v>
      </c>
      <c r="R779" s="272"/>
      <c r="S779" s="272"/>
      <c r="T779" s="273" t="str">
        <f t="shared" si="81"/>
        <v>-</v>
      </c>
    </row>
    <row r="780" spans="1:20">
      <c r="A780" s="269"/>
      <c r="B780" s="57"/>
      <c r="C780" s="55"/>
      <c r="D780" s="55"/>
      <c r="E780" s="55"/>
      <c r="F780" s="55"/>
      <c r="G780" s="274"/>
      <c r="H780" s="271"/>
      <c r="I780" s="213"/>
      <c r="J780" s="213"/>
      <c r="K780" s="212">
        <f t="shared" si="76"/>
        <v>0</v>
      </c>
      <c r="L780" s="272">
        <f t="shared" si="77"/>
        <v>1900</v>
      </c>
      <c r="M780" s="272">
        <f t="shared" si="78"/>
        <v>1</v>
      </c>
      <c r="N780" s="273"/>
      <c r="O780" s="61">
        <f t="shared" si="79"/>
        <v>1900</v>
      </c>
      <c r="P780" s="61">
        <f t="shared" si="80"/>
        <v>1</v>
      </c>
      <c r="R780" s="272"/>
      <c r="S780" s="272"/>
      <c r="T780" s="273" t="str">
        <f t="shared" si="81"/>
        <v>-</v>
      </c>
    </row>
    <row r="781" spans="1:20">
      <c r="A781" s="269"/>
      <c r="B781" s="57"/>
      <c r="C781" s="55"/>
      <c r="D781" s="55"/>
      <c r="E781" s="55"/>
      <c r="F781" s="55"/>
      <c r="G781" s="274"/>
      <c r="H781" s="271"/>
      <c r="I781" s="213"/>
      <c r="J781" s="213"/>
      <c r="K781" s="212">
        <f t="shared" si="76"/>
        <v>0</v>
      </c>
      <c r="L781" s="272">
        <f t="shared" si="77"/>
        <v>1900</v>
      </c>
      <c r="M781" s="272">
        <f t="shared" si="78"/>
        <v>1</v>
      </c>
      <c r="N781" s="273"/>
      <c r="O781" s="61">
        <f t="shared" si="79"/>
        <v>1900</v>
      </c>
      <c r="P781" s="61">
        <f t="shared" si="80"/>
        <v>1</v>
      </c>
      <c r="R781" s="272"/>
      <c r="S781" s="272"/>
      <c r="T781" s="273" t="str">
        <f t="shared" si="81"/>
        <v>-</v>
      </c>
    </row>
    <row r="782" spans="1:20">
      <c r="A782" s="269"/>
      <c r="B782" s="57"/>
      <c r="C782" s="55"/>
      <c r="D782" s="55"/>
      <c r="E782" s="55"/>
      <c r="F782" s="55"/>
      <c r="G782" s="274"/>
      <c r="H782" s="271"/>
      <c r="I782" s="213"/>
      <c r="J782" s="213"/>
      <c r="K782" s="212">
        <f t="shared" si="76"/>
        <v>0</v>
      </c>
      <c r="L782" s="272">
        <f t="shared" si="77"/>
        <v>1900</v>
      </c>
      <c r="M782" s="272">
        <f t="shared" si="78"/>
        <v>1</v>
      </c>
      <c r="N782" s="273"/>
      <c r="O782" s="61">
        <f t="shared" si="79"/>
        <v>1900</v>
      </c>
      <c r="P782" s="61">
        <f t="shared" si="80"/>
        <v>1</v>
      </c>
      <c r="R782" s="272"/>
      <c r="S782" s="272"/>
      <c r="T782" s="273" t="str">
        <f t="shared" si="81"/>
        <v>-</v>
      </c>
    </row>
    <row r="783" spans="1:20">
      <c r="A783" s="269"/>
      <c r="B783" s="57"/>
      <c r="C783" s="55"/>
      <c r="D783" s="55"/>
      <c r="E783" s="55"/>
      <c r="F783" s="55"/>
      <c r="G783" s="274"/>
      <c r="H783" s="271"/>
      <c r="I783" s="213"/>
      <c r="J783" s="213"/>
      <c r="K783" s="212">
        <f t="shared" ref="K783:K846" si="82">I783+H783+J783</f>
        <v>0</v>
      </c>
      <c r="L783" s="272">
        <f t="shared" si="77"/>
        <v>1900</v>
      </c>
      <c r="M783" s="272">
        <f t="shared" si="78"/>
        <v>1</v>
      </c>
      <c r="N783" s="273"/>
      <c r="O783" s="61">
        <f t="shared" si="79"/>
        <v>1900</v>
      </c>
      <c r="P783" s="61">
        <f t="shared" si="80"/>
        <v>1</v>
      </c>
      <c r="R783" s="272"/>
      <c r="S783" s="272"/>
      <c r="T783" s="273" t="str">
        <f t="shared" si="81"/>
        <v>-</v>
      </c>
    </row>
    <row r="784" spans="1:20">
      <c r="A784" s="269"/>
      <c r="B784" s="57"/>
      <c r="C784" s="55"/>
      <c r="D784" s="55"/>
      <c r="E784" s="55"/>
      <c r="F784" s="55"/>
      <c r="G784" s="274"/>
      <c r="H784" s="271"/>
      <c r="I784" s="213"/>
      <c r="J784" s="213"/>
      <c r="K784" s="212">
        <f t="shared" si="82"/>
        <v>0</v>
      </c>
      <c r="L784" s="272">
        <f t="shared" ref="L784:L847" si="83">YEAR(B784)</f>
        <v>1900</v>
      </c>
      <c r="M784" s="272">
        <f t="shared" ref="M784:M847" si="84">MONTH(B784)</f>
        <v>1</v>
      </c>
      <c r="N784" s="273"/>
      <c r="O784" s="61">
        <f t="shared" ref="O784:O847" si="85">YEAR(B784)</f>
        <v>1900</v>
      </c>
      <c r="P784" s="61">
        <f t="shared" ref="P784:P847" si="86">MONTH(B784)</f>
        <v>1</v>
      </c>
      <c r="R784" s="272"/>
      <c r="S784" s="272"/>
      <c r="T784" s="273" t="str">
        <f t="shared" ref="T784:T847" si="87">IF($E784&gt;0,IF((R784+S784)=$E784,"OK","Error"),"-")</f>
        <v>-</v>
      </c>
    </row>
    <row r="785" spans="1:20">
      <c r="A785" s="269"/>
      <c r="B785" s="57"/>
      <c r="C785" s="55"/>
      <c r="D785" s="55"/>
      <c r="E785" s="55"/>
      <c r="F785" s="55"/>
      <c r="G785" s="274"/>
      <c r="H785" s="271"/>
      <c r="I785" s="213"/>
      <c r="J785" s="213"/>
      <c r="K785" s="212">
        <f t="shared" si="82"/>
        <v>0</v>
      </c>
      <c r="L785" s="272">
        <f t="shared" si="83"/>
        <v>1900</v>
      </c>
      <c r="M785" s="272">
        <f t="shared" si="84"/>
        <v>1</v>
      </c>
      <c r="N785" s="273"/>
      <c r="O785" s="61">
        <f t="shared" si="85"/>
        <v>1900</v>
      </c>
      <c r="P785" s="61">
        <f t="shared" si="86"/>
        <v>1</v>
      </c>
      <c r="R785" s="272"/>
      <c r="S785" s="272"/>
      <c r="T785" s="273" t="str">
        <f t="shared" si="87"/>
        <v>-</v>
      </c>
    </row>
    <row r="786" spans="1:20">
      <c r="A786" s="269"/>
      <c r="B786" s="57"/>
      <c r="C786" s="55"/>
      <c r="D786" s="55"/>
      <c r="E786" s="55"/>
      <c r="F786" s="55"/>
      <c r="G786" s="274"/>
      <c r="H786" s="271"/>
      <c r="I786" s="213"/>
      <c r="J786" s="213"/>
      <c r="K786" s="212">
        <f t="shared" si="82"/>
        <v>0</v>
      </c>
      <c r="L786" s="272">
        <f t="shared" si="83"/>
        <v>1900</v>
      </c>
      <c r="M786" s="272">
        <f t="shared" si="84"/>
        <v>1</v>
      </c>
      <c r="N786" s="273"/>
      <c r="O786" s="61">
        <f t="shared" si="85"/>
        <v>1900</v>
      </c>
      <c r="P786" s="61">
        <f t="shared" si="86"/>
        <v>1</v>
      </c>
      <c r="R786" s="272"/>
      <c r="S786" s="272"/>
      <c r="T786" s="273" t="str">
        <f t="shared" si="87"/>
        <v>-</v>
      </c>
    </row>
    <row r="787" spans="1:20">
      <c r="A787" s="269"/>
      <c r="B787" s="57"/>
      <c r="C787" s="55"/>
      <c r="D787" s="55"/>
      <c r="E787" s="55"/>
      <c r="F787" s="55"/>
      <c r="G787" s="274"/>
      <c r="H787" s="271"/>
      <c r="I787" s="213"/>
      <c r="J787" s="213"/>
      <c r="K787" s="212">
        <f t="shared" si="82"/>
        <v>0</v>
      </c>
      <c r="L787" s="272">
        <f t="shared" si="83"/>
        <v>1900</v>
      </c>
      <c r="M787" s="272">
        <f t="shared" si="84"/>
        <v>1</v>
      </c>
      <c r="N787" s="273"/>
      <c r="O787" s="61">
        <f t="shared" si="85"/>
        <v>1900</v>
      </c>
      <c r="P787" s="61">
        <f t="shared" si="86"/>
        <v>1</v>
      </c>
      <c r="R787" s="272"/>
      <c r="S787" s="272"/>
      <c r="T787" s="273" t="str">
        <f t="shared" si="87"/>
        <v>-</v>
      </c>
    </row>
    <row r="788" spans="1:20">
      <c r="A788" s="269"/>
      <c r="B788" s="57"/>
      <c r="C788" s="55"/>
      <c r="D788" s="55"/>
      <c r="E788" s="55"/>
      <c r="F788" s="55"/>
      <c r="G788" s="274"/>
      <c r="H788" s="271"/>
      <c r="I788" s="213"/>
      <c r="J788" s="213"/>
      <c r="K788" s="212">
        <f t="shared" si="82"/>
        <v>0</v>
      </c>
      <c r="L788" s="272">
        <f t="shared" si="83"/>
        <v>1900</v>
      </c>
      <c r="M788" s="272">
        <f t="shared" si="84"/>
        <v>1</v>
      </c>
      <c r="N788" s="273"/>
      <c r="O788" s="61">
        <f t="shared" si="85"/>
        <v>1900</v>
      </c>
      <c r="P788" s="61">
        <f t="shared" si="86"/>
        <v>1</v>
      </c>
      <c r="R788" s="272"/>
      <c r="S788" s="272"/>
      <c r="T788" s="273" t="str">
        <f t="shared" si="87"/>
        <v>-</v>
      </c>
    </row>
    <row r="789" spans="1:20">
      <c r="A789" s="269"/>
      <c r="B789" s="57"/>
      <c r="C789" s="55"/>
      <c r="D789" s="55"/>
      <c r="E789" s="55"/>
      <c r="F789" s="55"/>
      <c r="G789" s="274"/>
      <c r="H789" s="271"/>
      <c r="I789" s="213"/>
      <c r="J789" s="213"/>
      <c r="K789" s="212">
        <f t="shared" si="82"/>
        <v>0</v>
      </c>
      <c r="L789" s="272">
        <f t="shared" si="83"/>
        <v>1900</v>
      </c>
      <c r="M789" s="272">
        <f t="shared" si="84"/>
        <v>1</v>
      </c>
      <c r="N789" s="273"/>
      <c r="O789" s="61">
        <f t="shared" si="85"/>
        <v>1900</v>
      </c>
      <c r="P789" s="61">
        <f t="shared" si="86"/>
        <v>1</v>
      </c>
      <c r="R789" s="272"/>
      <c r="S789" s="272"/>
      <c r="T789" s="273" t="str">
        <f t="shared" si="87"/>
        <v>-</v>
      </c>
    </row>
    <row r="790" spans="1:20">
      <c r="A790" s="269"/>
      <c r="B790" s="57"/>
      <c r="C790" s="55"/>
      <c r="D790" s="55"/>
      <c r="E790" s="55"/>
      <c r="F790" s="55"/>
      <c r="G790" s="275"/>
      <c r="H790" s="276"/>
      <c r="I790" s="213"/>
      <c r="J790" s="213"/>
      <c r="K790" s="212">
        <f t="shared" si="82"/>
        <v>0</v>
      </c>
      <c r="L790" s="272">
        <f t="shared" si="83"/>
        <v>1900</v>
      </c>
      <c r="M790" s="272">
        <f t="shared" si="84"/>
        <v>1</v>
      </c>
      <c r="N790" s="273"/>
      <c r="O790" s="61">
        <f t="shared" si="85"/>
        <v>1900</v>
      </c>
      <c r="P790" s="61">
        <f t="shared" si="86"/>
        <v>1</v>
      </c>
      <c r="R790" s="272"/>
      <c r="S790" s="272"/>
      <c r="T790" s="273" t="str">
        <f t="shared" si="87"/>
        <v>-</v>
      </c>
    </row>
    <row r="791" spans="1:20">
      <c r="A791" s="269"/>
      <c r="B791" s="57"/>
      <c r="C791" s="55"/>
      <c r="D791" s="55"/>
      <c r="E791" s="55"/>
      <c r="F791" s="55"/>
      <c r="G791" s="275"/>
      <c r="H791" s="276"/>
      <c r="I791" s="213"/>
      <c r="J791" s="213"/>
      <c r="K791" s="212">
        <f t="shared" si="82"/>
        <v>0</v>
      </c>
      <c r="L791" s="272">
        <f t="shared" si="83"/>
        <v>1900</v>
      </c>
      <c r="M791" s="272">
        <f t="shared" si="84"/>
        <v>1</v>
      </c>
      <c r="N791" s="273"/>
      <c r="O791" s="61">
        <f t="shared" si="85"/>
        <v>1900</v>
      </c>
      <c r="P791" s="61">
        <f t="shared" si="86"/>
        <v>1</v>
      </c>
      <c r="R791" s="272"/>
      <c r="S791" s="272"/>
      <c r="T791" s="273" t="str">
        <f t="shared" si="87"/>
        <v>-</v>
      </c>
    </row>
    <row r="792" spans="1:20">
      <c r="A792" s="269"/>
      <c r="B792" s="57"/>
      <c r="C792" s="55"/>
      <c r="D792" s="55"/>
      <c r="E792" s="55"/>
      <c r="F792" s="55"/>
      <c r="G792" s="275"/>
      <c r="H792" s="276"/>
      <c r="I792" s="213"/>
      <c r="J792" s="213"/>
      <c r="K792" s="212">
        <f t="shared" si="82"/>
        <v>0</v>
      </c>
      <c r="L792" s="272">
        <f t="shared" si="83"/>
        <v>1900</v>
      </c>
      <c r="M792" s="272">
        <f t="shared" si="84"/>
        <v>1</v>
      </c>
      <c r="N792" s="273"/>
      <c r="O792" s="61">
        <f t="shared" si="85"/>
        <v>1900</v>
      </c>
      <c r="P792" s="61">
        <f t="shared" si="86"/>
        <v>1</v>
      </c>
      <c r="R792" s="272"/>
      <c r="S792" s="272"/>
      <c r="T792" s="273" t="str">
        <f t="shared" si="87"/>
        <v>-</v>
      </c>
    </row>
    <row r="793" spans="1:20">
      <c r="A793" s="269"/>
      <c r="B793" s="57"/>
      <c r="C793" s="55"/>
      <c r="D793" s="55"/>
      <c r="E793" s="55"/>
      <c r="F793" s="55"/>
      <c r="G793" s="275"/>
      <c r="H793" s="276"/>
      <c r="I793" s="213"/>
      <c r="J793" s="213"/>
      <c r="K793" s="212">
        <f t="shared" si="82"/>
        <v>0</v>
      </c>
      <c r="L793" s="272">
        <f t="shared" si="83"/>
        <v>1900</v>
      </c>
      <c r="M793" s="272">
        <f t="shared" si="84"/>
        <v>1</v>
      </c>
      <c r="N793" s="273"/>
      <c r="O793" s="61">
        <f t="shared" si="85"/>
        <v>1900</v>
      </c>
      <c r="P793" s="61">
        <f t="shared" si="86"/>
        <v>1</v>
      </c>
      <c r="R793" s="272"/>
      <c r="S793" s="272"/>
      <c r="T793" s="273" t="str">
        <f t="shared" si="87"/>
        <v>-</v>
      </c>
    </row>
    <row r="794" spans="1:20">
      <c r="A794" s="269"/>
      <c r="B794" s="57"/>
      <c r="C794" s="55"/>
      <c r="D794" s="55"/>
      <c r="E794" s="55"/>
      <c r="F794" s="55"/>
      <c r="G794" s="275"/>
      <c r="H794" s="276"/>
      <c r="I794" s="213"/>
      <c r="J794" s="213"/>
      <c r="K794" s="212">
        <f t="shared" si="82"/>
        <v>0</v>
      </c>
      <c r="L794" s="272">
        <f t="shared" si="83"/>
        <v>1900</v>
      </c>
      <c r="M794" s="272">
        <f t="shared" si="84"/>
        <v>1</v>
      </c>
      <c r="N794" s="273"/>
      <c r="O794" s="61">
        <f t="shared" si="85"/>
        <v>1900</v>
      </c>
      <c r="P794" s="61">
        <f t="shared" si="86"/>
        <v>1</v>
      </c>
      <c r="R794" s="272"/>
      <c r="S794" s="272"/>
      <c r="T794" s="273" t="str">
        <f t="shared" si="87"/>
        <v>-</v>
      </c>
    </row>
    <row r="795" spans="1:20">
      <c r="A795" s="269"/>
      <c r="B795" s="57"/>
      <c r="C795" s="55"/>
      <c r="D795" s="55"/>
      <c r="E795" s="55"/>
      <c r="F795" s="55"/>
      <c r="G795" s="275"/>
      <c r="H795" s="276"/>
      <c r="I795" s="213"/>
      <c r="J795" s="213"/>
      <c r="K795" s="212">
        <f t="shared" si="82"/>
        <v>0</v>
      </c>
      <c r="L795" s="272">
        <f t="shared" si="83"/>
        <v>1900</v>
      </c>
      <c r="M795" s="272">
        <f t="shared" si="84"/>
        <v>1</v>
      </c>
      <c r="N795" s="273"/>
      <c r="O795" s="61">
        <f t="shared" si="85"/>
        <v>1900</v>
      </c>
      <c r="P795" s="61">
        <f t="shared" si="86"/>
        <v>1</v>
      </c>
      <c r="R795" s="272"/>
      <c r="S795" s="272"/>
      <c r="T795" s="273" t="str">
        <f t="shared" si="87"/>
        <v>-</v>
      </c>
    </row>
    <row r="796" spans="1:20">
      <c r="A796" s="269"/>
      <c r="B796" s="57"/>
      <c r="C796" s="55"/>
      <c r="D796" s="55"/>
      <c r="E796" s="55"/>
      <c r="F796" s="55"/>
      <c r="G796" s="275"/>
      <c r="H796" s="276"/>
      <c r="I796" s="213"/>
      <c r="J796" s="213"/>
      <c r="K796" s="212">
        <f t="shared" si="82"/>
        <v>0</v>
      </c>
      <c r="L796" s="272">
        <f t="shared" si="83"/>
        <v>1900</v>
      </c>
      <c r="M796" s="272">
        <f t="shared" si="84"/>
        <v>1</v>
      </c>
      <c r="N796" s="273"/>
      <c r="O796" s="61">
        <f t="shared" si="85"/>
        <v>1900</v>
      </c>
      <c r="P796" s="61">
        <f t="shared" si="86"/>
        <v>1</v>
      </c>
      <c r="R796" s="272"/>
      <c r="S796" s="272"/>
      <c r="T796" s="273" t="str">
        <f t="shared" si="87"/>
        <v>-</v>
      </c>
    </row>
    <row r="797" spans="1:20">
      <c r="A797" s="269"/>
      <c r="B797" s="57"/>
      <c r="C797" s="55"/>
      <c r="D797" s="55"/>
      <c r="E797" s="55"/>
      <c r="F797" s="55"/>
      <c r="G797" s="275"/>
      <c r="H797" s="276"/>
      <c r="I797" s="213"/>
      <c r="J797" s="213"/>
      <c r="K797" s="212">
        <f t="shared" si="82"/>
        <v>0</v>
      </c>
      <c r="L797" s="272">
        <f t="shared" si="83"/>
        <v>1900</v>
      </c>
      <c r="M797" s="272">
        <f t="shared" si="84"/>
        <v>1</v>
      </c>
      <c r="N797" s="273"/>
      <c r="O797" s="61">
        <f t="shared" si="85"/>
        <v>1900</v>
      </c>
      <c r="P797" s="61">
        <f t="shared" si="86"/>
        <v>1</v>
      </c>
      <c r="R797" s="272"/>
      <c r="S797" s="272"/>
      <c r="T797" s="273" t="str">
        <f t="shared" si="87"/>
        <v>-</v>
      </c>
    </row>
    <row r="798" spans="1:20">
      <c r="A798" s="269"/>
      <c r="B798" s="57"/>
      <c r="C798" s="55"/>
      <c r="D798" s="55"/>
      <c r="E798" s="55"/>
      <c r="F798" s="55"/>
      <c r="G798" s="275"/>
      <c r="H798" s="276"/>
      <c r="I798" s="213"/>
      <c r="J798" s="213"/>
      <c r="K798" s="212">
        <f t="shared" si="82"/>
        <v>0</v>
      </c>
      <c r="L798" s="272">
        <f t="shared" si="83"/>
        <v>1900</v>
      </c>
      <c r="M798" s="272">
        <f t="shared" si="84"/>
        <v>1</v>
      </c>
      <c r="N798" s="273"/>
      <c r="O798" s="61">
        <f t="shared" si="85"/>
        <v>1900</v>
      </c>
      <c r="P798" s="61">
        <f t="shared" si="86"/>
        <v>1</v>
      </c>
      <c r="R798" s="272"/>
      <c r="S798" s="272"/>
      <c r="T798" s="273" t="str">
        <f t="shared" si="87"/>
        <v>-</v>
      </c>
    </row>
    <row r="799" spans="1:20">
      <c r="A799" s="269"/>
      <c r="B799" s="57"/>
      <c r="C799" s="55"/>
      <c r="D799" s="55"/>
      <c r="E799" s="55"/>
      <c r="F799" s="55"/>
      <c r="G799" s="275"/>
      <c r="H799" s="276"/>
      <c r="I799" s="213"/>
      <c r="J799" s="213"/>
      <c r="K799" s="212">
        <f t="shared" si="82"/>
        <v>0</v>
      </c>
      <c r="L799" s="272">
        <f t="shared" si="83"/>
        <v>1900</v>
      </c>
      <c r="M799" s="272">
        <f t="shared" si="84"/>
        <v>1</v>
      </c>
      <c r="N799" s="273"/>
      <c r="O799" s="61">
        <f t="shared" si="85"/>
        <v>1900</v>
      </c>
      <c r="P799" s="61">
        <f t="shared" si="86"/>
        <v>1</v>
      </c>
      <c r="R799" s="272"/>
      <c r="S799" s="272"/>
      <c r="T799" s="273" t="str">
        <f t="shared" si="87"/>
        <v>-</v>
      </c>
    </row>
    <row r="800" spans="1:20">
      <c r="A800" s="269"/>
      <c r="B800" s="57"/>
      <c r="C800" s="55"/>
      <c r="D800" s="55"/>
      <c r="E800" s="55"/>
      <c r="F800" s="55"/>
      <c r="G800" s="275"/>
      <c r="H800" s="276"/>
      <c r="I800" s="213"/>
      <c r="J800" s="213"/>
      <c r="K800" s="212">
        <f t="shared" si="82"/>
        <v>0</v>
      </c>
      <c r="L800" s="272">
        <f t="shared" si="83"/>
        <v>1900</v>
      </c>
      <c r="M800" s="272">
        <f t="shared" si="84"/>
        <v>1</v>
      </c>
      <c r="N800" s="273"/>
      <c r="O800" s="61">
        <f t="shared" si="85"/>
        <v>1900</v>
      </c>
      <c r="P800" s="61">
        <f t="shared" si="86"/>
        <v>1</v>
      </c>
      <c r="R800" s="272"/>
      <c r="S800" s="272"/>
      <c r="T800" s="273" t="str">
        <f t="shared" si="87"/>
        <v>-</v>
      </c>
    </row>
    <row r="801" spans="1:20">
      <c r="A801" s="269"/>
      <c r="B801" s="57"/>
      <c r="C801" s="55"/>
      <c r="D801" s="55"/>
      <c r="E801" s="55"/>
      <c r="F801" s="55"/>
      <c r="G801" s="275"/>
      <c r="H801" s="276"/>
      <c r="I801" s="213"/>
      <c r="J801" s="213"/>
      <c r="K801" s="212">
        <f t="shared" si="82"/>
        <v>0</v>
      </c>
      <c r="L801" s="272">
        <f t="shared" si="83"/>
        <v>1900</v>
      </c>
      <c r="M801" s="272">
        <f t="shared" si="84"/>
        <v>1</v>
      </c>
      <c r="N801" s="273"/>
      <c r="O801" s="61">
        <f t="shared" si="85"/>
        <v>1900</v>
      </c>
      <c r="P801" s="61">
        <f t="shared" si="86"/>
        <v>1</v>
      </c>
      <c r="R801" s="272"/>
      <c r="S801" s="272"/>
      <c r="T801" s="273" t="str">
        <f t="shared" si="87"/>
        <v>-</v>
      </c>
    </row>
    <row r="802" spans="1:20">
      <c r="A802" s="269"/>
      <c r="B802" s="57"/>
      <c r="C802" s="55"/>
      <c r="D802" s="55"/>
      <c r="E802" s="55"/>
      <c r="F802" s="55"/>
      <c r="G802" s="275"/>
      <c r="H802" s="276"/>
      <c r="I802" s="213"/>
      <c r="J802" s="213"/>
      <c r="K802" s="212">
        <f t="shared" si="82"/>
        <v>0</v>
      </c>
      <c r="L802" s="272">
        <f t="shared" si="83"/>
        <v>1900</v>
      </c>
      <c r="M802" s="272">
        <f t="shared" si="84"/>
        <v>1</v>
      </c>
      <c r="N802" s="273"/>
      <c r="O802" s="61">
        <f t="shared" si="85"/>
        <v>1900</v>
      </c>
      <c r="P802" s="61">
        <f t="shared" si="86"/>
        <v>1</v>
      </c>
      <c r="R802" s="272"/>
      <c r="S802" s="272"/>
      <c r="T802" s="273" t="str">
        <f t="shared" si="87"/>
        <v>-</v>
      </c>
    </row>
    <row r="803" spans="1:20">
      <c r="A803" s="269"/>
      <c r="B803" s="57"/>
      <c r="C803" s="55"/>
      <c r="D803" s="55"/>
      <c r="E803" s="55"/>
      <c r="F803" s="55"/>
      <c r="G803" s="275"/>
      <c r="H803" s="276"/>
      <c r="I803" s="213"/>
      <c r="J803" s="213"/>
      <c r="K803" s="212">
        <f t="shared" si="82"/>
        <v>0</v>
      </c>
      <c r="L803" s="272">
        <f t="shared" si="83"/>
        <v>1900</v>
      </c>
      <c r="M803" s="272">
        <f t="shared" si="84"/>
        <v>1</v>
      </c>
      <c r="N803" s="273"/>
      <c r="O803" s="61">
        <f t="shared" si="85"/>
        <v>1900</v>
      </c>
      <c r="P803" s="61">
        <f t="shared" si="86"/>
        <v>1</v>
      </c>
      <c r="R803" s="272"/>
      <c r="S803" s="272"/>
      <c r="T803" s="273" t="str">
        <f t="shared" si="87"/>
        <v>-</v>
      </c>
    </row>
    <row r="804" spans="1:20">
      <c r="A804" s="269"/>
      <c r="B804" s="57"/>
      <c r="C804" s="55"/>
      <c r="D804" s="55"/>
      <c r="E804" s="55"/>
      <c r="F804" s="55"/>
      <c r="G804" s="275"/>
      <c r="H804" s="276"/>
      <c r="I804" s="213"/>
      <c r="J804" s="213"/>
      <c r="K804" s="212">
        <f t="shared" si="82"/>
        <v>0</v>
      </c>
      <c r="L804" s="272">
        <f t="shared" si="83"/>
        <v>1900</v>
      </c>
      <c r="M804" s="272">
        <f t="shared" si="84"/>
        <v>1</v>
      </c>
      <c r="N804" s="273"/>
      <c r="O804" s="61">
        <f t="shared" si="85"/>
        <v>1900</v>
      </c>
      <c r="P804" s="61">
        <f t="shared" si="86"/>
        <v>1</v>
      </c>
      <c r="R804" s="272"/>
      <c r="S804" s="272"/>
      <c r="T804" s="273" t="str">
        <f t="shared" si="87"/>
        <v>-</v>
      </c>
    </row>
    <row r="805" spans="1:20">
      <c r="A805" s="269"/>
      <c r="B805" s="57"/>
      <c r="C805" s="55"/>
      <c r="D805" s="55"/>
      <c r="E805" s="55"/>
      <c r="F805" s="55"/>
      <c r="G805" s="275"/>
      <c r="H805" s="276"/>
      <c r="I805" s="213"/>
      <c r="J805" s="213"/>
      <c r="K805" s="212">
        <f t="shared" si="82"/>
        <v>0</v>
      </c>
      <c r="L805" s="272">
        <f t="shared" si="83"/>
        <v>1900</v>
      </c>
      <c r="M805" s="272">
        <f t="shared" si="84"/>
        <v>1</v>
      </c>
      <c r="N805" s="273"/>
      <c r="O805" s="61">
        <f t="shared" si="85"/>
        <v>1900</v>
      </c>
      <c r="P805" s="61">
        <f t="shared" si="86"/>
        <v>1</v>
      </c>
      <c r="R805" s="272"/>
      <c r="S805" s="272"/>
      <c r="T805" s="273" t="str">
        <f t="shared" si="87"/>
        <v>-</v>
      </c>
    </row>
    <row r="806" spans="1:20">
      <c r="A806" s="269"/>
      <c r="B806" s="57"/>
      <c r="C806" s="55"/>
      <c r="D806" s="55"/>
      <c r="E806" s="55"/>
      <c r="F806" s="55"/>
      <c r="G806" s="275"/>
      <c r="H806" s="276"/>
      <c r="I806" s="213"/>
      <c r="J806" s="213"/>
      <c r="K806" s="212">
        <f t="shared" si="82"/>
        <v>0</v>
      </c>
      <c r="L806" s="272">
        <f t="shared" si="83"/>
        <v>1900</v>
      </c>
      <c r="M806" s="272">
        <f t="shared" si="84"/>
        <v>1</v>
      </c>
      <c r="N806" s="273"/>
      <c r="O806" s="61">
        <f t="shared" si="85"/>
        <v>1900</v>
      </c>
      <c r="P806" s="61">
        <f t="shared" si="86"/>
        <v>1</v>
      </c>
      <c r="R806" s="272"/>
      <c r="S806" s="272"/>
      <c r="T806" s="273" t="str">
        <f t="shared" si="87"/>
        <v>-</v>
      </c>
    </row>
    <row r="807" spans="1:20">
      <c r="A807" s="269"/>
      <c r="B807" s="57"/>
      <c r="C807" s="55"/>
      <c r="D807" s="55"/>
      <c r="E807" s="55"/>
      <c r="F807" s="55"/>
      <c r="G807" s="275"/>
      <c r="H807" s="276"/>
      <c r="I807" s="213"/>
      <c r="J807" s="213"/>
      <c r="K807" s="212">
        <f t="shared" si="82"/>
        <v>0</v>
      </c>
      <c r="L807" s="272">
        <f t="shared" si="83"/>
        <v>1900</v>
      </c>
      <c r="M807" s="272">
        <f t="shared" si="84"/>
        <v>1</v>
      </c>
      <c r="N807" s="273"/>
      <c r="O807" s="61">
        <f t="shared" si="85"/>
        <v>1900</v>
      </c>
      <c r="P807" s="61">
        <f t="shared" si="86"/>
        <v>1</v>
      </c>
      <c r="R807" s="272"/>
      <c r="S807" s="272"/>
      <c r="T807" s="273" t="str">
        <f t="shared" si="87"/>
        <v>-</v>
      </c>
    </row>
    <row r="808" spans="1:20">
      <c r="A808" s="269"/>
      <c r="B808" s="57"/>
      <c r="C808" s="55"/>
      <c r="D808" s="55"/>
      <c r="E808" s="55"/>
      <c r="F808" s="55"/>
      <c r="G808" s="275"/>
      <c r="H808" s="276"/>
      <c r="I808" s="213"/>
      <c r="J808" s="213"/>
      <c r="K808" s="212">
        <f t="shared" si="82"/>
        <v>0</v>
      </c>
      <c r="L808" s="272">
        <f t="shared" si="83"/>
        <v>1900</v>
      </c>
      <c r="M808" s="272">
        <f t="shared" si="84"/>
        <v>1</v>
      </c>
      <c r="N808" s="273"/>
      <c r="O808" s="61">
        <f t="shared" si="85"/>
        <v>1900</v>
      </c>
      <c r="P808" s="61">
        <f t="shared" si="86"/>
        <v>1</v>
      </c>
      <c r="R808" s="272"/>
      <c r="S808" s="272"/>
      <c r="T808" s="273" t="str">
        <f t="shared" si="87"/>
        <v>-</v>
      </c>
    </row>
    <row r="809" spans="1:20">
      <c r="A809" s="269"/>
      <c r="B809" s="57"/>
      <c r="C809" s="55"/>
      <c r="D809" s="55"/>
      <c r="E809" s="55"/>
      <c r="F809" s="55"/>
      <c r="G809" s="275"/>
      <c r="H809" s="276"/>
      <c r="I809" s="213"/>
      <c r="J809" s="213"/>
      <c r="K809" s="212">
        <f t="shared" si="82"/>
        <v>0</v>
      </c>
      <c r="L809" s="272">
        <f t="shared" si="83"/>
        <v>1900</v>
      </c>
      <c r="M809" s="272">
        <f t="shared" si="84"/>
        <v>1</v>
      </c>
      <c r="N809" s="273"/>
      <c r="O809" s="61">
        <f t="shared" si="85"/>
        <v>1900</v>
      </c>
      <c r="P809" s="61">
        <f t="shared" si="86"/>
        <v>1</v>
      </c>
      <c r="R809" s="272"/>
      <c r="S809" s="272"/>
      <c r="T809" s="273" t="str">
        <f t="shared" si="87"/>
        <v>-</v>
      </c>
    </row>
    <row r="810" spans="1:20">
      <c r="A810" s="269"/>
      <c r="B810" s="57"/>
      <c r="C810" s="55"/>
      <c r="D810" s="55"/>
      <c r="E810" s="55"/>
      <c r="F810" s="55"/>
      <c r="G810" s="275"/>
      <c r="H810" s="276"/>
      <c r="I810" s="213"/>
      <c r="J810" s="213"/>
      <c r="K810" s="212">
        <f t="shared" si="82"/>
        <v>0</v>
      </c>
      <c r="L810" s="272">
        <f t="shared" si="83"/>
        <v>1900</v>
      </c>
      <c r="M810" s="272">
        <f t="shared" si="84"/>
        <v>1</v>
      </c>
      <c r="N810" s="273"/>
      <c r="O810" s="61">
        <f t="shared" si="85"/>
        <v>1900</v>
      </c>
      <c r="P810" s="61">
        <f t="shared" si="86"/>
        <v>1</v>
      </c>
      <c r="R810" s="272"/>
      <c r="S810" s="272"/>
      <c r="T810" s="273" t="str">
        <f t="shared" si="87"/>
        <v>-</v>
      </c>
    </row>
    <row r="811" spans="1:20">
      <c r="A811" s="269"/>
      <c r="B811" s="57"/>
      <c r="C811" s="55"/>
      <c r="D811" s="55"/>
      <c r="E811" s="55"/>
      <c r="F811" s="55"/>
      <c r="G811" s="275"/>
      <c r="H811" s="276"/>
      <c r="I811" s="213"/>
      <c r="J811" s="213"/>
      <c r="K811" s="212">
        <f t="shared" si="82"/>
        <v>0</v>
      </c>
      <c r="L811" s="272">
        <f t="shared" si="83"/>
        <v>1900</v>
      </c>
      <c r="M811" s="272">
        <f t="shared" si="84"/>
        <v>1</v>
      </c>
      <c r="N811" s="273"/>
      <c r="O811" s="61">
        <f t="shared" si="85"/>
        <v>1900</v>
      </c>
      <c r="P811" s="61">
        <f t="shared" si="86"/>
        <v>1</v>
      </c>
      <c r="R811" s="272"/>
      <c r="S811" s="272"/>
      <c r="T811" s="273" t="str">
        <f t="shared" si="87"/>
        <v>-</v>
      </c>
    </row>
    <row r="812" spans="1:20">
      <c r="A812" s="269"/>
      <c r="B812" s="57"/>
      <c r="C812" s="55"/>
      <c r="D812" s="55"/>
      <c r="E812" s="55"/>
      <c r="F812" s="55"/>
      <c r="G812" s="275"/>
      <c r="H812" s="276"/>
      <c r="I812" s="213"/>
      <c r="J812" s="213"/>
      <c r="K812" s="212">
        <f t="shared" si="82"/>
        <v>0</v>
      </c>
      <c r="L812" s="272">
        <f t="shared" si="83"/>
        <v>1900</v>
      </c>
      <c r="M812" s="272">
        <f t="shared" si="84"/>
        <v>1</v>
      </c>
      <c r="N812" s="273"/>
      <c r="O812" s="61">
        <f t="shared" si="85"/>
        <v>1900</v>
      </c>
      <c r="P812" s="61">
        <f t="shared" si="86"/>
        <v>1</v>
      </c>
      <c r="R812" s="272"/>
      <c r="S812" s="272"/>
      <c r="T812" s="273" t="str">
        <f t="shared" si="87"/>
        <v>-</v>
      </c>
    </row>
    <row r="813" spans="1:20">
      <c r="A813" s="269"/>
      <c r="B813" s="57"/>
      <c r="C813" s="55"/>
      <c r="D813" s="55"/>
      <c r="E813" s="55"/>
      <c r="F813" s="55"/>
      <c r="G813" s="275"/>
      <c r="H813" s="276"/>
      <c r="I813" s="213"/>
      <c r="J813" s="213"/>
      <c r="K813" s="212">
        <f t="shared" si="82"/>
        <v>0</v>
      </c>
      <c r="L813" s="272">
        <f t="shared" si="83"/>
        <v>1900</v>
      </c>
      <c r="M813" s="272">
        <f t="shared" si="84"/>
        <v>1</v>
      </c>
      <c r="N813" s="273"/>
      <c r="O813" s="61">
        <f t="shared" si="85"/>
        <v>1900</v>
      </c>
      <c r="P813" s="61">
        <f t="shared" si="86"/>
        <v>1</v>
      </c>
      <c r="R813" s="272"/>
      <c r="S813" s="272"/>
      <c r="T813" s="273" t="str">
        <f t="shared" si="87"/>
        <v>-</v>
      </c>
    </row>
    <row r="814" spans="1:20">
      <c r="A814" s="269"/>
      <c r="B814" s="57"/>
      <c r="C814" s="55"/>
      <c r="D814" s="55"/>
      <c r="E814" s="55"/>
      <c r="F814" s="55"/>
      <c r="G814" s="275"/>
      <c r="H814" s="276"/>
      <c r="I814" s="213"/>
      <c r="J814" s="213"/>
      <c r="K814" s="212">
        <f t="shared" si="82"/>
        <v>0</v>
      </c>
      <c r="L814" s="272">
        <f t="shared" si="83"/>
        <v>1900</v>
      </c>
      <c r="M814" s="272">
        <f t="shared" si="84"/>
        <v>1</v>
      </c>
      <c r="N814" s="273"/>
      <c r="O814" s="61">
        <f t="shared" si="85"/>
        <v>1900</v>
      </c>
      <c r="P814" s="61">
        <f t="shared" si="86"/>
        <v>1</v>
      </c>
      <c r="R814" s="272"/>
      <c r="S814" s="272"/>
      <c r="T814" s="273" t="str">
        <f t="shared" si="87"/>
        <v>-</v>
      </c>
    </row>
    <row r="815" spans="1:20">
      <c r="A815" s="269"/>
      <c r="B815" s="57"/>
      <c r="C815" s="55"/>
      <c r="D815" s="55"/>
      <c r="E815" s="55"/>
      <c r="F815" s="55"/>
      <c r="G815" s="275"/>
      <c r="H815" s="276"/>
      <c r="I815" s="213"/>
      <c r="J815" s="213"/>
      <c r="K815" s="212">
        <f t="shared" si="82"/>
        <v>0</v>
      </c>
      <c r="L815" s="272">
        <f t="shared" si="83"/>
        <v>1900</v>
      </c>
      <c r="M815" s="272">
        <f t="shared" si="84"/>
        <v>1</v>
      </c>
      <c r="N815" s="273"/>
      <c r="O815" s="61">
        <f t="shared" si="85"/>
        <v>1900</v>
      </c>
      <c r="P815" s="61">
        <f t="shared" si="86"/>
        <v>1</v>
      </c>
      <c r="R815" s="272"/>
      <c r="S815" s="272"/>
      <c r="T815" s="273" t="str">
        <f t="shared" si="87"/>
        <v>-</v>
      </c>
    </row>
    <row r="816" spans="1:20">
      <c r="A816" s="269"/>
      <c r="B816" s="57"/>
      <c r="C816" s="55"/>
      <c r="D816" s="55"/>
      <c r="E816" s="55"/>
      <c r="F816" s="55"/>
      <c r="G816" s="275"/>
      <c r="H816" s="276"/>
      <c r="I816" s="213"/>
      <c r="J816" s="213"/>
      <c r="K816" s="212">
        <f t="shared" si="82"/>
        <v>0</v>
      </c>
      <c r="L816" s="272">
        <f t="shared" si="83"/>
        <v>1900</v>
      </c>
      <c r="M816" s="272">
        <f t="shared" si="84"/>
        <v>1</v>
      </c>
      <c r="N816" s="273"/>
      <c r="O816" s="61">
        <f t="shared" si="85"/>
        <v>1900</v>
      </c>
      <c r="P816" s="61">
        <f t="shared" si="86"/>
        <v>1</v>
      </c>
      <c r="R816" s="272"/>
      <c r="S816" s="272"/>
      <c r="T816" s="273" t="str">
        <f t="shared" si="87"/>
        <v>-</v>
      </c>
    </row>
    <row r="817" spans="1:20">
      <c r="A817" s="269"/>
      <c r="B817" s="57"/>
      <c r="C817" s="55"/>
      <c r="D817" s="55"/>
      <c r="E817" s="55"/>
      <c r="F817" s="55"/>
      <c r="G817" s="275"/>
      <c r="H817" s="276"/>
      <c r="I817" s="213"/>
      <c r="J817" s="213"/>
      <c r="K817" s="212">
        <f t="shared" si="82"/>
        <v>0</v>
      </c>
      <c r="L817" s="272">
        <f t="shared" si="83"/>
        <v>1900</v>
      </c>
      <c r="M817" s="272">
        <f t="shared" si="84"/>
        <v>1</v>
      </c>
      <c r="N817" s="273"/>
      <c r="O817" s="61">
        <f t="shared" si="85"/>
        <v>1900</v>
      </c>
      <c r="P817" s="61">
        <f t="shared" si="86"/>
        <v>1</v>
      </c>
      <c r="R817" s="272"/>
      <c r="S817" s="272"/>
      <c r="T817" s="273" t="str">
        <f t="shared" si="87"/>
        <v>-</v>
      </c>
    </row>
    <row r="818" spans="1:20">
      <c r="A818" s="269"/>
      <c r="B818" s="57"/>
      <c r="C818" s="55"/>
      <c r="D818" s="55"/>
      <c r="E818" s="55"/>
      <c r="F818" s="55"/>
      <c r="G818" s="275"/>
      <c r="H818" s="276"/>
      <c r="I818" s="213"/>
      <c r="J818" s="213"/>
      <c r="K818" s="212">
        <f t="shared" si="82"/>
        <v>0</v>
      </c>
      <c r="L818" s="272">
        <f t="shared" si="83"/>
        <v>1900</v>
      </c>
      <c r="M818" s="272">
        <f t="shared" si="84"/>
        <v>1</v>
      </c>
      <c r="N818" s="273"/>
      <c r="O818" s="61">
        <f t="shared" si="85"/>
        <v>1900</v>
      </c>
      <c r="P818" s="61">
        <f t="shared" si="86"/>
        <v>1</v>
      </c>
      <c r="R818" s="272"/>
      <c r="S818" s="272"/>
      <c r="T818" s="273" t="str">
        <f t="shared" si="87"/>
        <v>-</v>
      </c>
    </row>
    <row r="819" spans="1:20">
      <c r="A819" s="269"/>
      <c r="B819" s="57"/>
      <c r="C819" s="55"/>
      <c r="D819" s="55"/>
      <c r="E819" s="55"/>
      <c r="F819" s="55"/>
      <c r="G819" s="275"/>
      <c r="H819" s="276"/>
      <c r="I819" s="213"/>
      <c r="J819" s="213"/>
      <c r="K819" s="212">
        <f t="shared" si="82"/>
        <v>0</v>
      </c>
      <c r="L819" s="272">
        <f t="shared" si="83"/>
        <v>1900</v>
      </c>
      <c r="M819" s="272">
        <f t="shared" si="84"/>
        <v>1</v>
      </c>
      <c r="N819" s="273"/>
      <c r="O819" s="61">
        <f t="shared" si="85"/>
        <v>1900</v>
      </c>
      <c r="P819" s="61">
        <f t="shared" si="86"/>
        <v>1</v>
      </c>
      <c r="R819" s="272"/>
      <c r="S819" s="272"/>
      <c r="T819" s="273" t="str">
        <f t="shared" si="87"/>
        <v>-</v>
      </c>
    </row>
    <row r="820" spans="1:20">
      <c r="A820" s="269"/>
      <c r="B820" s="57"/>
      <c r="C820" s="55"/>
      <c r="D820" s="55"/>
      <c r="E820" s="55"/>
      <c r="F820" s="55"/>
      <c r="G820" s="275"/>
      <c r="H820" s="276"/>
      <c r="I820" s="213"/>
      <c r="J820" s="213"/>
      <c r="K820" s="212">
        <f t="shared" si="82"/>
        <v>0</v>
      </c>
      <c r="L820" s="272">
        <f t="shared" si="83"/>
        <v>1900</v>
      </c>
      <c r="M820" s="272">
        <f t="shared" si="84"/>
        <v>1</v>
      </c>
      <c r="N820" s="273"/>
      <c r="O820" s="61">
        <f t="shared" si="85"/>
        <v>1900</v>
      </c>
      <c r="P820" s="61">
        <f t="shared" si="86"/>
        <v>1</v>
      </c>
      <c r="R820" s="272"/>
      <c r="S820" s="272"/>
      <c r="T820" s="273" t="str">
        <f t="shared" si="87"/>
        <v>-</v>
      </c>
    </row>
    <row r="821" spans="1:20">
      <c r="A821" s="269"/>
      <c r="B821" s="57"/>
      <c r="C821" s="55"/>
      <c r="D821" s="55"/>
      <c r="E821" s="55"/>
      <c r="F821" s="55"/>
      <c r="G821" s="275"/>
      <c r="H821" s="276"/>
      <c r="I821" s="213"/>
      <c r="J821" s="213"/>
      <c r="K821" s="212">
        <f t="shared" si="82"/>
        <v>0</v>
      </c>
      <c r="L821" s="272">
        <f t="shared" si="83"/>
        <v>1900</v>
      </c>
      <c r="M821" s="272">
        <f t="shared" si="84"/>
        <v>1</v>
      </c>
      <c r="N821" s="273"/>
      <c r="O821" s="61">
        <f t="shared" si="85"/>
        <v>1900</v>
      </c>
      <c r="P821" s="61">
        <f t="shared" si="86"/>
        <v>1</v>
      </c>
      <c r="R821" s="272"/>
      <c r="S821" s="272"/>
      <c r="T821" s="273" t="str">
        <f t="shared" si="87"/>
        <v>-</v>
      </c>
    </row>
    <row r="822" spans="1:20">
      <c r="A822" s="269"/>
      <c r="B822" s="57"/>
      <c r="C822" s="55"/>
      <c r="D822" s="55"/>
      <c r="E822" s="55"/>
      <c r="F822" s="55"/>
      <c r="G822" s="275"/>
      <c r="H822" s="276"/>
      <c r="I822" s="213"/>
      <c r="J822" s="213"/>
      <c r="K822" s="212">
        <f t="shared" si="82"/>
        <v>0</v>
      </c>
      <c r="L822" s="272">
        <f t="shared" si="83"/>
        <v>1900</v>
      </c>
      <c r="M822" s="272">
        <f t="shared" si="84"/>
        <v>1</v>
      </c>
      <c r="N822" s="273"/>
      <c r="O822" s="61">
        <f t="shared" si="85"/>
        <v>1900</v>
      </c>
      <c r="P822" s="61">
        <f t="shared" si="86"/>
        <v>1</v>
      </c>
      <c r="R822" s="272"/>
      <c r="S822" s="272"/>
      <c r="T822" s="273" t="str">
        <f t="shared" si="87"/>
        <v>-</v>
      </c>
    </row>
    <row r="823" spans="1:20">
      <c r="A823" s="269"/>
      <c r="B823" s="57"/>
      <c r="C823" s="55"/>
      <c r="D823" s="55"/>
      <c r="E823" s="55"/>
      <c r="F823" s="55"/>
      <c r="G823" s="275"/>
      <c r="H823" s="276"/>
      <c r="I823" s="213"/>
      <c r="J823" s="213"/>
      <c r="K823" s="212">
        <f t="shared" si="82"/>
        <v>0</v>
      </c>
      <c r="L823" s="272">
        <f t="shared" si="83"/>
        <v>1900</v>
      </c>
      <c r="M823" s="272">
        <f t="shared" si="84"/>
        <v>1</v>
      </c>
      <c r="N823" s="273"/>
      <c r="O823" s="61">
        <f t="shared" si="85"/>
        <v>1900</v>
      </c>
      <c r="P823" s="61">
        <f t="shared" si="86"/>
        <v>1</v>
      </c>
      <c r="R823" s="272"/>
      <c r="S823" s="272"/>
      <c r="T823" s="273" t="str">
        <f t="shared" si="87"/>
        <v>-</v>
      </c>
    </row>
    <row r="824" spans="1:20">
      <c r="A824" s="269"/>
      <c r="B824" s="57"/>
      <c r="C824" s="55"/>
      <c r="D824" s="55"/>
      <c r="E824" s="55"/>
      <c r="F824" s="55"/>
      <c r="G824" s="275"/>
      <c r="H824" s="276"/>
      <c r="I824" s="213"/>
      <c r="J824" s="213"/>
      <c r="K824" s="212">
        <f t="shared" si="82"/>
        <v>0</v>
      </c>
      <c r="L824" s="272">
        <f t="shared" si="83"/>
        <v>1900</v>
      </c>
      <c r="M824" s="272">
        <f t="shared" si="84"/>
        <v>1</v>
      </c>
      <c r="N824" s="273"/>
      <c r="O824" s="61">
        <f t="shared" si="85"/>
        <v>1900</v>
      </c>
      <c r="P824" s="61">
        <f t="shared" si="86"/>
        <v>1</v>
      </c>
      <c r="R824" s="272"/>
      <c r="S824" s="272"/>
      <c r="T824" s="273" t="str">
        <f t="shared" si="87"/>
        <v>-</v>
      </c>
    </row>
    <row r="825" spans="1:20">
      <c r="A825" s="269"/>
      <c r="B825" s="57"/>
      <c r="C825" s="55"/>
      <c r="D825" s="55"/>
      <c r="E825" s="55"/>
      <c r="F825" s="55"/>
      <c r="G825" s="275"/>
      <c r="H825" s="276"/>
      <c r="I825" s="213"/>
      <c r="J825" s="213"/>
      <c r="K825" s="212">
        <f t="shared" si="82"/>
        <v>0</v>
      </c>
      <c r="L825" s="272">
        <f t="shared" si="83"/>
        <v>1900</v>
      </c>
      <c r="M825" s="272">
        <f t="shared" si="84"/>
        <v>1</v>
      </c>
      <c r="N825" s="273"/>
      <c r="O825" s="61">
        <f t="shared" si="85"/>
        <v>1900</v>
      </c>
      <c r="P825" s="61">
        <f t="shared" si="86"/>
        <v>1</v>
      </c>
      <c r="R825" s="272"/>
      <c r="S825" s="272"/>
      <c r="T825" s="273" t="str">
        <f t="shared" si="87"/>
        <v>-</v>
      </c>
    </row>
    <row r="826" spans="1:20">
      <c r="A826" s="269"/>
      <c r="B826" s="57"/>
      <c r="C826" s="55"/>
      <c r="D826" s="55"/>
      <c r="E826" s="55"/>
      <c r="F826" s="55"/>
      <c r="G826" s="275"/>
      <c r="H826" s="276"/>
      <c r="I826" s="213"/>
      <c r="J826" s="213"/>
      <c r="K826" s="212">
        <f t="shared" si="82"/>
        <v>0</v>
      </c>
      <c r="L826" s="272">
        <f t="shared" si="83"/>
        <v>1900</v>
      </c>
      <c r="M826" s="272">
        <f t="shared" si="84"/>
        <v>1</v>
      </c>
      <c r="N826" s="273"/>
      <c r="O826" s="61">
        <f t="shared" si="85"/>
        <v>1900</v>
      </c>
      <c r="P826" s="61">
        <f t="shared" si="86"/>
        <v>1</v>
      </c>
      <c r="R826" s="272"/>
      <c r="S826" s="272"/>
      <c r="T826" s="273" t="str">
        <f t="shared" si="87"/>
        <v>-</v>
      </c>
    </row>
    <row r="827" spans="1:20">
      <c r="A827" s="269"/>
      <c r="B827" s="57"/>
      <c r="C827" s="55"/>
      <c r="D827" s="55"/>
      <c r="E827" s="55"/>
      <c r="F827" s="55"/>
      <c r="G827" s="275"/>
      <c r="H827" s="276"/>
      <c r="I827" s="213"/>
      <c r="J827" s="213"/>
      <c r="K827" s="212">
        <f t="shared" si="82"/>
        <v>0</v>
      </c>
      <c r="L827" s="272">
        <f t="shared" si="83"/>
        <v>1900</v>
      </c>
      <c r="M827" s="272">
        <f t="shared" si="84"/>
        <v>1</v>
      </c>
      <c r="N827" s="273"/>
      <c r="O827" s="61">
        <f t="shared" si="85"/>
        <v>1900</v>
      </c>
      <c r="P827" s="61">
        <f t="shared" si="86"/>
        <v>1</v>
      </c>
      <c r="R827" s="272"/>
      <c r="S827" s="272"/>
      <c r="T827" s="273" t="str">
        <f t="shared" si="87"/>
        <v>-</v>
      </c>
    </row>
    <row r="828" spans="1:20">
      <c r="A828" s="269"/>
      <c r="B828" s="57"/>
      <c r="C828" s="55"/>
      <c r="D828" s="55"/>
      <c r="E828" s="55"/>
      <c r="F828" s="55"/>
      <c r="G828" s="275"/>
      <c r="H828" s="276"/>
      <c r="I828" s="213"/>
      <c r="J828" s="213"/>
      <c r="K828" s="212">
        <f t="shared" si="82"/>
        <v>0</v>
      </c>
      <c r="L828" s="272">
        <f t="shared" si="83"/>
        <v>1900</v>
      </c>
      <c r="M828" s="272">
        <f t="shared" si="84"/>
        <v>1</v>
      </c>
      <c r="N828" s="273"/>
      <c r="O828" s="61">
        <f t="shared" si="85"/>
        <v>1900</v>
      </c>
      <c r="P828" s="61">
        <f t="shared" si="86"/>
        <v>1</v>
      </c>
      <c r="R828" s="272"/>
      <c r="S828" s="272"/>
      <c r="T828" s="273" t="str">
        <f t="shared" si="87"/>
        <v>-</v>
      </c>
    </row>
    <row r="829" spans="1:20">
      <c r="A829" s="269"/>
      <c r="B829" s="57"/>
      <c r="C829" s="55"/>
      <c r="D829" s="55"/>
      <c r="E829" s="55"/>
      <c r="F829" s="55"/>
      <c r="G829" s="275"/>
      <c r="H829" s="276"/>
      <c r="I829" s="213"/>
      <c r="J829" s="213"/>
      <c r="K829" s="212">
        <f t="shared" si="82"/>
        <v>0</v>
      </c>
      <c r="L829" s="272">
        <f t="shared" si="83"/>
        <v>1900</v>
      </c>
      <c r="M829" s="272">
        <f t="shared" si="84"/>
        <v>1</v>
      </c>
      <c r="N829" s="273"/>
      <c r="O829" s="61">
        <f t="shared" si="85"/>
        <v>1900</v>
      </c>
      <c r="P829" s="61">
        <f t="shared" si="86"/>
        <v>1</v>
      </c>
      <c r="R829" s="272"/>
      <c r="S829" s="272"/>
      <c r="T829" s="273" t="str">
        <f t="shared" si="87"/>
        <v>-</v>
      </c>
    </row>
    <row r="830" spans="1:20">
      <c r="A830" s="269"/>
      <c r="B830" s="57"/>
      <c r="C830" s="55"/>
      <c r="D830" s="55"/>
      <c r="E830" s="55"/>
      <c r="F830" s="55"/>
      <c r="G830" s="275"/>
      <c r="H830" s="276"/>
      <c r="I830" s="213"/>
      <c r="J830" s="213"/>
      <c r="K830" s="212">
        <f t="shared" si="82"/>
        <v>0</v>
      </c>
      <c r="L830" s="272">
        <f t="shared" si="83"/>
        <v>1900</v>
      </c>
      <c r="M830" s="272">
        <f t="shared" si="84"/>
        <v>1</v>
      </c>
      <c r="N830" s="273"/>
      <c r="O830" s="61">
        <f t="shared" si="85"/>
        <v>1900</v>
      </c>
      <c r="P830" s="61">
        <f t="shared" si="86"/>
        <v>1</v>
      </c>
      <c r="R830" s="272"/>
      <c r="S830" s="272"/>
      <c r="T830" s="273" t="str">
        <f t="shared" si="87"/>
        <v>-</v>
      </c>
    </row>
    <row r="831" spans="1:20">
      <c r="A831" s="269"/>
      <c r="B831" s="57"/>
      <c r="C831" s="55"/>
      <c r="D831" s="55"/>
      <c r="E831" s="55"/>
      <c r="F831" s="55"/>
      <c r="G831" s="275"/>
      <c r="H831" s="276"/>
      <c r="I831" s="213"/>
      <c r="J831" s="213"/>
      <c r="K831" s="212">
        <f t="shared" si="82"/>
        <v>0</v>
      </c>
      <c r="L831" s="272">
        <f t="shared" si="83"/>
        <v>1900</v>
      </c>
      <c r="M831" s="272">
        <f t="shared" si="84"/>
        <v>1</v>
      </c>
      <c r="N831" s="273"/>
      <c r="O831" s="61">
        <f t="shared" si="85"/>
        <v>1900</v>
      </c>
      <c r="P831" s="61">
        <f t="shared" si="86"/>
        <v>1</v>
      </c>
      <c r="R831" s="272"/>
      <c r="S831" s="272"/>
      <c r="T831" s="273" t="str">
        <f t="shared" si="87"/>
        <v>-</v>
      </c>
    </row>
    <row r="832" spans="1:20">
      <c r="A832" s="269"/>
      <c r="B832" s="57"/>
      <c r="C832" s="55"/>
      <c r="D832" s="55"/>
      <c r="E832" s="55"/>
      <c r="F832" s="55"/>
      <c r="G832" s="275"/>
      <c r="H832" s="276"/>
      <c r="I832" s="213"/>
      <c r="J832" s="213"/>
      <c r="K832" s="212">
        <f t="shared" si="82"/>
        <v>0</v>
      </c>
      <c r="L832" s="272">
        <f t="shared" si="83"/>
        <v>1900</v>
      </c>
      <c r="M832" s="272">
        <f t="shared" si="84"/>
        <v>1</v>
      </c>
      <c r="N832" s="273"/>
      <c r="O832" s="61">
        <f t="shared" si="85"/>
        <v>1900</v>
      </c>
      <c r="P832" s="61">
        <f t="shared" si="86"/>
        <v>1</v>
      </c>
      <c r="R832" s="272"/>
      <c r="S832" s="272"/>
      <c r="T832" s="273" t="str">
        <f t="shared" si="87"/>
        <v>-</v>
      </c>
    </row>
    <row r="833" spans="1:20">
      <c r="A833" s="269"/>
      <c r="B833" s="57"/>
      <c r="C833" s="55"/>
      <c r="D833" s="55"/>
      <c r="E833" s="55"/>
      <c r="F833" s="55"/>
      <c r="G833" s="275"/>
      <c r="H833" s="276"/>
      <c r="I833" s="213"/>
      <c r="J833" s="213"/>
      <c r="K833" s="212">
        <f t="shared" si="82"/>
        <v>0</v>
      </c>
      <c r="L833" s="272">
        <f t="shared" si="83"/>
        <v>1900</v>
      </c>
      <c r="M833" s="272">
        <f t="shared" si="84"/>
        <v>1</v>
      </c>
      <c r="N833" s="273"/>
      <c r="O833" s="61">
        <f t="shared" si="85"/>
        <v>1900</v>
      </c>
      <c r="P833" s="61">
        <f t="shared" si="86"/>
        <v>1</v>
      </c>
      <c r="R833" s="272"/>
      <c r="S833" s="272"/>
      <c r="T833" s="273" t="str">
        <f t="shared" si="87"/>
        <v>-</v>
      </c>
    </row>
    <row r="834" spans="1:20">
      <c r="A834" s="269"/>
      <c r="B834" s="57"/>
      <c r="C834" s="55"/>
      <c r="D834" s="55"/>
      <c r="E834" s="55"/>
      <c r="F834" s="55"/>
      <c r="G834" s="275"/>
      <c r="H834" s="276"/>
      <c r="I834" s="213"/>
      <c r="J834" s="213"/>
      <c r="K834" s="212">
        <f t="shared" si="82"/>
        <v>0</v>
      </c>
      <c r="L834" s="272">
        <f t="shared" si="83"/>
        <v>1900</v>
      </c>
      <c r="M834" s="272">
        <f t="shared" si="84"/>
        <v>1</v>
      </c>
      <c r="N834" s="273"/>
      <c r="O834" s="61">
        <f t="shared" si="85"/>
        <v>1900</v>
      </c>
      <c r="P834" s="61">
        <f t="shared" si="86"/>
        <v>1</v>
      </c>
      <c r="R834" s="272"/>
      <c r="S834" s="272"/>
      <c r="T834" s="273" t="str">
        <f t="shared" si="87"/>
        <v>-</v>
      </c>
    </row>
    <row r="835" spans="1:20">
      <c r="A835" s="269"/>
      <c r="B835" s="57"/>
      <c r="C835" s="55"/>
      <c r="D835" s="55"/>
      <c r="E835" s="55"/>
      <c r="F835" s="55"/>
      <c r="G835" s="275"/>
      <c r="H835" s="276"/>
      <c r="I835" s="213"/>
      <c r="J835" s="213"/>
      <c r="K835" s="212">
        <f t="shared" si="82"/>
        <v>0</v>
      </c>
      <c r="L835" s="272">
        <f t="shared" si="83"/>
        <v>1900</v>
      </c>
      <c r="M835" s="272">
        <f t="shared" si="84"/>
        <v>1</v>
      </c>
      <c r="N835" s="273"/>
      <c r="O835" s="61">
        <f t="shared" si="85"/>
        <v>1900</v>
      </c>
      <c r="P835" s="61">
        <f t="shared" si="86"/>
        <v>1</v>
      </c>
      <c r="R835" s="272"/>
      <c r="S835" s="272"/>
      <c r="T835" s="273" t="str">
        <f t="shared" si="87"/>
        <v>-</v>
      </c>
    </row>
    <row r="836" spans="1:20">
      <c r="A836" s="269"/>
      <c r="B836" s="57"/>
      <c r="C836" s="55"/>
      <c r="D836" s="55"/>
      <c r="E836" s="55"/>
      <c r="F836" s="55"/>
      <c r="G836" s="275"/>
      <c r="H836" s="276"/>
      <c r="I836" s="213"/>
      <c r="J836" s="213"/>
      <c r="K836" s="212">
        <f t="shared" si="82"/>
        <v>0</v>
      </c>
      <c r="L836" s="272">
        <f t="shared" si="83"/>
        <v>1900</v>
      </c>
      <c r="M836" s="272">
        <f t="shared" si="84"/>
        <v>1</v>
      </c>
      <c r="N836" s="273"/>
      <c r="O836" s="61">
        <f t="shared" si="85"/>
        <v>1900</v>
      </c>
      <c r="P836" s="61">
        <f t="shared" si="86"/>
        <v>1</v>
      </c>
      <c r="R836" s="272"/>
      <c r="S836" s="272"/>
      <c r="T836" s="273" t="str">
        <f t="shared" si="87"/>
        <v>-</v>
      </c>
    </row>
    <row r="837" spans="1:20">
      <c r="A837" s="269"/>
      <c r="B837" s="57"/>
      <c r="C837" s="55"/>
      <c r="D837" s="55"/>
      <c r="E837" s="55"/>
      <c r="F837" s="55"/>
      <c r="G837" s="275"/>
      <c r="H837" s="276"/>
      <c r="I837" s="213"/>
      <c r="J837" s="213"/>
      <c r="K837" s="212">
        <f t="shared" si="82"/>
        <v>0</v>
      </c>
      <c r="L837" s="272">
        <f t="shared" si="83"/>
        <v>1900</v>
      </c>
      <c r="M837" s="272">
        <f t="shared" si="84"/>
        <v>1</v>
      </c>
      <c r="N837" s="273"/>
      <c r="O837" s="61">
        <f t="shared" si="85"/>
        <v>1900</v>
      </c>
      <c r="P837" s="61">
        <f t="shared" si="86"/>
        <v>1</v>
      </c>
      <c r="R837" s="272"/>
      <c r="S837" s="272"/>
      <c r="T837" s="273" t="str">
        <f t="shared" si="87"/>
        <v>-</v>
      </c>
    </row>
    <row r="838" spans="1:20">
      <c r="A838" s="269"/>
      <c r="B838" s="57"/>
      <c r="C838" s="55"/>
      <c r="D838" s="55"/>
      <c r="E838" s="55"/>
      <c r="F838" s="55"/>
      <c r="G838" s="275"/>
      <c r="H838" s="276"/>
      <c r="I838" s="213"/>
      <c r="J838" s="213"/>
      <c r="K838" s="212">
        <f t="shared" si="82"/>
        <v>0</v>
      </c>
      <c r="L838" s="272">
        <f t="shared" si="83"/>
        <v>1900</v>
      </c>
      <c r="M838" s="272">
        <f t="shared" si="84"/>
        <v>1</v>
      </c>
      <c r="N838" s="273"/>
      <c r="O838" s="61">
        <f t="shared" si="85"/>
        <v>1900</v>
      </c>
      <c r="P838" s="61">
        <f t="shared" si="86"/>
        <v>1</v>
      </c>
      <c r="R838" s="272"/>
      <c r="S838" s="272"/>
      <c r="T838" s="273" t="str">
        <f t="shared" si="87"/>
        <v>-</v>
      </c>
    </row>
    <row r="839" spans="1:20">
      <c r="A839" s="269"/>
      <c r="B839" s="57"/>
      <c r="C839" s="55"/>
      <c r="D839" s="55"/>
      <c r="E839" s="55"/>
      <c r="F839" s="55"/>
      <c r="G839" s="275"/>
      <c r="H839" s="276"/>
      <c r="I839" s="213"/>
      <c r="J839" s="213"/>
      <c r="K839" s="212">
        <f t="shared" si="82"/>
        <v>0</v>
      </c>
      <c r="L839" s="272">
        <f t="shared" si="83"/>
        <v>1900</v>
      </c>
      <c r="M839" s="272">
        <f t="shared" si="84"/>
        <v>1</v>
      </c>
      <c r="N839" s="273"/>
      <c r="O839" s="61">
        <f t="shared" si="85"/>
        <v>1900</v>
      </c>
      <c r="P839" s="61">
        <f t="shared" si="86"/>
        <v>1</v>
      </c>
      <c r="R839" s="272"/>
      <c r="S839" s="272"/>
      <c r="T839" s="273" t="str">
        <f t="shared" si="87"/>
        <v>-</v>
      </c>
    </row>
    <row r="840" spans="1:20">
      <c r="A840" s="269"/>
      <c r="B840" s="57"/>
      <c r="C840" s="55"/>
      <c r="D840" s="55"/>
      <c r="E840" s="55"/>
      <c r="F840" s="55"/>
      <c r="G840" s="275"/>
      <c r="H840" s="276"/>
      <c r="I840" s="213"/>
      <c r="J840" s="213"/>
      <c r="K840" s="212">
        <f t="shared" si="82"/>
        <v>0</v>
      </c>
      <c r="L840" s="272">
        <f t="shared" si="83"/>
        <v>1900</v>
      </c>
      <c r="M840" s="272">
        <f t="shared" si="84"/>
        <v>1</v>
      </c>
      <c r="N840" s="273"/>
      <c r="O840" s="61">
        <f t="shared" si="85"/>
        <v>1900</v>
      </c>
      <c r="P840" s="61">
        <f t="shared" si="86"/>
        <v>1</v>
      </c>
      <c r="R840" s="272"/>
      <c r="S840" s="272"/>
      <c r="T840" s="273" t="str">
        <f t="shared" si="87"/>
        <v>-</v>
      </c>
    </row>
    <row r="841" spans="1:20">
      <c r="A841" s="269"/>
      <c r="B841" s="57"/>
      <c r="C841" s="55"/>
      <c r="D841" s="55"/>
      <c r="E841" s="55"/>
      <c r="F841" s="55"/>
      <c r="G841" s="275"/>
      <c r="H841" s="276"/>
      <c r="I841" s="213"/>
      <c r="J841" s="213"/>
      <c r="K841" s="212">
        <f t="shared" si="82"/>
        <v>0</v>
      </c>
      <c r="L841" s="272">
        <f t="shared" si="83"/>
        <v>1900</v>
      </c>
      <c r="M841" s="272">
        <f t="shared" si="84"/>
        <v>1</v>
      </c>
      <c r="N841" s="273"/>
      <c r="O841" s="61">
        <f t="shared" si="85"/>
        <v>1900</v>
      </c>
      <c r="P841" s="61">
        <f t="shared" si="86"/>
        <v>1</v>
      </c>
      <c r="R841" s="272"/>
      <c r="S841" s="272"/>
      <c r="T841" s="273" t="str">
        <f t="shared" si="87"/>
        <v>-</v>
      </c>
    </row>
    <row r="842" spans="1:20">
      <c r="A842" s="269"/>
      <c r="B842" s="57"/>
      <c r="C842" s="55"/>
      <c r="D842" s="55"/>
      <c r="E842" s="55"/>
      <c r="F842" s="55"/>
      <c r="G842" s="275"/>
      <c r="H842" s="276"/>
      <c r="I842" s="213"/>
      <c r="J842" s="213"/>
      <c r="K842" s="212">
        <f t="shared" si="82"/>
        <v>0</v>
      </c>
      <c r="L842" s="272">
        <f t="shared" si="83"/>
        <v>1900</v>
      </c>
      <c r="M842" s="272">
        <f t="shared" si="84"/>
        <v>1</v>
      </c>
      <c r="N842" s="273"/>
      <c r="O842" s="61">
        <f t="shared" si="85"/>
        <v>1900</v>
      </c>
      <c r="P842" s="61">
        <f t="shared" si="86"/>
        <v>1</v>
      </c>
      <c r="R842" s="272"/>
      <c r="S842" s="272"/>
      <c r="T842" s="273" t="str">
        <f t="shared" si="87"/>
        <v>-</v>
      </c>
    </row>
    <row r="843" spans="1:20">
      <c r="A843" s="269"/>
      <c r="B843" s="57"/>
      <c r="C843" s="55"/>
      <c r="D843" s="55"/>
      <c r="E843" s="55"/>
      <c r="F843" s="55"/>
      <c r="G843" s="275"/>
      <c r="H843" s="276"/>
      <c r="I843" s="213"/>
      <c r="J843" s="213"/>
      <c r="K843" s="212">
        <f t="shared" si="82"/>
        <v>0</v>
      </c>
      <c r="L843" s="272">
        <f t="shared" si="83"/>
        <v>1900</v>
      </c>
      <c r="M843" s="272">
        <f t="shared" si="84"/>
        <v>1</v>
      </c>
      <c r="N843" s="273"/>
      <c r="O843" s="61">
        <f t="shared" si="85"/>
        <v>1900</v>
      </c>
      <c r="P843" s="61">
        <f t="shared" si="86"/>
        <v>1</v>
      </c>
      <c r="R843" s="272"/>
      <c r="S843" s="272"/>
      <c r="T843" s="273" t="str">
        <f t="shared" si="87"/>
        <v>-</v>
      </c>
    </row>
    <row r="844" spans="1:20">
      <c r="A844" s="269"/>
      <c r="B844" s="57"/>
      <c r="C844" s="55"/>
      <c r="D844" s="55"/>
      <c r="E844" s="55"/>
      <c r="F844" s="55"/>
      <c r="G844" s="275"/>
      <c r="H844" s="276"/>
      <c r="I844" s="213"/>
      <c r="J844" s="213"/>
      <c r="K844" s="212">
        <f t="shared" si="82"/>
        <v>0</v>
      </c>
      <c r="L844" s="272">
        <f t="shared" si="83"/>
        <v>1900</v>
      </c>
      <c r="M844" s="272">
        <f t="shared" si="84"/>
        <v>1</v>
      </c>
      <c r="N844" s="273"/>
      <c r="O844" s="61">
        <f t="shared" si="85"/>
        <v>1900</v>
      </c>
      <c r="P844" s="61">
        <f t="shared" si="86"/>
        <v>1</v>
      </c>
      <c r="R844" s="272"/>
      <c r="S844" s="272"/>
      <c r="T844" s="273" t="str">
        <f t="shared" si="87"/>
        <v>-</v>
      </c>
    </row>
    <row r="845" spans="1:20">
      <c r="A845" s="269"/>
      <c r="B845" s="57"/>
      <c r="C845" s="55"/>
      <c r="D845" s="55"/>
      <c r="E845" s="55"/>
      <c r="F845" s="55"/>
      <c r="G845" s="275"/>
      <c r="H845" s="276"/>
      <c r="I845" s="213"/>
      <c r="J845" s="213"/>
      <c r="K845" s="212">
        <f t="shared" si="82"/>
        <v>0</v>
      </c>
      <c r="L845" s="272">
        <f t="shared" si="83"/>
        <v>1900</v>
      </c>
      <c r="M845" s="272">
        <f t="shared" si="84"/>
        <v>1</v>
      </c>
      <c r="N845" s="273"/>
      <c r="O845" s="61">
        <f t="shared" si="85"/>
        <v>1900</v>
      </c>
      <c r="P845" s="61">
        <f t="shared" si="86"/>
        <v>1</v>
      </c>
      <c r="R845" s="272"/>
      <c r="S845" s="272"/>
      <c r="T845" s="273" t="str">
        <f t="shared" si="87"/>
        <v>-</v>
      </c>
    </row>
    <row r="846" spans="1:20">
      <c r="A846" s="269"/>
      <c r="B846" s="57"/>
      <c r="C846" s="55"/>
      <c r="D846" s="55"/>
      <c r="E846" s="55"/>
      <c r="F846" s="55"/>
      <c r="G846" s="275"/>
      <c r="H846" s="276"/>
      <c r="I846" s="213"/>
      <c r="J846" s="213"/>
      <c r="K846" s="212">
        <f t="shared" si="82"/>
        <v>0</v>
      </c>
      <c r="L846" s="272">
        <f t="shared" si="83"/>
        <v>1900</v>
      </c>
      <c r="M846" s="272">
        <f t="shared" si="84"/>
        <v>1</v>
      </c>
      <c r="N846" s="273"/>
      <c r="O846" s="61">
        <f t="shared" si="85"/>
        <v>1900</v>
      </c>
      <c r="P846" s="61">
        <f t="shared" si="86"/>
        <v>1</v>
      </c>
      <c r="R846" s="272"/>
      <c r="S846" s="272"/>
      <c r="T846" s="273" t="str">
        <f t="shared" si="87"/>
        <v>-</v>
      </c>
    </row>
    <row r="847" spans="1:20">
      <c r="A847" s="269"/>
      <c r="B847" s="57"/>
      <c r="C847" s="55"/>
      <c r="D847" s="55"/>
      <c r="E847" s="55"/>
      <c r="F847" s="55"/>
      <c r="G847" s="275"/>
      <c r="H847" s="276"/>
      <c r="I847" s="213"/>
      <c r="J847" s="213"/>
      <c r="K847" s="212">
        <f t="shared" ref="K847:K910" si="88">I847+H847+J847</f>
        <v>0</v>
      </c>
      <c r="L847" s="272">
        <f t="shared" si="83"/>
        <v>1900</v>
      </c>
      <c r="M847" s="272">
        <f t="shared" si="84"/>
        <v>1</v>
      </c>
      <c r="N847" s="273"/>
      <c r="O847" s="61">
        <f t="shared" si="85"/>
        <v>1900</v>
      </c>
      <c r="P847" s="61">
        <f t="shared" si="86"/>
        <v>1</v>
      </c>
      <c r="R847" s="272"/>
      <c r="S847" s="272"/>
      <c r="T847" s="273" t="str">
        <f t="shared" si="87"/>
        <v>-</v>
      </c>
    </row>
    <row r="848" spans="1:20">
      <c r="A848" s="269"/>
      <c r="B848" s="57"/>
      <c r="C848" s="55"/>
      <c r="D848" s="55"/>
      <c r="E848" s="55"/>
      <c r="F848" s="55"/>
      <c r="G848" s="275"/>
      <c r="H848" s="276"/>
      <c r="I848" s="213"/>
      <c r="J848" s="213"/>
      <c r="K848" s="212">
        <f t="shared" si="88"/>
        <v>0</v>
      </c>
      <c r="L848" s="272">
        <f t="shared" ref="L848:L911" si="89">YEAR(B848)</f>
        <v>1900</v>
      </c>
      <c r="M848" s="272">
        <f t="shared" ref="M848:M911" si="90">MONTH(B848)</f>
        <v>1</v>
      </c>
      <c r="N848" s="273"/>
      <c r="O848" s="61">
        <f t="shared" ref="O848:O911" si="91">YEAR(B848)</f>
        <v>1900</v>
      </c>
      <c r="P848" s="61">
        <f t="shared" ref="P848:P911" si="92">MONTH(B848)</f>
        <v>1</v>
      </c>
      <c r="R848" s="272"/>
      <c r="S848" s="272"/>
      <c r="T848" s="273" t="str">
        <f t="shared" ref="T848:T911" si="93">IF($E848&gt;0,IF((R848+S848)=$E848,"OK","Error"),"-")</f>
        <v>-</v>
      </c>
    </row>
    <row r="849" spans="1:20">
      <c r="A849" s="269"/>
      <c r="B849" s="57"/>
      <c r="C849" s="55"/>
      <c r="D849" s="55"/>
      <c r="E849" s="55"/>
      <c r="F849" s="55"/>
      <c r="G849" s="275"/>
      <c r="H849" s="276"/>
      <c r="I849" s="213"/>
      <c r="J849" s="213"/>
      <c r="K849" s="212">
        <f t="shared" si="88"/>
        <v>0</v>
      </c>
      <c r="L849" s="272">
        <f t="shared" si="89"/>
        <v>1900</v>
      </c>
      <c r="M849" s="272">
        <f t="shared" si="90"/>
        <v>1</v>
      </c>
      <c r="N849" s="273"/>
      <c r="O849" s="61">
        <f t="shared" si="91"/>
        <v>1900</v>
      </c>
      <c r="P849" s="61">
        <f t="shared" si="92"/>
        <v>1</v>
      </c>
      <c r="R849" s="272"/>
      <c r="S849" s="272"/>
      <c r="T849" s="273" t="str">
        <f t="shared" si="93"/>
        <v>-</v>
      </c>
    </row>
    <row r="850" spans="1:20">
      <c r="A850" s="269"/>
      <c r="B850" s="57"/>
      <c r="C850" s="55"/>
      <c r="D850" s="55"/>
      <c r="E850" s="55"/>
      <c r="F850" s="55"/>
      <c r="G850" s="275"/>
      <c r="H850" s="276"/>
      <c r="I850" s="213"/>
      <c r="J850" s="213"/>
      <c r="K850" s="212">
        <f t="shared" si="88"/>
        <v>0</v>
      </c>
      <c r="L850" s="272">
        <f t="shared" si="89"/>
        <v>1900</v>
      </c>
      <c r="M850" s="272">
        <f t="shared" si="90"/>
        <v>1</v>
      </c>
      <c r="N850" s="273"/>
      <c r="O850" s="61">
        <f t="shared" si="91"/>
        <v>1900</v>
      </c>
      <c r="P850" s="61">
        <f t="shared" si="92"/>
        <v>1</v>
      </c>
      <c r="R850" s="272"/>
      <c r="S850" s="272"/>
      <c r="T850" s="273" t="str">
        <f t="shared" si="93"/>
        <v>-</v>
      </c>
    </row>
    <row r="851" spans="1:20">
      <c r="A851" s="269"/>
      <c r="B851" s="57"/>
      <c r="C851" s="55"/>
      <c r="D851" s="55"/>
      <c r="E851" s="55"/>
      <c r="F851" s="55"/>
      <c r="G851" s="275"/>
      <c r="H851" s="276"/>
      <c r="I851" s="213"/>
      <c r="J851" s="213"/>
      <c r="K851" s="212">
        <f t="shared" si="88"/>
        <v>0</v>
      </c>
      <c r="L851" s="272">
        <f t="shared" si="89"/>
        <v>1900</v>
      </c>
      <c r="M851" s="272">
        <f t="shared" si="90"/>
        <v>1</v>
      </c>
      <c r="N851" s="273"/>
      <c r="O851" s="61">
        <f t="shared" si="91"/>
        <v>1900</v>
      </c>
      <c r="P851" s="61">
        <f t="shared" si="92"/>
        <v>1</v>
      </c>
      <c r="R851" s="272"/>
      <c r="S851" s="272"/>
      <c r="T851" s="273" t="str">
        <f t="shared" si="93"/>
        <v>-</v>
      </c>
    </row>
    <row r="852" spans="1:20">
      <c r="A852" s="269"/>
      <c r="B852" s="57"/>
      <c r="C852" s="55"/>
      <c r="D852" s="55"/>
      <c r="E852" s="55"/>
      <c r="F852" s="55"/>
      <c r="G852" s="275"/>
      <c r="H852" s="276"/>
      <c r="I852" s="213"/>
      <c r="J852" s="213"/>
      <c r="K852" s="212">
        <f t="shared" si="88"/>
        <v>0</v>
      </c>
      <c r="L852" s="272">
        <f t="shared" si="89"/>
        <v>1900</v>
      </c>
      <c r="M852" s="272">
        <f t="shared" si="90"/>
        <v>1</v>
      </c>
      <c r="N852" s="273"/>
      <c r="O852" s="61">
        <f t="shared" si="91"/>
        <v>1900</v>
      </c>
      <c r="P852" s="61">
        <f t="shared" si="92"/>
        <v>1</v>
      </c>
      <c r="R852" s="272"/>
      <c r="S852" s="272"/>
      <c r="T852" s="273" t="str">
        <f t="shared" si="93"/>
        <v>-</v>
      </c>
    </row>
    <row r="853" spans="1:20">
      <c r="A853" s="269"/>
      <c r="B853" s="57"/>
      <c r="C853" s="55"/>
      <c r="D853" s="55"/>
      <c r="E853" s="55"/>
      <c r="F853" s="55"/>
      <c r="G853" s="275"/>
      <c r="H853" s="276"/>
      <c r="I853" s="213"/>
      <c r="J853" s="213"/>
      <c r="K853" s="212">
        <f t="shared" si="88"/>
        <v>0</v>
      </c>
      <c r="L853" s="272">
        <f t="shared" si="89"/>
        <v>1900</v>
      </c>
      <c r="M853" s="272">
        <f t="shared" si="90"/>
        <v>1</v>
      </c>
      <c r="N853" s="273"/>
      <c r="O853" s="61">
        <f t="shared" si="91"/>
        <v>1900</v>
      </c>
      <c r="P853" s="61">
        <f t="shared" si="92"/>
        <v>1</v>
      </c>
      <c r="R853" s="272"/>
      <c r="S853" s="272"/>
      <c r="T853" s="273" t="str">
        <f t="shared" si="93"/>
        <v>-</v>
      </c>
    </row>
    <row r="854" spans="1:20">
      <c r="A854" s="269"/>
      <c r="B854" s="57"/>
      <c r="C854" s="55"/>
      <c r="D854" s="55"/>
      <c r="E854" s="55"/>
      <c r="F854" s="55"/>
      <c r="G854" s="275"/>
      <c r="H854" s="276"/>
      <c r="I854" s="213"/>
      <c r="J854" s="213"/>
      <c r="K854" s="212">
        <f t="shared" si="88"/>
        <v>0</v>
      </c>
      <c r="L854" s="272">
        <f t="shared" si="89"/>
        <v>1900</v>
      </c>
      <c r="M854" s="272">
        <f t="shared" si="90"/>
        <v>1</v>
      </c>
      <c r="N854" s="273"/>
      <c r="O854" s="61">
        <f t="shared" si="91"/>
        <v>1900</v>
      </c>
      <c r="P854" s="61">
        <f t="shared" si="92"/>
        <v>1</v>
      </c>
      <c r="R854" s="272"/>
      <c r="S854" s="272"/>
      <c r="T854" s="273" t="str">
        <f t="shared" si="93"/>
        <v>-</v>
      </c>
    </row>
    <row r="855" spans="1:20">
      <c r="A855" s="269"/>
      <c r="B855" s="57"/>
      <c r="C855" s="55"/>
      <c r="D855" s="55"/>
      <c r="E855" s="55"/>
      <c r="F855" s="55"/>
      <c r="G855" s="275"/>
      <c r="H855" s="276"/>
      <c r="I855" s="213"/>
      <c r="J855" s="213"/>
      <c r="K855" s="212">
        <f t="shared" si="88"/>
        <v>0</v>
      </c>
      <c r="L855" s="272">
        <f t="shared" si="89"/>
        <v>1900</v>
      </c>
      <c r="M855" s="272">
        <f t="shared" si="90"/>
        <v>1</v>
      </c>
      <c r="N855" s="273"/>
      <c r="O855" s="61">
        <f t="shared" si="91"/>
        <v>1900</v>
      </c>
      <c r="P855" s="61">
        <f t="shared" si="92"/>
        <v>1</v>
      </c>
      <c r="R855" s="272"/>
      <c r="S855" s="272"/>
      <c r="T855" s="273" t="str">
        <f t="shared" si="93"/>
        <v>-</v>
      </c>
    </row>
    <row r="856" spans="1:20">
      <c r="A856" s="269"/>
      <c r="B856" s="57"/>
      <c r="C856" s="55"/>
      <c r="D856" s="55"/>
      <c r="E856" s="55"/>
      <c r="F856" s="55"/>
      <c r="G856" s="275"/>
      <c r="H856" s="276"/>
      <c r="I856" s="213"/>
      <c r="J856" s="213"/>
      <c r="K856" s="212">
        <f t="shared" si="88"/>
        <v>0</v>
      </c>
      <c r="L856" s="272">
        <f t="shared" si="89"/>
        <v>1900</v>
      </c>
      <c r="M856" s="272">
        <f t="shared" si="90"/>
        <v>1</v>
      </c>
      <c r="N856" s="273"/>
      <c r="O856" s="61">
        <f t="shared" si="91"/>
        <v>1900</v>
      </c>
      <c r="P856" s="61">
        <f t="shared" si="92"/>
        <v>1</v>
      </c>
      <c r="R856" s="272"/>
      <c r="S856" s="272"/>
      <c r="T856" s="273" t="str">
        <f t="shared" si="93"/>
        <v>-</v>
      </c>
    </row>
    <row r="857" spans="1:20">
      <c r="A857" s="269"/>
      <c r="B857" s="57"/>
      <c r="C857" s="55"/>
      <c r="D857" s="55"/>
      <c r="E857" s="55"/>
      <c r="F857" s="55"/>
      <c r="G857" s="275"/>
      <c r="H857" s="276"/>
      <c r="I857" s="213"/>
      <c r="J857" s="213"/>
      <c r="K857" s="212">
        <f t="shared" si="88"/>
        <v>0</v>
      </c>
      <c r="L857" s="272">
        <f t="shared" si="89"/>
        <v>1900</v>
      </c>
      <c r="M857" s="272">
        <f t="shared" si="90"/>
        <v>1</v>
      </c>
      <c r="N857" s="273"/>
      <c r="O857" s="61">
        <f t="shared" si="91"/>
        <v>1900</v>
      </c>
      <c r="P857" s="61">
        <f t="shared" si="92"/>
        <v>1</v>
      </c>
      <c r="R857" s="272"/>
      <c r="S857" s="272"/>
      <c r="T857" s="273" t="str">
        <f t="shared" si="93"/>
        <v>-</v>
      </c>
    </row>
    <row r="858" spans="1:20">
      <c r="A858" s="269"/>
      <c r="B858" s="57"/>
      <c r="C858" s="55"/>
      <c r="D858" s="55"/>
      <c r="E858" s="55"/>
      <c r="F858" s="55"/>
      <c r="G858" s="275"/>
      <c r="H858" s="276"/>
      <c r="I858" s="213"/>
      <c r="J858" s="213"/>
      <c r="K858" s="212">
        <f t="shared" si="88"/>
        <v>0</v>
      </c>
      <c r="L858" s="272">
        <f t="shared" si="89"/>
        <v>1900</v>
      </c>
      <c r="M858" s="272">
        <f t="shared" si="90"/>
        <v>1</v>
      </c>
      <c r="N858" s="273"/>
      <c r="O858" s="61">
        <f t="shared" si="91"/>
        <v>1900</v>
      </c>
      <c r="P858" s="61">
        <f t="shared" si="92"/>
        <v>1</v>
      </c>
      <c r="R858" s="272"/>
      <c r="S858" s="272"/>
      <c r="T858" s="273" t="str">
        <f t="shared" si="93"/>
        <v>-</v>
      </c>
    </row>
    <row r="859" spans="1:20">
      <c r="A859" s="269"/>
      <c r="B859" s="57"/>
      <c r="C859" s="55"/>
      <c r="D859" s="55"/>
      <c r="E859" s="55"/>
      <c r="F859" s="55"/>
      <c r="G859" s="275"/>
      <c r="H859" s="276"/>
      <c r="I859" s="213"/>
      <c r="J859" s="213"/>
      <c r="K859" s="212">
        <f t="shared" si="88"/>
        <v>0</v>
      </c>
      <c r="L859" s="272">
        <f t="shared" si="89"/>
        <v>1900</v>
      </c>
      <c r="M859" s="272">
        <f t="shared" si="90"/>
        <v>1</v>
      </c>
      <c r="N859" s="273"/>
      <c r="O859" s="61">
        <f t="shared" si="91"/>
        <v>1900</v>
      </c>
      <c r="P859" s="61">
        <f t="shared" si="92"/>
        <v>1</v>
      </c>
      <c r="R859" s="272"/>
      <c r="S859" s="272"/>
      <c r="T859" s="273" t="str">
        <f t="shared" si="93"/>
        <v>-</v>
      </c>
    </row>
    <row r="860" spans="1:20">
      <c r="A860" s="269"/>
      <c r="B860" s="57"/>
      <c r="C860" s="55"/>
      <c r="D860" s="55"/>
      <c r="E860" s="55"/>
      <c r="F860" s="55"/>
      <c r="G860" s="275"/>
      <c r="H860" s="276"/>
      <c r="I860" s="213"/>
      <c r="J860" s="213"/>
      <c r="K860" s="212">
        <f t="shared" si="88"/>
        <v>0</v>
      </c>
      <c r="L860" s="272">
        <f t="shared" si="89"/>
        <v>1900</v>
      </c>
      <c r="M860" s="272">
        <f t="shared" si="90"/>
        <v>1</v>
      </c>
      <c r="N860" s="273"/>
      <c r="O860" s="61">
        <f t="shared" si="91"/>
        <v>1900</v>
      </c>
      <c r="P860" s="61">
        <f t="shared" si="92"/>
        <v>1</v>
      </c>
      <c r="R860" s="272"/>
      <c r="S860" s="272"/>
      <c r="T860" s="273" t="str">
        <f t="shared" si="93"/>
        <v>-</v>
      </c>
    </row>
    <row r="861" spans="1:20">
      <c r="A861" s="269"/>
      <c r="B861" s="57"/>
      <c r="C861" s="55"/>
      <c r="D861" s="55"/>
      <c r="E861" s="55"/>
      <c r="F861" s="55"/>
      <c r="G861" s="275"/>
      <c r="H861" s="276"/>
      <c r="I861" s="213"/>
      <c r="J861" s="213"/>
      <c r="K861" s="212">
        <f t="shared" si="88"/>
        <v>0</v>
      </c>
      <c r="L861" s="272">
        <f t="shared" si="89"/>
        <v>1900</v>
      </c>
      <c r="M861" s="272">
        <f t="shared" si="90"/>
        <v>1</v>
      </c>
      <c r="N861" s="273"/>
      <c r="O861" s="61">
        <f t="shared" si="91"/>
        <v>1900</v>
      </c>
      <c r="P861" s="61">
        <f t="shared" si="92"/>
        <v>1</v>
      </c>
      <c r="R861" s="272"/>
      <c r="S861" s="272"/>
      <c r="T861" s="273" t="str">
        <f t="shared" si="93"/>
        <v>-</v>
      </c>
    </row>
    <row r="862" spans="1:20">
      <c r="A862" s="269"/>
      <c r="B862" s="57"/>
      <c r="C862" s="55"/>
      <c r="D862" s="55"/>
      <c r="E862" s="55"/>
      <c r="F862" s="55"/>
      <c r="G862" s="275"/>
      <c r="H862" s="276"/>
      <c r="I862" s="213"/>
      <c r="J862" s="213"/>
      <c r="K862" s="212">
        <f t="shared" si="88"/>
        <v>0</v>
      </c>
      <c r="L862" s="272">
        <f t="shared" si="89"/>
        <v>1900</v>
      </c>
      <c r="M862" s="272">
        <f t="shared" si="90"/>
        <v>1</v>
      </c>
      <c r="N862" s="273"/>
      <c r="O862" s="61">
        <f t="shared" si="91"/>
        <v>1900</v>
      </c>
      <c r="P862" s="61">
        <f t="shared" si="92"/>
        <v>1</v>
      </c>
      <c r="R862" s="272"/>
      <c r="S862" s="272"/>
      <c r="T862" s="273" t="str">
        <f t="shared" si="93"/>
        <v>-</v>
      </c>
    </row>
    <row r="863" spans="1:20">
      <c r="A863" s="269"/>
      <c r="B863" s="57"/>
      <c r="C863" s="55"/>
      <c r="D863" s="55"/>
      <c r="E863" s="55"/>
      <c r="F863" s="55"/>
      <c r="G863" s="275"/>
      <c r="H863" s="276"/>
      <c r="I863" s="213"/>
      <c r="J863" s="213"/>
      <c r="K863" s="212">
        <f t="shared" si="88"/>
        <v>0</v>
      </c>
      <c r="L863" s="272">
        <f t="shared" si="89"/>
        <v>1900</v>
      </c>
      <c r="M863" s="272">
        <f t="shared" si="90"/>
        <v>1</v>
      </c>
      <c r="N863" s="273"/>
      <c r="O863" s="61">
        <f t="shared" si="91"/>
        <v>1900</v>
      </c>
      <c r="P863" s="61">
        <f t="shared" si="92"/>
        <v>1</v>
      </c>
      <c r="R863" s="272"/>
      <c r="S863" s="272"/>
      <c r="T863" s="273" t="str">
        <f t="shared" si="93"/>
        <v>-</v>
      </c>
    </row>
    <row r="864" spans="1:20">
      <c r="A864" s="269"/>
      <c r="B864" s="57"/>
      <c r="C864" s="55"/>
      <c r="D864" s="55"/>
      <c r="E864" s="55"/>
      <c r="F864" s="55"/>
      <c r="G864" s="275"/>
      <c r="H864" s="276"/>
      <c r="I864" s="213"/>
      <c r="J864" s="213"/>
      <c r="K864" s="212">
        <f t="shared" si="88"/>
        <v>0</v>
      </c>
      <c r="L864" s="272">
        <f t="shared" si="89"/>
        <v>1900</v>
      </c>
      <c r="M864" s="272">
        <f t="shared" si="90"/>
        <v>1</v>
      </c>
      <c r="N864" s="273"/>
      <c r="O864" s="61">
        <f t="shared" si="91"/>
        <v>1900</v>
      </c>
      <c r="P864" s="61">
        <f t="shared" si="92"/>
        <v>1</v>
      </c>
      <c r="R864" s="272"/>
      <c r="S864" s="272"/>
      <c r="T864" s="273" t="str">
        <f t="shared" si="93"/>
        <v>-</v>
      </c>
    </row>
    <row r="865" spans="1:20">
      <c r="A865" s="269"/>
      <c r="B865" s="57"/>
      <c r="C865" s="55"/>
      <c r="D865" s="55"/>
      <c r="E865" s="55"/>
      <c r="F865" s="55"/>
      <c r="G865" s="275"/>
      <c r="H865" s="276"/>
      <c r="I865" s="213"/>
      <c r="J865" s="213"/>
      <c r="K865" s="212">
        <f t="shared" si="88"/>
        <v>0</v>
      </c>
      <c r="L865" s="272">
        <f t="shared" si="89"/>
        <v>1900</v>
      </c>
      <c r="M865" s="272">
        <f t="shared" si="90"/>
        <v>1</v>
      </c>
      <c r="N865" s="273"/>
      <c r="O865" s="61">
        <f t="shared" si="91"/>
        <v>1900</v>
      </c>
      <c r="P865" s="61">
        <f t="shared" si="92"/>
        <v>1</v>
      </c>
      <c r="R865" s="272"/>
      <c r="S865" s="272"/>
      <c r="T865" s="273" t="str">
        <f t="shared" si="93"/>
        <v>-</v>
      </c>
    </row>
    <row r="866" spans="1:20">
      <c r="A866" s="269"/>
      <c r="B866" s="57"/>
      <c r="C866" s="55"/>
      <c r="D866" s="55"/>
      <c r="E866" s="55"/>
      <c r="F866" s="55"/>
      <c r="G866" s="275"/>
      <c r="H866" s="276"/>
      <c r="I866" s="213"/>
      <c r="J866" s="213"/>
      <c r="K866" s="212">
        <f t="shared" si="88"/>
        <v>0</v>
      </c>
      <c r="L866" s="272">
        <f t="shared" si="89"/>
        <v>1900</v>
      </c>
      <c r="M866" s="272">
        <f t="shared" si="90"/>
        <v>1</v>
      </c>
      <c r="N866" s="273"/>
      <c r="O866" s="61">
        <f t="shared" si="91"/>
        <v>1900</v>
      </c>
      <c r="P866" s="61">
        <f t="shared" si="92"/>
        <v>1</v>
      </c>
      <c r="R866" s="272"/>
      <c r="S866" s="272"/>
      <c r="T866" s="273" t="str">
        <f t="shared" si="93"/>
        <v>-</v>
      </c>
    </row>
    <row r="867" spans="1:20">
      <c r="A867" s="269"/>
      <c r="B867" s="57"/>
      <c r="C867" s="55"/>
      <c r="D867" s="55"/>
      <c r="E867" s="55"/>
      <c r="F867" s="55"/>
      <c r="G867" s="275"/>
      <c r="H867" s="276"/>
      <c r="I867" s="213"/>
      <c r="J867" s="213"/>
      <c r="K867" s="212">
        <f t="shared" si="88"/>
        <v>0</v>
      </c>
      <c r="L867" s="272">
        <f t="shared" si="89"/>
        <v>1900</v>
      </c>
      <c r="M867" s="272">
        <f t="shared" si="90"/>
        <v>1</v>
      </c>
      <c r="N867" s="273"/>
      <c r="O867" s="61">
        <f t="shared" si="91"/>
        <v>1900</v>
      </c>
      <c r="P867" s="61">
        <f t="shared" si="92"/>
        <v>1</v>
      </c>
      <c r="R867" s="272"/>
      <c r="S867" s="272"/>
      <c r="T867" s="273" t="str">
        <f t="shared" si="93"/>
        <v>-</v>
      </c>
    </row>
    <row r="868" spans="1:20">
      <c r="A868" s="269"/>
      <c r="B868" s="57"/>
      <c r="C868" s="55"/>
      <c r="D868" s="55"/>
      <c r="E868" s="55"/>
      <c r="F868" s="55"/>
      <c r="G868" s="275"/>
      <c r="H868" s="276"/>
      <c r="I868" s="213"/>
      <c r="J868" s="213"/>
      <c r="K868" s="212">
        <f t="shared" si="88"/>
        <v>0</v>
      </c>
      <c r="L868" s="272">
        <f t="shared" si="89"/>
        <v>1900</v>
      </c>
      <c r="M868" s="272">
        <f t="shared" si="90"/>
        <v>1</v>
      </c>
      <c r="N868" s="273"/>
      <c r="O868" s="61">
        <f t="shared" si="91"/>
        <v>1900</v>
      </c>
      <c r="P868" s="61">
        <f t="shared" si="92"/>
        <v>1</v>
      </c>
      <c r="R868" s="272"/>
      <c r="S868" s="272"/>
      <c r="T868" s="273" t="str">
        <f t="shared" si="93"/>
        <v>-</v>
      </c>
    </row>
    <row r="869" spans="1:20">
      <c r="A869" s="269"/>
      <c r="B869" s="57"/>
      <c r="C869" s="55"/>
      <c r="D869" s="55"/>
      <c r="E869" s="55"/>
      <c r="F869" s="55"/>
      <c r="G869" s="275"/>
      <c r="H869" s="276"/>
      <c r="I869" s="213"/>
      <c r="J869" s="213"/>
      <c r="K869" s="212">
        <f t="shared" si="88"/>
        <v>0</v>
      </c>
      <c r="L869" s="272">
        <f t="shared" si="89"/>
        <v>1900</v>
      </c>
      <c r="M869" s="272">
        <f t="shared" si="90"/>
        <v>1</v>
      </c>
      <c r="N869" s="273"/>
      <c r="O869" s="61">
        <f t="shared" si="91"/>
        <v>1900</v>
      </c>
      <c r="P869" s="61">
        <f t="shared" si="92"/>
        <v>1</v>
      </c>
      <c r="R869" s="272"/>
      <c r="S869" s="272"/>
      <c r="T869" s="273" t="str">
        <f t="shared" si="93"/>
        <v>-</v>
      </c>
    </row>
    <row r="870" spans="1:20">
      <c r="A870" s="269"/>
      <c r="B870" s="57"/>
      <c r="C870" s="55"/>
      <c r="D870" s="55"/>
      <c r="E870" s="55"/>
      <c r="F870" s="55"/>
      <c r="G870" s="275"/>
      <c r="H870" s="276"/>
      <c r="I870" s="213"/>
      <c r="J870" s="213"/>
      <c r="K870" s="212">
        <f t="shared" si="88"/>
        <v>0</v>
      </c>
      <c r="L870" s="272">
        <f t="shared" si="89"/>
        <v>1900</v>
      </c>
      <c r="M870" s="272">
        <f t="shared" si="90"/>
        <v>1</v>
      </c>
      <c r="N870" s="273"/>
      <c r="O870" s="61">
        <f t="shared" si="91"/>
        <v>1900</v>
      </c>
      <c r="P870" s="61">
        <f t="shared" si="92"/>
        <v>1</v>
      </c>
      <c r="R870" s="272"/>
      <c r="S870" s="272"/>
      <c r="T870" s="273" t="str">
        <f t="shared" si="93"/>
        <v>-</v>
      </c>
    </row>
    <row r="871" spans="1:20">
      <c r="A871" s="269"/>
      <c r="B871" s="57"/>
      <c r="C871" s="55"/>
      <c r="D871" s="55"/>
      <c r="E871" s="55"/>
      <c r="F871" s="55"/>
      <c r="G871" s="275"/>
      <c r="H871" s="276"/>
      <c r="I871" s="213"/>
      <c r="J871" s="213"/>
      <c r="K871" s="212">
        <f t="shared" si="88"/>
        <v>0</v>
      </c>
      <c r="L871" s="272">
        <f t="shared" si="89"/>
        <v>1900</v>
      </c>
      <c r="M871" s="272">
        <f t="shared" si="90"/>
        <v>1</v>
      </c>
      <c r="N871" s="273"/>
      <c r="O871" s="61">
        <f t="shared" si="91"/>
        <v>1900</v>
      </c>
      <c r="P871" s="61">
        <f t="shared" si="92"/>
        <v>1</v>
      </c>
      <c r="R871" s="272"/>
      <c r="S871" s="272"/>
      <c r="T871" s="273" t="str">
        <f t="shared" si="93"/>
        <v>-</v>
      </c>
    </row>
    <row r="872" spans="1:20">
      <c r="A872" s="269"/>
      <c r="B872" s="57"/>
      <c r="C872" s="55"/>
      <c r="D872" s="55"/>
      <c r="E872" s="55"/>
      <c r="F872" s="55"/>
      <c r="G872" s="275"/>
      <c r="H872" s="276"/>
      <c r="I872" s="213"/>
      <c r="J872" s="213"/>
      <c r="K872" s="212">
        <f t="shared" si="88"/>
        <v>0</v>
      </c>
      <c r="L872" s="272">
        <f t="shared" si="89"/>
        <v>1900</v>
      </c>
      <c r="M872" s="272">
        <f t="shared" si="90"/>
        <v>1</v>
      </c>
      <c r="N872" s="273"/>
      <c r="O872" s="61">
        <f t="shared" si="91"/>
        <v>1900</v>
      </c>
      <c r="P872" s="61">
        <f t="shared" si="92"/>
        <v>1</v>
      </c>
      <c r="R872" s="272"/>
      <c r="S872" s="272"/>
      <c r="T872" s="273" t="str">
        <f t="shared" si="93"/>
        <v>-</v>
      </c>
    </row>
    <row r="873" spans="1:20">
      <c r="A873" s="269"/>
      <c r="B873" s="57"/>
      <c r="C873" s="55"/>
      <c r="D873" s="55"/>
      <c r="E873" s="55"/>
      <c r="F873" s="55"/>
      <c r="G873" s="275"/>
      <c r="H873" s="276"/>
      <c r="I873" s="213"/>
      <c r="J873" s="213"/>
      <c r="K873" s="212">
        <f t="shared" si="88"/>
        <v>0</v>
      </c>
      <c r="L873" s="272">
        <f t="shared" si="89"/>
        <v>1900</v>
      </c>
      <c r="M873" s="272">
        <f t="shared" si="90"/>
        <v>1</v>
      </c>
      <c r="N873" s="273"/>
      <c r="O873" s="61">
        <f t="shared" si="91"/>
        <v>1900</v>
      </c>
      <c r="P873" s="61">
        <f t="shared" si="92"/>
        <v>1</v>
      </c>
      <c r="R873" s="272"/>
      <c r="S873" s="272"/>
      <c r="T873" s="273" t="str">
        <f t="shared" si="93"/>
        <v>-</v>
      </c>
    </row>
    <row r="874" spans="1:20">
      <c r="A874" s="269"/>
      <c r="B874" s="57"/>
      <c r="C874" s="55"/>
      <c r="D874" s="55"/>
      <c r="E874" s="55"/>
      <c r="F874" s="55"/>
      <c r="G874" s="275"/>
      <c r="H874" s="276"/>
      <c r="I874" s="213"/>
      <c r="J874" s="213"/>
      <c r="K874" s="212">
        <f t="shared" si="88"/>
        <v>0</v>
      </c>
      <c r="L874" s="272">
        <f t="shared" si="89"/>
        <v>1900</v>
      </c>
      <c r="M874" s="272">
        <f t="shared" si="90"/>
        <v>1</v>
      </c>
      <c r="N874" s="273"/>
      <c r="O874" s="61">
        <f t="shared" si="91"/>
        <v>1900</v>
      </c>
      <c r="P874" s="61">
        <f t="shared" si="92"/>
        <v>1</v>
      </c>
      <c r="R874" s="272"/>
      <c r="S874" s="272"/>
      <c r="T874" s="273" t="str">
        <f t="shared" si="93"/>
        <v>-</v>
      </c>
    </row>
    <row r="875" spans="1:20">
      <c r="A875" s="269"/>
      <c r="B875" s="57"/>
      <c r="C875" s="55"/>
      <c r="D875" s="55"/>
      <c r="E875" s="55"/>
      <c r="F875" s="55"/>
      <c r="G875" s="275"/>
      <c r="H875" s="276"/>
      <c r="I875" s="213"/>
      <c r="J875" s="213"/>
      <c r="K875" s="212">
        <f t="shared" si="88"/>
        <v>0</v>
      </c>
      <c r="L875" s="272">
        <f t="shared" si="89"/>
        <v>1900</v>
      </c>
      <c r="M875" s="272">
        <f t="shared" si="90"/>
        <v>1</v>
      </c>
      <c r="N875" s="273"/>
      <c r="O875" s="61">
        <f t="shared" si="91"/>
        <v>1900</v>
      </c>
      <c r="P875" s="61">
        <f t="shared" si="92"/>
        <v>1</v>
      </c>
      <c r="R875" s="272"/>
      <c r="S875" s="272"/>
      <c r="T875" s="273" t="str">
        <f t="shared" si="93"/>
        <v>-</v>
      </c>
    </row>
    <row r="876" spans="1:20">
      <c r="A876" s="269"/>
      <c r="B876" s="57"/>
      <c r="C876" s="55"/>
      <c r="D876" s="55"/>
      <c r="E876" s="55"/>
      <c r="F876" s="55"/>
      <c r="G876" s="275"/>
      <c r="H876" s="276"/>
      <c r="I876" s="213"/>
      <c r="J876" s="213"/>
      <c r="K876" s="212">
        <f t="shared" si="88"/>
        <v>0</v>
      </c>
      <c r="L876" s="272">
        <f t="shared" si="89"/>
        <v>1900</v>
      </c>
      <c r="M876" s="272">
        <f t="shared" si="90"/>
        <v>1</v>
      </c>
      <c r="N876" s="273"/>
      <c r="O876" s="61">
        <f t="shared" si="91"/>
        <v>1900</v>
      </c>
      <c r="P876" s="61">
        <f t="shared" si="92"/>
        <v>1</v>
      </c>
      <c r="R876" s="272"/>
      <c r="S876" s="272"/>
      <c r="T876" s="273" t="str">
        <f t="shared" si="93"/>
        <v>-</v>
      </c>
    </row>
    <row r="877" spans="1:20">
      <c r="A877" s="269"/>
      <c r="B877" s="57"/>
      <c r="C877" s="55"/>
      <c r="D877" s="55"/>
      <c r="E877" s="55"/>
      <c r="F877" s="55"/>
      <c r="G877" s="275"/>
      <c r="H877" s="276"/>
      <c r="I877" s="213"/>
      <c r="J877" s="213"/>
      <c r="K877" s="212">
        <f t="shared" si="88"/>
        <v>0</v>
      </c>
      <c r="L877" s="272">
        <f t="shared" si="89"/>
        <v>1900</v>
      </c>
      <c r="M877" s="272">
        <f t="shared" si="90"/>
        <v>1</v>
      </c>
      <c r="N877" s="273"/>
      <c r="O877" s="61">
        <f t="shared" si="91"/>
        <v>1900</v>
      </c>
      <c r="P877" s="61">
        <f t="shared" si="92"/>
        <v>1</v>
      </c>
      <c r="R877" s="272"/>
      <c r="S877" s="272"/>
      <c r="T877" s="273" t="str">
        <f t="shared" si="93"/>
        <v>-</v>
      </c>
    </row>
    <row r="878" spans="1:20">
      <c r="A878" s="269"/>
      <c r="B878" s="57"/>
      <c r="C878" s="55"/>
      <c r="D878" s="55"/>
      <c r="E878" s="55"/>
      <c r="F878" s="55"/>
      <c r="G878" s="275"/>
      <c r="H878" s="276"/>
      <c r="I878" s="213"/>
      <c r="J878" s="213"/>
      <c r="K878" s="212">
        <f t="shared" si="88"/>
        <v>0</v>
      </c>
      <c r="L878" s="272">
        <f t="shared" si="89"/>
        <v>1900</v>
      </c>
      <c r="M878" s="272">
        <f t="shared" si="90"/>
        <v>1</v>
      </c>
      <c r="N878" s="273"/>
      <c r="O878" s="61">
        <f t="shared" si="91"/>
        <v>1900</v>
      </c>
      <c r="P878" s="61">
        <f t="shared" si="92"/>
        <v>1</v>
      </c>
      <c r="R878" s="272"/>
      <c r="S878" s="272"/>
      <c r="T878" s="273" t="str">
        <f t="shared" si="93"/>
        <v>-</v>
      </c>
    </row>
    <row r="879" spans="1:20">
      <c r="A879" s="269"/>
      <c r="B879" s="57"/>
      <c r="C879" s="55"/>
      <c r="D879" s="55"/>
      <c r="E879" s="55"/>
      <c r="F879" s="55"/>
      <c r="G879" s="275"/>
      <c r="H879" s="276"/>
      <c r="I879" s="213"/>
      <c r="J879" s="213"/>
      <c r="K879" s="212">
        <f t="shared" si="88"/>
        <v>0</v>
      </c>
      <c r="L879" s="272">
        <f t="shared" si="89"/>
        <v>1900</v>
      </c>
      <c r="M879" s="272">
        <f t="shared" si="90"/>
        <v>1</v>
      </c>
      <c r="N879" s="273"/>
      <c r="O879" s="61">
        <f t="shared" si="91"/>
        <v>1900</v>
      </c>
      <c r="P879" s="61">
        <f t="shared" si="92"/>
        <v>1</v>
      </c>
      <c r="R879" s="272"/>
      <c r="S879" s="272"/>
      <c r="T879" s="273" t="str">
        <f t="shared" si="93"/>
        <v>-</v>
      </c>
    </row>
    <row r="880" spans="1:20">
      <c r="A880" s="269"/>
      <c r="B880" s="57"/>
      <c r="C880" s="55"/>
      <c r="D880" s="55"/>
      <c r="E880" s="55"/>
      <c r="F880" s="55"/>
      <c r="G880" s="275"/>
      <c r="H880" s="276"/>
      <c r="I880" s="213"/>
      <c r="J880" s="213"/>
      <c r="K880" s="212">
        <f t="shared" si="88"/>
        <v>0</v>
      </c>
      <c r="L880" s="272">
        <f t="shared" si="89"/>
        <v>1900</v>
      </c>
      <c r="M880" s="272">
        <f t="shared" si="90"/>
        <v>1</v>
      </c>
      <c r="N880" s="273"/>
      <c r="O880" s="61">
        <f t="shared" si="91"/>
        <v>1900</v>
      </c>
      <c r="P880" s="61">
        <f t="shared" si="92"/>
        <v>1</v>
      </c>
      <c r="R880" s="272"/>
      <c r="S880" s="272"/>
      <c r="T880" s="273" t="str">
        <f t="shared" si="93"/>
        <v>-</v>
      </c>
    </row>
    <row r="881" spans="1:20">
      <c r="A881" s="269"/>
      <c r="B881" s="57"/>
      <c r="C881" s="55"/>
      <c r="D881" s="55"/>
      <c r="E881" s="55"/>
      <c r="F881" s="55"/>
      <c r="G881" s="275"/>
      <c r="H881" s="276"/>
      <c r="I881" s="213"/>
      <c r="J881" s="213"/>
      <c r="K881" s="212">
        <f t="shared" si="88"/>
        <v>0</v>
      </c>
      <c r="L881" s="272">
        <f t="shared" si="89"/>
        <v>1900</v>
      </c>
      <c r="M881" s="272">
        <f t="shared" si="90"/>
        <v>1</v>
      </c>
      <c r="N881" s="273"/>
      <c r="O881" s="61">
        <f t="shared" si="91"/>
        <v>1900</v>
      </c>
      <c r="P881" s="61">
        <f t="shared" si="92"/>
        <v>1</v>
      </c>
      <c r="R881" s="272"/>
      <c r="S881" s="272"/>
      <c r="T881" s="273" t="str">
        <f t="shared" si="93"/>
        <v>-</v>
      </c>
    </row>
    <row r="882" spans="1:20">
      <c r="A882" s="269"/>
      <c r="B882" s="57"/>
      <c r="C882" s="55"/>
      <c r="D882" s="55"/>
      <c r="E882" s="55"/>
      <c r="F882" s="55"/>
      <c r="G882" s="275"/>
      <c r="H882" s="276"/>
      <c r="I882" s="213"/>
      <c r="J882" s="213"/>
      <c r="K882" s="212">
        <f t="shared" si="88"/>
        <v>0</v>
      </c>
      <c r="L882" s="272">
        <f t="shared" si="89"/>
        <v>1900</v>
      </c>
      <c r="M882" s="272">
        <f t="shared" si="90"/>
        <v>1</v>
      </c>
      <c r="N882" s="273"/>
      <c r="O882" s="61">
        <f t="shared" si="91"/>
        <v>1900</v>
      </c>
      <c r="P882" s="61">
        <f t="shared" si="92"/>
        <v>1</v>
      </c>
      <c r="R882" s="272"/>
      <c r="S882" s="272"/>
      <c r="T882" s="273" t="str">
        <f t="shared" si="93"/>
        <v>-</v>
      </c>
    </row>
    <row r="883" spans="1:20">
      <c r="A883" s="269"/>
      <c r="B883" s="57"/>
      <c r="C883" s="55"/>
      <c r="D883" s="55"/>
      <c r="E883" s="55"/>
      <c r="F883" s="55"/>
      <c r="G883" s="275"/>
      <c r="H883" s="276"/>
      <c r="I883" s="213"/>
      <c r="J883" s="213"/>
      <c r="K883" s="212">
        <f t="shared" si="88"/>
        <v>0</v>
      </c>
      <c r="L883" s="272">
        <f t="shared" si="89"/>
        <v>1900</v>
      </c>
      <c r="M883" s="272">
        <f t="shared" si="90"/>
        <v>1</v>
      </c>
      <c r="N883" s="273"/>
      <c r="O883" s="61">
        <f t="shared" si="91"/>
        <v>1900</v>
      </c>
      <c r="P883" s="61">
        <f t="shared" si="92"/>
        <v>1</v>
      </c>
      <c r="R883" s="272"/>
      <c r="S883" s="272"/>
      <c r="T883" s="273" t="str">
        <f t="shared" si="93"/>
        <v>-</v>
      </c>
    </row>
    <row r="884" spans="1:20">
      <c r="A884" s="269"/>
      <c r="B884" s="57"/>
      <c r="C884" s="55"/>
      <c r="D884" s="55"/>
      <c r="E884" s="55"/>
      <c r="F884" s="55"/>
      <c r="G884" s="275"/>
      <c r="H884" s="276"/>
      <c r="I884" s="213"/>
      <c r="J884" s="213"/>
      <c r="K884" s="212">
        <f t="shared" si="88"/>
        <v>0</v>
      </c>
      <c r="L884" s="272">
        <f t="shared" si="89"/>
        <v>1900</v>
      </c>
      <c r="M884" s="272">
        <f t="shared" si="90"/>
        <v>1</v>
      </c>
      <c r="N884" s="273"/>
      <c r="O884" s="61">
        <f t="shared" si="91"/>
        <v>1900</v>
      </c>
      <c r="P884" s="61">
        <f t="shared" si="92"/>
        <v>1</v>
      </c>
      <c r="R884" s="272"/>
      <c r="S884" s="272"/>
      <c r="T884" s="273" t="str">
        <f t="shared" si="93"/>
        <v>-</v>
      </c>
    </row>
    <row r="885" spans="1:20">
      <c r="A885" s="269"/>
      <c r="B885" s="57"/>
      <c r="C885" s="55"/>
      <c r="D885" s="55"/>
      <c r="E885" s="55"/>
      <c r="F885" s="55"/>
      <c r="G885" s="275"/>
      <c r="H885" s="276"/>
      <c r="I885" s="213"/>
      <c r="J885" s="213"/>
      <c r="K885" s="212">
        <f t="shared" si="88"/>
        <v>0</v>
      </c>
      <c r="L885" s="272">
        <f t="shared" si="89"/>
        <v>1900</v>
      </c>
      <c r="M885" s="272">
        <f t="shared" si="90"/>
        <v>1</v>
      </c>
      <c r="N885" s="273"/>
      <c r="O885" s="61">
        <f t="shared" si="91"/>
        <v>1900</v>
      </c>
      <c r="P885" s="61">
        <f t="shared" si="92"/>
        <v>1</v>
      </c>
      <c r="R885" s="272"/>
      <c r="S885" s="272"/>
      <c r="T885" s="273" t="str">
        <f t="shared" si="93"/>
        <v>-</v>
      </c>
    </row>
    <row r="886" spans="1:20">
      <c r="A886" s="269"/>
      <c r="B886" s="57"/>
      <c r="C886" s="55"/>
      <c r="D886" s="55"/>
      <c r="E886" s="55"/>
      <c r="F886" s="55"/>
      <c r="G886" s="275"/>
      <c r="H886" s="276"/>
      <c r="I886" s="213"/>
      <c r="J886" s="213"/>
      <c r="K886" s="212">
        <f t="shared" si="88"/>
        <v>0</v>
      </c>
      <c r="L886" s="272">
        <f t="shared" si="89"/>
        <v>1900</v>
      </c>
      <c r="M886" s="272">
        <f t="shared" si="90"/>
        <v>1</v>
      </c>
      <c r="N886" s="273"/>
      <c r="O886" s="61">
        <f t="shared" si="91"/>
        <v>1900</v>
      </c>
      <c r="P886" s="61">
        <f t="shared" si="92"/>
        <v>1</v>
      </c>
      <c r="R886" s="272"/>
      <c r="S886" s="272"/>
      <c r="T886" s="273" t="str">
        <f t="shared" si="93"/>
        <v>-</v>
      </c>
    </row>
    <row r="887" spans="1:20">
      <c r="A887" s="269"/>
      <c r="B887" s="57"/>
      <c r="C887" s="55"/>
      <c r="D887" s="55"/>
      <c r="E887" s="55"/>
      <c r="F887" s="55"/>
      <c r="G887" s="275"/>
      <c r="H887" s="276"/>
      <c r="I887" s="213"/>
      <c r="J887" s="213"/>
      <c r="K887" s="212">
        <f t="shared" si="88"/>
        <v>0</v>
      </c>
      <c r="L887" s="272">
        <f t="shared" si="89"/>
        <v>1900</v>
      </c>
      <c r="M887" s="272">
        <f t="shared" si="90"/>
        <v>1</v>
      </c>
      <c r="N887" s="273"/>
      <c r="O887" s="61">
        <f t="shared" si="91"/>
        <v>1900</v>
      </c>
      <c r="P887" s="61">
        <f t="shared" si="92"/>
        <v>1</v>
      </c>
      <c r="R887" s="272"/>
      <c r="S887" s="272"/>
      <c r="T887" s="273" t="str">
        <f t="shared" si="93"/>
        <v>-</v>
      </c>
    </row>
    <row r="888" spans="1:20">
      <c r="A888" s="269"/>
      <c r="B888" s="57"/>
      <c r="C888" s="55"/>
      <c r="D888" s="55"/>
      <c r="E888" s="55"/>
      <c r="F888" s="55"/>
      <c r="G888" s="275"/>
      <c r="H888" s="276"/>
      <c r="I888" s="213"/>
      <c r="J888" s="213"/>
      <c r="K888" s="212">
        <f t="shared" si="88"/>
        <v>0</v>
      </c>
      <c r="L888" s="272">
        <f t="shared" si="89"/>
        <v>1900</v>
      </c>
      <c r="M888" s="272">
        <f t="shared" si="90"/>
        <v>1</v>
      </c>
      <c r="N888" s="273"/>
      <c r="O888" s="61">
        <f t="shared" si="91"/>
        <v>1900</v>
      </c>
      <c r="P888" s="61">
        <f t="shared" si="92"/>
        <v>1</v>
      </c>
      <c r="R888" s="272"/>
      <c r="S888" s="272"/>
      <c r="T888" s="273" t="str">
        <f t="shared" si="93"/>
        <v>-</v>
      </c>
    </row>
    <row r="889" spans="1:20">
      <c r="A889" s="269"/>
      <c r="B889" s="57"/>
      <c r="C889" s="55"/>
      <c r="D889" s="55"/>
      <c r="E889" s="55"/>
      <c r="F889" s="55"/>
      <c r="G889" s="275"/>
      <c r="H889" s="276"/>
      <c r="I889" s="213"/>
      <c r="J889" s="213"/>
      <c r="K889" s="212">
        <f t="shared" si="88"/>
        <v>0</v>
      </c>
      <c r="L889" s="272">
        <f t="shared" si="89"/>
        <v>1900</v>
      </c>
      <c r="M889" s="272">
        <f t="shared" si="90"/>
        <v>1</v>
      </c>
      <c r="N889" s="273"/>
      <c r="O889" s="61">
        <f t="shared" si="91"/>
        <v>1900</v>
      </c>
      <c r="P889" s="61">
        <f t="shared" si="92"/>
        <v>1</v>
      </c>
      <c r="R889" s="272"/>
      <c r="S889" s="272"/>
      <c r="T889" s="273" t="str">
        <f t="shared" si="93"/>
        <v>-</v>
      </c>
    </row>
    <row r="890" spans="1:20">
      <c r="A890" s="269"/>
      <c r="B890" s="57"/>
      <c r="C890" s="55"/>
      <c r="D890" s="55"/>
      <c r="E890" s="55"/>
      <c r="F890" s="55"/>
      <c r="G890" s="275"/>
      <c r="H890" s="276"/>
      <c r="I890" s="213"/>
      <c r="J890" s="213"/>
      <c r="K890" s="212">
        <f t="shared" si="88"/>
        <v>0</v>
      </c>
      <c r="L890" s="272">
        <f t="shared" si="89"/>
        <v>1900</v>
      </c>
      <c r="M890" s="272">
        <f t="shared" si="90"/>
        <v>1</v>
      </c>
      <c r="N890" s="273"/>
      <c r="O890" s="61">
        <f t="shared" si="91"/>
        <v>1900</v>
      </c>
      <c r="P890" s="61">
        <f t="shared" si="92"/>
        <v>1</v>
      </c>
      <c r="R890" s="272"/>
      <c r="S890" s="272"/>
      <c r="T890" s="273" t="str">
        <f t="shared" si="93"/>
        <v>-</v>
      </c>
    </row>
    <row r="891" spans="1:20">
      <c r="A891" s="269"/>
      <c r="B891" s="57"/>
      <c r="C891" s="55"/>
      <c r="D891" s="55"/>
      <c r="E891" s="55"/>
      <c r="F891" s="55"/>
      <c r="G891" s="275"/>
      <c r="H891" s="276"/>
      <c r="I891" s="213"/>
      <c r="J891" s="213"/>
      <c r="K891" s="212">
        <f t="shared" si="88"/>
        <v>0</v>
      </c>
      <c r="L891" s="272">
        <f t="shared" si="89"/>
        <v>1900</v>
      </c>
      <c r="M891" s="272">
        <f t="shared" si="90"/>
        <v>1</v>
      </c>
      <c r="N891" s="273"/>
      <c r="O891" s="61">
        <f t="shared" si="91"/>
        <v>1900</v>
      </c>
      <c r="P891" s="61">
        <f t="shared" si="92"/>
        <v>1</v>
      </c>
      <c r="R891" s="272"/>
      <c r="S891" s="272"/>
      <c r="T891" s="273" t="str">
        <f t="shared" si="93"/>
        <v>-</v>
      </c>
    </row>
    <row r="892" spans="1:20">
      <c r="A892" s="269"/>
      <c r="B892" s="57"/>
      <c r="C892" s="55"/>
      <c r="D892" s="55"/>
      <c r="E892" s="55"/>
      <c r="F892" s="55"/>
      <c r="G892" s="275"/>
      <c r="H892" s="276"/>
      <c r="I892" s="213"/>
      <c r="J892" s="213"/>
      <c r="K892" s="212">
        <f t="shared" si="88"/>
        <v>0</v>
      </c>
      <c r="L892" s="272">
        <f t="shared" si="89"/>
        <v>1900</v>
      </c>
      <c r="M892" s="272">
        <f t="shared" si="90"/>
        <v>1</v>
      </c>
      <c r="N892" s="273"/>
      <c r="O892" s="61">
        <f t="shared" si="91"/>
        <v>1900</v>
      </c>
      <c r="P892" s="61">
        <f t="shared" si="92"/>
        <v>1</v>
      </c>
      <c r="R892" s="272"/>
      <c r="S892" s="272"/>
      <c r="T892" s="273" t="str">
        <f t="shared" si="93"/>
        <v>-</v>
      </c>
    </row>
    <row r="893" spans="1:20">
      <c r="A893" s="269"/>
      <c r="B893" s="57"/>
      <c r="C893" s="55"/>
      <c r="D893" s="55"/>
      <c r="E893" s="55"/>
      <c r="F893" s="55"/>
      <c r="G893" s="275"/>
      <c r="H893" s="276"/>
      <c r="I893" s="213"/>
      <c r="J893" s="213"/>
      <c r="K893" s="212">
        <f t="shared" si="88"/>
        <v>0</v>
      </c>
      <c r="L893" s="272">
        <f t="shared" si="89"/>
        <v>1900</v>
      </c>
      <c r="M893" s="272">
        <f t="shared" si="90"/>
        <v>1</v>
      </c>
      <c r="N893" s="273"/>
      <c r="O893" s="61">
        <f t="shared" si="91"/>
        <v>1900</v>
      </c>
      <c r="P893" s="61">
        <f t="shared" si="92"/>
        <v>1</v>
      </c>
      <c r="R893" s="272"/>
      <c r="S893" s="272"/>
      <c r="T893" s="273" t="str">
        <f t="shared" si="93"/>
        <v>-</v>
      </c>
    </row>
    <row r="894" spans="1:20">
      <c r="A894" s="269"/>
      <c r="B894" s="57"/>
      <c r="C894" s="55"/>
      <c r="D894" s="55"/>
      <c r="E894" s="55"/>
      <c r="F894" s="55"/>
      <c r="G894" s="275"/>
      <c r="H894" s="276"/>
      <c r="I894" s="213"/>
      <c r="J894" s="213"/>
      <c r="K894" s="212">
        <f t="shared" si="88"/>
        <v>0</v>
      </c>
      <c r="L894" s="272">
        <f t="shared" si="89"/>
        <v>1900</v>
      </c>
      <c r="M894" s="272">
        <f t="shared" si="90"/>
        <v>1</v>
      </c>
      <c r="N894" s="273"/>
      <c r="O894" s="61">
        <f t="shared" si="91"/>
        <v>1900</v>
      </c>
      <c r="P894" s="61">
        <f t="shared" si="92"/>
        <v>1</v>
      </c>
      <c r="R894" s="272"/>
      <c r="S894" s="272"/>
      <c r="T894" s="273" t="str">
        <f t="shared" si="93"/>
        <v>-</v>
      </c>
    </row>
    <row r="895" spans="1:20">
      <c r="A895" s="269"/>
      <c r="B895" s="57"/>
      <c r="C895" s="55"/>
      <c r="D895" s="55"/>
      <c r="E895" s="55"/>
      <c r="F895" s="55"/>
      <c r="G895" s="275"/>
      <c r="H895" s="276"/>
      <c r="I895" s="213"/>
      <c r="J895" s="213"/>
      <c r="K895" s="212">
        <f t="shared" si="88"/>
        <v>0</v>
      </c>
      <c r="L895" s="272">
        <f t="shared" si="89"/>
        <v>1900</v>
      </c>
      <c r="M895" s="272">
        <f t="shared" si="90"/>
        <v>1</v>
      </c>
      <c r="N895" s="273"/>
      <c r="O895" s="61">
        <f t="shared" si="91"/>
        <v>1900</v>
      </c>
      <c r="P895" s="61">
        <f t="shared" si="92"/>
        <v>1</v>
      </c>
      <c r="R895" s="272"/>
      <c r="S895" s="272"/>
      <c r="T895" s="273" t="str">
        <f t="shared" si="93"/>
        <v>-</v>
      </c>
    </row>
    <row r="896" spans="1:20">
      <c r="A896" s="269"/>
      <c r="B896" s="57"/>
      <c r="C896" s="55"/>
      <c r="D896" s="55"/>
      <c r="E896" s="55"/>
      <c r="F896" s="55"/>
      <c r="G896" s="275"/>
      <c r="H896" s="276"/>
      <c r="I896" s="213"/>
      <c r="J896" s="213"/>
      <c r="K896" s="212">
        <f t="shared" si="88"/>
        <v>0</v>
      </c>
      <c r="L896" s="272">
        <f t="shared" si="89"/>
        <v>1900</v>
      </c>
      <c r="M896" s="272">
        <f t="shared" si="90"/>
        <v>1</v>
      </c>
      <c r="N896" s="273"/>
      <c r="O896" s="61">
        <f t="shared" si="91"/>
        <v>1900</v>
      </c>
      <c r="P896" s="61">
        <f t="shared" si="92"/>
        <v>1</v>
      </c>
      <c r="R896" s="272"/>
      <c r="S896" s="272"/>
      <c r="T896" s="273" t="str">
        <f t="shared" si="93"/>
        <v>-</v>
      </c>
    </row>
    <row r="897" spans="1:20">
      <c r="A897" s="269"/>
      <c r="B897" s="57"/>
      <c r="C897" s="55"/>
      <c r="D897" s="55"/>
      <c r="E897" s="55"/>
      <c r="F897" s="55"/>
      <c r="G897" s="275"/>
      <c r="H897" s="276"/>
      <c r="I897" s="213"/>
      <c r="J897" s="213"/>
      <c r="K897" s="212">
        <f t="shared" si="88"/>
        <v>0</v>
      </c>
      <c r="L897" s="272">
        <f t="shared" si="89"/>
        <v>1900</v>
      </c>
      <c r="M897" s="272">
        <f t="shared" si="90"/>
        <v>1</v>
      </c>
      <c r="N897" s="273"/>
      <c r="O897" s="61">
        <f t="shared" si="91"/>
        <v>1900</v>
      </c>
      <c r="P897" s="61">
        <f t="shared" si="92"/>
        <v>1</v>
      </c>
      <c r="R897" s="272"/>
      <c r="S897" s="272"/>
      <c r="T897" s="273" t="str">
        <f t="shared" si="93"/>
        <v>-</v>
      </c>
    </row>
    <row r="898" spans="1:20">
      <c r="A898" s="269"/>
      <c r="B898" s="57"/>
      <c r="C898" s="55"/>
      <c r="D898" s="55"/>
      <c r="E898" s="55"/>
      <c r="F898" s="55"/>
      <c r="G898" s="275"/>
      <c r="H898" s="276"/>
      <c r="I898" s="213"/>
      <c r="J898" s="213"/>
      <c r="K898" s="212">
        <f t="shared" si="88"/>
        <v>0</v>
      </c>
      <c r="L898" s="272">
        <f t="shared" si="89"/>
        <v>1900</v>
      </c>
      <c r="M898" s="272">
        <f t="shared" si="90"/>
        <v>1</v>
      </c>
      <c r="N898" s="273"/>
      <c r="O898" s="61">
        <f t="shared" si="91"/>
        <v>1900</v>
      </c>
      <c r="P898" s="61">
        <f t="shared" si="92"/>
        <v>1</v>
      </c>
      <c r="R898" s="272"/>
      <c r="S898" s="272"/>
      <c r="T898" s="273" t="str">
        <f t="shared" si="93"/>
        <v>-</v>
      </c>
    </row>
    <row r="899" spans="1:20">
      <c r="A899" s="269"/>
      <c r="B899" s="57"/>
      <c r="C899" s="55"/>
      <c r="D899" s="55"/>
      <c r="E899" s="55"/>
      <c r="F899" s="55"/>
      <c r="G899" s="275"/>
      <c r="H899" s="276"/>
      <c r="I899" s="213"/>
      <c r="J899" s="213"/>
      <c r="K899" s="212">
        <f t="shared" si="88"/>
        <v>0</v>
      </c>
      <c r="L899" s="272">
        <f t="shared" si="89"/>
        <v>1900</v>
      </c>
      <c r="M899" s="272">
        <f t="shared" si="90"/>
        <v>1</v>
      </c>
      <c r="N899" s="273"/>
      <c r="O899" s="61">
        <f t="shared" si="91"/>
        <v>1900</v>
      </c>
      <c r="P899" s="61">
        <f t="shared" si="92"/>
        <v>1</v>
      </c>
      <c r="R899" s="272"/>
      <c r="S899" s="272"/>
      <c r="T899" s="273" t="str">
        <f t="shared" si="93"/>
        <v>-</v>
      </c>
    </row>
    <row r="900" spans="1:20">
      <c r="A900" s="269"/>
      <c r="B900" s="57"/>
      <c r="C900" s="55"/>
      <c r="D900" s="55"/>
      <c r="E900" s="55"/>
      <c r="F900" s="55"/>
      <c r="G900" s="275"/>
      <c r="H900" s="276"/>
      <c r="I900" s="213"/>
      <c r="J900" s="213"/>
      <c r="K900" s="212">
        <f t="shared" si="88"/>
        <v>0</v>
      </c>
      <c r="L900" s="272">
        <f t="shared" si="89"/>
        <v>1900</v>
      </c>
      <c r="M900" s="272">
        <f t="shared" si="90"/>
        <v>1</v>
      </c>
      <c r="N900" s="273"/>
      <c r="O900" s="61">
        <f t="shared" si="91"/>
        <v>1900</v>
      </c>
      <c r="P900" s="61">
        <f t="shared" si="92"/>
        <v>1</v>
      </c>
      <c r="R900" s="272"/>
      <c r="S900" s="272"/>
      <c r="T900" s="273" t="str">
        <f t="shared" si="93"/>
        <v>-</v>
      </c>
    </row>
    <row r="901" spans="1:20">
      <c r="A901" s="269"/>
      <c r="B901" s="57"/>
      <c r="C901" s="55"/>
      <c r="D901" s="55"/>
      <c r="E901" s="55"/>
      <c r="F901" s="55"/>
      <c r="G901" s="275"/>
      <c r="H901" s="276"/>
      <c r="I901" s="213"/>
      <c r="J901" s="213"/>
      <c r="K901" s="212">
        <f t="shared" si="88"/>
        <v>0</v>
      </c>
      <c r="L901" s="272">
        <f t="shared" si="89"/>
        <v>1900</v>
      </c>
      <c r="M901" s="272">
        <f t="shared" si="90"/>
        <v>1</v>
      </c>
      <c r="N901" s="273"/>
      <c r="O901" s="61">
        <f t="shared" si="91"/>
        <v>1900</v>
      </c>
      <c r="P901" s="61">
        <f t="shared" si="92"/>
        <v>1</v>
      </c>
      <c r="R901" s="272"/>
      <c r="S901" s="272"/>
      <c r="T901" s="273" t="str">
        <f t="shared" si="93"/>
        <v>-</v>
      </c>
    </row>
    <row r="902" spans="1:20">
      <c r="A902" s="269"/>
      <c r="B902" s="57"/>
      <c r="C902" s="55"/>
      <c r="D902" s="55"/>
      <c r="E902" s="55"/>
      <c r="F902" s="55"/>
      <c r="G902" s="275"/>
      <c r="H902" s="276"/>
      <c r="I902" s="213"/>
      <c r="J902" s="213"/>
      <c r="K902" s="212">
        <f t="shared" si="88"/>
        <v>0</v>
      </c>
      <c r="L902" s="272">
        <f t="shared" si="89"/>
        <v>1900</v>
      </c>
      <c r="M902" s="272">
        <f t="shared" si="90"/>
        <v>1</v>
      </c>
      <c r="N902" s="273"/>
      <c r="O902" s="61">
        <f t="shared" si="91"/>
        <v>1900</v>
      </c>
      <c r="P902" s="61">
        <f t="shared" si="92"/>
        <v>1</v>
      </c>
      <c r="R902" s="272"/>
      <c r="S902" s="272"/>
      <c r="T902" s="273" t="str">
        <f t="shared" si="93"/>
        <v>-</v>
      </c>
    </row>
    <row r="903" spans="1:20">
      <c r="A903" s="269"/>
      <c r="B903" s="57"/>
      <c r="C903" s="55"/>
      <c r="D903" s="55"/>
      <c r="E903" s="55"/>
      <c r="F903" s="55"/>
      <c r="G903" s="275"/>
      <c r="H903" s="276"/>
      <c r="I903" s="213"/>
      <c r="J903" s="213"/>
      <c r="K903" s="212">
        <f t="shared" si="88"/>
        <v>0</v>
      </c>
      <c r="L903" s="272">
        <f t="shared" si="89"/>
        <v>1900</v>
      </c>
      <c r="M903" s="272">
        <f t="shared" si="90"/>
        <v>1</v>
      </c>
      <c r="N903" s="273"/>
      <c r="O903" s="61">
        <f t="shared" si="91"/>
        <v>1900</v>
      </c>
      <c r="P903" s="61">
        <f t="shared" si="92"/>
        <v>1</v>
      </c>
      <c r="R903" s="272"/>
      <c r="S903" s="272"/>
      <c r="T903" s="273" t="str">
        <f t="shared" si="93"/>
        <v>-</v>
      </c>
    </row>
    <row r="904" spans="1:20">
      <c r="A904" s="269"/>
      <c r="B904" s="57"/>
      <c r="C904" s="55"/>
      <c r="D904" s="55"/>
      <c r="E904" s="55"/>
      <c r="F904" s="55"/>
      <c r="G904" s="275"/>
      <c r="H904" s="276"/>
      <c r="I904" s="213"/>
      <c r="J904" s="213"/>
      <c r="K904" s="212">
        <f t="shared" si="88"/>
        <v>0</v>
      </c>
      <c r="L904" s="272">
        <f t="shared" si="89"/>
        <v>1900</v>
      </c>
      <c r="M904" s="272">
        <f t="shared" si="90"/>
        <v>1</v>
      </c>
      <c r="N904" s="273"/>
      <c r="O904" s="61">
        <f t="shared" si="91"/>
        <v>1900</v>
      </c>
      <c r="P904" s="61">
        <f t="shared" si="92"/>
        <v>1</v>
      </c>
      <c r="R904" s="272"/>
      <c r="S904" s="272"/>
      <c r="T904" s="273" t="str">
        <f t="shared" si="93"/>
        <v>-</v>
      </c>
    </row>
    <row r="905" spans="1:20">
      <c r="A905" s="269"/>
      <c r="B905" s="57"/>
      <c r="C905" s="55"/>
      <c r="D905" s="55"/>
      <c r="E905" s="55"/>
      <c r="F905" s="55"/>
      <c r="G905" s="275"/>
      <c r="H905" s="276"/>
      <c r="I905" s="213"/>
      <c r="J905" s="213"/>
      <c r="K905" s="212">
        <f t="shared" si="88"/>
        <v>0</v>
      </c>
      <c r="L905" s="272">
        <f t="shared" si="89"/>
        <v>1900</v>
      </c>
      <c r="M905" s="272">
        <f t="shared" si="90"/>
        <v>1</v>
      </c>
      <c r="N905" s="273"/>
      <c r="O905" s="61">
        <f t="shared" si="91"/>
        <v>1900</v>
      </c>
      <c r="P905" s="61">
        <f t="shared" si="92"/>
        <v>1</v>
      </c>
      <c r="R905" s="272"/>
      <c r="S905" s="272"/>
      <c r="T905" s="273" t="str">
        <f t="shared" si="93"/>
        <v>-</v>
      </c>
    </row>
    <row r="906" spans="1:20">
      <c r="A906" s="269"/>
      <c r="B906" s="57"/>
      <c r="C906" s="55"/>
      <c r="D906" s="55"/>
      <c r="E906" s="55"/>
      <c r="F906" s="55"/>
      <c r="G906" s="275"/>
      <c r="H906" s="276"/>
      <c r="I906" s="213"/>
      <c r="J906" s="213"/>
      <c r="K906" s="212">
        <f t="shared" si="88"/>
        <v>0</v>
      </c>
      <c r="L906" s="272">
        <f t="shared" si="89"/>
        <v>1900</v>
      </c>
      <c r="M906" s="272">
        <f t="shared" si="90"/>
        <v>1</v>
      </c>
      <c r="N906" s="273"/>
      <c r="O906" s="61">
        <f t="shared" si="91"/>
        <v>1900</v>
      </c>
      <c r="P906" s="61">
        <f t="shared" si="92"/>
        <v>1</v>
      </c>
      <c r="R906" s="272"/>
      <c r="S906" s="272"/>
      <c r="T906" s="273" t="str">
        <f t="shared" si="93"/>
        <v>-</v>
      </c>
    </row>
    <row r="907" spans="1:20">
      <c r="A907" s="269"/>
      <c r="B907" s="57"/>
      <c r="C907" s="55"/>
      <c r="D907" s="55"/>
      <c r="E907" s="55"/>
      <c r="F907" s="55"/>
      <c r="G907" s="275"/>
      <c r="H907" s="276"/>
      <c r="I907" s="213"/>
      <c r="J907" s="213"/>
      <c r="K907" s="212">
        <f t="shared" si="88"/>
        <v>0</v>
      </c>
      <c r="L907" s="272">
        <f t="shared" si="89"/>
        <v>1900</v>
      </c>
      <c r="M907" s="272">
        <f t="shared" si="90"/>
        <v>1</v>
      </c>
      <c r="N907" s="273"/>
      <c r="O907" s="61">
        <f t="shared" si="91"/>
        <v>1900</v>
      </c>
      <c r="P907" s="61">
        <f t="shared" si="92"/>
        <v>1</v>
      </c>
      <c r="R907" s="272"/>
      <c r="S907" s="272"/>
      <c r="T907" s="273" t="str">
        <f t="shared" si="93"/>
        <v>-</v>
      </c>
    </row>
    <row r="908" spans="1:20">
      <c r="A908" s="269"/>
      <c r="B908" s="57"/>
      <c r="C908" s="55"/>
      <c r="D908" s="55"/>
      <c r="E908" s="55"/>
      <c r="F908" s="55"/>
      <c r="G908" s="275"/>
      <c r="H908" s="276"/>
      <c r="I908" s="213"/>
      <c r="J908" s="213"/>
      <c r="K908" s="212">
        <f t="shared" si="88"/>
        <v>0</v>
      </c>
      <c r="L908" s="272">
        <f t="shared" si="89"/>
        <v>1900</v>
      </c>
      <c r="M908" s="272">
        <f t="shared" si="90"/>
        <v>1</v>
      </c>
      <c r="N908" s="273"/>
      <c r="O908" s="61">
        <f t="shared" si="91"/>
        <v>1900</v>
      </c>
      <c r="P908" s="61">
        <f t="shared" si="92"/>
        <v>1</v>
      </c>
      <c r="R908" s="272"/>
      <c r="S908" s="272"/>
      <c r="T908" s="273" t="str">
        <f t="shared" si="93"/>
        <v>-</v>
      </c>
    </row>
    <row r="909" spans="1:20">
      <c r="A909" s="269"/>
      <c r="B909" s="57"/>
      <c r="C909" s="55"/>
      <c r="D909" s="55"/>
      <c r="E909" s="55"/>
      <c r="F909" s="55"/>
      <c r="G909" s="275"/>
      <c r="H909" s="276"/>
      <c r="I909" s="213"/>
      <c r="J909" s="213"/>
      <c r="K909" s="212">
        <f t="shared" si="88"/>
        <v>0</v>
      </c>
      <c r="L909" s="272">
        <f t="shared" si="89"/>
        <v>1900</v>
      </c>
      <c r="M909" s="272">
        <f t="shared" si="90"/>
        <v>1</v>
      </c>
      <c r="N909" s="273"/>
      <c r="O909" s="61">
        <f t="shared" si="91"/>
        <v>1900</v>
      </c>
      <c r="P909" s="61">
        <f t="shared" si="92"/>
        <v>1</v>
      </c>
      <c r="R909" s="272"/>
      <c r="S909" s="272"/>
      <c r="T909" s="273" t="str">
        <f t="shared" si="93"/>
        <v>-</v>
      </c>
    </row>
    <row r="910" spans="1:20">
      <c r="A910" s="269"/>
      <c r="B910" s="57"/>
      <c r="C910" s="55"/>
      <c r="D910" s="55"/>
      <c r="E910" s="55"/>
      <c r="F910" s="55"/>
      <c r="G910" s="275"/>
      <c r="H910" s="276"/>
      <c r="I910" s="213"/>
      <c r="J910" s="213"/>
      <c r="K910" s="212">
        <f t="shared" si="88"/>
        <v>0</v>
      </c>
      <c r="L910" s="272">
        <f t="shared" si="89"/>
        <v>1900</v>
      </c>
      <c r="M910" s="272">
        <f t="shared" si="90"/>
        <v>1</v>
      </c>
      <c r="N910" s="273"/>
      <c r="O910" s="61">
        <f t="shared" si="91"/>
        <v>1900</v>
      </c>
      <c r="P910" s="61">
        <f t="shared" si="92"/>
        <v>1</v>
      </c>
      <c r="R910" s="272"/>
      <c r="S910" s="272"/>
      <c r="T910" s="273" t="str">
        <f t="shared" si="93"/>
        <v>-</v>
      </c>
    </row>
    <row r="911" spans="1:20">
      <c r="A911" s="269"/>
      <c r="B911" s="57"/>
      <c r="C911" s="55"/>
      <c r="D911" s="55"/>
      <c r="E911" s="55"/>
      <c r="F911" s="55"/>
      <c r="G911" s="275"/>
      <c r="H911" s="276"/>
      <c r="I911" s="213"/>
      <c r="J911" s="213"/>
      <c r="K911" s="212">
        <f t="shared" ref="K911:K974" si="94">I911+H911+J911</f>
        <v>0</v>
      </c>
      <c r="L911" s="272">
        <f t="shared" si="89"/>
        <v>1900</v>
      </c>
      <c r="M911" s="272">
        <f t="shared" si="90"/>
        <v>1</v>
      </c>
      <c r="N911" s="273"/>
      <c r="O911" s="61">
        <f t="shared" si="91"/>
        <v>1900</v>
      </c>
      <c r="P911" s="61">
        <f t="shared" si="92"/>
        <v>1</v>
      </c>
      <c r="R911" s="272"/>
      <c r="S911" s="272"/>
      <c r="T911" s="273" t="str">
        <f t="shared" si="93"/>
        <v>-</v>
      </c>
    </row>
    <row r="912" spans="1:20">
      <c r="A912" s="269"/>
      <c r="B912" s="57"/>
      <c r="C912" s="55"/>
      <c r="D912" s="55"/>
      <c r="E912" s="55"/>
      <c r="F912" s="55"/>
      <c r="G912" s="275"/>
      <c r="H912" s="276"/>
      <c r="I912" s="213"/>
      <c r="J912" s="213"/>
      <c r="K912" s="212">
        <f t="shared" si="94"/>
        <v>0</v>
      </c>
      <c r="L912" s="272">
        <f t="shared" ref="L912:L975" si="95">YEAR(B912)</f>
        <v>1900</v>
      </c>
      <c r="M912" s="272">
        <f t="shared" ref="M912:M975" si="96">MONTH(B912)</f>
        <v>1</v>
      </c>
      <c r="N912" s="273"/>
      <c r="O912" s="61">
        <f t="shared" ref="O912:O975" si="97">YEAR(B912)</f>
        <v>1900</v>
      </c>
      <c r="P912" s="61">
        <f t="shared" ref="P912:P975" si="98">MONTH(B912)</f>
        <v>1</v>
      </c>
      <c r="R912" s="272"/>
      <c r="S912" s="272"/>
      <c r="T912" s="273" t="str">
        <f t="shared" ref="T912:T975" si="99">IF($E912&gt;0,IF((R912+S912)=$E912,"OK","Error"),"-")</f>
        <v>-</v>
      </c>
    </row>
    <row r="913" spans="1:20">
      <c r="A913" s="269"/>
      <c r="B913" s="57"/>
      <c r="C913" s="55"/>
      <c r="D913" s="55"/>
      <c r="E913" s="55"/>
      <c r="F913" s="55"/>
      <c r="G913" s="275"/>
      <c r="H913" s="276"/>
      <c r="I913" s="213"/>
      <c r="J913" s="213"/>
      <c r="K913" s="212">
        <f t="shared" si="94"/>
        <v>0</v>
      </c>
      <c r="L913" s="272">
        <f t="shared" si="95"/>
        <v>1900</v>
      </c>
      <c r="M913" s="272">
        <f t="shared" si="96"/>
        <v>1</v>
      </c>
      <c r="N913" s="273"/>
      <c r="O913" s="61">
        <f t="shared" si="97"/>
        <v>1900</v>
      </c>
      <c r="P913" s="61">
        <f t="shared" si="98"/>
        <v>1</v>
      </c>
      <c r="R913" s="272"/>
      <c r="S913" s="272"/>
      <c r="T913" s="273" t="str">
        <f t="shared" si="99"/>
        <v>-</v>
      </c>
    </row>
    <row r="914" spans="1:20">
      <c r="A914" s="269"/>
      <c r="B914" s="57"/>
      <c r="C914" s="55"/>
      <c r="D914" s="55"/>
      <c r="E914" s="55"/>
      <c r="F914" s="55"/>
      <c r="G914" s="275"/>
      <c r="H914" s="276"/>
      <c r="I914" s="213"/>
      <c r="J914" s="213"/>
      <c r="K914" s="212">
        <f t="shared" si="94"/>
        <v>0</v>
      </c>
      <c r="L914" s="272">
        <f t="shared" si="95"/>
        <v>1900</v>
      </c>
      <c r="M914" s="272">
        <f t="shared" si="96"/>
        <v>1</v>
      </c>
      <c r="N914" s="273"/>
      <c r="O914" s="61">
        <f t="shared" si="97"/>
        <v>1900</v>
      </c>
      <c r="P914" s="61">
        <f t="shared" si="98"/>
        <v>1</v>
      </c>
      <c r="R914" s="272"/>
      <c r="S914" s="272"/>
      <c r="T914" s="273" t="str">
        <f t="shared" si="99"/>
        <v>-</v>
      </c>
    </row>
    <row r="915" spans="1:20">
      <c r="A915" s="269"/>
      <c r="B915" s="57"/>
      <c r="C915" s="55"/>
      <c r="D915" s="55"/>
      <c r="E915" s="55"/>
      <c r="F915" s="55"/>
      <c r="G915" s="275"/>
      <c r="H915" s="276"/>
      <c r="I915" s="213"/>
      <c r="J915" s="213"/>
      <c r="K915" s="212">
        <f t="shared" si="94"/>
        <v>0</v>
      </c>
      <c r="L915" s="272">
        <f t="shared" si="95"/>
        <v>1900</v>
      </c>
      <c r="M915" s="272">
        <f t="shared" si="96"/>
        <v>1</v>
      </c>
      <c r="N915" s="273"/>
      <c r="O915" s="61">
        <f t="shared" si="97"/>
        <v>1900</v>
      </c>
      <c r="P915" s="61">
        <f t="shared" si="98"/>
        <v>1</v>
      </c>
      <c r="R915" s="272"/>
      <c r="S915" s="272"/>
      <c r="T915" s="273" t="str">
        <f t="shared" si="99"/>
        <v>-</v>
      </c>
    </row>
    <row r="916" spans="1:20">
      <c r="A916" s="269"/>
      <c r="B916" s="57"/>
      <c r="C916" s="55"/>
      <c r="D916" s="55"/>
      <c r="E916" s="55"/>
      <c r="F916" s="55"/>
      <c r="G916" s="275"/>
      <c r="H916" s="276"/>
      <c r="I916" s="213"/>
      <c r="J916" s="213"/>
      <c r="K916" s="212">
        <f t="shared" si="94"/>
        <v>0</v>
      </c>
      <c r="L916" s="272">
        <f t="shared" si="95"/>
        <v>1900</v>
      </c>
      <c r="M916" s="272">
        <f t="shared" si="96"/>
        <v>1</v>
      </c>
      <c r="N916" s="273"/>
      <c r="O916" s="61">
        <f t="shared" si="97"/>
        <v>1900</v>
      </c>
      <c r="P916" s="61">
        <f t="shared" si="98"/>
        <v>1</v>
      </c>
      <c r="R916" s="272"/>
      <c r="S916" s="272"/>
      <c r="T916" s="273" t="str">
        <f t="shared" si="99"/>
        <v>-</v>
      </c>
    </row>
    <row r="917" spans="1:20">
      <c r="A917" s="269"/>
      <c r="B917" s="57"/>
      <c r="C917" s="55"/>
      <c r="D917" s="55"/>
      <c r="E917" s="55"/>
      <c r="F917" s="55"/>
      <c r="G917" s="275"/>
      <c r="H917" s="276"/>
      <c r="I917" s="213"/>
      <c r="J917" s="213"/>
      <c r="K917" s="212">
        <f t="shared" si="94"/>
        <v>0</v>
      </c>
      <c r="L917" s="272">
        <f t="shared" si="95"/>
        <v>1900</v>
      </c>
      <c r="M917" s="272">
        <f t="shared" si="96"/>
        <v>1</v>
      </c>
      <c r="N917" s="273"/>
      <c r="O917" s="61">
        <f t="shared" si="97"/>
        <v>1900</v>
      </c>
      <c r="P917" s="61">
        <f t="shared" si="98"/>
        <v>1</v>
      </c>
      <c r="R917" s="272"/>
      <c r="S917" s="272"/>
      <c r="T917" s="273" t="str">
        <f t="shared" si="99"/>
        <v>-</v>
      </c>
    </row>
    <row r="918" spans="1:20">
      <c r="A918" s="269"/>
      <c r="B918" s="57"/>
      <c r="C918" s="55"/>
      <c r="D918" s="55"/>
      <c r="E918" s="55"/>
      <c r="F918" s="55"/>
      <c r="G918" s="275"/>
      <c r="H918" s="276"/>
      <c r="I918" s="213"/>
      <c r="J918" s="213"/>
      <c r="K918" s="212">
        <f t="shared" si="94"/>
        <v>0</v>
      </c>
      <c r="L918" s="272">
        <f t="shared" si="95"/>
        <v>1900</v>
      </c>
      <c r="M918" s="272">
        <f t="shared" si="96"/>
        <v>1</v>
      </c>
      <c r="N918" s="273"/>
      <c r="O918" s="61">
        <f t="shared" si="97"/>
        <v>1900</v>
      </c>
      <c r="P918" s="61">
        <f t="shared" si="98"/>
        <v>1</v>
      </c>
      <c r="R918" s="272"/>
      <c r="S918" s="272"/>
      <c r="T918" s="273" t="str">
        <f t="shared" si="99"/>
        <v>-</v>
      </c>
    </row>
    <row r="919" spans="1:20">
      <c r="A919" s="269"/>
      <c r="B919" s="57"/>
      <c r="C919" s="55"/>
      <c r="D919" s="55"/>
      <c r="E919" s="55"/>
      <c r="F919" s="55"/>
      <c r="G919" s="275"/>
      <c r="H919" s="276"/>
      <c r="I919" s="213"/>
      <c r="J919" s="213"/>
      <c r="K919" s="212">
        <f t="shared" si="94"/>
        <v>0</v>
      </c>
      <c r="L919" s="272">
        <f t="shared" si="95"/>
        <v>1900</v>
      </c>
      <c r="M919" s="272">
        <f t="shared" si="96"/>
        <v>1</v>
      </c>
      <c r="N919" s="273"/>
      <c r="O919" s="61">
        <f t="shared" si="97"/>
        <v>1900</v>
      </c>
      <c r="P919" s="61">
        <f t="shared" si="98"/>
        <v>1</v>
      </c>
      <c r="R919" s="272"/>
      <c r="S919" s="272"/>
      <c r="T919" s="273" t="str">
        <f t="shared" si="99"/>
        <v>-</v>
      </c>
    </row>
    <row r="920" spans="1:20">
      <c r="A920" s="269"/>
      <c r="B920" s="57"/>
      <c r="C920" s="55"/>
      <c r="D920" s="55"/>
      <c r="E920" s="55"/>
      <c r="F920" s="55"/>
      <c r="G920" s="275"/>
      <c r="H920" s="276"/>
      <c r="I920" s="213"/>
      <c r="J920" s="213"/>
      <c r="K920" s="212">
        <f t="shared" si="94"/>
        <v>0</v>
      </c>
      <c r="L920" s="272">
        <f t="shared" si="95"/>
        <v>1900</v>
      </c>
      <c r="M920" s="272">
        <f t="shared" si="96"/>
        <v>1</v>
      </c>
      <c r="N920" s="273"/>
      <c r="O920" s="61">
        <f t="shared" si="97"/>
        <v>1900</v>
      </c>
      <c r="P920" s="61">
        <f t="shared" si="98"/>
        <v>1</v>
      </c>
      <c r="R920" s="272"/>
      <c r="S920" s="272"/>
      <c r="T920" s="273" t="str">
        <f t="shared" si="99"/>
        <v>-</v>
      </c>
    </row>
    <row r="921" spans="1:20">
      <c r="A921" s="269"/>
      <c r="B921" s="57"/>
      <c r="C921" s="55"/>
      <c r="D921" s="55"/>
      <c r="E921" s="55"/>
      <c r="F921" s="55"/>
      <c r="G921" s="275"/>
      <c r="H921" s="276"/>
      <c r="I921" s="213"/>
      <c r="J921" s="213"/>
      <c r="K921" s="212">
        <f t="shared" si="94"/>
        <v>0</v>
      </c>
      <c r="L921" s="272">
        <f t="shared" si="95"/>
        <v>1900</v>
      </c>
      <c r="M921" s="272">
        <f t="shared" si="96"/>
        <v>1</v>
      </c>
      <c r="N921" s="273"/>
      <c r="O921" s="61">
        <f t="shared" si="97"/>
        <v>1900</v>
      </c>
      <c r="P921" s="61">
        <f t="shared" si="98"/>
        <v>1</v>
      </c>
      <c r="R921" s="272"/>
      <c r="S921" s="272"/>
      <c r="T921" s="273" t="str">
        <f t="shared" si="99"/>
        <v>-</v>
      </c>
    </row>
    <row r="922" spans="1:20">
      <c r="A922" s="269"/>
      <c r="B922" s="57"/>
      <c r="C922" s="55"/>
      <c r="D922" s="55"/>
      <c r="E922" s="55"/>
      <c r="F922" s="55"/>
      <c r="G922" s="275"/>
      <c r="H922" s="276"/>
      <c r="I922" s="213"/>
      <c r="J922" s="213"/>
      <c r="K922" s="212">
        <f t="shared" si="94"/>
        <v>0</v>
      </c>
      <c r="L922" s="272">
        <f t="shared" si="95"/>
        <v>1900</v>
      </c>
      <c r="M922" s="272">
        <f t="shared" si="96"/>
        <v>1</v>
      </c>
      <c r="N922" s="273"/>
      <c r="O922" s="61">
        <f t="shared" si="97"/>
        <v>1900</v>
      </c>
      <c r="P922" s="61">
        <f t="shared" si="98"/>
        <v>1</v>
      </c>
      <c r="R922" s="272"/>
      <c r="S922" s="272"/>
      <c r="T922" s="273" t="str">
        <f t="shared" si="99"/>
        <v>-</v>
      </c>
    </row>
    <row r="923" spans="1:20">
      <c r="A923" s="269"/>
      <c r="B923" s="57"/>
      <c r="C923" s="55"/>
      <c r="D923" s="55"/>
      <c r="E923" s="55"/>
      <c r="F923" s="55"/>
      <c r="G923" s="275"/>
      <c r="H923" s="276"/>
      <c r="I923" s="213"/>
      <c r="J923" s="213"/>
      <c r="K923" s="212">
        <f t="shared" si="94"/>
        <v>0</v>
      </c>
      <c r="L923" s="272">
        <f t="shared" si="95"/>
        <v>1900</v>
      </c>
      <c r="M923" s="272">
        <f t="shared" si="96"/>
        <v>1</v>
      </c>
      <c r="N923" s="273"/>
      <c r="O923" s="61">
        <f t="shared" si="97"/>
        <v>1900</v>
      </c>
      <c r="P923" s="61">
        <f t="shared" si="98"/>
        <v>1</v>
      </c>
      <c r="R923" s="272"/>
      <c r="S923" s="272"/>
      <c r="T923" s="273" t="str">
        <f t="shared" si="99"/>
        <v>-</v>
      </c>
    </row>
    <row r="924" spans="1:20">
      <c r="A924" s="269"/>
      <c r="B924" s="57"/>
      <c r="C924" s="55"/>
      <c r="D924" s="55"/>
      <c r="E924" s="55"/>
      <c r="F924" s="55"/>
      <c r="G924" s="275"/>
      <c r="H924" s="276"/>
      <c r="I924" s="213"/>
      <c r="J924" s="213"/>
      <c r="K924" s="212">
        <f t="shared" si="94"/>
        <v>0</v>
      </c>
      <c r="L924" s="272">
        <f t="shared" si="95"/>
        <v>1900</v>
      </c>
      <c r="M924" s="272">
        <f t="shared" si="96"/>
        <v>1</v>
      </c>
      <c r="N924" s="273"/>
      <c r="O924" s="61">
        <f t="shared" si="97"/>
        <v>1900</v>
      </c>
      <c r="P924" s="61">
        <f t="shared" si="98"/>
        <v>1</v>
      </c>
      <c r="R924" s="272"/>
      <c r="S924" s="272"/>
      <c r="T924" s="273" t="str">
        <f t="shared" si="99"/>
        <v>-</v>
      </c>
    </row>
    <row r="925" spans="1:20">
      <c r="A925" s="269"/>
      <c r="B925" s="57"/>
      <c r="C925" s="55"/>
      <c r="D925" s="55"/>
      <c r="E925" s="55"/>
      <c r="F925" s="55"/>
      <c r="G925" s="275"/>
      <c r="H925" s="276"/>
      <c r="I925" s="213"/>
      <c r="J925" s="213"/>
      <c r="K925" s="212">
        <f t="shared" si="94"/>
        <v>0</v>
      </c>
      <c r="L925" s="272">
        <f t="shared" si="95"/>
        <v>1900</v>
      </c>
      <c r="M925" s="272">
        <f t="shared" si="96"/>
        <v>1</v>
      </c>
      <c r="N925" s="273"/>
      <c r="O925" s="61">
        <f t="shared" si="97"/>
        <v>1900</v>
      </c>
      <c r="P925" s="61">
        <f t="shared" si="98"/>
        <v>1</v>
      </c>
      <c r="R925" s="272"/>
      <c r="S925" s="272"/>
      <c r="T925" s="273" t="str">
        <f t="shared" si="99"/>
        <v>-</v>
      </c>
    </row>
    <row r="926" spans="1:20">
      <c r="A926" s="269"/>
      <c r="B926" s="57"/>
      <c r="C926" s="55"/>
      <c r="D926" s="55"/>
      <c r="E926" s="55"/>
      <c r="F926" s="55"/>
      <c r="G926" s="275"/>
      <c r="H926" s="276"/>
      <c r="I926" s="213"/>
      <c r="J926" s="213"/>
      <c r="K926" s="212">
        <f t="shared" si="94"/>
        <v>0</v>
      </c>
      <c r="L926" s="272">
        <f t="shared" si="95"/>
        <v>1900</v>
      </c>
      <c r="M926" s="272">
        <f t="shared" si="96"/>
        <v>1</v>
      </c>
      <c r="N926" s="273"/>
      <c r="O926" s="61">
        <f t="shared" si="97"/>
        <v>1900</v>
      </c>
      <c r="P926" s="61">
        <f t="shared" si="98"/>
        <v>1</v>
      </c>
      <c r="R926" s="272"/>
      <c r="S926" s="272"/>
      <c r="T926" s="273" t="str">
        <f t="shared" si="99"/>
        <v>-</v>
      </c>
    </row>
    <row r="927" spans="1:20">
      <c r="A927" s="269"/>
      <c r="B927" s="57"/>
      <c r="C927" s="55"/>
      <c r="D927" s="55"/>
      <c r="E927" s="55"/>
      <c r="F927" s="55"/>
      <c r="G927" s="275"/>
      <c r="H927" s="276"/>
      <c r="I927" s="213"/>
      <c r="J927" s="213"/>
      <c r="K927" s="212">
        <f t="shared" si="94"/>
        <v>0</v>
      </c>
      <c r="L927" s="272">
        <f t="shared" si="95"/>
        <v>1900</v>
      </c>
      <c r="M927" s="272">
        <f t="shared" si="96"/>
        <v>1</v>
      </c>
      <c r="N927" s="273"/>
      <c r="O927" s="61">
        <f t="shared" si="97"/>
        <v>1900</v>
      </c>
      <c r="P927" s="61">
        <f t="shared" si="98"/>
        <v>1</v>
      </c>
      <c r="R927" s="272"/>
      <c r="S927" s="272"/>
      <c r="T927" s="273" t="str">
        <f t="shared" si="99"/>
        <v>-</v>
      </c>
    </row>
    <row r="928" spans="1:20">
      <c r="A928" s="269"/>
      <c r="B928" s="57"/>
      <c r="C928" s="55"/>
      <c r="D928" s="55"/>
      <c r="E928" s="55"/>
      <c r="F928" s="55"/>
      <c r="G928" s="275"/>
      <c r="H928" s="276"/>
      <c r="I928" s="213"/>
      <c r="J928" s="213"/>
      <c r="K928" s="212">
        <f t="shared" si="94"/>
        <v>0</v>
      </c>
      <c r="L928" s="272">
        <f t="shared" si="95"/>
        <v>1900</v>
      </c>
      <c r="M928" s="272">
        <f t="shared" si="96"/>
        <v>1</v>
      </c>
      <c r="N928" s="273"/>
      <c r="O928" s="61">
        <f t="shared" si="97"/>
        <v>1900</v>
      </c>
      <c r="P928" s="61">
        <f t="shared" si="98"/>
        <v>1</v>
      </c>
      <c r="R928" s="272"/>
      <c r="S928" s="272"/>
      <c r="T928" s="273" t="str">
        <f t="shared" si="99"/>
        <v>-</v>
      </c>
    </row>
    <row r="929" spans="1:20">
      <c r="A929" s="269"/>
      <c r="B929" s="57"/>
      <c r="C929" s="55"/>
      <c r="D929" s="55"/>
      <c r="E929" s="55"/>
      <c r="F929" s="55"/>
      <c r="G929" s="275"/>
      <c r="H929" s="276"/>
      <c r="I929" s="213"/>
      <c r="J929" s="213"/>
      <c r="K929" s="212">
        <f t="shared" si="94"/>
        <v>0</v>
      </c>
      <c r="L929" s="272">
        <f t="shared" si="95"/>
        <v>1900</v>
      </c>
      <c r="M929" s="272">
        <f t="shared" si="96"/>
        <v>1</v>
      </c>
      <c r="N929" s="273"/>
      <c r="O929" s="61">
        <f t="shared" si="97"/>
        <v>1900</v>
      </c>
      <c r="P929" s="61">
        <f t="shared" si="98"/>
        <v>1</v>
      </c>
      <c r="R929" s="272"/>
      <c r="S929" s="272"/>
      <c r="T929" s="273" t="str">
        <f t="shared" si="99"/>
        <v>-</v>
      </c>
    </row>
    <row r="930" spans="1:20">
      <c r="A930" s="269"/>
      <c r="B930" s="57"/>
      <c r="C930" s="55"/>
      <c r="D930" s="55"/>
      <c r="E930" s="55"/>
      <c r="F930" s="55"/>
      <c r="G930" s="275"/>
      <c r="H930" s="276"/>
      <c r="I930" s="213"/>
      <c r="J930" s="213"/>
      <c r="K930" s="212">
        <f t="shared" si="94"/>
        <v>0</v>
      </c>
      <c r="L930" s="272">
        <f t="shared" si="95"/>
        <v>1900</v>
      </c>
      <c r="M930" s="272">
        <f t="shared" si="96"/>
        <v>1</v>
      </c>
      <c r="N930" s="273"/>
      <c r="O930" s="61">
        <f t="shared" si="97"/>
        <v>1900</v>
      </c>
      <c r="P930" s="61">
        <f t="shared" si="98"/>
        <v>1</v>
      </c>
      <c r="R930" s="272"/>
      <c r="S930" s="272"/>
      <c r="T930" s="273" t="str">
        <f t="shared" si="99"/>
        <v>-</v>
      </c>
    </row>
    <row r="931" spans="1:20">
      <c r="A931" s="269"/>
      <c r="B931" s="57"/>
      <c r="C931" s="55"/>
      <c r="D931" s="55"/>
      <c r="E931" s="55"/>
      <c r="F931" s="55"/>
      <c r="G931" s="275"/>
      <c r="H931" s="276"/>
      <c r="I931" s="213"/>
      <c r="J931" s="213"/>
      <c r="K931" s="212">
        <f t="shared" si="94"/>
        <v>0</v>
      </c>
      <c r="L931" s="272">
        <f t="shared" si="95"/>
        <v>1900</v>
      </c>
      <c r="M931" s="272">
        <f t="shared" si="96"/>
        <v>1</v>
      </c>
      <c r="N931" s="273"/>
      <c r="O931" s="61">
        <f t="shared" si="97"/>
        <v>1900</v>
      </c>
      <c r="P931" s="61">
        <f t="shared" si="98"/>
        <v>1</v>
      </c>
      <c r="R931" s="272"/>
      <c r="S931" s="272"/>
      <c r="T931" s="273" t="str">
        <f t="shared" si="99"/>
        <v>-</v>
      </c>
    </row>
    <row r="932" spans="1:20">
      <c r="A932" s="269"/>
      <c r="B932" s="57"/>
      <c r="C932" s="55"/>
      <c r="D932" s="55"/>
      <c r="E932" s="55"/>
      <c r="F932" s="55"/>
      <c r="G932" s="275"/>
      <c r="H932" s="276"/>
      <c r="I932" s="213"/>
      <c r="J932" s="213"/>
      <c r="K932" s="212">
        <f t="shared" si="94"/>
        <v>0</v>
      </c>
      <c r="L932" s="272">
        <f t="shared" si="95"/>
        <v>1900</v>
      </c>
      <c r="M932" s="272">
        <f t="shared" si="96"/>
        <v>1</v>
      </c>
      <c r="N932" s="273"/>
      <c r="O932" s="61">
        <f t="shared" si="97"/>
        <v>1900</v>
      </c>
      <c r="P932" s="61">
        <f t="shared" si="98"/>
        <v>1</v>
      </c>
      <c r="R932" s="272"/>
      <c r="S932" s="272"/>
      <c r="T932" s="273" t="str">
        <f t="shared" si="99"/>
        <v>-</v>
      </c>
    </row>
    <row r="933" spans="1:20">
      <c r="A933" s="269"/>
      <c r="B933" s="57"/>
      <c r="C933" s="55"/>
      <c r="D933" s="55"/>
      <c r="E933" s="55"/>
      <c r="F933" s="55"/>
      <c r="G933" s="275"/>
      <c r="H933" s="276"/>
      <c r="I933" s="213"/>
      <c r="J933" s="213"/>
      <c r="K933" s="212">
        <f t="shared" si="94"/>
        <v>0</v>
      </c>
      <c r="L933" s="272">
        <f t="shared" si="95"/>
        <v>1900</v>
      </c>
      <c r="M933" s="272">
        <f t="shared" si="96"/>
        <v>1</v>
      </c>
      <c r="N933" s="273"/>
      <c r="O933" s="61">
        <f t="shared" si="97"/>
        <v>1900</v>
      </c>
      <c r="P933" s="61">
        <f t="shared" si="98"/>
        <v>1</v>
      </c>
      <c r="R933" s="272"/>
      <c r="S933" s="272"/>
      <c r="T933" s="273" t="str">
        <f t="shared" si="99"/>
        <v>-</v>
      </c>
    </row>
    <row r="934" spans="1:20">
      <c r="A934" s="269"/>
      <c r="B934" s="57"/>
      <c r="C934" s="55"/>
      <c r="D934" s="55"/>
      <c r="E934" s="55"/>
      <c r="F934" s="55"/>
      <c r="G934" s="275"/>
      <c r="H934" s="276"/>
      <c r="I934" s="213"/>
      <c r="J934" s="213"/>
      <c r="K934" s="212">
        <f t="shared" si="94"/>
        <v>0</v>
      </c>
      <c r="L934" s="272">
        <f t="shared" si="95"/>
        <v>1900</v>
      </c>
      <c r="M934" s="272">
        <f t="shared" si="96"/>
        <v>1</v>
      </c>
      <c r="N934" s="273"/>
      <c r="O934" s="61">
        <f t="shared" si="97"/>
        <v>1900</v>
      </c>
      <c r="P934" s="61">
        <f t="shared" si="98"/>
        <v>1</v>
      </c>
      <c r="R934" s="272"/>
      <c r="S934" s="272"/>
      <c r="T934" s="273" t="str">
        <f t="shared" si="99"/>
        <v>-</v>
      </c>
    </row>
    <row r="935" spans="1:20">
      <c r="A935" s="269"/>
      <c r="B935" s="57"/>
      <c r="C935" s="55"/>
      <c r="D935" s="55"/>
      <c r="E935" s="55"/>
      <c r="F935" s="55"/>
      <c r="G935" s="275"/>
      <c r="H935" s="276"/>
      <c r="I935" s="213"/>
      <c r="J935" s="213"/>
      <c r="K935" s="212">
        <f t="shared" si="94"/>
        <v>0</v>
      </c>
      <c r="L935" s="272">
        <f t="shared" si="95"/>
        <v>1900</v>
      </c>
      <c r="M935" s="272">
        <f t="shared" si="96"/>
        <v>1</v>
      </c>
      <c r="N935" s="273"/>
      <c r="O935" s="61">
        <f t="shared" si="97"/>
        <v>1900</v>
      </c>
      <c r="P935" s="61">
        <f t="shared" si="98"/>
        <v>1</v>
      </c>
      <c r="R935" s="272"/>
      <c r="S935" s="272"/>
      <c r="T935" s="273" t="str">
        <f t="shared" si="99"/>
        <v>-</v>
      </c>
    </row>
    <row r="936" spans="1:20">
      <c r="A936" s="269"/>
      <c r="B936" s="57"/>
      <c r="C936" s="55"/>
      <c r="D936" s="55"/>
      <c r="E936" s="55"/>
      <c r="F936" s="55"/>
      <c r="G936" s="275"/>
      <c r="H936" s="276"/>
      <c r="I936" s="213"/>
      <c r="J936" s="213"/>
      <c r="K936" s="212">
        <f t="shared" si="94"/>
        <v>0</v>
      </c>
      <c r="L936" s="272">
        <f t="shared" si="95"/>
        <v>1900</v>
      </c>
      <c r="M936" s="272">
        <f t="shared" si="96"/>
        <v>1</v>
      </c>
      <c r="N936" s="273"/>
      <c r="O936" s="61">
        <f t="shared" si="97"/>
        <v>1900</v>
      </c>
      <c r="P936" s="61">
        <f t="shared" si="98"/>
        <v>1</v>
      </c>
      <c r="R936" s="272"/>
      <c r="S936" s="272"/>
      <c r="T936" s="273" t="str">
        <f t="shared" si="99"/>
        <v>-</v>
      </c>
    </row>
    <row r="937" spans="1:20">
      <c r="A937" s="269"/>
      <c r="B937" s="57"/>
      <c r="C937" s="55"/>
      <c r="D937" s="55"/>
      <c r="E937" s="55"/>
      <c r="F937" s="55"/>
      <c r="G937" s="275"/>
      <c r="H937" s="276"/>
      <c r="I937" s="213"/>
      <c r="J937" s="213"/>
      <c r="K937" s="212">
        <f t="shared" si="94"/>
        <v>0</v>
      </c>
      <c r="L937" s="272">
        <f t="shared" si="95"/>
        <v>1900</v>
      </c>
      <c r="M937" s="272">
        <f t="shared" si="96"/>
        <v>1</v>
      </c>
      <c r="N937" s="273"/>
      <c r="O937" s="61">
        <f t="shared" si="97"/>
        <v>1900</v>
      </c>
      <c r="P937" s="61">
        <f t="shared" si="98"/>
        <v>1</v>
      </c>
      <c r="R937" s="272"/>
      <c r="S937" s="272"/>
      <c r="T937" s="273" t="str">
        <f t="shared" si="99"/>
        <v>-</v>
      </c>
    </row>
    <row r="938" spans="1:20">
      <c r="A938" s="269"/>
      <c r="B938" s="57"/>
      <c r="C938" s="55"/>
      <c r="D938" s="55"/>
      <c r="E938" s="55"/>
      <c r="F938" s="55"/>
      <c r="G938" s="275"/>
      <c r="H938" s="276"/>
      <c r="I938" s="213"/>
      <c r="J938" s="213"/>
      <c r="K938" s="212">
        <f t="shared" si="94"/>
        <v>0</v>
      </c>
      <c r="L938" s="272">
        <f t="shared" si="95"/>
        <v>1900</v>
      </c>
      <c r="M938" s="272">
        <f t="shared" si="96"/>
        <v>1</v>
      </c>
      <c r="N938" s="273"/>
      <c r="O938" s="61">
        <f t="shared" si="97"/>
        <v>1900</v>
      </c>
      <c r="P938" s="61">
        <f t="shared" si="98"/>
        <v>1</v>
      </c>
      <c r="R938" s="272"/>
      <c r="S938" s="272"/>
      <c r="T938" s="273" t="str">
        <f t="shared" si="99"/>
        <v>-</v>
      </c>
    </row>
    <row r="939" spans="1:20">
      <c r="A939" s="269"/>
      <c r="B939" s="57"/>
      <c r="C939" s="55"/>
      <c r="D939" s="55"/>
      <c r="E939" s="55"/>
      <c r="F939" s="55"/>
      <c r="G939" s="275"/>
      <c r="H939" s="276"/>
      <c r="I939" s="213"/>
      <c r="J939" s="213"/>
      <c r="K939" s="212">
        <f t="shared" si="94"/>
        <v>0</v>
      </c>
      <c r="L939" s="272">
        <f t="shared" si="95"/>
        <v>1900</v>
      </c>
      <c r="M939" s="272">
        <f t="shared" si="96"/>
        <v>1</v>
      </c>
      <c r="N939" s="273"/>
      <c r="O939" s="61">
        <f t="shared" si="97"/>
        <v>1900</v>
      </c>
      <c r="P939" s="61">
        <f t="shared" si="98"/>
        <v>1</v>
      </c>
      <c r="R939" s="272"/>
      <c r="S939" s="272"/>
      <c r="T939" s="273" t="str">
        <f t="shared" si="99"/>
        <v>-</v>
      </c>
    </row>
    <row r="940" spans="1:20">
      <c r="A940" s="269"/>
      <c r="B940" s="57"/>
      <c r="C940" s="55"/>
      <c r="D940" s="55"/>
      <c r="E940" s="55"/>
      <c r="F940" s="55"/>
      <c r="G940" s="275"/>
      <c r="H940" s="276"/>
      <c r="I940" s="213"/>
      <c r="J940" s="213"/>
      <c r="K940" s="212">
        <f t="shared" si="94"/>
        <v>0</v>
      </c>
      <c r="L940" s="272">
        <f t="shared" si="95"/>
        <v>1900</v>
      </c>
      <c r="M940" s="272">
        <f t="shared" si="96"/>
        <v>1</v>
      </c>
      <c r="N940" s="273"/>
      <c r="O940" s="61">
        <f t="shared" si="97"/>
        <v>1900</v>
      </c>
      <c r="P940" s="61">
        <f t="shared" si="98"/>
        <v>1</v>
      </c>
      <c r="R940" s="272"/>
      <c r="S940" s="272"/>
      <c r="T940" s="273" t="str">
        <f t="shared" si="99"/>
        <v>-</v>
      </c>
    </row>
    <row r="941" spans="1:20">
      <c r="A941" s="269"/>
      <c r="B941" s="57"/>
      <c r="C941" s="55"/>
      <c r="D941" s="55"/>
      <c r="E941" s="55"/>
      <c r="F941" s="55"/>
      <c r="G941" s="275"/>
      <c r="H941" s="276"/>
      <c r="I941" s="213"/>
      <c r="J941" s="213"/>
      <c r="K941" s="212">
        <f t="shared" si="94"/>
        <v>0</v>
      </c>
      <c r="L941" s="272">
        <f t="shared" si="95"/>
        <v>1900</v>
      </c>
      <c r="M941" s="272">
        <f t="shared" si="96"/>
        <v>1</v>
      </c>
      <c r="N941" s="273"/>
      <c r="O941" s="61">
        <f t="shared" si="97"/>
        <v>1900</v>
      </c>
      <c r="P941" s="61">
        <f t="shared" si="98"/>
        <v>1</v>
      </c>
      <c r="R941" s="272"/>
      <c r="S941" s="272"/>
      <c r="T941" s="273" t="str">
        <f t="shared" si="99"/>
        <v>-</v>
      </c>
    </row>
    <row r="942" spans="1:20">
      <c r="A942" s="269"/>
      <c r="B942" s="57"/>
      <c r="C942" s="55"/>
      <c r="D942" s="55"/>
      <c r="E942" s="55"/>
      <c r="F942" s="55"/>
      <c r="G942" s="275"/>
      <c r="H942" s="276"/>
      <c r="I942" s="213"/>
      <c r="J942" s="213"/>
      <c r="K942" s="212">
        <f t="shared" si="94"/>
        <v>0</v>
      </c>
      <c r="L942" s="272">
        <f t="shared" si="95"/>
        <v>1900</v>
      </c>
      <c r="M942" s="272">
        <f t="shared" si="96"/>
        <v>1</v>
      </c>
      <c r="N942" s="273"/>
      <c r="O942" s="61">
        <f t="shared" si="97"/>
        <v>1900</v>
      </c>
      <c r="P942" s="61">
        <f t="shared" si="98"/>
        <v>1</v>
      </c>
      <c r="R942" s="272"/>
      <c r="S942" s="272"/>
      <c r="T942" s="273" t="str">
        <f t="shared" si="99"/>
        <v>-</v>
      </c>
    </row>
    <row r="943" spans="1:20">
      <c r="A943" s="269"/>
      <c r="B943" s="57"/>
      <c r="C943" s="55"/>
      <c r="D943" s="55"/>
      <c r="E943" s="55"/>
      <c r="F943" s="55"/>
      <c r="G943" s="275"/>
      <c r="H943" s="276"/>
      <c r="I943" s="213"/>
      <c r="J943" s="213"/>
      <c r="K943" s="212">
        <f t="shared" si="94"/>
        <v>0</v>
      </c>
      <c r="L943" s="272">
        <f t="shared" si="95"/>
        <v>1900</v>
      </c>
      <c r="M943" s="272">
        <f t="shared" si="96"/>
        <v>1</v>
      </c>
      <c r="N943" s="273"/>
      <c r="O943" s="61">
        <f t="shared" si="97"/>
        <v>1900</v>
      </c>
      <c r="P943" s="61">
        <f t="shared" si="98"/>
        <v>1</v>
      </c>
      <c r="R943" s="272"/>
      <c r="S943" s="272"/>
      <c r="T943" s="273" t="str">
        <f t="shared" si="99"/>
        <v>-</v>
      </c>
    </row>
    <row r="944" spans="1:20">
      <c r="A944" s="269"/>
      <c r="B944" s="57"/>
      <c r="C944" s="55"/>
      <c r="D944" s="55"/>
      <c r="E944" s="55"/>
      <c r="F944" s="55"/>
      <c r="G944" s="275"/>
      <c r="H944" s="276"/>
      <c r="I944" s="213"/>
      <c r="J944" s="213"/>
      <c r="K944" s="212">
        <f t="shared" si="94"/>
        <v>0</v>
      </c>
      <c r="L944" s="272">
        <f t="shared" si="95"/>
        <v>1900</v>
      </c>
      <c r="M944" s="272">
        <f t="shared" si="96"/>
        <v>1</v>
      </c>
      <c r="N944" s="273"/>
      <c r="O944" s="61">
        <f t="shared" si="97"/>
        <v>1900</v>
      </c>
      <c r="P944" s="61">
        <f t="shared" si="98"/>
        <v>1</v>
      </c>
      <c r="R944" s="272"/>
      <c r="S944" s="272"/>
      <c r="T944" s="273" t="str">
        <f t="shared" si="99"/>
        <v>-</v>
      </c>
    </row>
    <row r="945" spans="1:20">
      <c r="A945" s="269"/>
      <c r="B945" s="57"/>
      <c r="C945" s="55"/>
      <c r="D945" s="55"/>
      <c r="E945" s="55"/>
      <c r="F945" s="55"/>
      <c r="G945" s="275"/>
      <c r="H945" s="276"/>
      <c r="I945" s="213"/>
      <c r="J945" s="213"/>
      <c r="K945" s="212">
        <f t="shared" si="94"/>
        <v>0</v>
      </c>
      <c r="L945" s="272">
        <f t="shared" si="95"/>
        <v>1900</v>
      </c>
      <c r="M945" s="272">
        <f t="shared" si="96"/>
        <v>1</v>
      </c>
      <c r="N945" s="273"/>
      <c r="O945" s="61">
        <f t="shared" si="97"/>
        <v>1900</v>
      </c>
      <c r="P945" s="61">
        <f t="shared" si="98"/>
        <v>1</v>
      </c>
      <c r="R945" s="272"/>
      <c r="S945" s="272"/>
      <c r="T945" s="273" t="str">
        <f t="shared" si="99"/>
        <v>-</v>
      </c>
    </row>
    <row r="946" spans="1:20">
      <c r="A946" s="269"/>
      <c r="B946" s="57"/>
      <c r="C946" s="55"/>
      <c r="D946" s="55"/>
      <c r="E946" s="55"/>
      <c r="F946" s="55"/>
      <c r="G946" s="275"/>
      <c r="H946" s="276"/>
      <c r="I946" s="213"/>
      <c r="J946" s="213"/>
      <c r="K946" s="212">
        <f t="shared" si="94"/>
        <v>0</v>
      </c>
      <c r="L946" s="272">
        <f t="shared" si="95"/>
        <v>1900</v>
      </c>
      <c r="M946" s="272">
        <f t="shared" si="96"/>
        <v>1</v>
      </c>
      <c r="N946" s="273"/>
      <c r="O946" s="61">
        <f t="shared" si="97"/>
        <v>1900</v>
      </c>
      <c r="P946" s="61">
        <f t="shared" si="98"/>
        <v>1</v>
      </c>
      <c r="R946" s="272"/>
      <c r="S946" s="272"/>
      <c r="T946" s="273" t="str">
        <f t="shared" si="99"/>
        <v>-</v>
      </c>
    </row>
    <row r="947" spans="1:20">
      <c r="A947" s="269"/>
      <c r="B947" s="57"/>
      <c r="C947" s="55"/>
      <c r="D947" s="55"/>
      <c r="E947" s="55"/>
      <c r="F947" s="55"/>
      <c r="G947" s="275"/>
      <c r="H947" s="276"/>
      <c r="I947" s="213"/>
      <c r="J947" s="213"/>
      <c r="K947" s="212">
        <f t="shared" si="94"/>
        <v>0</v>
      </c>
      <c r="L947" s="272">
        <f t="shared" si="95"/>
        <v>1900</v>
      </c>
      <c r="M947" s="272">
        <f t="shared" si="96"/>
        <v>1</v>
      </c>
      <c r="N947" s="273"/>
      <c r="O947" s="61">
        <f t="shared" si="97"/>
        <v>1900</v>
      </c>
      <c r="P947" s="61">
        <f t="shared" si="98"/>
        <v>1</v>
      </c>
      <c r="R947" s="272"/>
      <c r="S947" s="272"/>
      <c r="T947" s="273" t="str">
        <f t="shared" si="99"/>
        <v>-</v>
      </c>
    </row>
    <row r="948" spans="1:20">
      <c r="A948" s="269"/>
      <c r="B948" s="57"/>
      <c r="C948" s="55"/>
      <c r="D948" s="55"/>
      <c r="E948" s="55"/>
      <c r="F948" s="55"/>
      <c r="G948" s="275"/>
      <c r="H948" s="276"/>
      <c r="I948" s="213"/>
      <c r="J948" s="213"/>
      <c r="K948" s="212">
        <f t="shared" si="94"/>
        <v>0</v>
      </c>
      <c r="L948" s="272">
        <f t="shared" si="95"/>
        <v>1900</v>
      </c>
      <c r="M948" s="272">
        <f t="shared" si="96"/>
        <v>1</v>
      </c>
      <c r="N948" s="273"/>
      <c r="O948" s="61">
        <f t="shared" si="97"/>
        <v>1900</v>
      </c>
      <c r="P948" s="61">
        <f t="shared" si="98"/>
        <v>1</v>
      </c>
      <c r="R948" s="272"/>
      <c r="S948" s="272"/>
      <c r="T948" s="273" t="str">
        <f t="shared" si="99"/>
        <v>-</v>
      </c>
    </row>
    <row r="949" spans="1:20">
      <c r="A949" s="269"/>
      <c r="B949" s="57"/>
      <c r="C949" s="55"/>
      <c r="D949" s="55"/>
      <c r="E949" s="55"/>
      <c r="F949" s="55"/>
      <c r="G949" s="275"/>
      <c r="H949" s="276"/>
      <c r="I949" s="213"/>
      <c r="J949" s="213"/>
      <c r="K949" s="212">
        <f t="shared" si="94"/>
        <v>0</v>
      </c>
      <c r="L949" s="272">
        <f t="shared" si="95"/>
        <v>1900</v>
      </c>
      <c r="M949" s="272">
        <f t="shared" si="96"/>
        <v>1</v>
      </c>
      <c r="N949" s="273"/>
      <c r="O949" s="61">
        <f t="shared" si="97"/>
        <v>1900</v>
      </c>
      <c r="P949" s="61">
        <f t="shared" si="98"/>
        <v>1</v>
      </c>
      <c r="R949" s="272"/>
      <c r="S949" s="272"/>
      <c r="T949" s="273" t="str">
        <f t="shared" si="99"/>
        <v>-</v>
      </c>
    </row>
    <row r="950" spans="1:20">
      <c r="A950" s="269"/>
      <c r="B950" s="57"/>
      <c r="C950" s="55"/>
      <c r="D950" s="55"/>
      <c r="E950" s="55"/>
      <c r="F950" s="55"/>
      <c r="G950" s="275"/>
      <c r="H950" s="276"/>
      <c r="I950" s="213"/>
      <c r="J950" s="213"/>
      <c r="K950" s="212">
        <f t="shared" si="94"/>
        <v>0</v>
      </c>
      <c r="L950" s="272">
        <f t="shared" si="95"/>
        <v>1900</v>
      </c>
      <c r="M950" s="272">
        <f t="shared" si="96"/>
        <v>1</v>
      </c>
      <c r="N950" s="273"/>
      <c r="O950" s="61">
        <f t="shared" si="97"/>
        <v>1900</v>
      </c>
      <c r="P950" s="61">
        <f t="shared" si="98"/>
        <v>1</v>
      </c>
      <c r="R950" s="272"/>
      <c r="S950" s="272"/>
      <c r="T950" s="273" t="str">
        <f t="shared" si="99"/>
        <v>-</v>
      </c>
    </row>
    <row r="951" spans="1:20">
      <c r="A951" s="269"/>
      <c r="B951" s="57"/>
      <c r="C951" s="55"/>
      <c r="D951" s="55"/>
      <c r="E951" s="55"/>
      <c r="F951" s="55"/>
      <c r="G951" s="275"/>
      <c r="H951" s="276"/>
      <c r="I951" s="213"/>
      <c r="J951" s="213"/>
      <c r="K951" s="212">
        <f t="shared" si="94"/>
        <v>0</v>
      </c>
      <c r="L951" s="272">
        <f t="shared" si="95"/>
        <v>1900</v>
      </c>
      <c r="M951" s="272">
        <f t="shared" si="96"/>
        <v>1</v>
      </c>
      <c r="N951" s="273"/>
      <c r="O951" s="61">
        <f t="shared" si="97"/>
        <v>1900</v>
      </c>
      <c r="P951" s="61">
        <f t="shared" si="98"/>
        <v>1</v>
      </c>
      <c r="R951" s="272"/>
      <c r="S951" s="272"/>
      <c r="T951" s="273" t="str">
        <f t="shared" si="99"/>
        <v>-</v>
      </c>
    </row>
    <row r="952" spans="1:20">
      <c r="A952" s="269"/>
      <c r="B952" s="57"/>
      <c r="C952" s="55"/>
      <c r="D952" s="55"/>
      <c r="E952" s="55"/>
      <c r="F952" s="55"/>
      <c r="G952" s="275"/>
      <c r="H952" s="276"/>
      <c r="I952" s="213"/>
      <c r="J952" s="213"/>
      <c r="K952" s="212">
        <f t="shared" si="94"/>
        <v>0</v>
      </c>
      <c r="L952" s="272">
        <f t="shared" si="95"/>
        <v>1900</v>
      </c>
      <c r="M952" s="272">
        <f t="shared" si="96"/>
        <v>1</v>
      </c>
      <c r="N952" s="273"/>
      <c r="O952" s="61">
        <f t="shared" si="97"/>
        <v>1900</v>
      </c>
      <c r="P952" s="61">
        <f t="shared" si="98"/>
        <v>1</v>
      </c>
      <c r="R952" s="272"/>
      <c r="S952" s="272"/>
      <c r="T952" s="273" t="str">
        <f t="shared" si="99"/>
        <v>-</v>
      </c>
    </row>
    <row r="953" spans="1:20">
      <c r="A953" s="269"/>
      <c r="B953" s="57"/>
      <c r="C953" s="55"/>
      <c r="D953" s="55"/>
      <c r="E953" s="55"/>
      <c r="F953" s="55"/>
      <c r="G953" s="275"/>
      <c r="H953" s="276"/>
      <c r="I953" s="213"/>
      <c r="J953" s="213"/>
      <c r="K953" s="212">
        <f t="shared" si="94"/>
        <v>0</v>
      </c>
      <c r="L953" s="272">
        <f t="shared" si="95"/>
        <v>1900</v>
      </c>
      <c r="M953" s="272">
        <f t="shared" si="96"/>
        <v>1</v>
      </c>
      <c r="N953" s="273"/>
      <c r="O953" s="61">
        <f t="shared" si="97"/>
        <v>1900</v>
      </c>
      <c r="P953" s="61">
        <f t="shared" si="98"/>
        <v>1</v>
      </c>
      <c r="R953" s="272"/>
      <c r="S953" s="272"/>
      <c r="T953" s="273" t="str">
        <f t="shared" si="99"/>
        <v>-</v>
      </c>
    </row>
    <row r="954" spans="1:20">
      <c r="A954" s="269"/>
      <c r="B954" s="57"/>
      <c r="C954" s="55"/>
      <c r="D954" s="55"/>
      <c r="E954" s="55"/>
      <c r="F954" s="55"/>
      <c r="G954" s="275"/>
      <c r="H954" s="276"/>
      <c r="I954" s="213"/>
      <c r="J954" s="213"/>
      <c r="K954" s="212">
        <f t="shared" si="94"/>
        <v>0</v>
      </c>
      <c r="L954" s="272">
        <f t="shared" si="95"/>
        <v>1900</v>
      </c>
      <c r="M954" s="272">
        <f t="shared" si="96"/>
        <v>1</v>
      </c>
      <c r="N954" s="273"/>
      <c r="O954" s="61">
        <f t="shared" si="97"/>
        <v>1900</v>
      </c>
      <c r="P954" s="61">
        <f t="shared" si="98"/>
        <v>1</v>
      </c>
      <c r="R954" s="272"/>
      <c r="S954" s="272"/>
      <c r="T954" s="273" t="str">
        <f t="shared" si="99"/>
        <v>-</v>
      </c>
    </row>
    <row r="955" spans="1:20">
      <c r="A955" s="269"/>
      <c r="B955" s="57"/>
      <c r="C955" s="55"/>
      <c r="D955" s="55"/>
      <c r="E955" s="55"/>
      <c r="F955" s="55"/>
      <c r="G955" s="275"/>
      <c r="H955" s="276"/>
      <c r="I955" s="213"/>
      <c r="J955" s="213"/>
      <c r="K955" s="212">
        <f t="shared" si="94"/>
        <v>0</v>
      </c>
      <c r="L955" s="272">
        <f t="shared" si="95"/>
        <v>1900</v>
      </c>
      <c r="M955" s="272">
        <f t="shared" si="96"/>
        <v>1</v>
      </c>
      <c r="N955" s="273"/>
      <c r="O955" s="61">
        <f t="shared" si="97"/>
        <v>1900</v>
      </c>
      <c r="P955" s="61">
        <f t="shared" si="98"/>
        <v>1</v>
      </c>
      <c r="R955" s="272"/>
      <c r="S955" s="272"/>
      <c r="T955" s="273" t="str">
        <f t="shared" si="99"/>
        <v>-</v>
      </c>
    </row>
    <row r="956" spans="1:20">
      <c r="A956" s="269"/>
      <c r="B956" s="57"/>
      <c r="C956" s="55"/>
      <c r="D956" s="55"/>
      <c r="E956" s="55"/>
      <c r="F956" s="55"/>
      <c r="G956" s="275"/>
      <c r="H956" s="276"/>
      <c r="I956" s="213"/>
      <c r="J956" s="213"/>
      <c r="K956" s="212">
        <f t="shared" si="94"/>
        <v>0</v>
      </c>
      <c r="L956" s="272">
        <f t="shared" si="95"/>
        <v>1900</v>
      </c>
      <c r="M956" s="272">
        <f t="shared" si="96"/>
        <v>1</v>
      </c>
      <c r="N956" s="273"/>
      <c r="O956" s="61">
        <f t="shared" si="97"/>
        <v>1900</v>
      </c>
      <c r="P956" s="61">
        <f t="shared" si="98"/>
        <v>1</v>
      </c>
      <c r="R956" s="272"/>
      <c r="S956" s="272"/>
      <c r="T956" s="273" t="str">
        <f t="shared" si="99"/>
        <v>-</v>
      </c>
    </row>
    <row r="957" spans="1:20">
      <c r="A957" s="269"/>
      <c r="B957" s="57"/>
      <c r="C957" s="55"/>
      <c r="D957" s="55"/>
      <c r="E957" s="55"/>
      <c r="F957" s="55"/>
      <c r="G957" s="275"/>
      <c r="H957" s="276"/>
      <c r="I957" s="213"/>
      <c r="J957" s="213"/>
      <c r="K957" s="212">
        <f t="shared" si="94"/>
        <v>0</v>
      </c>
      <c r="L957" s="272">
        <f t="shared" si="95"/>
        <v>1900</v>
      </c>
      <c r="M957" s="272">
        <f t="shared" si="96"/>
        <v>1</v>
      </c>
      <c r="N957" s="273"/>
      <c r="O957" s="61">
        <f t="shared" si="97"/>
        <v>1900</v>
      </c>
      <c r="P957" s="61">
        <f t="shared" si="98"/>
        <v>1</v>
      </c>
      <c r="R957" s="272"/>
      <c r="S957" s="272"/>
      <c r="T957" s="273" t="str">
        <f t="shared" si="99"/>
        <v>-</v>
      </c>
    </row>
    <row r="958" spans="1:20">
      <c r="A958" s="269"/>
      <c r="B958" s="57"/>
      <c r="C958" s="55"/>
      <c r="D958" s="55"/>
      <c r="E958" s="55"/>
      <c r="F958" s="55"/>
      <c r="G958" s="275"/>
      <c r="H958" s="276"/>
      <c r="I958" s="213"/>
      <c r="J958" s="213"/>
      <c r="K958" s="212">
        <f t="shared" si="94"/>
        <v>0</v>
      </c>
      <c r="L958" s="272">
        <f t="shared" si="95"/>
        <v>1900</v>
      </c>
      <c r="M958" s="272">
        <f t="shared" si="96"/>
        <v>1</v>
      </c>
      <c r="N958" s="273"/>
      <c r="O958" s="61">
        <f t="shared" si="97"/>
        <v>1900</v>
      </c>
      <c r="P958" s="61">
        <f t="shared" si="98"/>
        <v>1</v>
      </c>
      <c r="R958" s="272"/>
      <c r="S958" s="272"/>
      <c r="T958" s="273" t="str">
        <f t="shared" si="99"/>
        <v>-</v>
      </c>
    </row>
    <row r="959" spans="1:20">
      <c r="A959" s="269"/>
      <c r="B959" s="57"/>
      <c r="C959" s="55"/>
      <c r="D959" s="55"/>
      <c r="E959" s="55"/>
      <c r="F959" s="55"/>
      <c r="G959" s="275"/>
      <c r="H959" s="276"/>
      <c r="I959" s="213"/>
      <c r="J959" s="213"/>
      <c r="K959" s="212">
        <f t="shared" si="94"/>
        <v>0</v>
      </c>
      <c r="L959" s="272">
        <f t="shared" si="95"/>
        <v>1900</v>
      </c>
      <c r="M959" s="272">
        <f t="shared" si="96"/>
        <v>1</v>
      </c>
      <c r="N959" s="273"/>
      <c r="O959" s="61">
        <f t="shared" si="97"/>
        <v>1900</v>
      </c>
      <c r="P959" s="61">
        <f t="shared" si="98"/>
        <v>1</v>
      </c>
      <c r="R959" s="272"/>
      <c r="S959" s="272"/>
      <c r="T959" s="273" t="str">
        <f t="shared" si="99"/>
        <v>-</v>
      </c>
    </row>
    <row r="960" spans="1:20">
      <c r="A960" s="269"/>
      <c r="B960" s="57"/>
      <c r="C960" s="55"/>
      <c r="D960" s="55"/>
      <c r="E960" s="55"/>
      <c r="F960" s="55"/>
      <c r="G960" s="275"/>
      <c r="H960" s="276"/>
      <c r="I960" s="213"/>
      <c r="J960" s="213"/>
      <c r="K960" s="212">
        <f t="shared" si="94"/>
        <v>0</v>
      </c>
      <c r="L960" s="272">
        <f t="shared" si="95"/>
        <v>1900</v>
      </c>
      <c r="M960" s="272">
        <f t="shared" si="96"/>
        <v>1</v>
      </c>
      <c r="N960" s="273"/>
      <c r="O960" s="61">
        <f t="shared" si="97"/>
        <v>1900</v>
      </c>
      <c r="P960" s="61">
        <f t="shared" si="98"/>
        <v>1</v>
      </c>
      <c r="R960" s="272"/>
      <c r="S960" s="272"/>
      <c r="T960" s="273" t="str">
        <f t="shared" si="99"/>
        <v>-</v>
      </c>
    </row>
    <row r="961" spans="1:20">
      <c r="A961" s="269"/>
      <c r="B961" s="57"/>
      <c r="C961" s="55"/>
      <c r="D961" s="55"/>
      <c r="E961" s="55"/>
      <c r="F961" s="55"/>
      <c r="G961" s="275"/>
      <c r="H961" s="276"/>
      <c r="I961" s="213"/>
      <c r="J961" s="213"/>
      <c r="K961" s="212">
        <f t="shared" si="94"/>
        <v>0</v>
      </c>
      <c r="L961" s="272">
        <f t="shared" si="95"/>
        <v>1900</v>
      </c>
      <c r="M961" s="272">
        <f t="shared" si="96"/>
        <v>1</v>
      </c>
      <c r="N961" s="273"/>
      <c r="O961" s="61">
        <f t="shared" si="97"/>
        <v>1900</v>
      </c>
      <c r="P961" s="61">
        <f t="shared" si="98"/>
        <v>1</v>
      </c>
      <c r="R961" s="272"/>
      <c r="S961" s="272"/>
      <c r="T961" s="273" t="str">
        <f t="shared" si="99"/>
        <v>-</v>
      </c>
    </row>
    <row r="962" spans="1:20">
      <c r="A962" s="269"/>
      <c r="B962" s="57"/>
      <c r="C962" s="55"/>
      <c r="D962" s="55"/>
      <c r="E962" s="55"/>
      <c r="F962" s="55"/>
      <c r="G962" s="275"/>
      <c r="H962" s="276"/>
      <c r="I962" s="213"/>
      <c r="J962" s="213"/>
      <c r="K962" s="212">
        <f t="shared" si="94"/>
        <v>0</v>
      </c>
      <c r="L962" s="272">
        <f t="shared" si="95"/>
        <v>1900</v>
      </c>
      <c r="M962" s="272">
        <f t="shared" si="96"/>
        <v>1</v>
      </c>
      <c r="N962" s="273"/>
      <c r="O962" s="61">
        <f t="shared" si="97"/>
        <v>1900</v>
      </c>
      <c r="P962" s="61">
        <f t="shared" si="98"/>
        <v>1</v>
      </c>
      <c r="R962" s="272"/>
      <c r="S962" s="272"/>
      <c r="T962" s="273" t="str">
        <f t="shared" si="99"/>
        <v>-</v>
      </c>
    </row>
    <row r="963" spans="1:20">
      <c r="A963" s="269"/>
      <c r="B963" s="57"/>
      <c r="C963" s="55"/>
      <c r="D963" s="55"/>
      <c r="E963" s="55"/>
      <c r="F963" s="55"/>
      <c r="G963" s="275"/>
      <c r="H963" s="276"/>
      <c r="I963" s="213"/>
      <c r="J963" s="213"/>
      <c r="K963" s="212">
        <f t="shared" si="94"/>
        <v>0</v>
      </c>
      <c r="L963" s="272">
        <f t="shared" si="95"/>
        <v>1900</v>
      </c>
      <c r="M963" s="272">
        <f t="shared" si="96"/>
        <v>1</v>
      </c>
      <c r="N963" s="273"/>
      <c r="O963" s="61">
        <f t="shared" si="97"/>
        <v>1900</v>
      </c>
      <c r="P963" s="61">
        <f t="shared" si="98"/>
        <v>1</v>
      </c>
      <c r="R963" s="272"/>
      <c r="S963" s="272"/>
      <c r="T963" s="273" t="str">
        <f t="shared" si="99"/>
        <v>-</v>
      </c>
    </row>
    <row r="964" spans="1:20">
      <c r="A964" s="269"/>
      <c r="B964" s="57"/>
      <c r="C964" s="55"/>
      <c r="D964" s="55"/>
      <c r="E964" s="55"/>
      <c r="F964" s="55"/>
      <c r="G964" s="275"/>
      <c r="H964" s="276"/>
      <c r="I964" s="213"/>
      <c r="J964" s="213"/>
      <c r="K964" s="212">
        <f t="shared" si="94"/>
        <v>0</v>
      </c>
      <c r="L964" s="272">
        <f t="shared" si="95"/>
        <v>1900</v>
      </c>
      <c r="M964" s="272">
        <f t="shared" si="96"/>
        <v>1</v>
      </c>
      <c r="N964" s="273"/>
      <c r="O964" s="61">
        <f t="shared" si="97"/>
        <v>1900</v>
      </c>
      <c r="P964" s="61">
        <f t="shared" si="98"/>
        <v>1</v>
      </c>
      <c r="R964" s="272"/>
      <c r="S964" s="272"/>
      <c r="T964" s="273" t="str">
        <f t="shared" si="99"/>
        <v>-</v>
      </c>
    </row>
    <row r="965" spans="1:20">
      <c r="A965" s="269"/>
      <c r="B965" s="57"/>
      <c r="C965" s="55"/>
      <c r="D965" s="55"/>
      <c r="E965" s="55"/>
      <c r="F965" s="55"/>
      <c r="G965" s="275"/>
      <c r="H965" s="276"/>
      <c r="I965" s="213"/>
      <c r="J965" s="213"/>
      <c r="K965" s="212">
        <f t="shared" si="94"/>
        <v>0</v>
      </c>
      <c r="L965" s="272">
        <f t="shared" si="95"/>
        <v>1900</v>
      </c>
      <c r="M965" s="272">
        <f t="shared" si="96"/>
        <v>1</v>
      </c>
      <c r="N965" s="273"/>
      <c r="O965" s="61">
        <f t="shared" si="97"/>
        <v>1900</v>
      </c>
      <c r="P965" s="61">
        <f t="shared" si="98"/>
        <v>1</v>
      </c>
      <c r="R965" s="272"/>
      <c r="S965" s="272"/>
      <c r="T965" s="273" t="str">
        <f t="shared" si="99"/>
        <v>-</v>
      </c>
    </row>
    <row r="966" spans="1:20">
      <c r="A966" s="269"/>
      <c r="B966" s="57"/>
      <c r="C966" s="55"/>
      <c r="D966" s="55"/>
      <c r="E966" s="55"/>
      <c r="F966" s="55"/>
      <c r="G966" s="275"/>
      <c r="H966" s="276"/>
      <c r="I966" s="213"/>
      <c r="J966" s="213"/>
      <c r="K966" s="212">
        <f t="shared" si="94"/>
        <v>0</v>
      </c>
      <c r="L966" s="272">
        <f t="shared" si="95"/>
        <v>1900</v>
      </c>
      <c r="M966" s="272">
        <f t="shared" si="96"/>
        <v>1</v>
      </c>
      <c r="N966" s="273"/>
      <c r="O966" s="61">
        <f t="shared" si="97"/>
        <v>1900</v>
      </c>
      <c r="P966" s="61">
        <f t="shared" si="98"/>
        <v>1</v>
      </c>
      <c r="R966" s="272"/>
      <c r="S966" s="272"/>
      <c r="T966" s="273" t="str">
        <f t="shared" si="99"/>
        <v>-</v>
      </c>
    </row>
    <row r="967" spans="1:20">
      <c r="A967" s="269"/>
      <c r="B967" s="57"/>
      <c r="C967" s="55"/>
      <c r="D967" s="55"/>
      <c r="E967" s="55"/>
      <c r="F967" s="55"/>
      <c r="G967" s="275"/>
      <c r="H967" s="276"/>
      <c r="I967" s="213"/>
      <c r="J967" s="213"/>
      <c r="K967" s="212">
        <f t="shared" si="94"/>
        <v>0</v>
      </c>
      <c r="L967" s="272">
        <f t="shared" si="95"/>
        <v>1900</v>
      </c>
      <c r="M967" s="272">
        <f t="shared" si="96"/>
        <v>1</v>
      </c>
      <c r="N967" s="273"/>
      <c r="O967" s="61">
        <f t="shared" si="97"/>
        <v>1900</v>
      </c>
      <c r="P967" s="61">
        <f t="shared" si="98"/>
        <v>1</v>
      </c>
      <c r="R967" s="272"/>
      <c r="S967" s="272"/>
      <c r="T967" s="273" t="str">
        <f t="shared" si="99"/>
        <v>-</v>
      </c>
    </row>
    <row r="968" spans="1:20">
      <c r="A968" s="269"/>
      <c r="B968" s="57"/>
      <c r="C968" s="55"/>
      <c r="D968" s="55"/>
      <c r="E968" s="55"/>
      <c r="F968" s="55"/>
      <c r="G968" s="275"/>
      <c r="H968" s="276"/>
      <c r="I968" s="213"/>
      <c r="J968" s="213"/>
      <c r="K968" s="212">
        <f t="shared" si="94"/>
        <v>0</v>
      </c>
      <c r="L968" s="272">
        <f t="shared" si="95"/>
        <v>1900</v>
      </c>
      <c r="M968" s="272">
        <f t="shared" si="96"/>
        <v>1</v>
      </c>
      <c r="N968" s="273"/>
      <c r="O968" s="61">
        <f t="shared" si="97"/>
        <v>1900</v>
      </c>
      <c r="P968" s="61">
        <f t="shared" si="98"/>
        <v>1</v>
      </c>
      <c r="R968" s="272"/>
      <c r="S968" s="272"/>
      <c r="T968" s="273" t="str">
        <f t="shared" si="99"/>
        <v>-</v>
      </c>
    </row>
    <row r="969" spans="1:20">
      <c r="A969" s="269"/>
      <c r="B969" s="57"/>
      <c r="C969" s="55"/>
      <c r="D969" s="55"/>
      <c r="E969" s="55"/>
      <c r="F969" s="55"/>
      <c r="G969" s="275"/>
      <c r="H969" s="276"/>
      <c r="I969" s="213"/>
      <c r="J969" s="213"/>
      <c r="K969" s="212">
        <f t="shared" si="94"/>
        <v>0</v>
      </c>
      <c r="L969" s="272">
        <f t="shared" si="95"/>
        <v>1900</v>
      </c>
      <c r="M969" s="272">
        <f t="shared" si="96"/>
        <v>1</v>
      </c>
      <c r="N969" s="273"/>
      <c r="O969" s="61">
        <f t="shared" si="97"/>
        <v>1900</v>
      </c>
      <c r="P969" s="61">
        <f t="shared" si="98"/>
        <v>1</v>
      </c>
      <c r="R969" s="272"/>
      <c r="S969" s="272"/>
      <c r="T969" s="273" t="str">
        <f t="shared" si="99"/>
        <v>-</v>
      </c>
    </row>
    <row r="970" spans="1:20">
      <c r="A970" s="269"/>
      <c r="B970" s="57"/>
      <c r="C970" s="55"/>
      <c r="D970" s="55"/>
      <c r="E970" s="55"/>
      <c r="F970" s="55"/>
      <c r="G970" s="275"/>
      <c r="H970" s="276"/>
      <c r="I970" s="213"/>
      <c r="J970" s="213"/>
      <c r="K970" s="212">
        <f t="shared" si="94"/>
        <v>0</v>
      </c>
      <c r="L970" s="272">
        <f t="shared" si="95"/>
        <v>1900</v>
      </c>
      <c r="M970" s="272">
        <f t="shared" si="96"/>
        <v>1</v>
      </c>
      <c r="N970" s="273"/>
      <c r="O970" s="61">
        <f t="shared" si="97"/>
        <v>1900</v>
      </c>
      <c r="P970" s="61">
        <f t="shared" si="98"/>
        <v>1</v>
      </c>
      <c r="R970" s="272"/>
      <c r="S970" s="272"/>
      <c r="T970" s="273" t="str">
        <f t="shared" si="99"/>
        <v>-</v>
      </c>
    </row>
    <row r="971" spans="1:20">
      <c r="A971" s="269"/>
      <c r="B971" s="57"/>
      <c r="C971" s="55"/>
      <c r="D971" s="55"/>
      <c r="E971" s="55"/>
      <c r="F971" s="55"/>
      <c r="G971" s="275"/>
      <c r="H971" s="276"/>
      <c r="I971" s="213"/>
      <c r="J971" s="213"/>
      <c r="K971" s="212">
        <f t="shared" si="94"/>
        <v>0</v>
      </c>
      <c r="L971" s="272">
        <f t="shared" si="95"/>
        <v>1900</v>
      </c>
      <c r="M971" s="272">
        <f t="shared" si="96"/>
        <v>1</v>
      </c>
      <c r="N971" s="273"/>
      <c r="O971" s="61">
        <f t="shared" si="97"/>
        <v>1900</v>
      </c>
      <c r="P971" s="61">
        <f t="shared" si="98"/>
        <v>1</v>
      </c>
      <c r="R971" s="272"/>
      <c r="S971" s="272"/>
      <c r="T971" s="273" t="str">
        <f t="shared" si="99"/>
        <v>-</v>
      </c>
    </row>
    <row r="972" spans="1:20">
      <c r="A972" s="269"/>
      <c r="B972" s="57"/>
      <c r="C972" s="55"/>
      <c r="D972" s="55"/>
      <c r="E972" s="55"/>
      <c r="F972" s="55"/>
      <c r="G972" s="275"/>
      <c r="H972" s="276"/>
      <c r="I972" s="213"/>
      <c r="J972" s="213"/>
      <c r="K972" s="212">
        <f t="shared" si="94"/>
        <v>0</v>
      </c>
      <c r="L972" s="272">
        <f t="shared" si="95"/>
        <v>1900</v>
      </c>
      <c r="M972" s="272">
        <f t="shared" si="96"/>
        <v>1</v>
      </c>
      <c r="N972" s="273"/>
      <c r="O972" s="61">
        <f t="shared" si="97"/>
        <v>1900</v>
      </c>
      <c r="P972" s="61">
        <f t="shared" si="98"/>
        <v>1</v>
      </c>
      <c r="R972" s="272"/>
      <c r="S972" s="272"/>
      <c r="T972" s="273" t="str">
        <f t="shared" si="99"/>
        <v>-</v>
      </c>
    </row>
    <row r="973" spans="1:20">
      <c r="A973" s="269"/>
      <c r="B973" s="57"/>
      <c r="C973" s="55"/>
      <c r="D973" s="55"/>
      <c r="E973" s="55"/>
      <c r="F973" s="55"/>
      <c r="G973" s="275"/>
      <c r="H973" s="276"/>
      <c r="I973" s="213"/>
      <c r="J973" s="213"/>
      <c r="K973" s="212">
        <f t="shared" si="94"/>
        <v>0</v>
      </c>
      <c r="L973" s="272">
        <f t="shared" si="95"/>
        <v>1900</v>
      </c>
      <c r="M973" s="272">
        <f t="shared" si="96"/>
        <v>1</v>
      </c>
      <c r="N973" s="273"/>
      <c r="O973" s="61">
        <f t="shared" si="97"/>
        <v>1900</v>
      </c>
      <c r="P973" s="61">
        <f t="shared" si="98"/>
        <v>1</v>
      </c>
      <c r="R973" s="272"/>
      <c r="S973" s="272"/>
      <c r="T973" s="273" t="str">
        <f t="shared" si="99"/>
        <v>-</v>
      </c>
    </row>
    <row r="974" spans="1:20">
      <c r="A974" s="269"/>
      <c r="B974" s="57"/>
      <c r="C974" s="55"/>
      <c r="D974" s="55"/>
      <c r="E974" s="55"/>
      <c r="F974" s="55"/>
      <c r="G974" s="275"/>
      <c r="H974" s="276"/>
      <c r="I974" s="213"/>
      <c r="J974" s="213"/>
      <c r="K974" s="212">
        <f t="shared" si="94"/>
        <v>0</v>
      </c>
      <c r="L974" s="272">
        <f t="shared" si="95"/>
        <v>1900</v>
      </c>
      <c r="M974" s="272">
        <f t="shared" si="96"/>
        <v>1</v>
      </c>
      <c r="N974" s="273"/>
      <c r="O974" s="61">
        <f t="shared" si="97"/>
        <v>1900</v>
      </c>
      <c r="P974" s="61">
        <f t="shared" si="98"/>
        <v>1</v>
      </c>
      <c r="R974" s="272"/>
      <c r="S974" s="272"/>
      <c r="T974" s="273" t="str">
        <f t="shared" si="99"/>
        <v>-</v>
      </c>
    </row>
    <row r="975" spans="1:20">
      <c r="A975" s="269"/>
      <c r="B975" s="57"/>
      <c r="C975" s="55"/>
      <c r="D975" s="55"/>
      <c r="E975" s="55"/>
      <c r="F975" s="55"/>
      <c r="G975" s="275"/>
      <c r="H975" s="276"/>
      <c r="I975" s="213"/>
      <c r="J975" s="213"/>
      <c r="K975" s="212">
        <f t="shared" ref="K975:K1011" si="100">I975+H975+J975</f>
        <v>0</v>
      </c>
      <c r="L975" s="272">
        <f t="shared" si="95"/>
        <v>1900</v>
      </c>
      <c r="M975" s="272">
        <f t="shared" si="96"/>
        <v>1</v>
      </c>
      <c r="N975" s="273"/>
      <c r="O975" s="61">
        <f t="shared" si="97"/>
        <v>1900</v>
      </c>
      <c r="P975" s="61">
        <f t="shared" si="98"/>
        <v>1</v>
      </c>
      <c r="R975" s="272"/>
      <c r="S975" s="272"/>
      <c r="T975" s="273" t="str">
        <f t="shared" si="99"/>
        <v>-</v>
      </c>
    </row>
    <row r="976" spans="1:20">
      <c r="A976" s="269"/>
      <c r="B976" s="57"/>
      <c r="C976" s="55"/>
      <c r="D976" s="55"/>
      <c r="E976" s="55"/>
      <c r="F976" s="55"/>
      <c r="G976" s="275"/>
      <c r="H976" s="276"/>
      <c r="I976" s="213"/>
      <c r="J976" s="213"/>
      <c r="K976" s="212">
        <f t="shared" si="100"/>
        <v>0</v>
      </c>
      <c r="L976" s="272">
        <f t="shared" ref="L976:L1039" si="101">YEAR(B976)</f>
        <v>1900</v>
      </c>
      <c r="M976" s="272">
        <f t="shared" ref="M976:M1039" si="102">MONTH(B976)</f>
        <v>1</v>
      </c>
      <c r="N976" s="273"/>
      <c r="O976" s="61">
        <f t="shared" ref="O976:O1039" si="103">YEAR(B976)</f>
        <v>1900</v>
      </c>
      <c r="P976" s="61">
        <f t="shared" ref="P976:P1039" si="104">MONTH(B976)</f>
        <v>1</v>
      </c>
      <c r="R976" s="272"/>
      <c r="S976" s="272"/>
      <c r="T976" s="273" t="str">
        <f t="shared" ref="T976:T1039" si="105">IF($E976&gt;0,IF((R976+S976)=$E976,"OK","Error"),"-")</f>
        <v>-</v>
      </c>
    </row>
    <row r="977" spans="1:20">
      <c r="A977" s="269"/>
      <c r="B977" s="57"/>
      <c r="C977" s="55"/>
      <c r="D977" s="55"/>
      <c r="E977" s="55"/>
      <c r="F977" s="55"/>
      <c r="G977" s="275"/>
      <c r="H977" s="276"/>
      <c r="I977" s="213"/>
      <c r="J977" s="213"/>
      <c r="K977" s="212">
        <f t="shared" si="100"/>
        <v>0</v>
      </c>
      <c r="L977" s="272">
        <f t="shared" si="101"/>
        <v>1900</v>
      </c>
      <c r="M977" s="272">
        <f t="shared" si="102"/>
        <v>1</v>
      </c>
      <c r="N977" s="273"/>
      <c r="O977" s="61">
        <f t="shared" si="103"/>
        <v>1900</v>
      </c>
      <c r="P977" s="61">
        <f t="shared" si="104"/>
        <v>1</v>
      </c>
      <c r="R977" s="272"/>
      <c r="S977" s="272"/>
      <c r="T977" s="273" t="str">
        <f t="shared" si="105"/>
        <v>-</v>
      </c>
    </row>
    <row r="978" spans="1:20">
      <c r="A978" s="269"/>
      <c r="B978" s="57"/>
      <c r="C978" s="55"/>
      <c r="D978" s="55"/>
      <c r="E978" s="55"/>
      <c r="F978" s="55"/>
      <c r="G978" s="275"/>
      <c r="H978" s="276"/>
      <c r="I978" s="213"/>
      <c r="J978" s="213"/>
      <c r="K978" s="212">
        <f t="shared" si="100"/>
        <v>0</v>
      </c>
      <c r="L978" s="272">
        <f t="shared" si="101"/>
        <v>1900</v>
      </c>
      <c r="M978" s="272">
        <f t="shared" si="102"/>
        <v>1</v>
      </c>
      <c r="N978" s="273"/>
      <c r="O978" s="61">
        <f t="shared" si="103"/>
        <v>1900</v>
      </c>
      <c r="P978" s="61">
        <f t="shared" si="104"/>
        <v>1</v>
      </c>
      <c r="R978" s="272"/>
      <c r="S978" s="272"/>
      <c r="T978" s="273" t="str">
        <f t="shared" si="105"/>
        <v>-</v>
      </c>
    </row>
    <row r="979" spans="1:20">
      <c r="A979" s="269"/>
      <c r="B979" s="57"/>
      <c r="C979" s="55"/>
      <c r="D979" s="55"/>
      <c r="E979" s="55"/>
      <c r="F979" s="55"/>
      <c r="G979" s="275"/>
      <c r="H979" s="276"/>
      <c r="I979" s="213"/>
      <c r="J979" s="213"/>
      <c r="K979" s="212">
        <f t="shared" si="100"/>
        <v>0</v>
      </c>
      <c r="L979" s="272">
        <f t="shared" si="101"/>
        <v>1900</v>
      </c>
      <c r="M979" s="272">
        <f t="shared" si="102"/>
        <v>1</v>
      </c>
      <c r="N979" s="273"/>
      <c r="O979" s="61">
        <f t="shared" si="103"/>
        <v>1900</v>
      </c>
      <c r="P979" s="61">
        <f t="shared" si="104"/>
        <v>1</v>
      </c>
      <c r="R979" s="272"/>
      <c r="S979" s="272"/>
      <c r="T979" s="273" t="str">
        <f t="shared" si="105"/>
        <v>-</v>
      </c>
    </row>
    <row r="980" spans="1:20">
      <c r="A980" s="269"/>
      <c r="B980" s="57"/>
      <c r="C980" s="55"/>
      <c r="D980" s="55"/>
      <c r="E980" s="55"/>
      <c r="F980" s="55"/>
      <c r="G980" s="275"/>
      <c r="H980" s="276"/>
      <c r="I980" s="213"/>
      <c r="J980" s="213"/>
      <c r="K980" s="212">
        <f t="shared" si="100"/>
        <v>0</v>
      </c>
      <c r="L980" s="272">
        <f t="shared" si="101"/>
        <v>1900</v>
      </c>
      <c r="M980" s="272">
        <f t="shared" si="102"/>
        <v>1</v>
      </c>
      <c r="N980" s="273"/>
      <c r="O980" s="61">
        <f t="shared" si="103"/>
        <v>1900</v>
      </c>
      <c r="P980" s="61">
        <f t="shared" si="104"/>
        <v>1</v>
      </c>
      <c r="R980" s="272"/>
      <c r="S980" s="272"/>
      <c r="T980" s="273" t="str">
        <f t="shared" si="105"/>
        <v>-</v>
      </c>
    </row>
    <row r="981" spans="1:20">
      <c r="A981" s="269"/>
      <c r="B981" s="57"/>
      <c r="C981" s="55"/>
      <c r="D981" s="55"/>
      <c r="E981" s="55"/>
      <c r="F981" s="55"/>
      <c r="G981" s="275"/>
      <c r="H981" s="276"/>
      <c r="I981" s="213"/>
      <c r="J981" s="213"/>
      <c r="K981" s="212">
        <f t="shared" si="100"/>
        <v>0</v>
      </c>
      <c r="L981" s="272">
        <f t="shared" si="101"/>
        <v>1900</v>
      </c>
      <c r="M981" s="272">
        <f t="shared" si="102"/>
        <v>1</v>
      </c>
      <c r="N981" s="273"/>
      <c r="O981" s="61">
        <f t="shared" si="103"/>
        <v>1900</v>
      </c>
      <c r="P981" s="61">
        <f t="shared" si="104"/>
        <v>1</v>
      </c>
      <c r="R981" s="272"/>
      <c r="S981" s="272"/>
      <c r="T981" s="273" t="str">
        <f t="shared" si="105"/>
        <v>-</v>
      </c>
    </row>
    <row r="982" spans="1:20">
      <c r="A982" s="269"/>
      <c r="B982" s="57"/>
      <c r="C982" s="55"/>
      <c r="D982" s="55"/>
      <c r="E982" s="55"/>
      <c r="F982" s="55"/>
      <c r="G982" s="275"/>
      <c r="H982" s="276"/>
      <c r="I982" s="213"/>
      <c r="J982" s="213"/>
      <c r="K982" s="212">
        <f t="shared" si="100"/>
        <v>0</v>
      </c>
      <c r="L982" s="272">
        <f t="shared" si="101"/>
        <v>1900</v>
      </c>
      <c r="M982" s="272">
        <f t="shared" si="102"/>
        <v>1</v>
      </c>
      <c r="N982" s="273"/>
      <c r="O982" s="61">
        <f t="shared" si="103"/>
        <v>1900</v>
      </c>
      <c r="P982" s="61">
        <f t="shared" si="104"/>
        <v>1</v>
      </c>
      <c r="R982" s="272"/>
      <c r="S982" s="272"/>
      <c r="T982" s="273" t="str">
        <f t="shared" si="105"/>
        <v>-</v>
      </c>
    </row>
    <row r="983" spans="1:20">
      <c r="A983" s="269"/>
      <c r="B983" s="57"/>
      <c r="C983" s="55"/>
      <c r="D983" s="55"/>
      <c r="E983" s="55"/>
      <c r="F983" s="55"/>
      <c r="G983" s="275"/>
      <c r="H983" s="276"/>
      <c r="I983" s="213"/>
      <c r="J983" s="213"/>
      <c r="K983" s="212">
        <f t="shared" si="100"/>
        <v>0</v>
      </c>
      <c r="L983" s="272">
        <f t="shared" si="101"/>
        <v>1900</v>
      </c>
      <c r="M983" s="272">
        <f t="shared" si="102"/>
        <v>1</v>
      </c>
      <c r="N983" s="273"/>
      <c r="O983" s="61">
        <f t="shared" si="103"/>
        <v>1900</v>
      </c>
      <c r="P983" s="61">
        <f t="shared" si="104"/>
        <v>1</v>
      </c>
      <c r="R983" s="272"/>
      <c r="S983" s="272"/>
      <c r="T983" s="273" t="str">
        <f t="shared" si="105"/>
        <v>-</v>
      </c>
    </row>
    <row r="984" spans="1:20">
      <c r="A984" s="269"/>
      <c r="B984" s="57"/>
      <c r="C984" s="55"/>
      <c r="D984" s="55"/>
      <c r="E984" s="55"/>
      <c r="F984" s="55"/>
      <c r="G984" s="275"/>
      <c r="H984" s="276"/>
      <c r="I984" s="213"/>
      <c r="J984" s="213"/>
      <c r="K984" s="212">
        <f t="shared" si="100"/>
        <v>0</v>
      </c>
      <c r="L984" s="272">
        <f t="shared" si="101"/>
        <v>1900</v>
      </c>
      <c r="M984" s="272">
        <f t="shared" si="102"/>
        <v>1</v>
      </c>
      <c r="N984" s="273"/>
      <c r="O984" s="61">
        <f t="shared" si="103"/>
        <v>1900</v>
      </c>
      <c r="P984" s="61">
        <f t="shared" si="104"/>
        <v>1</v>
      </c>
      <c r="R984" s="272"/>
      <c r="S984" s="272"/>
      <c r="T984" s="273" t="str">
        <f t="shared" si="105"/>
        <v>-</v>
      </c>
    </row>
    <row r="985" spans="1:20">
      <c r="A985" s="269"/>
      <c r="B985" s="57"/>
      <c r="C985" s="55"/>
      <c r="D985" s="55"/>
      <c r="E985" s="55"/>
      <c r="F985" s="55"/>
      <c r="G985" s="275"/>
      <c r="H985" s="276"/>
      <c r="I985" s="213"/>
      <c r="J985" s="213"/>
      <c r="K985" s="212">
        <f t="shared" si="100"/>
        <v>0</v>
      </c>
      <c r="L985" s="272">
        <f t="shared" si="101"/>
        <v>1900</v>
      </c>
      <c r="M985" s="272">
        <f t="shared" si="102"/>
        <v>1</v>
      </c>
      <c r="N985" s="273"/>
      <c r="O985" s="61">
        <f t="shared" si="103"/>
        <v>1900</v>
      </c>
      <c r="P985" s="61">
        <f t="shared" si="104"/>
        <v>1</v>
      </c>
      <c r="R985" s="272"/>
      <c r="S985" s="272"/>
      <c r="T985" s="273" t="str">
        <f t="shared" si="105"/>
        <v>-</v>
      </c>
    </row>
    <row r="986" spans="1:20">
      <c r="A986" s="269"/>
      <c r="B986" s="57"/>
      <c r="C986" s="55"/>
      <c r="D986" s="55"/>
      <c r="E986" s="55"/>
      <c r="F986" s="55"/>
      <c r="G986" s="275"/>
      <c r="H986" s="276"/>
      <c r="I986" s="213"/>
      <c r="J986" s="213"/>
      <c r="K986" s="212">
        <f t="shared" si="100"/>
        <v>0</v>
      </c>
      <c r="L986" s="272">
        <f t="shared" si="101"/>
        <v>1900</v>
      </c>
      <c r="M986" s="272">
        <f t="shared" si="102"/>
        <v>1</v>
      </c>
      <c r="N986" s="273"/>
      <c r="O986" s="61">
        <f t="shared" si="103"/>
        <v>1900</v>
      </c>
      <c r="P986" s="61">
        <f t="shared" si="104"/>
        <v>1</v>
      </c>
      <c r="R986" s="272"/>
      <c r="S986" s="272"/>
      <c r="T986" s="273" t="str">
        <f t="shared" si="105"/>
        <v>-</v>
      </c>
    </row>
    <row r="987" spans="1:20">
      <c r="A987" s="269"/>
      <c r="B987" s="57"/>
      <c r="C987" s="55"/>
      <c r="D987" s="55"/>
      <c r="E987" s="55"/>
      <c r="F987" s="55"/>
      <c r="G987" s="275"/>
      <c r="H987" s="276"/>
      <c r="I987" s="213"/>
      <c r="J987" s="213"/>
      <c r="K987" s="212">
        <f t="shared" si="100"/>
        <v>0</v>
      </c>
      <c r="L987" s="272">
        <f t="shared" si="101"/>
        <v>1900</v>
      </c>
      <c r="M987" s="272">
        <f t="shared" si="102"/>
        <v>1</v>
      </c>
      <c r="N987" s="273"/>
      <c r="O987" s="61">
        <f t="shared" si="103"/>
        <v>1900</v>
      </c>
      <c r="P987" s="61">
        <f t="shared" si="104"/>
        <v>1</v>
      </c>
      <c r="R987" s="272"/>
      <c r="S987" s="272"/>
      <c r="T987" s="273" t="str">
        <f t="shared" si="105"/>
        <v>-</v>
      </c>
    </row>
    <row r="988" spans="1:20">
      <c r="A988" s="269"/>
      <c r="B988" s="57"/>
      <c r="C988" s="55"/>
      <c r="D988" s="55"/>
      <c r="E988" s="55"/>
      <c r="F988" s="55"/>
      <c r="G988" s="275"/>
      <c r="H988" s="276"/>
      <c r="I988" s="213"/>
      <c r="J988" s="213"/>
      <c r="K988" s="212">
        <f t="shared" si="100"/>
        <v>0</v>
      </c>
      <c r="L988" s="272">
        <f t="shared" si="101"/>
        <v>1900</v>
      </c>
      <c r="M988" s="272">
        <f t="shared" si="102"/>
        <v>1</v>
      </c>
      <c r="N988" s="273"/>
      <c r="O988" s="61">
        <f t="shared" si="103"/>
        <v>1900</v>
      </c>
      <c r="P988" s="61">
        <f t="shared" si="104"/>
        <v>1</v>
      </c>
      <c r="R988" s="272"/>
      <c r="S988" s="272"/>
      <c r="T988" s="273" t="str">
        <f t="shared" si="105"/>
        <v>-</v>
      </c>
    </row>
    <row r="989" spans="1:20">
      <c r="A989" s="269"/>
      <c r="B989" s="57"/>
      <c r="C989" s="55"/>
      <c r="D989" s="55"/>
      <c r="E989" s="55"/>
      <c r="F989" s="55"/>
      <c r="G989" s="275"/>
      <c r="H989" s="276"/>
      <c r="I989" s="213"/>
      <c r="J989" s="213"/>
      <c r="K989" s="212">
        <f t="shared" si="100"/>
        <v>0</v>
      </c>
      <c r="L989" s="272">
        <f t="shared" si="101"/>
        <v>1900</v>
      </c>
      <c r="M989" s="272">
        <f t="shared" si="102"/>
        <v>1</v>
      </c>
      <c r="N989" s="273"/>
      <c r="O989" s="61">
        <f t="shared" si="103"/>
        <v>1900</v>
      </c>
      <c r="P989" s="61">
        <f t="shared" si="104"/>
        <v>1</v>
      </c>
      <c r="R989" s="272"/>
      <c r="S989" s="272"/>
      <c r="T989" s="273" t="str">
        <f t="shared" si="105"/>
        <v>-</v>
      </c>
    </row>
    <row r="990" spans="1:20">
      <c r="A990" s="269"/>
      <c r="B990" s="57"/>
      <c r="C990" s="55"/>
      <c r="D990" s="55"/>
      <c r="E990" s="55"/>
      <c r="F990" s="55"/>
      <c r="G990" s="275"/>
      <c r="H990" s="276"/>
      <c r="I990" s="213"/>
      <c r="J990" s="213"/>
      <c r="K990" s="212">
        <f t="shared" si="100"/>
        <v>0</v>
      </c>
      <c r="L990" s="272">
        <f t="shared" si="101"/>
        <v>1900</v>
      </c>
      <c r="M990" s="272">
        <f t="shared" si="102"/>
        <v>1</v>
      </c>
      <c r="N990" s="273"/>
      <c r="O990" s="61">
        <f t="shared" si="103"/>
        <v>1900</v>
      </c>
      <c r="P990" s="61">
        <f t="shared" si="104"/>
        <v>1</v>
      </c>
      <c r="R990" s="272"/>
      <c r="S990" s="272"/>
      <c r="T990" s="273" t="str">
        <f t="shared" si="105"/>
        <v>-</v>
      </c>
    </row>
    <row r="991" spans="1:20">
      <c r="A991" s="269"/>
      <c r="B991" s="57"/>
      <c r="C991" s="55"/>
      <c r="D991" s="55"/>
      <c r="E991" s="55"/>
      <c r="F991" s="55"/>
      <c r="G991" s="275"/>
      <c r="H991" s="276"/>
      <c r="I991" s="213"/>
      <c r="J991" s="213"/>
      <c r="K991" s="212">
        <f t="shared" si="100"/>
        <v>0</v>
      </c>
      <c r="L991" s="272">
        <f t="shared" si="101"/>
        <v>1900</v>
      </c>
      <c r="M991" s="272">
        <f t="shared" si="102"/>
        <v>1</v>
      </c>
      <c r="N991" s="273"/>
      <c r="O991" s="61">
        <f t="shared" si="103"/>
        <v>1900</v>
      </c>
      <c r="P991" s="61">
        <f t="shared" si="104"/>
        <v>1</v>
      </c>
      <c r="R991" s="272"/>
      <c r="S991" s="272"/>
      <c r="T991" s="273" t="str">
        <f t="shared" si="105"/>
        <v>-</v>
      </c>
    </row>
    <row r="992" spans="1:20">
      <c r="A992" s="269"/>
      <c r="B992" s="57"/>
      <c r="C992" s="55"/>
      <c r="D992" s="55"/>
      <c r="E992" s="55"/>
      <c r="F992" s="55"/>
      <c r="G992" s="275"/>
      <c r="H992" s="276"/>
      <c r="I992" s="213"/>
      <c r="J992" s="213"/>
      <c r="K992" s="212">
        <f t="shared" si="100"/>
        <v>0</v>
      </c>
      <c r="L992" s="272">
        <f t="shared" si="101"/>
        <v>1900</v>
      </c>
      <c r="M992" s="272">
        <f t="shared" si="102"/>
        <v>1</v>
      </c>
      <c r="N992" s="273"/>
      <c r="O992" s="61">
        <f t="shared" si="103"/>
        <v>1900</v>
      </c>
      <c r="P992" s="61">
        <f t="shared" si="104"/>
        <v>1</v>
      </c>
      <c r="R992" s="272"/>
      <c r="S992" s="272"/>
      <c r="T992" s="273" t="str">
        <f t="shared" si="105"/>
        <v>-</v>
      </c>
    </row>
    <row r="993" spans="1:20">
      <c r="A993" s="269"/>
      <c r="B993" s="57"/>
      <c r="C993" s="55"/>
      <c r="D993" s="55"/>
      <c r="E993" s="55"/>
      <c r="F993" s="55"/>
      <c r="G993" s="275"/>
      <c r="H993" s="276"/>
      <c r="I993" s="213"/>
      <c r="J993" s="213"/>
      <c r="K993" s="212">
        <f t="shared" si="100"/>
        <v>0</v>
      </c>
      <c r="L993" s="272">
        <f t="shared" si="101"/>
        <v>1900</v>
      </c>
      <c r="M993" s="272">
        <f t="shared" si="102"/>
        <v>1</v>
      </c>
      <c r="N993" s="273"/>
      <c r="O993" s="61">
        <f t="shared" si="103"/>
        <v>1900</v>
      </c>
      <c r="P993" s="61">
        <f t="shared" si="104"/>
        <v>1</v>
      </c>
      <c r="R993" s="272"/>
      <c r="S993" s="272"/>
      <c r="T993" s="273" t="str">
        <f t="shared" si="105"/>
        <v>-</v>
      </c>
    </row>
    <row r="994" spans="1:20">
      <c r="A994" s="269"/>
      <c r="B994" s="57"/>
      <c r="C994" s="55"/>
      <c r="D994" s="55"/>
      <c r="E994" s="55"/>
      <c r="F994" s="55"/>
      <c r="G994" s="275"/>
      <c r="H994" s="276"/>
      <c r="I994" s="213"/>
      <c r="J994" s="213"/>
      <c r="K994" s="212">
        <f t="shared" si="100"/>
        <v>0</v>
      </c>
      <c r="L994" s="272">
        <f t="shared" si="101"/>
        <v>1900</v>
      </c>
      <c r="M994" s="272">
        <f t="shared" si="102"/>
        <v>1</v>
      </c>
      <c r="N994" s="273"/>
      <c r="O994" s="61">
        <f t="shared" si="103"/>
        <v>1900</v>
      </c>
      <c r="P994" s="61">
        <f t="shared" si="104"/>
        <v>1</v>
      </c>
      <c r="R994" s="272"/>
      <c r="S994" s="272"/>
      <c r="T994" s="273" t="str">
        <f t="shared" si="105"/>
        <v>-</v>
      </c>
    </row>
    <row r="995" spans="1:20">
      <c r="A995" s="269"/>
      <c r="B995" s="57"/>
      <c r="C995" s="55"/>
      <c r="D995" s="55"/>
      <c r="E995" s="55"/>
      <c r="F995" s="55"/>
      <c r="G995" s="275"/>
      <c r="H995" s="276"/>
      <c r="I995" s="213"/>
      <c r="J995" s="213"/>
      <c r="K995" s="212">
        <f t="shared" si="100"/>
        <v>0</v>
      </c>
      <c r="L995" s="272">
        <f t="shared" si="101"/>
        <v>1900</v>
      </c>
      <c r="M995" s="272">
        <f t="shared" si="102"/>
        <v>1</v>
      </c>
      <c r="N995" s="273"/>
      <c r="O995" s="61">
        <f t="shared" si="103"/>
        <v>1900</v>
      </c>
      <c r="P995" s="61">
        <f t="shared" si="104"/>
        <v>1</v>
      </c>
      <c r="R995" s="272"/>
      <c r="S995" s="272"/>
      <c r="T995" s="273" t="str">
        <f t="shared" si="105"/>
        <v>-</v>
      </c>
    </row>
    <row r="996" spans="1:20">
      <c r="A996" s="269"/>
      <c r="B996" s="57"/>
      <c r="C996" s="55"/>
      <c r="D996" s="55"/>
      <c r="E996" s="55"/>
      <c r="F996" s="55"/>
      <c r="G996" s="275"/>
      <c r="H996" s="276"/>
      <c r="I996" s="213"/>
      <c r="J996" s="213"/>
      <c r="K996" s="212">
        <f t="shared" si="100"/>
        <v>0</v>
      </c>
      <c r="L996" s="272">
        <f t="shared" si="101"/>
        <v>1900</v>
      </c>
      <c r="M996" s="272">
        <f t="shared" si="102"/>
        <v>1</v>
      </c>
      <c r="N996" s="273"/>
      <c r="O996" s="61">
        <f t="shared" si="103"/>
        <v>1900</v>
      </c>
      <c r="P996" s="61">
        <f t="shared" si="104"/>
        <v>1</v>
      </c>
      <c r="R996" s="272"/>
      <c r="S996" s="272"/>
      <c r="T996" s="273" t="str">
        <f t="shared" si="105"/>
        <v>-</v>
      </c>
    </row>
    <row r="997" spans="1:20">
      <c r="A997" s="269"/>
      <c r="B997" s="57"/>
      <c r="C997" s="55"/>
      <c r="D997" s="55"/>
      <c r="E997" s="55"/>
      <c r="F997" s="55"/>
      <c r="G997" s="275"/>
      <c r="H997" s="276"/>
      <c r="I997" s="213"/>
      <c r="J997" s="213"/>
      <c r="K997" s="212">
        <f t="shared" si="100"/>
        <v>0</v>
      </c>
      <c r="L997" s="272">
        <f t="shared" si="101"/>
        <v>1900</v>
      </c>
      <c r="M997" s="272">
        <f t="shared" si="102"/>
        <v>1</v>
      </c>
      <c r="N997" s="273"/>
      <c r="O997" s="61">
        <f t="shared" si="103"/>
        <v>1900</v>
      </c>
      <c r="P997" s="61">
        <f t="shared" si="104"/>
        <v>1</v>
      </c>
      <c r="R997" s="272"/>
      <c r="S997" s="272"/>
      <c r="T997" s="273" t="str">
        <f t="shared" si="105"/>
        <v>-</v>
      </c>
    </row>
    <row r="998" spans="1:20">
      <c r="A998" s="269"/>
      <c r="B998" s="57"/>
      <c r="C998" s="55"/>
      <c r="D998" s="55"/>
      <c r="E998" s="55"/>
      <c r="F998" s="55"/>
      <c r="G998" s="275"/>
      <c r="H998" s="276"/>
      <c r="I998" s="213"/>
      <c r="J998" s="213"/>
      <c r="K998" s="212">
        <f t="shared" si="100"/>
        <v>0</v>
      </c>
      <c r="L998" s="272">
        <f t="shared" si="101"/>
        <v>1900</v>
      </c>
      <c r="M998" s="272">
        <f t="shared" si="102"/>
        <v>1</v>
      </c>
      <c r="N998" s="273"/>
      <c r="O998" s="61">
        <f t="shared" si="103"/>
        <v>1900</v>
      </c>
      <c r="P998" s="61">
        <f t="shared" si="104"/>
        <v>1</v>
      </c>
      <c r="R998" s="272"/>
      <c r="S998" s="272"/>
      <c r="T998" s="273" t="str">
        <f t="shared" si="105"/>
        <v>-</v>
      </c>
    </row>
    <row r="999" spans="1:20">
      <c r="A999" s="269"/>
      <c r="B999" s="57"/>
      <c r="C999" s="55"/>
      <c r="D999" s="55"/>
      <c r="E999" s="55"/>
      <c r="F999" s="55"/>
      <c r="G999" s="275"/>
      <c r="H999" s="276"/>
      <c r="I999" s="213"/>
      <c r="J999" s="213"/>
      <c r="K999" s="212">
        <f t="shared" si="100"/>
        <v>0</v>
      </c>
      <c r="L999" s="272">
        <f t="shared" si="101"/>
        <v>1900</v>
      </c>
      <c r="M999" s="272">
        <f t="shared" si="102"/>
        <v>1</v>
      </c>
      <c r="N999" s="273"/>
      <c r="O999" s="61">
        <f t="shared" si="103"/>
        <v>1900</v>
      </c>
      <c r="P999" s="61">
        <f t="shared" si="104"/>
        <v>1</v>
      </c>
      <c r="R999" s="272"/>
      <c r="S999" s="272"/>
      <c r="T999" s="273" t="str">
        <f t="shared" si="105"/>
        <v>-</v>
      </c>
    </row>
    <row r="1000" spans="1:20">
      <c r="A1000" s="269"/>
      <c r="B1000" s="57"/>
      <c r="C1000" s="55"/>
      <c r="D1000" s="55"/>
      <c r="E1000" s="55"/>
      <c r="F1000" s="55"/>
      <c r="G1000" s="275"/>
      <c r="H1000" s="276"/>
      <c r="I1000" s="213"/>
      <c r="J1000" s="213"/>
      <c r="K1000" s="212">
        <f t="shared" si="100"/>
        <v>0</v>
      </c>
      <c r="L1000" s="272">
        <f t="shared" si="101"/>
        <v>1900</v>
      </c>
      <c r="M1000" s="272">
        <f t="shared" si="102"/>
        <v>1</v>
      </c>
      <c r="N1000" s="273"/>
      <c r="O1000" s="61">
        <f t="shared" si="103"/>
        <v>1900</v>
      </c>
      <c r="P1000" s="61">
        <f t="shared" si="104"/>
        <v>1</v>
      </c>
      <c r="R1000" s="272"/>
      <c r="S1000" s="272"/>
      <c r="T1000" s="273" t="str">
        <f t="shared" si="105"/>
        <v>-</v>
      </c>
    </row>
    <row r="1001" spans="1:20">
      <c r="A1001" s="269"/>
      <c r="B1001" s="57"/>
      <c r="C1001" s="55"/>
      <c r="D1001" s="55"/>
      <c r="E1001" s="55"/>
      <c r="F1001" s="55"/>
      <c r="G1001" s="275"/>
      <c r="H1001" s="276"/>
      <c r="I1001" s="213"/>
      <c r="J1001" s="213"/>
      <c r="K1001" s="212">
        <f t="shared" si="100"/>
        <v>0</v>
      </c>
      <c r="L1001" s="272">
        <f t="shared" si="101"/>
        <v>1900</v>
      </c>
      <c r="M1001" s="272">
        <f t="shared" si="102"/>
        <v>1</v>
      </c>
      <c r="N1001" s="273"/>
      <c r="O1001" s="61">
        <f t="shared" si="103"/>
        <v>1900</v>
      </c>
      <c r="P1001" s="61">
        <f t="shared" si="104"/>
        <v>1</v>
      </c>
      <c r="R1001" s="272"/>
      <c r="S1001" s="272"/>
      <c r="T1001" s="273" t="str">
        <f t="shared" si="105"/>
        <v>-</v>
      </c>
    </row>
    <row r="1002" spans="1:20">
      <c r="A1002" s="269"/>
      <c r="B1002" s="57"/>
      <c r="C1002" s="55"/>
      <c r="D1002" s="55"/>
      <c r="E1002" s="55"/>
      <c r="F1002" s="55"/>
      <c r="G1002" s="275"/>
      <c r="H1002" s="276"/>
      <c r="I1002" s="213"/>
      <c r="J1002" s="213"/>
      <c r="K1002" s="212">
        <f t="shared" si="100"/>
        <v>0</v>
      </c>
      <c r="L1002" s="272">
        <f t="shared" si="101"/>
        <v>1900</v>
      </c>
      <c r="M1002" s="272">
        <f t="shared" si="102"/>
        <v>1</v>
      </c>
      <c r="N1002" s="273"/>
      <c r="O1002" s="61">
        <f t="shared" si="103"/>
        <v>1900</v>
      </c>
      <c r="P1002" s="61">
        <f t="shared" si="104"/>
        <v>1</v>
      </c>
      <c r="R1002" s="272"/>
      <c r="S1002" s="272"/>
      <c r="T1002" s="273" t="str">
        <f t="shared" si="105"/>
        <v>-</v>
      </c>
    </row>
    <row r="1003" spans="1:20">
      <c r="A1003" s="269"/>
      <c r="B1003" s="57"/>
      <c r="C1003" s="55"/>
      <c r="D1003" s="55"/>
      <c r="E1003" s="55"/>
      <c r="F1003" s="55"/>
      <c r="G1003" s="275"/>
      <c r="H1003" s="276"/>
      <c r="I1003" s="213"/>
      <c r="J1003" s="213"/>
      <c r="K1003" s="212">
        <f t="shared" si="100"/>
        <v>0</v>
      </c>
      <c r="L1003" s="272">
        <f t="shared" si="101"/>
        <v>1900</v>
      </c>
      <c r="M1003" s="272">
        <f t="shared" si="102"/>
        <v>1</v>
      </c>
      <c r="N1003" s="273"/>
      <c r="O1003" s="61">
        <f t="shared" si="103"/>
        <v>1900</v>
      </c>
      <c r="P1003" s="61">
        <f t="shared" si="104"/>
        <v>1</v>
      </c>
      <c r="R1003" s="272"/>
      <c r="S1003" s="272"/>
      <c r="T1003" s="273" t="str">
        <f t="shared" si="105"/>
        <v>-</v>
      </c>
    </row>
    <row r="1004" spans="1:20">
      <c r="A1004" s="269"/>
      <c r="B1004" s="57"/>
      <c r="C1004" s="55"/>
      <c r="D1004" s="55"/>
      <c r="E1004" s="55"/>
      <c r="F1004" s="55"/>
      <c r="G1004" s="275"/>
      <c r="H1004" s="276"/>
      <c r="I1004" s="213"/>
      <c r="J1004" s="213"/>
      <c r="K1004" s="212">
        <f t="shared" si="100"/>
        <v>0</v>
      </c>
      <c r="L1004" s="272">
        <f t="shared" si="101"/>
        <v>1900</v>
      </c>
      <c r="M1004" s="272">
        <f t="shared" si="102"/>
        <v>1</v>
      </c>
      <c r="N1004" s="273"/>
      <c r="O1004" s="61">
        <f t="shared" si="103"/>
        <v>1900</v>
      </c>
      <c r="P1004" s="61">
        <f t="shared" si="104"/>
        <v>1</v>
      </c>
      <c r="R1004" s="272"/>
      <c r="S1004" s="272"/>
      <c r="T1004" s="273" t="str">
        <f t="shared" si="105"/>
        <v>-</v>
      </c>
    </row>
    <row r="1005" spans="1:20">
      <c r="A1005" s="269"/>
      <c r="B1005" s="57"/>
      <c r="C1005" s="55"/>
      <c r="D1005" s="55"/>
      <c r="E1005" s="55"/>
      <c r="F1005" s="55"/>
      <c r="G1005" s="275"/>
      <c r="H1005" s="276"/>
      <c r="I1005" s="213"/>
      <c r="J1005" s="213"/>
      <c r="K1005" s="212">
        <f t="shared" si="100"/>
        <v>0</v>
      </c>
      <c r="L1005" s="272">
        <f t="shared" si="101"/>
        <v>1900</v>
      </c>
      <c r="M1005" s="272">
        <f t="shared" si="102"/>
        <v>1</v>
      </c>
      <c r="N1005" s="273"/>
      <c r="O1005" s="61">
        <f t="shared" si="103"/>
        <v>1900</v>
      </c>
      <c r="P1005" s="61">
        <f t="shared" si="104"/>
        <v>1</v>
      </c>
      <c r="R1005" s="272"/>
      <c r="S1005" s="272"/>
      <c r="T1005" s="273" t="str">
        <f t="shared" si="105"/>
        <v>-</v>
      </c>
    </row>
    <row r="1006" spans="1:20">
      <c r="A1006" s="269"/>
      <c r="B1006" s="57"/>
      <c r="C1006" s="55"/>
      <c r="D1006" s="55"/>
      <c r="E1006" s="55"/>
      <c r="F1006" s="55"/>
      <c r="G1006" s="275"/>
      <c r="H1006" s="276"/>
      <c r="I1006" s="213"/>
      <c r="J1006" s="213"/>
      <c r="K1006" s="212">
        <f t="shared" si="100"/>
        <v>0</v>
      </c>
      <c r="L1006" s="272">
        <f t="shared" si="101"/>
        <v>1900</v>
      </c>
      <c r="M1006" s="272">
        <f t="shared" si="102"/>
        <v>1</v>
      </c>
      <c r="N1006" s="273"/>
      <c r="O1006" s="61">
        <f t="shared" si="103"/>
        <v>1900</v>
      </c>
      <c r="P1006" s="61">
        <f t="shared" si="104"/>
        <v>1</v>
      </c>
      <c r="R1006" s="272"/>
      <c r="S1006" s="272"/>
      <c r="T1006" s="273" t="str">
        <f t="shared" si="105"/>
        <v>-</v>
      </c>
    </row>
    <row r="1007" spans="1:20">
      <c r="A1007" s="269"/>
      <c r="B1007" s="57"/>
      <c r="C1007" s="55"/>
      <c r="D1007" s="55"/>
      <c r="E1007" s="55"/>
      <c r="F1007" s="55"/>
      <c r="G1007" s="275"/>
      <c r="H1007" s="276"/>
      <c r="I1007" s="213"/>
      <c r="J1007" s="213"/>
      <c r="K1007" s="212">
        <f t="shared" si="100"/>
        <v>0</v>
      </c>
      <c r="L1007" s="272">
        <f t="shared" si="101"/>
        <v>1900</v>
      </c>
      <c r="M1007" s="272">
        <f t="shared" si="102"/>
        <v>1</v>
      </c>
      <c r="N1007" s="273"/>
      <c r="O1007" s="61">
        <f t="shared" si="103"/>
        <v>1900</v>
      </c>
      <c r="P1007" s="61">
        <f t="shared" si="104"/>
        <v>1</v>
      </c>
      <c r="R1007" s="272"/>
      <c r="S1007" s="272"/>
      <c r="T1007" s="273" t="str">
        <f t="shared" si="105"/>
        <v>-</v>
      </c>
    </row>
    <row r="1008" spans="1:20">
      <c r="A1008" s="269"/>
      <c r="B1008" s="57"/>
      <c r="C1008" s="55"/>
      <c r="D1008" s="55"/>
      <c r="E1008" s="55"/>
      <c r="F1008" s="55"/>
      <c r="G1008" s="275"/>
      <c r="H1008" s="276"/>
      <c r="I1008" s="213"/>
      <c r="J1008" s="213"/>
      <c r="K1008" s="212">
        <f t="shared" si="100"/>
        <v>0</v>
      </c>
      <c r="L1008" s="272">
        <f t="shared" si="101"/>
        <v>1900</v>
      </c>
      <c r="M1008" s="272">
        <f t="shared" si="102"/>
        <v>1</v>
      </c>
      <c r="N1008" s="273"/>
      <c r="O1008" s="61">
        <f t="shared" si="103"/>
        <v>1900</v>
      </c>
      <c r="P1008" s="61">
        <f t="shared" si="104"/>
        <v>1</v>
      </c>
      <c r="R1008" s="272"/>
      <c r="S1008" s="272"/>
      <c r="T1008" s="273" t="str">
        <f t="shared" si="105"/>
        <v>-</v>
      </c>
    </row>
    <row r="1009" spans="1:20">
      <c r="A1009" s="269"/>
      <c r="B1009" s="57"/>
      <c r="C1009" s="55"/>
      <c r="D1009" s="55"/>
      <c r="E1009" s="55"/>
      <c r="F1009" s="55"/>
      <c r="G1009" s="275"/>
      <c r="H1009" s="276"/>
      <c r="I1009" s="213"/>
      <c r="J1009" s="213"/>
      <c r="K1009" s="212">
        <f t="shared" si="100"/>
        <v>0</v>
      </c>
      <c r="L1009" s="272">
        <f t="shared" si="101"/>
        <v>1900</v>
      </c>
      <c r="M1009" s="272">
        <f t="shared" si="102"/>
        <v>1</v>
      </c>
      <c r="N1009" s="273"/>
      <c r="O1009" s="61">
        <f t="shared" si="103"/>
        <v>1900</v>
      </c>
      <c r="P1009" s="61">
        <f t="shared" si="104"/>
        <v>1</v>
      </c>
      <c r="R1009" s="272"/>
      <c r="S1009" s="272"/>
      <c r="T1009" s="273" t="str">
        <f t="shared" si="105"/>
        <v>-</v>
      </c>
    </row>
    <row r="1010" spans="1:20">
      <c r="A1010" s="269"/>
      <c r="B1010" s="57"/>
      <c r="C1010" s="55"/>
      <c r="D1010" s="55"/>
      <c r="E1010" s="55"/>
      <c r="F1010" s="55"/>
      <c r="G1010" s="275"/>
      <c r="H1010" s="276"/>
      <c r="I1010" s="213"/>
      <c r="J1010" s="213"/>
      <c r="K1010" s="212">
        <f t="shared" si="100"/>
        <v>0</v>
      </c>
      <c r="L1010" s="272">
        <f t="shared" si="101"/>
        <v>1900</v>
      </c>
      <c r="M1010" s="272">
        <f t="shared" si="102"/>
        <v>1</v>
      </c>
      <c r="N1010" s="273"/>
      <c r="O1010" s="61">
        <f t="shared" si="103"/>
        <v>1900</v>
      </c>
      <c r="P1010" s="61">
        <f t="shared" si="104"/>
        <v>1</v>
      </c>
      <c r="R1010" s="272"/>
      <c r="S1010" s="272"/>
      <c r="T1010" s="273" t="str">
        <f t="shared" si="105"/>
        <v>-</v>
      </c>
    </row>
    <row r="1011" spans="1:20">
      <c r="A1011" s="269"/>
      <c r="B1011" s="57"/>
      <c r="C1011" s="55"/>
      <c r="D1011" s="55"/>
      <c r="E1011" s="55"/>
      <c r="F1011" s="55"/>
      <c r="G1011" s="275"/>
      <c r="H1011" s="276"/>
      <c r="I1011" s="213"/>
      <c r="J1011" s="213"/>
      <c r="K1011" s="212">
        <f t="shared" si="100"/>
        <v>0</v>
      </c>
      <c r="L1011" s="272">
        <f t="shared" si="101"/>
        <v>1900</v>
      </c>
      <c r="M1011" s="272">
        <f t="shared" si="102"/>
        <v>1</v>
      </c>
      <c r="N1011" s="273"/>
      <c r="O1011" s="61">
        <f t="shared" si="103"/>
        <v>1900</v>
      </c>
      <c r="P1011" s="61">
        <f t="shared" si="104"/>
        <v>1</v>
      </c>
      <c r="R1011" s="272"/>
      <c r="S1011" s="272"/>
      <c r="T1011" s="273" t="str">
        <f t="shared" si="105"/>
        <v>-</v>
      </c>
    </row>
    <row r="1012" spans="1:20">
      <c r="A1012" s="269"/>
      <c r="B1012" s="57"/>
      <c r="C1012" s="55"/>
      <c r="D1012" s="55"/>
      <c r="E1012" s="55"/>
      <c r="F1012" s="55"/>
      <c r="G1012" s="275"/>
      <c r="H1012" s="276"/>
      <c r="I1012" s="213"/>
      <c r="J1012" s="213"/>
      <c r="K1012" s="269"/>
      <c r="L1012" s="272">
        <f t="shared" si="101"/>
        <v>1900</v>
      </c>
      <c r="M1012" s="272">
        <f t="shared" si="102"/>
        <v>1</v>
      </c>
      <c r="N1012" s="273"/>
      <c r="O1012" s="61">
        <f t="shared" si="103"/>
        <v>1900</v>
      </c>
      <c r="P1012" s="61">
        <f t="shared" si="104"/>
        <v>1</v>
      </c>
      <c r="R1012" s="272"/>
      <c r="S1012" s="272"/>
      <c r="T1012" s="273" t="str">
        <f t="shared" si="105"/>
        <v>-</v>
      </c>
    </row>
    <row r="1013" spans="1:20">
      <c r="A1013" s="269"/>
      <c r="B1013" s="57"/>
      <c r="C1013" s="55"/>
      <c r="D1013" s="55"/>
      <c r="E1013" s="55"/>
      <c r="F1013" s="55"/>
      <c r="G1013" s="275"/>
      <c r="H1013" s="276"/>
      <c r="I1013" s="213"/>
      <c r="J1013" s="213"/>
      <c r="K1013" s="269"/>
      <c r="L1013" s="272">
        <f t="shared" si="101"/>
        <v>1900</v>
      </c>
      <c r="M1013" s="272">
        <f t="shared" si="102"/>
        <v>1</v>
      </c>
      <c r="N1013" s="273"/>
      <c r="O1013" s="61">
        <f t="shared" si="103"/>
        <v>1900</v>
      </c>
      <c r="P1013" s="61">
        <f t="shared" si="104"/>
        <v>1</v>
      </c>
      <c r="R1013" s="272"/>
      <c r="S1013" s="272"/>
      <c r="T1013" s="273" t="str">
        <f t="shared" si="105"/>
        <v>-</v>
      </c>
    </row>
    <row r="1014" spans="1:20">
      <c r="A1014" s="269"/>
      <c r="B1014" s="57"/>
      <c r="C1014" s="55"/>
      <c r="D1014" s="55"/>
      <c r="E1014" s="55"/>
      <c r="F1014" s="55"/>
      <c r="G1014" s="275"/>
      <c r="H1014" s="276"/>
      <c r="I1014" s="213"/>
      <c r="J1014" s="213"/>
      <c r="K1014" s="269"/>
      <c r="L1014" s="272">
        <f t="shared" si="101"/>
        <v>1900</v>
      </c>
      <c r="M1014" s="272">
        <f t="shared" si="102"/>
        <v>1</v>
      </c>
      <c r="N1014" s="273"/>
      <c r="O1014" s="61">
        <f t="shared" si="103"/>
        <v>1900</v>
      </c>
      <c r="P1014" s="61">
        <f t="shared" si="104"/>
        <v>1</v>
      </c>
      <c r="R1014" s="272"/>
      <c r="S1014" s="272"/>
      <c r="T1014" s="273" t="str">
        <f t="shared" si="105"/>
        <v>-</v>
      </c>
    </row>
    <row r="1015" spans="1:20">
      <c r="A1015" s="269"/>
      <c r="B1015" s="57"/>
      <c r="C1015" s="55"/>
      <c r="D1015" s="55"/>
      <c r="E1015" s="55"/>
      <c r="F1015" s="55"/>
      <c r="G1015" s="275"/>
      <c r="H1015" s="276"/>
      <c r="I1015" s="213"/>
      <c r="J1015" s="213"/>
      <c r="K1015" s="269"/>
      <c r="L1015" s="272">
        <f t="shared" si="101"/>
        <v>1900</v>
      </c>
      <c r="M1015" s="272">
        <f t="shared" si="102"/>
        <v>1</v>
      </c>
      <c r="N1015" s="273"/>
      <c r="O1015" s="61">
        <f t="shared" si="103"/>
        <v>1900</v>
      </c>
      <c r="P1015" s="61">
        <f t="shared" si="104"/>
        <v>1</v>
      </c>
      <c r="R1015" s="272"/>
      <c r="S1015" s="272"/>
      <c r="T1015" s="273" t="str">
        <f t="shared" si="105"/>
        <v>-</v>
      </c>
    </row>
    <row r="1016" spans="1:20">
      <c r="A1016" s="269"/>
      <c r="B1016" s="57"/>
      <c r="C1016" s="55"/>
      <c r="D1016" s="55"/>
      <c r="E1016" s="55"/>
      <c r="F1016" s="55"/>
      <c r="G1016" s="275"/>
      <c r="H1016" s="276"/>
      <c r="I1016" s="213"/>
      <c r="J1016" s="213"/>
      <c r="K1016" s="269"/>
      <c r="L1016" s="272">
        <f t="shared" si="101"/>
        <v>1900</v>
      </c>
      <c r="M1016" s="272">
        <f t="shared" si="102"/>
        <v>1</v>
      </c>
      <c r="N1016" s="273"/>
      <c r="O1016" s="61">
        <f t="shared" si="103"/>
        <v>1900</v>
      </c>
      <c r="P1016" s="61">
        <f t="shared" si="104"/>
        <v>1</v>
      </c>
      <c r="R1016" s="272"/>
      <c r="S1016" s="272"/>
      <c r="T1016" s="273" t="str">
        <f t="shared" si="105"/>
        <v>-</v>
      </c>
    </row>
    <row r="1017" spans="1:20">
      <c r="A1017" s="269"/>
      <c r="B1017" s="57"/>
      <c r="C1017" s="55"/>
      <c r="D1017" s="55"/>
      <c r="E1017" s="55"/>
      <c r="F1017" s="55"/>
      <c r="G1017" s="275"/>
      <c r="H1017" s="276"/>
      <c r="I1017" s="213"/>
      <c r="J1017" s="213"/>
      <c r="K1017" s="269"/>
      <c r="L1017" s="272">
        <f t="shared" si="101"/>
        <v>1900</v>
      </c>
      <c r="M1017" s="272">
        <f t="shared" si="102"/>
        <v>1</v>
      </c>
      <c r="N1017" s="273"/>
      <c r="O1017" s="61">
        <f t="shared" si="103"/>
        <v>1900</v>
      </c>
      <c r="P1017" s="61">
        <f t="shared" si="104"/>
        <v>1</v>
      </c>
      <c r="R1017" s="272"/>
      <c r="S1017" s="272"/>
      <c r="T1017" s="273" t="str">
        <f t="shared" si="105"/>
        <v>-</v>
      </c>
    </row>
    <row r="1018" spans="1:20">
      <c r="A1018" s="269"/>
      <c r="B1018" s="57"/>
      <c r="C1018" s="55"/>
      <c r="D1018" s="55"/>
      <c r="E1018" s="55"/>
      <c r="F1018" s="55"/>
      <c r="G1018" s="275"/>
      <c r="H1018" s="276"/>
      <c r="I1018" s="213"/>
      <c r="J1018" s="213"/>
      <c r="K1018" s="269"/>
      <c r="L1018" s="272">
        <f t="shared" si="101"/>
        <v>1900</v>
      </c>
      <c r="M1018" s="272">
        <f t="shared" si="102"/>
        <v>1</v>
      </c>
      <c r="N1018" s="273"/>
      <c r="O1018" s="61">
        <f t="shared" si="103"/>
        <v>1900</v>
      </c>
      <c r="P1018" s="61">
        <f t="shared" si="104"/>
        <v>1</v>
      </c>
      <c r="R1018" s="272"/>
      <c r="S1018" s="272"/>
      <c r="T1018" s="273" t="str">
        <f t="shared" si="105"/>
        <v>-</v>
      </c>
    </row>
    <row r="1019" spans="1:20">
      <c r="A1019" s="269"/>
      <c r="B1019" s="57"/>
      <c r="C1019" s="55"/>
      <c r="D1019" s="55"/>
      <c r="E1019" s="55"/>
      <c r="F1019" s="55"/>
      <c r="G1019" s="275"/>
      <c r="H1019" s="276"/>
      <c r="I1019" s="213"/>
      <c r="J1019" s="213"/>
      <c r="K1019" s="269"/>
      <c r="L1019" s="272">
        <f t="shared" si="101"/>
        <v>1900</v>
      </c>
      <c r="M1019" s="272">
        <f t="shared" si="102"/>
        <v>1</v>
      </c>
      <c r="N1019" s="273"/>
      <c r="O1019" s="61">
        <f t="shared" si="103"/>
        <v>1900</v>
      </c>
      <c r="P1019" s="61">
        <f t="shared" si="104"/>
        <v>1</v>
      </c>
      <c r="R1019" s="272"/>
      <c r="S1019" s="272"/>
      <c r="T1019" s="273" t="str">
        <f t="shared" si="105"/>
        <v>-</v>
      </c>
    </row>
    <row r="1020" spans="1:20">
      <c r="A1020" s="269"/>
      <c r="B1020" s="57"/>
      <c r="C1020" s="55"/>
      <c r="D1020" s="55"/>
      <c r="E1020" s="55"/>
      <c r="F1020" s="55"/>
      <c r="G1020" s="275"/>
      <c r="H1020" s="276"/>
      <c r="I1020" s="213"/>
      <c r="J1020" s="213"/>
      <c r="K1020" s="269"/>
      <c r="L1020" s="272">
        <f t="shared" si="101"/>
        <v>1900</v>
      </c>
      <c r="M1020" s="272">
        <f t="shared" si="102"/>
        <v>1</v>
      </c>
      <c r="N1020" s="273"/>
      <c r="O1020" s="61">
        <f t="shared" si="103"/>
        <v>1900</v>
      </c>
      <c r="P1020" s="61">
        <f t="shared" si="104"/>
        <v>1</v>
      </c>
      <c r="R1020" s="272"/>
      <c r="S1020" s="272"/>
      <c r="T1020" s="273" t="str">
        <f t="shared" si="105"/>
        <v>-</v>
      </c>
    </row>
    <row r="1021" spans="1:20">
      <c r="A1021" s="269"/>
      <c r="B1021" s="57"/>
      <c r="C1021" s="55"/>
      <c r="D1021" s="55"/>
      <c r="E1021" s="55"/>
      <c r="F1021" s="55"/>
      <c r="G1021" s="275"/>
      <c r="H1021" s="276"/>
      <c r="I1021" s="213"/>
      <c r="J1021" s="213"/>
      <c r="K1021" s="269"/>
      <c r="L1021" s="272">
        <f t="shared" si="101"/>
        <v>1900</v>
      </c>
      <c r="M1021" s="272">
        <f t="shared" si="102"/>
        <v>1</v>
      </c>
      <c r="N1021" s="273"/>
      <c r="O1021" s="61">
        <f t="shared" si="103"/>
        <v>1900</v>
      </c>
      <c r="P1021" s="61">
        <f t="shared" si="104"/>
        <v>1</v>
      </c>
      <c r="R1021" s="272"/>
      <c r="S1021" s="272"/>
      <c r="T1021" s="273" t="str">
        <f t="shared" si="105"/>
        <v>-</v>
      </c>
    </row>
    <row r="1022" spans="1:20">
      <c r="A1022" s="269"/>
      <c r="B1022" s="57"/>
      <c r="C1022" s="55"/>
      <c r="D1022" s="55"/>
      <c r="E1022" s="55"/>
      <c r="F1022" s="55"/>
      <c r="G1022" s="275"/>
      <c r="H1022" s="276"/>
      <c r="I1022" s="213"/>
      <c r="J1022" s="213"/>
      <c r="K1022" s="269"/>
      <c r="L1022" s="272">
        <f t="shared" si="101"/>
        <v>1900</v>
      </c>
      <c r="M1022" s="272">
        <f t="shared" si="102"/>
        <v>1</v>
      </c>
      <c r="N1022" s="273"/>
      <c r="O1022" s="61">
        <f t="shared" si="103"/>
        <v>1900</v>
      </c>
      <c r="P1022" s="61">
        <f t="shared" si="104"/>
        <v>1</v>
      </c>
      <c r="R1022" s="272"/>
      <c r="S1022" s="272"/>
      <c r="T1022" s="273" t="str">
        <f t="shared" si="105"/>
        <v>-</v>
      </c>
    </row>
    <row r="1023" spans="1:20">
      <c r="A1023" s="269"/>
      <c r="B1023" s="57"/>
      <c r="C1023" s="55"/>
      <c r="D1023" s="55"/>
      <c r="E1023" s="55"/>
      <c r="F1023" s="55"/>
      <c r="G1023" s="275"/>
      <c r="H1023" s="276"/>
      <c r="I1023" s="213"/>
      <c r="J1023" s="213"/>
      <c r="K1023" s="269"/>
      <c r="L1023" s="272">
        <f t="shared" si="101"/>
        <v>1900</v>
      </c>
      <c r="M1023" s="272">
        <f t="shared" si="102"/>
        <v>1</v>
      </c>
      <c r="N1023" s="273"/>
      <c r="O1023" s="61">
        <f t="shared" si="103"/>
        <v>1900</v>
      </c>
      <c r="P1023" s="61">
        <f t="shared" si="104"/>
        <v>1</v>
      </c>
      <c r="R1023" s="272"/>
      <c r="S1023" s="272"/>
      <c r="T1023" s="273" t="str">
        <f t="shared" si="105"/>
        <v>-</v>
      </c>
    </row>
    <row r="1024" spans="1:20">
      <c r="A1024" s="269"/>
      <c r="B1024" s="57"/>
      <c r="C1024" s="55"/>
      <c r="D1024" s="55"/>
      <c r="E1024" s="55"/>
      <c r="F1024" s="55"/>
      <c r="G1024" s="275"/>
      <c r="H1024" s="276"/>
      <c r="I1024" s="213"/>
      <c r="J1024" s="213"/>
      <c r="K1024" s="269"/>
      <c r="L1024" s="272">
        <f t="shared" si="101"/>
        <v>1900</v>
      </c>
      <c r="M1024" s="272">
        <f t="shared" si="102"/>
        <v>1</v>
      </c>
      <c r="N1024" s="273"/>
      <c r="O1024" s="61">
        <f t="shared" si="103"/>
        <v>1900</v>
      </c>
      <c r="P1024" s="61">
        <f t="shared" si="104"/>
        <v>1</v>
      </c>
      <c r="R1024" s="272"/>
      <c r="S1024" s="272"/>
      <c r="T1024" s="273" t="str">
        <f t="shared" si="105"/>
        <v>-</v>
      </c>
    </row>
    <row r="1025" spans="1:20">
      <c r="A1025" s="269"/>
      <c r="B1025" s="57"/>
      <c r="C1025" s="55"/>
      <c r="D1025" s="55"/>
      <c r="E1025" s="55"/>
      <c r="F1025" s="55"/>
      <c r="G1025" s="275"/>
      <c r="H1025" s="276"/>
      <c r="I1025" s="213"/>
      <c r="J1025" s="213"/>
      <c r="K1025" s="269"/>
      <c r="L1025" s="272">
        <f t="shared" si="101"/>
        <v>1900</v>
      </c>
      <c r="M1025" s="272">
        <f t="shared" si="102"/>
        <v>1</v>
      </c>
      <c r="N1025" s="273"/>
      <c r="O1025" s="61">
        <f t="shared" si="103"/>
        <v>1900</v>
      </c>
      <c r="P1025" s="61">
        <f t="shared" si="104"/>
        <v>1</v>
      </c>
      <c r="R1025" s="272"/>
      <c r="S1025" s="272"/>
      <c r="T1025" s="273" t="str">
        <f t="shared" si="105"/>
        <v>-</v>
      </c>
    </row>
    <row r="1026" spans="1:20">
      <c r="A1026" s="269"/>
      <c r="B1026" s="57"/>
      <c r="C1026" s="55"/>
      <c r="D1026" s="55"/>
      <c r="E1026" s="55"/>
      <c r="F1026" s="55"/>
      <c r="G1026" s="275"/>
      <c r="H1026" s="276"/>
      <c r="I1026" s="213"/>
      <c r="J1026" s="213"/>
      <c r="K1026" s="269"/>
      <c r="L1026" s="272">
        <f t="shared" si="101"/>
        <v>1900</v>
      </c>
      <c r="M1026" s="272">
        <f t="shared" si="102"/>
        <v>1</v>
      </c>
      <c r="N1026" s="273"/>
      <c r="O1026" s="61">
        <f t="shared" si="103"/>
        <v>1900</v>
      </c>
      <c r="P1026" s="61">
        <f t="shared" si="104"/>
        <v>1</v>
      </c>
      <c r="R1026" s="272"/>
      <c r="S1026" s="272"/>
      <c r="T1026" s="273" t="str">
        <f t="shared" si="105"/>
        <v>-</v>
      </c>
    </row>
    <row r="1027" spans="1:20">
      <c r="A1027" s="269"/>
      <c r="B1027" s="57"/>
      <c r="C1027" s="55"/>
      <c r="D1027" s="55"/>
      <c r="E1027" s="55"/>
      <c r="F1027" s="55"/>
      <c r="G1027" s="275"/>
      <c r="H1027" s="276"/>
      <c r="I1027" s="213"/>
      <c r="J1027" s="213"/>
      <c r="K1027" s="269"/>
      <c r="L1027" s="272">
        <f t="shared" si="101"/>
        <v>1900</v>
      </c>
      <c r="M1027" s="272">
        <f t="shared" si="102"/>
        <v>1</v>
      </c>
      <c r="N1027" s="273"/>
      <c r="O1027" s="61">
        <f t="shared" si="103"/>
        <v>1900</v>
      </c>
      <c r="P1027" s="61">
        <f t="shared" si="104"/>
        <v>1</v>
      </c>
      <c r="R1027" s="272"/>
      <c r="S1027" s="272"/>
      <c r="T1027" s="273" t="str">
        <f t="shared" si="105"/>
        <v>-</v>
      </c>
    </row>
    <row r="1028" spans="1:20">
      <c r="A1028" s="269"/>
      <c r="B1028" s="57"/>
      <c r="C1028" s="55"/>
      <c r="D1028" s="55"/>
      <c r="E1028" s="55"/>
      <c r="F1028" s="55"/>
      <c r="G1028" s="275"/>
      <c r="H1028" s="276"/>
      <c r="I1028" s="213"/>
      <c r="J1028" s="213"/>
      <c r="K1028" s="269"/>
      <c r="L1028" s="272">
        <f t="shared" si="101"/>
        <v>1900</v>
      </c>
      <c r="M1028" s="272">
        <f t="shared" si="102"/>
        <v>1</v>
      </c>
      <c r="N1028" s="273"/>
      <c r="O1028" s="61">
        <f t="shared" si="103"/>
        <v>1900</v>
      </c>
      <c r="P1028" s="61">
        <f t="shared" si="104"/>
        <v>1</v>
      </c>
      <c r="R1028" s="272"/>
      <c r="S1028" s="272"/>
      <c r="T1028" s="273" t="str">
        <f t="shared" si="105"/>
        <v>-</v>
      </c>
    </row>
    <row r="1029" spans="1:20">
      <c r="A1029" s="269"/>
      <c r="B1029" s="57"/>
      <c r="C1029" s="55"/>
      <c r="D1029" s="55"/>
      <c r="E1029" s="55"/>
      <c r="F1029" s="55"/>
      <c r="G1029" s="275"/>
      <c r="H1029" s="276"/>
      <c r="I1029" s="213"/>
      <c r="J1029" s="213"/>
      <c r="K1029" s="269"/>
      <c r="L1029" s="272">
        <f t="shared" si="101"/>
        <v>1900</v>
      </c>
      <c r="M1029" s="272">
        <f t="shared" si="102"/>
        <v>1</v>
      </c>
      <c r="N1029" s="273"/>
      <c r="O1029" s="61">
        <f t="shared" si="103"/>
        <v>1900</v>
      </c>
      <c r="P1029" s="61">
        <f t="shared" si="104"/>
        <v>1</v>
      </c>
      <c r="R1029" s="272"/>
      <c r="S1029" s="272"/>
      <c r="T1029" s="273" t="str">
        <f t="shared" si="105"/>
        <v>-</v>
      </c>
    </row>
    <row r="1030" spans="1:20">
      <c r="A1030" s="269"/>
      <c r="B1030" s="57"/>
      <c r="C1030" s="55"/>
      <c r="D1030" s="55"/>
      <c r="E1030" s="55"/>
      <c r="F1030" s="55"/>
      <c r="G1030" s="275"/>
      <c r="H1030" s="276"/>
      <c r="I1030" s="213"/>
      <c r="J1030" s="213"/>
      <c r="K1030" s="269"/>
      <c r="L1030" s="272">
        <f t="shared" si="101"/>
        <v>1900</v>
      </c>
      <c r="M1030" s="272">
        <f t="shared" si="102"/>
        <v>1</v>
      </c>
      <c r="N1030" s="273"/>
      <c r="O1030" s="61">
        <f t="shared" si="103"/>
        <v>1900</v>
      </c>
      <c r="P1030" s="61">
        <f t="shared" si="104"/>
        <v>1</v>
      </c>
      <c r="R1030" s="272"/>
      <c r="S1030" s="272"/>
      <c r="T1030" s="273" t="str">
        <f t="shared" si="105"/>
        <v>-</v>
      </c>
    </row>
    <row r="1031" spans="1:20">
      <c r="A1031" s="269"/>
      <c r="B1031" s="57"/>
      <c r="C1031" s="55"/>
      <c r="D1031" s="55"/>
      <c r="E1031" s="55"/>
      <c r="F1031" s="55"/>
      <c r="G1031" s="275"/>
      <c r="H1031" s="276"/>
      <c r="I1031" s="213"/>
      <c r="J1031" s="213"/>
      <c r="K1031" s="269"/>
      <c r="L1031" s="272">
        <f t="shared" si="101"/>
        <v>1900</v>
      </c>
      <c r="M1031" s="272">
        <f t="shared" si="102"/>
        <v>1</v>
      </c>
      <c r="N1031" s="273"/>
      <c r="O1031" s="61">
        <f t="shared" si="103"/>
        <v>1900</v>
      </c>
      <c r="P1031" s="61">
        <f t="shared" si="104"/>
        <v>1</v>
      </c>
      <c r="R1031" s="272"/>
      <c r="S1031" s="272"/>
      <c r="T1031" s="273" t="str">
        <f t="shared" si="105"/>
        <v>-</v>
      </c>
    </row>
    <row r="1032" spans="1:20">
      <c r="A1032" s="269"/>
      <c r="B1032" s="57"/>
      <c r="C1032" s="55"/>
      <c r="D1032" s="55"/>
      <c r="E1032" s="55"/>
      <c r="F1032" s="55"/>
      <c r="G1032" s="275"/>
      <c r="H1032" s="276"/>
      <c r="I1032" s="213"/>
      <c r="J1032" s="213"/>
      <c r="K1032" s="269"/>
      <c r="L1032" s="272">
        <f t="shared" si="101"/>
        <v>1900</v>
      </c>
      <c r="M1032" s="272">
        <f t="shared" si="102"/>
        <v>1</v>
      </c>
      <c r="N1032" s="273"/>
      <c r="O1032" s="61">
        <f t="shared" si="103"/>
        <v>1900</v>
      </c>
      <c r="P1032" s="61">
        <f t="shared" si="104"/>
        <v>1</v>
      </c>
      <c r="R1032" s="272"/>
      <c r="S1032" s="272"/>
      <c r="T1032" s="273" t="str">
        <f t="shared" si="105"/>
        <v>-</v>
      </c>
    </row>
    <row r="1033" spans="1:20">
      <c r="A1033" s="269"/>
      <c r="B1033" s="57"/>
      <c r="C1033" s="55"/>
      <c r="D1033" s="55"/>
      <c r="E1033" s="55"/>
      <c r="F1033" s="55"/>
      <c r="G1033" s="275"/>
      <c r="H1033" s="276"/>
      <c r="I1033" s="213"/>
      <c r="J1033" s="213"/>
      <c r="K1033" s="269"/>
      <c r="L1033" s="272">
        <f t="shared" si="101"/>
        <v>1900</v>
      </c>
      <c r="M1033" s="272">
        <f t="shared" si="102"/>
        <v>1</v>
      </c>
      <c r="N1033" s="273"/>
      <c r="O1033" s="61">
        <f t="shared" si="103"/>
        <v>1900</v>
      </c>
      <c r="P1033" s="61">
        <f t="shared" si="104"/>
        <v>1</v>
      </c>
      <c r="R1033" s="272"/>
      <c r="S1033" s="272"/>
      <c r="T1033" s="273" t="str">
        <f t="shared" si="105"/>
        <v>-</v>
      </c>
    </row>
    <row r="1034" spans="1:20">
      <c r="A1034" s="269"/>
      <c r="B1034" s="57"/>
      <c r="C1034" s="55"/>
      <c r="D1034" s="55"/>
      <c r="E1034" s="55"/>
      <c r="F1034" s="55"/>
      <c r="G1034" s="275"/>
      <c r="H1034" s="276"/>
      <c r="I1034" s="213"/>
      <c r="J1034" s="213"/>
      <c r="K1034" s="269"/>
      <c r="L1034" s="272">
        <f t="shared" si="101"/>
        <v>1900</v>
      </c>
      <c r="M1034" s="272">
        <f t="shared" si="102"/>
        <v>1</v>
      </c>
      <c r="N1034" s="273"/>
      <c r="O1034" s="61">
        <f t="shared" si="103"/>
        <v>1900</v>
      </c>
      <c r="P1034" s="61">
        <f t="shared" si="104"/>
        <v>1</v>
      </c>
      <c r="R1034" s="272"/>
      <c r="S1034" s="272"/>
      <c r="T1034" s="273" t="str">
        <f t="shared" si="105"/>
        <v>-</v>
      </c>
    </row>
    <row r="1035" spans="1:20">
      <c r="A1035" s="269"/>
      <c r="B1035" s="57"/>
      <c r="C1035" s="55"/>
      <c r="D1035" s="55"/>
      <c r="E1035" s="55"/>
      <c r="F1035" s="55"/>
      <c r="G1035" s="275"/>
      <c r="H1035" s="276"/>
      <c r="I1035" s="213"/>
      <c r="J1035" s="213"/>
      <c r="K1035" s="269"/>
      <c r="L1035" s="272">
        <f t="shared" si="101"/>
        <v>1900</v>
      </c>
      <c r="M1035" s="272">
        <f t="shared" si="102"/>
        <v>1</v>
      </c>
      <c r="N1035" s="273"/>
      <c r="O1035" s="61">
        <f t="shared" si="103"/>
        <v>1900</v>
      </c>
      <c r="P1035" s="61">
        <f t="shared" si="104"/>
        <v>1</v>
      </c>
      <c r="R1035" s="272"/>
      <c r="S1035" s="272"/>
      <c r="T1035" s="273" t="str">
        <f t="shared" si="105"/>
        <v>-</v>
      </c>
    </row>
    <row r="1036" spans="1:20">
      <c r="A1036" s="269"/>
      <c r="B1036" s="57"/>
      <c r="C1036" s="55"/>
      <c r="D1036" s="55"/>
      <c r="E1036" s="55"/>
      <c r="F1036" s="55"/>
      <c r="G1036" s="275"/>
      <c r="H1036" s="276"/>
      <c r="I1036" s="213"/>
      <c r="J1036" s="213"/>
      <c r="K1036" s="269"/>
      <c r="L1036" s="272">
        <f t="shared" si="101"/>
        <v>1900</v>
      </c>
      <c r="M1036" s="272">
        <f t="shared" si="102"/>
        <v>1</v>
      </c>
      <c r="N1036" s="273"/>
      <c r="O1036" s="61">
        <f t="shared" si="103"/>
        <v>1900</v>
      </c>
      <c r="P1036" s="61">
        <f t="shared" si="104"/>
        <v>1</v>
      </c>
      <c r="R1036" s="272"/>
      <c r="S1036" s="272"/>
      <c r="T1036" s="273" t="str">
        <f t="shared" si="105"/>
        <v>-</v>
      </c>
    </row>
    <row r="1037" spans="1:20">
      <c r="A1037" s="269"/>
      <c r="B1037" s="57"/>
      <c r="C1037" s="55"/>
      <c r="D1037" s="55"/>
      <c r="E1037" s="55"/>
      <c r="F1037" s="55"/>
      <c r="G1037" s="275"/>
      <c r="H1037" s="276"/>
      <c r="I1037" s="213"/>
      <c r="J1037" s="213"/>
      <c r="K1037" s="269"/>
      <c r="L1037" s="272">
        <f t="shared" si="101"/>
        <v>1900</v>
      </c>
      <c r="M1037" s="272">
        <f t="shared" si="102"/>
        <v>1</v>
      </c>
      <c r="N1037" s="273"/>
      <c r="O1037" s="61">
        <f t="shared" si="103"/>
        <v>1900</v>
      </c>
      <c r="P1037" s="61">
        <f t="shared" si="104"/>
        <v>1</v>
      </c>
      <c r="R1037" s="272"/>
      <c r="S1037" s="272"/>
      <c r="T1037" s="273" t="str">
        <f t="shared" si="105"/>
        <v>-</v>
      </c>
    </row>
    <row r="1038" spans="1:20">
      <c r="A1038" s="269"/>
      <c r="B1038" s="57"/>
      <c r="C1038" s="55"/>
      <c r="D1038" s="55"/>
      <c r="E1038" s="55"/>
      <c r="F1038" s="55"/>
      <c r="G1038" s="275"/>
      <c r="H1038" s="276"/>
      <c r="I1038" s="213"/>
      <c r="J1038" s="213"/>
      <c r="K1038" s="269"/>
      <c r="L1038" s="272">
        <f t="shared" si="101"/>
        <v>1900</v>
      </c>
      <c r="M1038" s="272">
        <f t="shared" si="102"/>
        <v>1</v>
      </c>
      <c r="N1038" s="273"/>
      <c r="O1038" s="61">
        <f t="shared" si="103"/>
        <v>1900</v>
      </c>
      <c r="P1038" s="61">
        <f t="shared" si="104"/>
        <v>1</v>
      </c>
      <c r="R1038" s="272"/>
      <c r="S1038" s="272"/>
      <c r="T1038" s="273" t="str">
        <f t="shared" si="105"/>
        <v>-</v>
      </c>
    </row>
    <row r="1039" spans="1:20">
      <c r="A1039" s="269"/>
      <c r="B1039" s="57"/>
      <c r="C1039" s="55"/>
      <c r="D1039" s="55"/>
      <c r="E1039" s="55"/>
      <c r="F1039" s="55"/>
      <c r="G1039" s="275"/>
      <c r="H1039" s="276"/>
      <c r="I1039" s="213"/>
      <c r="J1039" s="213"/>
      <c r="K1039" s="269"/>
      <c r="L1039" s="272">
        <f t="shared" si="101"/>
        <v>1900</v>
      </c>
      <c r="M1039" s="272">
        <f t="shared" si="102"/>
        <v>1</v>
      </c>
      <c r="N1039" s="273"/>
      <c r="O1039" s="61">
        <f t="shared" si="103"/>
        <v>1900</v>
      </c>
      <c r="P1039" s="61">
        <f t="shared" si="104"/>
        <v>1</v>
      </c>
      <c r="R1039" s="272"/>
      <c r="S1039" s="272"/>
      <c r="T1039" s="273" t="str">
        <f t="shared" si="105"/>
        <v>-</v>
      </c>
    </row>
    <row r="1040" spans="1:20">
      <c r="A1040" s="269"/>
      <c r="B1040" s="57"/>
      <c r="C1040" s="55"/>
      <c r="D1040" s="55"/>
      <c r="E1040" s="55"/>
      <c r="F1040" s="55"/>
      <c r="G1040" s="275"/>
      <c r="H1040" s="276"/>
      <c r="I1040" s="213"/>
      <c r="J1040" s="213"/>
      <c r="K1040" s="269"/>
      <c r="L1040" s="272">
        <f t="shared" ref="L1040:L1103" si="106">YEAR(B1040)</f>
        <v>1900</v>
      </c>
      <c r="M1040" s="272">
        <f t="shared" ref="M1040:M1103" si="107">MONTH(B1040)</f>
        <v>1</v>
      </c>
      <c r="N1040" s="273"/>
      <c r="O1040" s="61">
        <f t="shared" ref="O1040:O1103" si="108">YEAR(B1040)</f>
        <v>1900</v>
      </c>
      <c r="P1040" s="61">
        <f t="shared" ref="P1040:P1103" si="109">MONTH(B1040)</f>
        <v>1</v>
      </c>
      <c r="R1040" s="272"/>
      <c r="S1040" s="272"/>
      <c r="T1040" s="273" t="str">
        <f t="shared" ref="T1040:T1103" si="110">IF($E1040&gt;0,IF((R1040+S1040)=$E1040,"OK","Error"),"-")</f>
        <v>-</v>
      </c>
    </row>
    <row r="1041" spans="1:20">
      <c r="A1041" s="269"/>
      <c r="B1041" s="57"/>
      <c r="C1041" s="55"/>
      <c r="D1041" s="55"/>
      <c r="E1041" s="55"/>
      <c r="F1041" s="55"/>
      <c r="G1041" s="275"/>
      <c r="H1041" s="276"/>
      <c r="I1041" s="213"/>
      <c r="J1041" s="213"/>
      <c r="K1041" s="269"/>
      <c r="L1041" s="272">
        <f t="shared" si="106"/>
        <v>1900</v>
      </c>
      <c r="M1041" s="272">
        <f t="shared" si="107"/>
        <v>1</v>
      </c>
      <c r="N1041" s="273"/>
      <c r="O1041" s="61">
        <f t="shared" si="108"/>
        <v>1900</v>
      </c>
      <c r="P1041" s="61">
        <f t="shared" si="109"/>
        <v>1</v>
      </c>
      <c r="R1041" s="272"/>
      <c r="S1041" s="272"/>
      <c r="T1041" s="273" t="str">
        <f t="shared" si="110"/>
        <v>-</v>
      </c>
    </row>
    <row r="1042" spans="1:20">
      <c r="A1042" s="269"/>
      <c r="B1042" s="57"/>
      <c r="C1042" s="55"/>
      <c r="D1042" s="55"/>
      <c r="E1042" s="55"/>
      <c r="F1042" s="55"/>
      <c r="G1042" s="275"/>
      <c r="H1042" s="276"/>
      <c r="I1042" s="213"/>
      <c r="J1042" s="213"/>
      <c r="K1042" s="269"/>
      <c r="L1042" s="272">
        <f t="shared" si="106"/>
        <v>1900</v>
      </c>
      <c r="M1042" s="272">
        <f t="shared" si="107"/>
        <v>1</v>
      </c>
      <c r="N1042" s="273"/>
      <c r="O1042" s="61">
        <f t="shared" si="108"/>
        <v>1900</v>
      </c>
      <c r="P1042" s="61">
        <f t="shared" si="109"/>
        <v>1</v>
      </c>
      <c r="R1042" s="272"/>
      <c r="S1042" s="272"/>
      <c r="T1042" s="273" t="str">
        <f t="shared" si="110"/>
        <v>-</v>
      </c>
    </row>
    <row r="1043" spans="1:20">
      <c r="A1043" s="269"/>
      <c r="B1043" s="57"/>
      <c r="C1043" s="55"/>
      <c r="D1043" s="55"/>
      <c r="E1043" s="55"/>
      <c r="F1043" s="55"/>
      <c r="G1043" s="275"/>
      <c r="H1043" s="276"/>
      <c r="I1043" s="213"/>
      <c r="J1043" s="213"/>
      <c r="K1043" s="269"/>
      <c r="L1043" s="272">
        <f t="shared" si="106"/>
        <v>1900</v>
      </c>
      <c r="M1043" s="272">
        <f t="shared" si="107"/>
        <v>1</v>
      </c>
      <c r="N1043" s="273"/>
      <c r="O1043" s="61">
        <f t="shared" si="108"/>
        <v>1900</v>
      </c>
      <c r="P1043" s="61">
        <f t="shared" si="109"/>
        <v>1</v>
      </c>
      <c r="R1043" s="272"/>
      <c r="S1043" s="272"/>
      <c r="T1043" s="273" t="str">
        <f t="shared" si="110"/>
        <v>-</v>
      </c>
    </row>
    <row r="1044" spans="1:20">
      <c r="A1044" s="269"/>
      <c r="B1044" s="57"/>
      <c r="C1044" s="55"/>
      <c r="D1044" s="55"/>
      <c r="E1044" s="55"/>
      <c r="F1044" s="55"/>
      <c r="G1044" s="275"/>
      <c r="H1044" s="276"/>
      <c r="I1044" s="213"/>
      <c r="J1044" s="213"/>
      <c r="K1044" s="269"/>
      <c r="L1044" s="272">
        <f t="shared" si="106"/>
        <v>1900</v>
      </c>
      <c r="M1044" s="272">
        <f t="shared" si="107"/>
        <v>1</v>
      </c>
      <c r="N1044" s="273"/>
      <c r="O1044" s="61">
        <f t="shared" si="108"/>
        <v>1900</v>
      </c>
      <c r="P1044" s="61">
        <f t="shared" si="109"/>
        <v>1</v>
      </c>
      <c r="R1044" s="272"/>
      <c r="S1044" s="272"/>
      <c r="T1044" s="273" t="str">
        <f t="shared" si="110"/>
        <v>-</v>
      </c>
    </row>
    <row r="1045" spans="1:20">
      <c r="A1045" s="269"/>
      <c r="B1045" s="57"/>
      <c r="C1045" s="55"/>
      <c r="D1045" s="55"/>
      <c r="E1045" s="55"/>
      <c r="F1045" s="55"/>
      <c r="G1045" s="275"/>
      <c r="H1045" s="276"/>
      <c r="I1045" s="213"/>
      <c r="J1045" s="213"/>
      <c r="K1045" s="269"/>
      <c r="L1045" s="272">
        <f t="shared" si="106"/>
        <v>1900</v>
      </c>
      <c r="M1045" s="272">
        <f t="shared" si="107"/>
        <v>1</v>
      </c>
      <c r="N1045" s="273"/>
      <c r="O1045" s="61">
        <f t="shared" si="108"/>
        <v>1900</v>
      </c>
      <c r="P1045" s="61">
        <f t="shared" si="109"/>
        <v>1</v>
      </c>
      <c r="R1045" s="272"/>
      <c r="S1045" s="272"/>
      <c r="T1045" s="273" t="str">
        <f t="shared" si="110"/>
        <v>-</v>
      </c>
    </row>
    <row r="1046" spans="1:20">
      <c r="A1046" s="269"/>
      <c r="B1046" s="57"/>
      <c r="C1046" s="55"/>
      <c r="D1046" s="55"/>
      <c r="E1046" s="55"/>
      <c r="F1046" s="55"/>
      <c r="G1046" s="275"/>
      <c r="H1046" s="276"/>
      <c r="I1046" s="213"/>
      <c r="J1046" s="213"/>
      <c r="K1046" s="269"/>
      <c r="L1046" s="272">
        <f t="shared" si="106"/>
        <v>1900</v>
      </c>
      <c r="M1046" s="272">
        <f t="shared" si="107"/>
        <v>1</v>
      </c>
      <c r="N1046" s="273"/>
      <c r="O1046" s="61">
        <f t="shared" si="108"/>
        <v>1900</v>
      </c>
      <c r="P1046" s="61">
        <f t="shared" si="109"/>
        <v>1</v>
      </c>
      <c r="R1046" s="272"/>
      <c r="S1046" s="272"/>
      <c r="T1046" s="273" t="str">
        <f t="shared" si="110"/>
        <v>-</v>
      </c>
    </row>
    <row r="1047" spans="1:20">
      <c r="A1047" s="269"/>
      <c r="B1047" s="57"/>
      <c r="C1047" s="55"/>
      <c r="D1047" s="55"/>
      <c r="E1047" s="55"/>
      <c r="F1047" s="55"/>
      <c r="G1047" s="275"/>
      <c r="H1047" s="276"/>
      <c r="I1047" s="213"/>
      <c r="J1047" s="213"/>
      <c r="K1047" s="269"/>
      <c r="L1047" s="272">
        <f t="shared" si="106"/>
        <v>1900</v>
      </c>
      <c r="M1047" s="272">
        <f t="shared" si="107"/>
        <v>1</v>
      </c>
      <c r="N1047" s="273"/>
      <c r="O1047" s="61">
        <f t="shared" si="108"/>
        <v>1900</v>
      </c>
      <c r="P1047" s="61">
        <f t="shared" si="109"/>
        <v>1</v>
      </c>
      <c r="R1047" s="272"/>
      <c r="S1047" s="272"/>
      <c r="T1047" s="273" t="str">
        <f t="shared" si="110"/>
        <v>-</v>
      </c>
    </row>
    <row r="1048" spans="1:20">
      <c r="A1048" s="269"/>
      <c r="B1048" s="57"/>
      <c r="C1048" s="55"/>
      <c r="D1048" s="55"/>
      <c r="E1048" s="55"/>
      <c r="F1048" s="55"/>
      <c r="G1048" s="275"/>
      <c r="H1048" s="276"/>
      <c r="I1048" s="213"/>
      <c r="J1048" s="213"/>
      <c r="K1048" s="269"/>
      <c r="L1048" s="272">
        <f t="shared" si="106"/>
        <v>1900</v>
      </c>
      <c r="M1048" s="272">
        <f t="shared" si="107"/>
        <v>1</v>
      </c>
      <c r="N1048" s="273"/>
      <c r="O1048" s="61">
        <f t="shared" si="108"/>
        <v>1900</v>
      </c>
      <c r="P1048" s="61">
        <f t="shared" si="109"/>
        <v>1</v>
      </c>
      <c r="R1048" s="272"/>
      <c r="S1048" s="272"/>
      <c r="T1048" s="273" t="str">
        <f t="shared" si="110"/>
        <v>-</v>
      </c>
    </row>
    <row r="1049" spans="1:20">
      <c r="A1049" s="269"/>
      <c r="B1049" s="57"/>
      <c r="C1049" s="55"/>
      <c r="D1049" s="55"/>
      <c r="E1049" s="55"/>
      <c r="F1049" s="55"/>
      <c r="G1049" s="275"/>
      <c r="H1049" s="276"/>
      <c r="I1049" s="213"/>
      <c r="J1049" s="213"/>
      <c r="K1049" s="269"/>
      <c r="L1049" s="272">
        <f t="shared" si="106"/>
        <v>1900</v>
      </c>
      <c r="M1049" s="272">
        <f t="shared" si="107"/>
        <v>1</v>
      </c>
      <c r="N1049" s="273"/>
      <c r="O1049" s="61">
        <f t="shared" si="108"/>
        <v>1900</v>
      </c>
      <c r="P1049" s="61">
        <f t="shared" si="109"/>
        <v>1</v>
      </c>
      <c r="R1049" s="272"/>
      <c r="S1049" s="272"/>
      <c r="T1049" s="273" t="str">
        <f t="shared" si="110"/>
        <v>-</v>
      </c>
    </row>
    <row r="1050" spans="1:20">
      <c r="A1050" s="269"/>
      <c r="B1050" s="57"/>
      <c r="C1050" s="55"/>
      <c r="D1050" s="55"/>
      <c r="E1050" s="55"/>
      <c r="F1050" s="55"/>
      <c r="G1050" s="275"/>
      <c r="H1050" s="276"/>
      <c r="I1050" s="213"/>
      <c r="J1050" s="213"/>
      <c r="K1050" s="269"/>
      <c r="L1050" s="272">
        <f t="shared" si="106"/>
        <v>1900</v>
      </c>
      <c r="M1050" s="272">
        <f t="shared" si="107"/>
        <v>1</v>
      </c>
      <c r="N1050" s="273"/>
      <c r="O1050" s="61">
        <f t="shared" si="108"/>
        <v>1900</v>
      </c>
      <c r="P1050" s="61">
        <f t="shared" si="109"/>
        <v>1</v>
      </c>
      <c r="R1050" s="272"/>
      <c r="S1050" s="272"/>
      <c r="T1050" s="273" t="str">
        <f t="shared" si="110"/>
        <v>-</v>
      </c>
    </row>
    <row r="1051" spans="1:20">
      <c r="A1051" s="269"/>
      <c r="B1051" s="57"/>
      <c r="C1051" s="55"/>
      <c r="D1051" s="55"/>
      <c r="E1051" s="55"/>
      <c r="F1051" s="55"/>
      <c r="G1051" s="275"/>
      <c r="H1051" s="276"/>
      <c r="I1051" s="213"/>
      <c r="J1051" s="213"/>
      <c r="K1051" s="269"/>
      <c r="L1051" s="272">
        <f t="shared" si="106"/>
        <v>1900</v>
      </c>
      <c r="M1051" s="272">
        <f t="shared" si="107"/>
        <v>1</v>
      </c>
      <c r="N1051" s="273"/>
      <c r="O1051" s="61">
        <f t="shared" si="108"/>
        <v>1900</v>
      </c>
      <c r="P1051" s="61">
        <f t="shared" si="109"/>
        <v>1</v>
      </c>
      <c r="R1051" s="272"/>
      <c r="S1051" s="272"/>
      <c r="T1051" s="273" t="str">
        <f t="shared" si="110"/>
        <v>-</v>
      </c>
    </row>
    <row r="1052" spans="1:20">
      <c r="A1052" s="269"/>
      <c r="B1052" s="57"/>
      <c r="C1052" s="55"/>
      <c r="D1052" s="55"/>
      <c r="E1052" s="55"/>
      <c r="F1052" s="55"/>
      <c r="G1052" s="275"/>
      <c r="H1052" s="276"/>
      <c r="I1052" s="213"/>
      <c r="J1052" s="213"/>
      <c r="K1052" s="269"/>
      <c r="L1052" s="272">
        <f t="shared" si="106"/>
        <v>1900</v>
      </c>
      <c r="M1052" s="272">
        <f t="shared" si="107"/>
        <v>1</v>
      </c>
      <c r="N1052" s="273"/>
      <c r="O1052" s="61">
        <f t="shared" si="108"/>
        <v>1900</v>
      </c>
      <c r="P1052" s="61">
        <f t="shared" si="109"/>
        <v>1</v>
      </c>
      <c r="R1052" s="272"/>
      <c r="S1052" s="272"/>
      <c r="T1052" s="273" t="str">
        <f t="shared" si="110"/>
        <v>-</v>
      </c>
    </row>
    <row r="1053" spans="1:20">
      <c r="A1053" s="269"/>
      <c r="B1053" s="57"/>
      <c r="C1053" s="55"/>
      <c r="D1053" s="55"/>
      <c r="E1053" s="55"/>
      <c r="F1053" s="55"/>
      <c r="G1053" s="275"/>
      <c r="H1053" s="276"/>
      <c r="I1053" s="213"/>
      <c r="J1053" s="213"/>
      <c r="K1053" s="269"/>
      <c r="L1053" s="272">
        <f t="shared" si="106"/>
        <v>1900</v>
      </c>
      <c r="M1053" s="272">
        <f t="shared" si="107"/>
        <v>1</v>
      </c>
      <c r="N1053" s="273"/>
      <c r="O1053" s="61">
        <f t="shared" si="108"/>
        <v>1900</v>
      </c>
      <c r="P1053" s="61">
        <f t="shared" si="109"/>
        <v>1</v>
      </c>
      <c r="R1053" s="272"/>
      <c r="S1053" s="272"/>
      <c r="T1053" s="273" t="str">
        <f t="shared" si="110"/>
        <v>-</v>
      </c>
    </row>
    <row r="1054" spans="1:20">
      <c r="A1054" s="269"/>
      <c r="B1054" s="57"/>
      <c r="C1054" s="55"/>
      <c r="D1054" s="55"/>
      <c r="E1054" s="55"/>
      <c r="F1054" s="55"/>
      <c r="G1054" s="275"/>
      <c r="H1054" s="276"/>
      <c r="I1054" s="213"/>
      <c r="J1054" s="213"/>
      <c r="K1054" s="269"/>
      <c r="L1054" s="272">
        <f t="shared" si="106"/>
        <v>1900</v>
      </c>
      <c r="M1054" s="272">
        <f t="shared" si="107"/>
        <v>1</v>
      </c>
      <c r="N1054" s="273"/>
      <c r="O1054" s="61">
        <f t="shared" si="108"/>
        <v>1900</v>
      </c>
      <c r="P1054" s="61">
        <f t="shared" si="109"/>
        <v>1</v>
      </c>
      <c r="R1054" s="272"/>
      <c r="S1054" s="272"/>
      <c r="T1054" s="273" t="str">
        <f t="shared" si="110"/>
        <v>-</v>
      </c>
    </row>
    <row r="1055" spans="1:20">
      <c r="A1055" s="269"/>
      <c r="B1055" s="57"/>
      <c r="C1055" s="55"/>
      <c r="D1055" s="55"/>
      <c r="E1055" s="55"/>
      <c r="F1055" s="55"/>
      <c r="G1055" s="275"/>
      <c r="H1055" s="276"/>
      <c r="I1055" s="213"/>
      <c r="J1055" s="213"/>
      <c r="K1055" s="269"/>
      <c r="L1055" s="272">
        <f t="shared" si="106"/>
        <v>1900</v>
      </c>
      <c r="M1055" s="272">
        <f t="shared" si="107"/>
        <v>1</v>
      </c>
      <c r="N1055" s="273"/>
      <c r="O1055" s="61">
        <f t="shared" si="108"/>
        <v>1900</v>
      </c>
      <c r="P1055" s="61">
        <f t="shared" si="109"/>
        <v>1</v>
      </c>
      <c r="R1055" s="272"/>
      <c r="S1055" s="272"/>
      <c r="T1055" s="273" t="str">
        <f t="shared" si="110"/>
        <v>-</v>
      </c>
    </row>
    <row r="1056" spans="1:20">
      <c r="A1056" s="269"/>
      <c r="B1056" s="57"/>
      <c r="C1056" s="55"/>
      <c r="D1056" s="55"/>
      <c r="E1056" s="55"/>
      <c r="F1056" s="55"/>
      <c r="G1056" s="275"/>
      <c r="H1056" s="276"/>
      <c r="I1056" s="213"/>
      <c r="J1056" s="213"/>
      <c r="K1056" s="269"/>
      <c r="L1056" s="272">
        <f t="shared" si="106"/>
        <v>1900</v>
      </c>
      <c r="M1056" s="272">
        <f t="shared" si="107"/>
        <v>1</v>
      </c>
      <c r="N1056" s="273"/>
      <c r="O1056" s="61">
        <f t="shared" si="108"/>
        <v>1900</v>
      </c>
      <c r="P1056" s="61">
        <f t="shared" si="109"/>
        <v>1</v>
      </c>
      <c r="R1056" s="272"/>
      <c r="S1056" s="272"/>
      <c r="T1056" s="273" t="str">
        <f t="shared" si="110"/>
        <v>-</v>
      </c>
    </row>
    <row r="1057" spans="1:20">
      <c r="A1057" s="269"/>
      <c r="B1057" s="57"/>
      <c r="C1057" s="55"/>
      <c r="D1057" s="55"/>
      <c r="E1057" s="55"/>
      <c r="F1057" s="55"/>
      <c r="G1057" s="275"/>
      <c r="H1057" s="276"/>
      <c r="I1057" s="213"/>
      <c r="J1057" s="213"/>
      <c r="K1057" s="269"/>
      <c r="L1057" s="272">
        <f t="shared" si="106"/>
        <v>1900</v>
      </c>
      <c r="M1057" s="272">
        <f t="shared" si="107"/>
        <v>1</v>
      </c>
      <c r="N1057" s="273"/>
      <c r="O1057" s="61">
        <f t="shared" si="108"/>
        <v>1900</v>
      </c>
      <c r="P1057" s="61">
        <f t="shared" si="109"/>
        <v>1</v>
      </c>
      <c r="R1057" s="272"/>
      <c r="S1057" s="272"/>
      <c r="T1057" s="273" t="str">
        <f t="shared" si="110"/>
        <v>-</v>
      </c>
    </row>
    <row r="1058" spans="1:20">
      <c r="A1058" s="269"/>
      <c r="B1058" s="57"/>
      <c r="C1058" s="55"/>
      <c r="D1058" s="55"/>
      <c r="E1058" s="55"/>
      <c r="F1058" s="55"/>
      <c r="G1058" s="275"/>
      <c r="H1058" s="276"/>
      <c r="I1058" s="213"/>
      <c r="J1058" s="213"/>
      <c r="K1058" s="269"/>
      <c r="L1058" s="272">
        <f t="shared" si="106"/>
        <v>1900</v>
      </c>
      <c r="M1058" s="272">
        <f t="shared" si="107"/>
        <v>1</v>
      </c>
      <c r="N1058" s="273"/>
      <c r="O1058" s="61">
        <f t="shared" si="108"/>
        <v>1900</v>
      </c>
      <c r="P1058" s="61">
        <f t="shared" si="109"/>
        <v>1</v>
      </c>
      <c r="R1058" s="272"/>
      <c r="S1058" s="272"/>
      <c r="T1058" s="273" t="str">
        <f t="shared" si="110"/>
        <v>-</v>
      </c>
    </row>
    <row r="1059" spans="1:20">
      <c r="A1059" s="269"/>
      <c r="B1059" s="57"/>
      <c r="C1059" s="55"/>
      <c r="D1059" s="55"/>
      <c r="E1059" s="55"/>
      <c r="F1059" s="55"/>
      <c r="G1059" s="275"/>
      <c r="H1059" s="276"/>
      <c r="I1059" s="213"/>
      <c r="J1059" s="213"/>
      <c r="K1059" s="269"/>
      <c r="L1059" s="272">
        <f t="shared" si="106"/>
        <v>1900</v>
      </c>
      <c r="M1059" s="272">
        <f t="shared" si="107"/>
        <v>1</v>
      </c>
      <c r="N1059" s="273"/>
      <c r="O1059" s="61">
        <f t="shared" si="108"/>
        <v>1900</v>
      </c>
      <c r="P1059" s="61">
        <f t="shared" si="109"/>
        <v>1</v>
      </c>
      <c r="R1059" s="272"/>
      <c r="S1059" s="272"/>
      <c r="T1059" s="273" t="str">
        <f t="shared" si="110"/>
        <v>-</v>
      </c>
    </row>
    <row r="1060" spans="1:20">
      <c r="A1060" s="269"/>
      <c r="B1060" s="57"/>
      <c r="C1060" s="55"/>
      <c r="D1060" s="55"/>
      <c r="E1060" s="55"/>
      <c r="F1060" s="55"/>
      <c r="G1060" s="275"/>
      <c r="H1060" s="276"/>
      <c r="I1060" s="213"/>
      <c r="J1060" s="213"/>
      <c r="K1060" s="269"/>
      <c r="L1060" s="272">
        <f t="shared" si="106"/>
        <v>1900</v>
      </c>
      <c r="M1060" s="272">
        <f t="shared" si="107"/>
        <v>1</v>
      </c>
      <c r="N1060" s="273"/>
      <c r="O1060" s="61">
        <f t="shared" si="108"/>
        <v>1900</v>
      </c>
      <c r="P1060" s="61">
        <f t="shared" si="109"/>
        <v>1</v>
      </c>
      <c r="R1060" s="272"/>
      <c r="S1060" s="272"/>
      <c r="T1060" s="273" t="str">
        <f t="shared" si="110"/>
        <v>-</v>
      </c>
    </row>
    <row r="1061" spans="1:20">
      <c r="A1061" s="269"/>
      <c r="B1061" s="57"/>
      <c r="C1061" s="55"/>
      <c r="D1061" s="55"/>
      <c r="E1061" s="55"/>
      <c r="F1061" s="55"/>
      <c r="G1061" s="275"/>
      <c r="H1061" s="276"/>
      <c r="I1061" s="213"/>
      <c r="J1061" s="213"/>
      <c r="K1061" s="269"/>
      <c r="L1061" s="272">
        <f t="shared" si="106"/>
        <v>1900</v>
      </c>
      <c r="M1061" s="272">
        <f t="shared" si="107"/>
        <v>1</v>
      </c>
      <c r="N1061" s="273"/>
      <c r="O1061" s="61">
        <f t="shared" si="108"/>
        <v>1900</v>
      </c>
      <c r="P1061" s="61">
        <f t="shared" si="109"/>
        <v>1</v>
      </c>
      <c r="R1061" s="272"/>
      <c r="S1061" s="272"/>
      <c r="T1061" s="273" t="str">
        <f t="shared" si="110"/>
        <v>-</v>
      </c>
    </row>
    <row r="1062" spans="1:20">
      <c r="A1062" s="269"/>
      <c r="B1062" s="57"/>
      <c r="C1062" s="55"/>
      <c r="D1062" s="55"/>
      <c r="E1062" s="55"/>
      <c r="F1062" s="55"/>
      <c r="G1062" s="275"/>
      <c r="H1062" s="276"/>
      <c r="I1062" s="213"/>
      <c r="J1062" s="213"/>
      <c r="K1062" s="269"/>
      <c r="L1062" s="272">
        <f t="shared" si="106"/>
        <v>1900</v>
      </c>
      <c r="M1062" s="272">
        <f t="shared" si="107"/>
        <v>1</v>
      </c>
      <c r="N1062" s="273"/>
      <c r="O1062" s="61">
        <f t="shared" si="108"/>
        <v>1900</v>
      </c>
      <c r="P1062" s="61">
        <f t="shared" si="109"/>
        <v>1</v>
      </c>
      <c r="R1062" s="272"/>
      <c r="S1062" s="272"/>
      <c r="T1062" s="273" t="str">
        <f t="shared" si="110"/>
        <v>-</v>
      </c>
    </row>
    <row r="1063" spans="1:20">
      <c r="A1063" s="269"/>
      <c r="B1063" s="57"/>
      <c r="C1063" s="55"/>
      <c r="D1063" s="55"/>
      <c r="E1063" s="55"/>
      <c r="F1063" s="55"/>
      <c r="G1063" s="275"/>
      <c r="H1063" s="276"/>
      <c r="I1063" s="213"/>
      <c r="J1063" s="213"/>
      <c r="K1063" s="269"/>
      <c r="L1063" s="272">
        <f t="shared" si="106"/>
        <v>1900</v>
      </c>
      <c r="M1063" s="272">
        <f t="shared" si="107"/>
        <v>1</v>
      </c>
      <c r="N1063" s="273"/>
      <c r="O1063" s="61">
        <f t="shared" si="108"/>
        <v>1900</v>
      </c>
      <c r="P1063" s="61">
        <f t="shared" si="109"/>
        <v>1</v>
      </c>
      <c r="R1063" s="272"/>
      <c r="S1063" s="272"/>
      <c r="T1063" s="273" t="str">
        <f t="shared" si="110"/>
        <v>-</v>
      </c>
    </row>
    <row r="1064" spans="1:20">
      <c r="A1064" s="269"/>
      <c r="B1064" s="57"/>
      <c r="C1064" s="55"/>
      <c r="D1064" s="55"/>
      <c r="E1064" s="55"/>
      <c r="F1064" s="55"/>
      <c r="G1064" s="275"/>
      <c r="H1064" s="276"/>
      <c r="I1064" s="213"/>
      <c r="J1064" s="213"/>
      <c r="K1064" s="269"/>
      <c r="L1064" s="272">
        <f t="shared" si="106"/>
        <v>1900</v>
      </c>
      <c r="M1064" s="272">
        <f t="shared" si="107"/>
        <v>1</v>
      </c>
      <c r="N1064" s="273"/>
      <c r="O1064" s="61">
        <f t="shared" si="108"/>
        <v>1900</v>
      </c>
      <c r="P1064" s="61">
        <f t="shared" si="109"/>
        <v>1</v>
      </c>
      <c r="R1064" s="272"/>
      <c r="S1064" s="272"/>
      <c r="T1064" s="273" t="str">
        <f t="shared" si="110"/>
        <v>-</v>
      </c>
    </row>
    <row r="1065" spans="1:20">
      <c r="A1065" s="269"/>
      <c r="B1065" s="57"/>
      <c r="C1065" s="55"/>
      <c r="D1065" s="55"/>
      <c r="E1065" s="55"/>
      <c r="F1065" s="55"/>
      <c r="G1065" s="275"/>
      <c r="H1065" s="276"/>
      <c r="I1065" s="213"/>
      <c r="J1065" s="213"/>
      <c r="K1065" s="269"/>
      <c r="L1065" s="272">
        <f t="shared" si="106"/>
        <v>1900</v>
      </c>
      <c r="M1065" s="272">
        <f t="shared" si="107"/>
        <v>1</v>
      </c>
      <c r="N1065" s="273"/>
      <c r="O1065" s="61">
        <f t="shared" si="108"/>
        <v>1900</v>
      </c>
      <c r="P1065" s="61">
        <f t="shared" si="109"/>
        <v>1</v>
      </c>
      <c r="R1065" s="272"/>
      <c r="S1065" s="272"/>
      <c r="T1065" s="273" t="str">
        <f t="shared" si="110"/>
        <v>-</v>
      </c>
    </row>
    <row r="1066" spans="1:20">
      <c r="A1066" s="269"/>
      <c r="B1066" s="57"/>
      <c r="C1066" s="55"/>
      <c r="D1066" s="55"/>
      <c r="E1066" s="55"/>
      <c r="F1066" s="55"/>
      <c r="G1066" s="275"/>
      <c r="H1066" s="276"/>
      <c r="I1066" s="213"/>
      <c r="J1066" s="213"/>
      <c r="K1066" s="269"/>
      <c r="L1066" s="272">
        <f t="shared" si="106"/>
        <v>1900</v>
      </c>
      <c r="M1066" s="272">
        <f t="shared" si="107"/>
        <v>1</v>
      </c>
      <c r="N1066" s="273"/>
      <c r="O1066" s="61">
        <f t="shared" si="108"/>
        <v>1900</v>
      </c>
      <c r="P1066" s="61">
        <f t="shared" si="109"/>
        <v>1</v>
      </c>
      <c r="R1066" s="272"/>
      <c r="S1066" s="272"/>
      <c r="T1066" s="273" t="str">
        <f t="shared" si="110"/>
        <v>-</v>
      </c>
    </row>
    <row r="1067" spans="1:20">
      <c r="A1067" s="269"/>
      <c r="B1067" s="57"/>
      <c r="C1067" s="55"/>
      <c r="D1067" s="55"/>
      <c r="E1067" s="55"/>
      <c r="F1067" s="55"/>
      <c r="G1067" s="275"/>
      <c r="H1067" s="276"/>
      <c r="I1067" s="213"/>
      <c r="J1067" s="213"/>
      <c r="K1067" s="269"/>
      <c r="L1067" s="272">
        <f t="shared" si="106"/>
        <v>1900</v>
      </c>
      <c r="M1067" s="272">
        <f t="shared" si="107"/>
        <v>1</v>
      </c>
      <c r="N1067" s="273"/>
      <c r="O1067" s="61">
        <f t="shared" si="108"/>
        <v>1900</v>
      </c>
      <c r="P1067" s="61">
        <f t="shared" si="109"/>
        <v>1</v>
      </c>
      <c r="R1067" s="272"/>
      <c r="S1067" s="272"/>
      <c r="T1067" s="273" t="str">
        <f t="shared" si="110"/>
        <v>-</v>
      </c>
    </row>
    <row r="1068" spans="1:20">
      <c r="A1068" s="269"/>
      <c r="B1068" s="57"/>
      <c r="C1068" s="55"/>
      <c r="D1068" s="55"/>
      <c r="E1068" s="55"/>
      <c r="F1068" s="55"/>
      <c r="G1068" s="275"/>
      <c r="H1068" s="276"/>
      <c r="I1068" s="213"/>
      <c r="J1068" s="213"/>
      <c r="K1068" s="269"/>
      <c r="L1068" s="272">
        <f t="shared" si="106"/>
        <v>1900</v>
      </c>
      <c r="M1068" s="272">
        <f t="shared" si="107"/>
        <v>1</v>
      </c>
      <c r="N1068" s="273"/>
      <c r="O1068" s="61">
        <f t="shared" si="108"/>
        <v>1900</v>
      </c>
      <c r="P1068" s="61">
        <f t="shared" si="109"/>
        <v>1</v>
      </c>
      <c r="R1068" s="272"/>
      <c r="S1068" s="272"/>
      <c r="T1068" s="273" t="str">
        <f t="shared" si="110"/>
        <v>-</v>
      </c>
    </row>
    <row r="1069" spans="1:20">
      <c r="A1069" s="269"/>
      <c r="B1069" s="57"/>
      <c r="C1069" s="55"/>
      <c r="D1069" s="55"/>
      <c r="E1069" s="55"/>
      <c r="F1069" s="55"/>
      <c r="G1069" s="275"/>
      <c r="H1069" s="276"/>
      <c r="I1069" s="213"/>
      <c r="J1069" s="213"/>
      <c r="K1069" s="269"/>
      <c r="L1069" s="272">
        <f t="shared" si="106"/>
        <v>1900</v>
      </c>
      <c r="M1069" s="272">
        <f t="shared" si="107"/>
        <v>1</v>
      </c>
      <c r="N1069" s="273"/>
      <c r="O1069" s="61">
        <f t="shared" si="108"/>
        <v>1900</v>
      </c>
      <c r="P1069" s="61">
        <f t="shared" si="109"/>
        <v>1</v>
      </c>
      <c r="R1069" s="272"/>
      <c r="S1069" s="272"/>
      <c r="T1069" s="273" t="str">
        <f t="shared" si="110"/>
        <v>-</v>
      </c>
    </row>
    <row r="1070" spans="1:20">
      <c r="A1070" s="269"/>
      <c r="B1070" s="57"/>
      <c r="C1070" s="55"/>
      <c r="D1070" s="55"/>
      <c r="E1070" s="55"/>
      <c r="F1070" s="55"/>
      <c r="G1070" s="275"/>
      <c r="H1070" s="276"/>
      <c r="I1070" s="213"/>
      <c r="J1070" s="213"/>
      <c r="K1070" s="269"/>
      <c r="L1070" s="272">
        <f t="shared" si="106"/>
        <v>1900</v>
      </c>
      <c r="M1070" s="272">
        <f t="shared" si="107"/>
        <v>1</v>
      </c>
      <c r="N1070" s="273"/>
      <c r="O1070" s="61">
        <f t="shared" si="108"/>
        <v>1900</v>
      </c>
      <c r="P1070" s="61">
        <f t="shared" si="109"/>
        <v>1</v>
      </c>
      <c r="R1070" s="272"/>
      <c r="S1070" s="272"/>
      <c r="T1070" s="273" t="str">
        <f t="shared" si="110"/>
        <v>-</v>
      </c>
    </row>
    <row r="1071" spans="1:20">
      <c r="A1071" s="269"/>
      <c r="B1071" s="57"/>
      <c r="C1071" s="55"/>
      <c r="D1071" s="55"/>
      <c r="E1071" s="55"/>
      <c r="F1071" s="55"/>
      <c r="G1071" s="275"/>
      <c r="H1071" s="276"/>
      <c r="I1071" s="213"/>
      <c r="J1071" s="213"/>
      <c r="K1071" s="269"/>
      <c r="L1071" s="272">
        <f t="shared" si="106"/>
        <v>1900</v>
      </c>
      <c r="M1071" s="272">
        <f t="shared" si="107"/>
        <v>1</v>
      </c>
      <c r="N1071" s="273"/>
      <c r="O1071" s="61">
        <f t="shared" si="108"/>
        <v>1900</v>
      </c>
      <c r="P1071" s="61">
        <f t="shared" si="109"/>
        <v>1</v>
      </c>
      <c r="R1071" s="272"/>
      <c r="S1071" s="272"/>
      <c r="T1071" s="273" t="str">
        <f t="shared" si="110"/>
        <v>-</v>
      </c>
    </row>
    <row r="1072" spans="1:20">
      <c r="A1072" s="269"/>
      <c r="B1072" s="57"/>
      <c r="C1072" s="55"/>
      <c r="D1072" s="55"/>
      <c r="E1072" s="55"/>
      <c r="F1072" s="55"/>
      <c r="G1072" s="275"/>
      <c r="H1072" s="276"/>
      <c r="I1072" s="213"/>
      <c r="J1072" s="213"/>
      <c r="K1072" s="269"/>
      <c r="L1072" s="272">
        <f t="shared" si="106"/>
        <v>1900</v>
      </c>
      <c r="M1072" s="272">
        <f t="shared" si="107"/>
        <v>1</v>
      </c>
      <c r="N1072" s="273"/>
      <c r="O1072" s="61">
        <f t="shared" si="108"/>
        <v>1900</v>
      </c>
      <c r="P1072" s="61">
        <f t="shared" si="109"/>
        <v>1</v>
      </c>
      <c r="R1072" s="272"/>
      <c r="S1072" s="272"/>
      <c r="T1072" s="273" t="str">
        <f t="shared" si="110"/>
        <v>-</v>
      </c>
    </row>
    <row r="1073" spans="1:20">
      <c r="A1073" s="269"/>
      <c r="B1073" s="57"/>
      <c r="C1073" s="55"/>
      <c r="D1073" s="55"/>
      <c r="E1073" s="55"/>
      <c r="F1073" s="55"/>
      <c r="G1073" s="275"/>
      <c r="H1073" s="276"/>
      <c r="I1073" s="213"/>
      <c r="J1073" s="213"/>
      <c r="K1073" s="269"/>
      <c r="L1073" s="272">
        <f t="shared" si="106"/>
        <v>1900</v>
      </c>
      <c r="M1073" s="272">
        <f t="shared" si="107"/>
        <v>1</v>
      </c>
      <c r="N1073" s="273"/>
      <c r="O1073" s="61">
        <f t="shared" si="108"/>
        <v>1900</v>
      </c>
      <c r="P1073" s="61">
        <f t="shared" si="109"/>
        <v>1</v>
      </c>
      <c r="R1073" s="272"/>
      <c r="S1073" s="272"/>
      <c r="T1073" s="273" t="str">
        <f t="shared" si="110"/>
        <v>-</v>
      </c>
    </row>
    <row r="1074" spans="1:20">
      <c r="A1074" s="269"/>
      <c r="B1074" s="57"/>
      <c r="C1074" s="55"/>
      <c r="D1074" s="55"/>
      <c r="E1074" s="55"/>
      <c r="F1074" s="55"/>
      <c r="G1074" s="275"/>
      <c r="H1074" s="276"/>
      <c r="I1074" s="213"/>
      <c r="J1074" s="213"/>
      <c r="K1074" s="269"/>
      <c r="L1074" s="272">
        <f t="shared" si="106"/>
        <v>1900</v>
      </c>
      <c r="M1074" s="272">
        <f t="shared" si="107"/>
        <v>1</v>
      </c>
      <c r="N1074" s="273"/>
      <c r="O1074" s="61">
        <f t="shared" si="108"/>
        <v>1900</v>
      </c>
      <c r="P1074" s="61">
        <f t="shared" si="109"/>
        <v>1</v>
      </c>
      <c r="R1074" s="272"/>
      <c r="S1074" s="272"/>
      <c r="T1074" s="273" t="str">
        <f t="shared" si="110"/>
        <v>-</v>
      </c>
    </row>
    <row r="1075" spans="1:20">
      <c r="A1075" s="269"/>
      <c r="B1075" s="57"/>
      <c r="C1075" s="55"/>
      <c r="D1075" s="55"/>
      <c r="E1075" s="55"/>
      <c r="F1075" s="55"/>
      <c r="G1075" s="275"/>
      <c r="H1075" s="276"/>
      <c r="I1075" s="213"/>
      <c r="J1075" s="213"/>
      <c r="K1075" s="269"/>
      <c r="L1075" s="272">
        <f t="shared" si="106"/>
        <v>1900</v>
      </c>
      <c r="M1075" s="272">
        <f t="shared" si="107"/>
        <v>1</v>
      </c>
      <c r="N1075" s="273"/>
      <c r="O1075" s="61">
        <f t="shared" si="108"/>
        <v>1900</v>
      </c>
      <c r="P1075" s="61">
        <f t="shared" si="109"/>
        <v>1</v>
      </c>
      <c r="R1075" s="272"/>
      <c r="S1075" s="272"/>
      <c r="T1075" s="273" t="str">
        <f t="shared" si="110"/>
        <v>-</v>
      </c>
    </row>
    <row r="1076" spans="1:20">
      <c r="A1076" s="269"/>
      <c r="B1076" s="57"/>
      <c r="C1076" s="55"/>
      <c r="D1076" s="55"/>
      <c r="E1076" s="55"/>
      <c r="F1076" s="55"/>
      <c r="G1076" s="275"/>
      <c r="H1076" s="276"/>
      <c r="I1076" s="213"/>
      <c r="J1076" s="213"/>
      <c r="K1076" s="269"/>
      <c r="L1076" s="272">
        <f t="shared" si="106"/>
        <v>1900</v>
      </c>
      <c r="M1076" s="272">
        <f t="shared" si="107"/>
        <v>1</v>
      </c>
      <c r="N1076" s="273"/>
      <c r="O1076" s="61">
        <f t="shared" si="108"/>
        <v>1900</v>
      </c>
      <c r="P1076" s="61">
        <f t="shared" si="109"/>
        <v>1</v>
      </c>
      <c r="R1076" s="272"/>
      <c r="S1076" s="272"/>
      <c r="T1076" s="273" t="str">
        <f t="shared" si="110"/>
        <v>-</v>
      </c>
    </row>
    <row r="1077" spans="1:20">
      <c r="A1077" s="269"/>
      <c r="B1077" s="57"/>
      <c r="C1077" s="55"/>
      <c r="D1077" s="55"/>
      <c r="E1077" s="55"/>
      <c r="F1077" s="55"/>
      <c r="G1077" s="275"/>
      <c r="H1077" s="276"/>
      <c r="I1077" s="213"/>
      <c r="J1077" s="213"/>
      <c r="K1077" s="269"/>
      <c r="L1077" s="272">
        <f t="shared" si="106"/>
        <v>1900</v>
      </c>
      <c r="M1077" s="272">
        <f t="shared" si="107"/>
        <v>1</v>
      </c>
      <c r="N1077" s="273"/>
      <c r="O1077" s="61">
        <f t="shared" si="108"/>
        <v>1900</v>
      </c>
      <c r="P1077" s="61">
        <f t="shared" si="109"/>
        <v>1</v>
      </c>
      <c r="R1077" s="272"/>
      <c r="S1077" s="272"/>
      <c r="T1077" s="273" t="str">
        <f t="shared" si="110"/>
        <v>-</v>
      </c>
    </row>
    <row r="1078" spans="1:20">
      <c r="A1078" s="269"/>
      <c r="B1078" s="57"/>
      <c r="C1078" s="55"/>
      <c r="D1078" s="55"/>
      <c r="E1078" s="55"/>
      <c r="F1078" s="55"/>
      <c r="G1078" s="275"/>
      <c r="H1078" s="276"/>
      <c r="I1078" s="213"/>
      <c r="J1078" s="213"/>
      <c r="K1078" s="269"/>
      <c r="L1078" s="272">
        <f t="shared" si="106"/>
        <v>1900</v>
      </c>
      <c r="M1078" s="272">
        <f t="shared" si="107"/>
        <v>1</v>
      </c>
      <c r="N1078" s="273"/>
      <c r="O1078" s="61">
        <f t="shared" si="108"/>
        <v>1900</v>
      </c>
      <c r="P1078" s="61">
        <f t="shared" si="109"/>
        <v>1</v>
      </c>
      <c r="R1078" s="272"/>
      <c r="S1078" s="272"/>
      <c r="T1078" s="273" t="str">
        <f t="shared" si="110"/>
        <v>-</v>
      </c>
    </row>
    <row r="1079" spans="1:20">
      <c r="A1079" s="269"/>
      <c r="B1079" s="57"/>
      <c r="C1079" s="55"/>
      <c r="D1079" s="55"/>
      <c r="E1079" s="55"/>
      <c r="F1079" s="55"/>
      <c r="G1079" s="275"/>
      <c r="H1079" s="276"/>
      <c r="I1079" s="213"/>
      <c r="J1079" s="213"/>
      <c r="K1079" s="269"/>
      <c r="L1079" s="272">
        <f t="shared" si="106"/>
        <v>1900</v>
      </c>
      <c r="M1079" s="272">
        <f t="shared" si="107"/>
        <v>1</v>
      </c>
      <c r="N1079" s="273"/>
      <c r="O1079" s="61">
        <f t="shared" si="108"/>
        <v>1900</v>
      </c>
      <c r="P1079" s="61">
        <f t="shared" si="109"/>
        <v>1</v>
      </c>
      <c r="R1079" s="272"/>
      <c r="S1079" s="272"/>
      <c r="T1079" s="273" t="str">
        <f t="shared" si="110"/>
        <v>-</v>
      </c>
    </row>
    <row r="1080" spans="1:20">
      <c r="A1080" s="269"/>
      <c r="B1080" s="57"/>
      <c r="C1080" s="55"/>
      <c r="D1080" s="55"/>
      <c r="E1080" s="55"/>
      <c r="F1080" s="55"/>
      <c r="G1080" s="275"/>
      <c r="H1080" s="276"/>
      <c r="I1080" s="213"/>
      <c r="J1080" s="213"/>
      <c r="K1080" s="269"/>
      <c r="L1080" s="272">
        <f t="shared" si="106"/>
        <v>1900</v>
      </c>
      <c r="M1080" s="272">
        <f t="shared" si="107"/>
        <v>1</v>
      </c>
      <c r="N1080" s="273"/>
      <c r="O1080" s="61">
        <f t="shared" si="108"/>
        <v>1900</v>
      </c>
      <c r="P1080" s="61">
        <f t="shared" si="109"/>
        <v>1</v>
      </c>
      <c r="R1080" s="272"/>
      <c r="S1080" s="272"/>
      <c r="T1080" s="273" t="str">
        <f t="shared" si="110"/>
        <v>-</v>
      </c>
    </row>
    <row r="1081" spans="1:20">
      <c r="A1081" s="269"/>
      <c r="B1081" s="57"/>
      <c r="C1081" s="55"/>
      <c r="D1081" s="55"/>
      <c r="E1081" s="55"/>
      <c r="F1081" s="55"/>
      <c r="G1081" s="275"/>
      <c r="H1081" s="276"/>
      <c r="I1081" s="213"/>
      <c r="J1081" s="213"/>
      <c r="K1081" s="269"/>
      <c r="L1081" s="272">
        <f t="shared" si="106"/>
        <v>1900</v>
      </c>
      <c r="M1081" s="272">
        <f t="shared" si="107"/>
        <v>1</v>
      </c>
      <c r="N1081" s="273"/>
      <c r="O1081" s="61">
        <f t="shared" si="108"/>
        <v>1900</v>
      </c>
      <c r="P1081" s="61">
        <f t="shared" si="109"/>
        <v>1</v>
      </c>
      <c r="R1081" s="272"/>
      <c r="S1081" s="272"/>
      <c r="T1081" s="273" t="str">
        <f t="shared" si="110"/>
        <v>-</v>
      </c>
    </row>
    <row r="1082" spans="1:20">
      <c r="A1082" s="269"/>
      <c r="B1082" s="57"/>
      <c r="C1082" s="55"/>
      <c r="D1082" s="55"/>
      <c r="E1082" s="55"/>
      <c r="F1082" s="55"/>
      <c r="G1082" s="275"/>
      <c r="H1082" s="276"/>
      <c r="I1082" s="213"/>
      <c r="J1082" s="213"/>
      <c r="K1082" s="269"/>
      <c r="L1082" s="272">
        <f t="shared" si="106"/>
        <v>1900</v>
      </c>
      <c r="M1082" s="272">
        <f t="shared" si="107"/>
        <v>1</v>
      </c>
      <c r="N1082" s="273"/>
      <c r="O1082" s="61">
        <f t="shared" si="108"/>
        <v>1900</v>
      </c>
      <c r="P1082" s="61">
        <f t="shared" si="109"/>
        <v>1</v>
      </c>
      <c r="R1082" s="272"/>
      <c r="S1082" s="272"/>
      <c r="T1082" s="273" t="str">
        <f t="shared" si="110"/>
        <v>-</v>
      </c>
    </row>
    <row r="1083" spans="1:20">
      <c r="A1083" s="269"/>
      <c r="B1083" s="57"/>
      <c r="C1083" s="55"/>
      <c r="D1083" s="55"/>
      <c r="E1083" s="55"/>
      <c r="F1083" s="55"/>
      <c r="G1083" s="275"/>
      <c r="H1083" s="276"/>
      <c r="I1083" s="213"/>
      <c r="J1083" s="213"/>
      <c r="K1083" s="269"/>
      <c r="L1083" s="272">
        <f t="shared" si="106"/>
        <v>1900</v>
      </c>
      <c r="M1083" s="272">
        <f t="shared" si="107"/>
        <v>1</v>
      </c>
      <c r="N1083" s="273"/>
      <c r="O1083" s="61">
        <f t="shared" si="108"/>
        <v>1900</v>
      </c>
      <c r="P1083" s="61">
        <f t="shared" si="109"/>
        <v>1</v>
      </c>
      <c r="R1083" s="272"/>
      <c r="S1083" s="272"/>
      <c r="T1083" s="273" t="str">
        <f t="shared" si="110"/>
        <v>-</v>
      </c>
    </row>
    <row r="1084" spans="1:20">
      <c r="A1084" s="269"/>
      <c r="B1084" s="57"/>
      <c r="C1084" s="55"/>
      <c r="D1084" s="55"/>
      <c r="E1084" s="55"/>
      <c r="F1084" s="55"/>
      <c r="G1084" s="275"/>
      <c r="H1084" s="276"/>
      <c r="I1084" s="213"/>
      <c r="J1084" s="213"/>
      <c r="K1084" s="269"/>
      <c r="L1084" s="272">
        <f t="shared" si="106"/>
        <v>1900</v>
      </c>
      <c r="M1084" s="272">
        <f t="shared" si="107"/>
        <v>1</v>
      </c>
      <c r="N1084" s="273"/>
      <c r="O1084" s="61">
        <f t="shared" si="108"/>
        <v>1900</v>
      </c>
      <c r="P1084" s="61">
        <f t="shared" si="109"/>
        <v>1</v>
      </c>
      <c r="R1084" s="272"/>
      <c r="S1084" s="272"/>
      <c r="T1084" s="273" t="str">
        <f t="shared" si="110"/>
        <v>-</v>
      </c>
    </row>
    <row r="1085" spans="1:20">
      <c r="A1085" s="269"/>
      <c r="B1085" s="57"/>
      <c r="C1085" s="55"/>
      <c r="D1085" s="55"/>
      <c r="E1085" s="55"/>
      <c r="F1085" s="55"/>
      <c r="G1085" s="275"/>
      <c r="H1085" s="276"/>
      <c r="I1085" s="213"/>
      <c r="J1085" s="213"/>
      <c r="K1085" s="269"/>
      <c r="L1085" s="272">
        <f t="shared" si="106"/>
        <v>1900</v>
      </c>
      <c r="M1085" s="272">
        <f t="shared" si="107"/>
        <v>1</v>
      </c>
      <c r="N1085" s="273"/>
      <c r="O1085" s="61">
        <f t="shared" si="108"/>
        <v>1900</v>
      </c>
      <c r="P1085" s="61">
        <f t="shared" si="109"/>
        <v>1</v>
      </c>
      <c r="R1085" s="272"/>
      <c r="S1085" s="272"/>
      <c r="T1085" s="273" t="str">
        <f t="shared" si="110"/>
        <v>-</v>
      </c>
    </row>
    <row r="1086" spans="1:20">
      <c r="A1086" s="269"/>
      <c r="B1086" s="57"/>
      <c r="C1086" s="55"/>
      <c r="D1086" s="55"/>
      <c r="E1086" s="55"/>
      <c r="F1086" s="55"/>
      <c r="G1086" s="275"/>
      <c r="H1086" s="276"/>
      <c r="I1086" s="213"/>
      <c r="J1086" s="213"/>
      <c r="K1086" s="269"/>
      <c r="L1086" s="272">
        <f t="shared" si="106"/>
        <v>1900</v>
      </c>
      <c r="M1086" s="272">
        <f t="shared" si="107"/>
        <v>1</v>
      </c>
      <c r="N1086" s="273"/>
      <c r="O1086" s="61">
        <f t="shared" si="108"/>
        <v>1900</v>
      </c>
      <c r="P1086" s="61">
        <f t="shared" si="109"/>
        <v>1</v>
      </c>
      <c r="R1086" s="272"/>
      <c r="S1086" s="272"/>
      <c r="T1086" s="273" t="str">
        <f t="shared" si="110"/>
        <v>-</v>
      </c>
    </row>
    <row r="1087" spans="1:20">
      <c r="A1087" s="269"/>
      <c r="B1087" s="57"/>
      <c r="C1087" s="55"/>
      <c r="D1087" s="55"/>
      <c r="E1087" s="55"/>
      <c r="F1087" s="55"/>
      <c r="G1087" s="275"/>
      <c r="H1087" s="276"/>
      <c r="I1087" s="213"/>
      <c r="J1087" s="213"/>
      <c r="K1087" s="269"/>
      <c r="L1087" s="272">
        <f t="shared" si="106"/>
        <v>1900</v>
      </c>
      <c r="M1087" s="272">
        <f t="shared" si="107"/>
        <v>1</v>
      </c>
      <c r="N1087" s="273"/>
      <c r="O1087" s="61">
        <f t="shared" si="108"/>
        <v>1900</v>
      </c>
      <c r="P1087" s="61">
        <f t="shared" si="109"/>
        <v>1</v>
      </c>
      <c r="R1087" s="272"/>
      <c r="S1087" s="272"/>
      <c r="T1087" s="273" t="str">
        <f t="shared" si="110"/>
        <v>-</v>
      </c>
    </row>
    <row r="1088" spans="1:20">
      <c r="A1088" s="269"/>
      <c r="B1088" s="57"/>
      <c r="C1088" s="55"/>
      <c r="D1088" s="55"/>
      <c r="E1088" s="55"/>
      <c r="F1088" s="55"/>
      <c r="G1088" s="275"/>
      <c r="H1088" s="276"/>
      <c r="I1088" s="213"/>
      <c r="J1088" s="213"/>
      <c r="K1088" s="269"/>
      <c r="L1088" s="272">
        <f t="shared" si="106"/>
        <v>1900</v>
      </c>
      <c r="M1088" s="272">
        <f t="shared" si="107"/>
        <v>1</v>
      </c>
      <c r="N1088" s="273"/>
      <c r="O1088" s="61">
        <f t="shared" si="108"/>
        <v>1900</v>
      </c>
      <c r="P1088" s="61">
        <f t="shared" si="109"/>
        <v>1</v>
      </c>
      <c r="R1088" s="272"/>
      <c r="S1088" s="272"/>
      <c r="T1088" s="273" t="str">
        <f t="shared" si="110"/>
        <v>-</v>
      </c>
    </row>
    <row r="1089" spans="1:20">
      <c r="A1089" s="269"/>
      <c r="B1089" s="57"/>
      <c r="C1089" s="55"/>
      <c r="D1089" s="55"/>
      <c r="E1089" s="55"/>
      <c r="F1089" s="55"/>
      <c r="G1089" s="275"/>
      <c r="H1089" s="276"/>
      <c r="I1089" s="213"/>
      <c r="J1089" s="213"/>
      <c r="K1089" s="269"/>
      <c r="L1089" s="272">
        <f t="shared" si="106"/>
        <v>1900</v>
      </c>
      <c r="M1089" s="272">
        <f t="shared" si="107"/>
        <v>1</v>
      </c>
      <c r="N1089" s="273"/>
      <c r="O1089" s="61">
        <f t="shared" si="108"/>
        <v>1900</v>
      </c>
      <c r="P1089" s="61">
        <f t="shared" si="109"/>
        <v>1</v>
      </c>
      <c r="R1089" s="272"/>
      <c r="S1089" s="272"/>
      <c r="T1089" s="273" t="str">
        <f t="shared" si="110"/>
        <v>-</v>
      </c>
    </row>
    <row r="1090" spans="1:20">
      <c r="A1090" s="269"/>
      <c r="B1090" s="57"/>
      <c r="C1090" s="55"/>
      <c r="D1090" s="55"/>
      <c r="E1090" s="55"/>
      <c r="F1090" s="55"/>
      <c r="G1090" s="275"/>
      <c r="H1090" s="276"/>
      <c r="I1090" s="213"/>
      <c r="J1090" s="213"/>
      <c r="K1090" s="269"/>
      <c r="L1090" s="272">
        <f t="shared" si="106"/>
        <v>1900</v>
      </c>
      <c r="M1090" s="272">
        <f t="shared" si="107"/>
        <v>1</v>
      </c>
      <c r="N1090" s="273"/>
      <c r="O1090" s="61">
        <f t="shared" si="108"/>
        <v>1900</v>
      </c>
      <c r="P1090" s="61">
        <f t="shared" si="109"/>
        <v>1</v>
      </c>
      <c r="R1090" s="272"/>
      <c r="S1090" s="272"/>
      <c r="T1090" s="273" t="str">
        <f t="shared" si="110"/>
        <v>-</v>
      </c>
    </row>
    <row r="1091" spans="1:20">
      <c r="A1091" s="269"/>
      <c r="B1091" s="57"/>
      <c r="C1091" s="55"/>
      <c r="D1091" s="55"/>
      <c r="E1091" s="55"/>
      <c r="F1091" s="55"/>
      <c r="G1091" s="275"/>
      <c r="H1091" s="276"/>
      <c r="I1091" s="213"/>
      <c r="J1091" s="213"/>
      <c r="K1091" s="269"/>
      <c r="L1091" s="272">
        <f t="shared" si="106"/>
        <v>1900</v>
      </c>
      <c r="M1091" s="272">
        <f t="shared" si="107"/>
        <v>1</v>
      </c>
      <c r="N1091" s="273"/>
      <c r="O1091" s="61">
        <f t="shared" si="108"/>
        <v>1900</v>
      </c>
      <c r="P1091" s="61">
        <f t="shared" si="109"/>
        <v>1</v>
      </c>
      <c r="R1091" s="272"/>
      <c r="S1091" s="272"/>
      <c r="T1091" s="273" t="str">
        <f t="shared" si="110"/>
        <v>-</v>
      </c>
    </row>
    <row r="1092" spans="1:20">
      <c r="A1092" s="269"/>
      <c r="B1092" s="57"/>
      <c r="C1092" s="55"/>
      <c r="D1092" s="55"/>
      <c r="E1092" s="55"/>
      <c r="F1092" s="55"/>
      <c r="G1092" s="275"/>
      <c r="H1092" s="276"/>
      <c r="I1092" s="213"/>
      <c r="J1092" s="213"/>
      <c r="K1092" s="269"/>
      <c r="L1092" s="272">
        <f t="shared" si="106"/>
        <v>1900</v>
      </c>
      <c r="M1092" s="272">
        <f t="shared" si="107"/>
        <v>1</v>
      </c>
      <c r="N1092" s="273"/>
      <c r="O1092" s="61">
        <f t="shared" si="108"/>
        <v>1900</v>
      </c>
      <c r="P1092" s="61">
        <f t="shared" si="109"/>
        <v>1</v>
      </c>
      <c r="R1092" s="272"/>
      <c r="S1092" s="272"/>
      <c r="T1092" s="273" t="str">
        <f t="shared" si="110"/>
        <v>-</v>
      </c>
    </row>
    <row r="1093" spans="1:20">
      <c r="A1093" s="269"/>
      <c r="B1093" s="57"/>
      <c r="C1093" s="55"/>
      <c r="D1093" s="55"/>
      <c r="E1093" s="55"/>
      <c r="F1093" s="55"/>
      <c r="G1093" s="275"/>
      <c r="H1093" s="276"/>
      <c r="I1093" s="213"/>
      <c r="J1093" s="213"/>
      <c r="K1093" s="269"/>
      <c r="L1093" s="272">
        <f t="shared" si="106"/>
        <v>1900</v>
      </c>
      <c r="M1093" s="272">
        <f t="shared" si="107"/>
        <v>1</v>
      </c>
      <c r="N1093" s="273"/>
      <c r="O1093" s="61">
        <f t="shared" si="108"/>
        <v>1900</v>
      </c>
      <c r="P1093" s="61">
        <f t="shared" si="109"/>
        <v>1</v>
      </c>
      <c r="R1093" s="272"/>
      <c r="S1093" s="272"/>
      <c r="T1093" s="273" t="str">
        <f t="shared" si="110"/>
        <v>-</v>
      </c>
    </row>
    <row r="1094" spans="1:20">
      <c r="A1094" s="269"/>
      <c r="B1094" s="57"/>
      <c r="C1094" s="55"/>
      <c r="D1094" s="55"/>
      <c r="E1094" s="55"/>
      <c r="F1094" s="55"/>
      <c r="G1094" s="275"/>
      <c r="H1094" s="276"/>
      <c r="I1094" s="213"/>
      <c r="J1094" s="213"/>
      <c r="K1094" s="269"/>
      <c r="L1094" s="272">
        <f t="shared" si="106"/>
        <v>1900</v>
      </c>
      <c r="M1094" s="272">
        <f t="shared" si="107"/>
        <v>1</v>
      </c>
      <c r="N1094" s="273"/>
      <c r="O1094" s="61">
        <f t="shared" si="108"/>
        <v>1900</v>
      </c>
      <c r="P1094" s="61">
        <f t="shared" si="109"/>
        <v>1</v>
      </c>
      <c r="R1094" s="272"/>
      <c r="S1094" s="272"/>
      <c r="T1094" s="273" t="str">
        <f t="shared" si="110"/>
        <v>-</v>
      </c>
    </row>
    <row r="1095" spans="1:20">
      <c r="A1095" s="269"/>
      <c r="B1095" s="57"/>
      <c r="C1095" s="55"/>
      <c r="D1095" s="55"/>
      <c r="E1095" s="55"/>
      <c r="F1095" s="55"/>
      <c r="G1095" s="275"/>
      <c r="H1095" s="276"/>
      <c r="I1095" s="213"/>
      <c r="J1095" s="213"/>
      <c r="K1095" s="269"/>
      <c r="L1095" s="272">
        <f t="shared" si="106"/>
        <v>1900</v>
      </c>
      <c r="M1095" s="272">
        <f t="shared" si="107"/>
        <v>1</v>
      </c>
      <c r="N1095" s="273"/>
      <c r="O1095" s="61">
        <f t="shared" si="108"/>
        <v>1900</v>
      </c>
      <c r="P1095" s="61">
        <f t="shared" si="109"/>
        <v>1</v>
      </c>
      <c r="R1095" s="272"/>
      <c r="S1095" s="272"/>
      <c r="T1095" s="273" t="str">
        <f t="shared" si="110"/>
        <v>-</v>
      </c>
    </row>
    <row r="1096" spans="1:20">
      <c r="A1096" s="269"/>
      <c r="B1096" s="57"/>
      <c r="C1096" s="55"/>
      <c r="D1096" s="55"/>
      <c r="E1096" s="55"/>
      <c r="F1096" s="55"/>
      <c r="G1096" s="275"/>
      <c r="H1096" s="276"/>
      <c r="I1096" s="213"/>
      <c r="J1096" s="213"/>
      <c r="K1096" s="269"/>
      <c r="L1096" s="272">
        <f t="shared" si="106"/>
        <v>1900</v>
      </c>
      <c r="M1096" s="272">
        <f t="shared" si="107"/>
        <v>1</v>
      </c>
      <c r="N1096" s="273"/>
      <c r="O1096" s="61">
        <f t="shared" si="108"/>
        <v>1900</v>
      </c>
      <c r="P1096" s="61">
        <f t="shared" si="109"/>
        <v>1</v>
      </c>
      <c r="R1096" s="272"/>
      <c r="S1096" s="272"/>
      <c r="T1096" s="273" t="str">
        <f t="shared" si="110"/>
        <v>-</v>
      </c>
    </row>
    <row r="1097" spans="1:20">
      <c r="A1097" s="269"/>
      <c r="B1097" s="57"/>
      <c r="C1097" s="55"/>
      <c r="D1097" s="55"/>
      <c r="E1097" s="55"/>
      <c r="F1097" s="55"/>
      <c r="G1097" s="275"/>
      <c r="H1097" s="276"/>
      <c r="I1097" s="213"/>
      <c r="J1097" s="213"/>
      <c r="K1097" s="269"/>
      <c r="L1097" s="272">
        <f t="shared" si="106"/>
        <v>1900</v>
      </c>
      <c r="M1097" s="272">
        <f t="shared" si="107"/>
        <v>1</v>
      </c>
      <c r="N1097" s="273"/>
      <c r="O1097" s="61">
        <f t="shared" si="108"/>
        <v>1900</v>
      </c>
      <c r="P1097" s="61">
        <f t="shared" si="109"/>
        <v>1</v>
      </c>
      <c r="R1097" s="272"/>
      <c r="S1097" s="272"/>
      <c r="T1097" s="273" t="str">
        <f t="shared" si="110"/>
        <v>-</v>
      </c>
    </row>
    <row r="1098" spans="1:20">
      <c r="A1098" s="269"/>
      <c r="B1098" s="57"/>
      <c r="C1098" s="55"/>
      <c r="D1098" s="55"/>
      <c r="E1098" s="55"/>
      <c r="F1098" s="55"/>
      <c r="G1098" s="275"/>
      <c r="H1098" s="276"/>
      <c r="I1098" s="213"/>
      <c r="J1098" s="213"/>
      <c r="K1098" s="269"/>
      <c r="L1098" s="272">
        <f t="shared" si="106"/>
        <v>1900</v>
      </c>
      <c r="M1098" s="272">
        <f t="shared" si="107"/>
        <v>1</v>
      </c>
      <c r="N1098" s="273"/>
      <c r="O1098" s="61">
        <f t="shared" si="108"/>
        <v>1900</v>
      </c>
      <c r="P1098" s="61">
        <f t="shared" si="109"/>
        <v>1</v>
      </c>
      <c r="R1098" s="272"/>
      <c r="S1098" s="272"/>
      <c r="T1098" s="273" t="str">
        <f t="shared" si="110"/>
        <v>-</v>
      </c>
    </row>
    <row r="1099" spans="1:20">
      <c r="A1099" s="269"/>
      <c r="B1099" s="57"/>
      <c r="C1099" s="55"/>
      <c r="D1099" s="55"/>
      <c r="E1099" s="55"/>
      <c r="F1099" s="55"/>
      <c r="G1099" s="275"/>
      <c r="H1099" s="276"/>
      <c r="I1099" s="213"/>
      <c r="J1099" s="213"/>
      <c r="K1099" s="269"/>
      <c r="L1099" s="272">
        <f t="shared" si="106"/>
        <v>1900</v>
      </c>
      <c r="M1099" s="272">
        <f t="shared" si="107"/>
        <v>1</v>
      </c>
      <c r="N1099" s="273"/>
      <c r="O1099" s="61">
        <f t="shared" si="108"/>
        <v>1900</v>
      </c>
      <c r="P1099" s="61">
        <f t="shared" si="109"/>
        <v>1</v>
      </c>
      <c r="R1099" s="272"/>
      <c r="S1099" s="272"/>
      <c r="T1099" s="273" t="str">
        <f t="shared" si="110"/>
        <v>-</v>
      </c>
    </row>
    <row r="1100" spans="1:20">
      <c r="A1100" s="269"/>
      <c r="B1100" s="57"/>
      <c r="C1100" s="55"/>
      <c r="D1100" s="55"/>
      <c r="E1100" s="55"/>
      <c r="F1100" s="55"/>
      <c r="G1100" s="275"/>
      <c r="H1100" s="276"/>
      <c r="I1100" s="213"/>
      <c r="J1100" s="213"/>
      <c r="K1100" s="269"/>
      <c r="L1100" s="272">
        <f t="shared" si="106"/>
        <v>1900</v>
      </c>
      <c r="M1100" s="272">
        <f t="shared" si="107"/>
        <v>1</v>
      </c>
      <c r="N1100" s="273"/>
      <c r="O1100" s="61">
        <f t="shared" si="108"/>
        <v>1900</v>
      </c>
      <c r="P1100" s="61">
        <f t="shared" si="109"/>
        <v>1</v>
      </c>
      <c r="R1100" s="272"/>
      <c r="S1100" s="272"/>
      <c r="T1100" s="273" t="str">
        <f t="shared" si="110"/>
        <v>-</v>
      </c>
    </row>
    <row r="1101" spans="1:20">
      <c r="A1101" s="269"/>
      <c r="B1101" s="57"/>
      <c r="C1101" s="55"/>
      <c r="D1101" s="55"/>
      <c r="E1101" s="55"/>
      <c r="F1101" s="55"/>
      <c r="G1101" s="275"/>
      <c r="H1101" s="276"/>
      <c r="I1101" s="213"/>
      <c r="J1101" s="213"/>
      <c r="K1101" s="269"/>
      <c r="L1101" s="272">
        <f t="shared" si="106"/>
        <v>1900</v>
      </c>
      <c r="M1101" s="272">
        <f t="shared" si="107"/>
        <v>1</v>
      </c>
      <c r="N1101" s="273"/>
      <c r="O1101" s="61">
        <f t="shared" si="108"/>
        <v>1900</v>
      </c>
      <c r="P1101" s="61">
        <f t="shared" si="109"/>
        <v>1</v>
      </c>
      <c r="R1101" s="272"/>
      <c r="S1101" s="272"/>
      <c r="T1101" s="273" t="str">
        <f t="shared" si="110"/>
        <v>-</v>
      </c>
    </row>
    <row r="1102" spans="1:20">
      <c r="A1102" s="269"/>
      <c r="B1102" s="57"/>
      <c r="C1102" s="55"/>
      <c r="D1102" s="55"/>
      <c r="E1102" s="55"/>
      <c r="F1102" s="55"/>
      <c r="G1102" s="275"/>
      <c r="H1102" s="276"/>
      <c r="I1102" s="213"/>
      <c r="J1102" s="213"/>
      <c r="K1102" s="269"/>
      <c r="L1102" s="272">
        <f t="shared" si="106"/>
        <v>1900</v>
      </c>
      <c r="M1102" s="272">
        <f t="shared" si="107"/>
        <v>1</v>
      </c>
      <c r="N1102" s="273"/>
      <c r="O1102" s="61">
        <f t="shared" si="108"/>
        <v>1900</v>
      </c>
      <c r="P1102" s="61">
        <f t="shared" si="109"/>
        <v>1</v>
      </c>
      <c r="R1102" s="272"/>
      <c r="S1102" s="272"/>
      <c r="T1102" s="273" t="str">
        <f t="shared" si="110"/>
        <v>-</v>
      </c>
    </row>
    <row r="1103" spans="1:20">
      <c r="A1103" s="269"/>
      <c r="B1103" s="57"/>
      <c r="C1103" s="55"/>
      <c r="D1103" s="55"/>
      <c r="E1103" s="55"/>
      <c r="F1103" s="55"/>
      <c r="G1103" s="275"/>
      <c r="H1103" s="276"/>
      <c r="I1103" s="213"/>
      <c r="J1103" s="213"/>
      <c r="K1103" s="269"/>
      <c r="L1103" s="272">
        <f t="shared" si="106"/>
        <v>1900</v>
      </c>
      <c r="M1103" s="272">
        <f t="shared" si="107"/>
        <v>1</v>
      </c>
      <c r="N1103" s="273"/>
      <c r="O1103" s="61">
        <f t="shared" si="108"/>
        <v>1900</v>
      </c>
      <c r="P1103" s="61">
        <f t="shared" si="109"/>
        <v>1</v>
      </c>
      <c r="R1103" s="272"/>
      <c r="S1103" s="272"/>
      <c r="T1103" s="273" t="str">
        <f t="shared" si="110"/>
        <v>-</v>
      </c>
    </row>
    <row r="1104" spans="1:20">
      <c r="A1104" s="269"/>
      <c r="B1104" s="57"/>
      <c r="C1104" s="55"/>
      <c r="D1104" s="55"/>
      <c r="E1104" s="55"/>
      <c r="F1104" s="55"/>
      <c r="G1104" s="275"/>
      <c r="H1104" s="276"/>
      <c r="I1104" s="213"/>
      <c r="J1104" s="213"/>
      <c r="K1104" s="269"/>
      <c r="L1104" s="272">
        <f t="shared" ref="L1104:L1167" si="111">YEAR(B1104)</f>
        <v>1900</v>
      </c>
      <c r="M1104" s="272">
        <f t="shared" ref="M1104:M1167" si="112">MONTH(B1104)</f>
        <v>1</v>
      </c>
      <c r="N1104" s="273"/>
      <c r="O1104" s="61">
        <f t="shared" ref="O1104:O1167" si="113">YEAR(B1104)</f>
        <v>1900</v>
      </c>
      <c r="P1104" s="61">
        <f t="shared" ref="P1104:P1167" si="114">MONTH(B1104)</f>
        <v>1</v>
      </c>
      <c r="R1104" s="272"/>
      <c r="S1104" s="272"/>
      <c r="T1104" s="273" t="str">
        <f t="shared" ref="T1104:T1167" si="115">IF($E1104&gt;0,IF((R1104+S1104)=$E1104,"OK","Error"),"-")</f>
        <v>-</v>
      </c>
    </row>
    <row r="1105" spans="1:20">
      <c r="A1105" s="269"/>
      <c r="B1105" s="57"/>
      <c r="C1105" s="55"/>
      <c r="D1105" s="55"/>
      <c r="E1105" s="55"/>
      <c r="F1105" s="55"/>
      <c r="G1105" s="275"/>
      <c r="H1105" s="276"/>
      <c r="I1105" s="213"/>
      <c r="J1105" s="213"/>
      <c r="K1105" s="269"/>
      <c r="L1105" s="272">
        <f t="shared" si="111"/>
        <v>1900</v>
      </c>
      <c r="M1105" s="272">
        <f t="shared" si="112"/>
        <v>1</v>
      </c>
      <c r="N1105" s="273"/>
      <c r="O1105" s="61">
        <f t="shared" si="113"/>
        <v>1900</v>
      </c>
      <c r="P1105" s="61">
        <f t="shared" si="114"/>
        <v>1</v>
      </c>
      <c r="R1105" s="272"/>
      <c r="S1105" s="272"/>
      <c r="T1105" s="273" t="str">
        <f t="shared" si="115"/>
        <v>-</v>
      </c>
    </row>
    <row r="1106" spans="1:20">
      <c r="A1106" s="269"/>
      <c r="B1106" s="57"/>
      <c r="C1106" s="55"/>
      <c r="D1106" s="55"/>
      <c r="E1106" s="55"/>
      <c r="F1106" s="55"/>
      <c r="G1106" s="275"/>
      <c r="H1106" s="276"/>
      <c r="I1106" s="213"/>
      <c r="J1106" s="213"/>
      <c r="K1106" s="269"/>
      <c r="L1106" s="272">
        <f t="shared" si="111"/>
        <v>1900</v>
      </c>
      <c r="M1106" s="272">
        <f t="shared" si="112"/>
        <v>1</v>
      </c>
      <c r="N1106" s="273"/>
      <c r="O1106" s="61">
        <f t="shared" si="113"/>
        <v>1900</v>
      </c>
      <c r="P1106" s="61">
        <f t="shared" si="114"/>
        <v>1</v>
      </c>
      <c r="R1106" s="272"/>
      <c r="S1106" s="272"/>
      <c r="T1106" s="273" t="str">
        <f t="shared" si="115"/>
        <v>-</v>
      </c>
    </row>
    <row r="1107" spans="1:20">
      <c r="A1107" s="269"/>
      <c r="B1107" s="57"/>
      <c r="C1107" s="55"/>
      <c r="D1107" s="55"/>
      <c r="E1107" s="55"/>
      <c r="F1107" s="55"/>
      <c r="G1107" s="275"/>
      <c r="H1107" s="276"/>
      <c r="I1107" s="213"/>
      <c r="J1107" s="213"/>
      <c r="K1107" s="269"/>
      <c r="L1107" s="272">
        <f t="shared" si="111"/>
        <v>1900</v>
      </c>
      <c r="M1107" s="272">
        <f t="shared" si="112"/>
        <v>1</v>
      </c>
      <c r="N1107" s="273"/>
      <c r="O1107" s="61">
        <f t="shared" si="113"/>
        <v>1900</v>
      </c>
      <c r="P1107" s="61">
        <f t="shared" si="114"/>
        <v>1</v>
      </c>
      <c r="R1107" s="272"/>
      <c r="S1107" s="272"/>
      <c r="T1107" s="273" t="str">
        <f t="shared" si="115"/>
        <v>-</v>
      </c>
    </row>
    <row r="1108" spans="1:20">
      <c r="A1108" s="269"/>
      <c r="B1108" s="57"/>
      <c r="C1108" s="55"/>
      <c r="D1108" s="55"/>
      <c r="E1108" s="55"/>
      <c r="F1108" s="55"/>
      <c r="G1108" s="275"/>
      <c r="H1108" s="276"/>
      <c r="I1108" s="213"/>
      <c r="J1108" s="213"/>
      <c r="K1108" s="269"/>
      <c r="L1108" s="272">
        <f t="shared" si="111"/>
        <v>1900</v>
      </c>
      <c r="M1108" s="272">
        <f t="shared" si="112"/>
        <v>1</v>
      </c>
      <c r="N1108" s="273"/>
      <c r="O1108" s="61">
        <f t="shared" si="113"/>
        <v>1900</v>
      </c>
      <c r="P1108" s="61">
        <f t="shared" si="114"/>
        <v>1</v>
      </c>
      <c r="R1108" s="272"/>
      <c r="S1108" s="272"/>
      <c r="T1108" s="273" t="str">
        <f t="shared" si="115"/>
        <v>-</v>
      </c>
    </row>
    <row r="1109" spans="1:20">
      <c r="A1109" s="269"/>
      <c r="B1109" s="57"/>
      <c r="C1109" s="55"/>
      <c r="D1109" s="55"/>
      <c r="E1109" s="55"/>
      <c r="F1109" s="55"/>
      <c r="G1109" s="275"/>
      <c r="H1109" s="276"/>
      <c r="I1109" s="213"/>
      <c r="J1109" s="213"/>
      <c r="K1109" s="269"/>
      <c r="L1109" s="272">
        <f t="shared" si="111"/>
        <v>1900</v>
      </c>
      <c r="M1109" s="272">
        <f t="shared" si="112"/>
        <v>1</v>
      </c>
      <c r="N1109" s="273"/>
      <c r="O1109" s="61">
        <f t="shared" si="113"/>
        <v>1900</v>
      </c>
      <c r="P1109" s="61">
        <f t="shared" si="114"/>
        <v>1</v>
      </c>
      <c r="R1109" s="272"/>
      <c r="S1109" s="272"/>
      <c r="T1109" s="273" t="str">
        <f t="shared" si="115"/>
        <v>-</v>
      </c>
    </row>
    <row r="1110" spans="1:20">
      <c r="A1110" s="269"/>
      <c r="B1110" s="57"/>
      <c r="C1110" s="55"/>
      <c r="D1110" s="55"/>
      <c r="E1110" s="55"/>
      <c r="F1110" s="55"/>
      <c r="G1110" s="275"/>
      <c r="H1110" s="276"/>
      <c r="I1110" s="213"/>
      <c r="J1110" s="213"/>
      <c r="K1110" s="269"/>
      <c r="L1110" s="272">
        <f t="shared" si="111"/>
        <v>1900</v>
      </c>
      <c r="M1110" s="272">
        <f t="shared" si="112"/>
        <v>1</v>
      </c>
      <c r="N1110" s="273"/>
      <c r="O1110" s="61">
        <f t="shared" si="113"/>
        <v>1900</v>
      </c>
      <c r="P1110" s="61">
        <f t="shared" si="114"/>
        <v>1</v>
      </c>
      <c r="R1110" s="272"/>
      <c r="S1110" s="272"/>
      <c r="T1110" s="273" t="str">
        <f t="shared" si="115"/>
        <v>-</v>
      </c>
    </row>
    <row r="1111" spans="1:20">
      <c r="A1111" s="269"/>
      <c r="B1111" s="57"/>
      <c r="C1111" s="55"/>
      <c r="D1111" s="55"/>
      <c r="E1111" s="55"/>
      <c r="F1111" s="55"/>
      <c r="G1111" s="275"/>
      <c r="H1111" s="276"/>
      <c r="I1111" s="213"/>
      <c r="J1111" s="213"/>
      <c r="K1111" s="269"/>
      <c r="L1111" s="272">
        <f t="shared" si="111"/>
        <v>1900</v>
      </c>
      <c r="M1111" s="272">
        <f t="shared" si="112"/>
        <v>1</v>
      </c>
      <c r="N1111" s="273"/>
      <c r="O1111" s="61">
        <f t="shared" si="113"/>
        <v>1900</v>
      </c>
      <c r="P1111" s="61">
        <f t="shared" si="114"/>
        <v>1</v>
      </c>
      <c r="R1111" s="272"/>
      <c r="S1111" s="272"/>
      <c r="T1111" s="273" t="str">
        <f t="shared" si="115"/>
        <v>-</v>
      </c>
    </row>
    <row r="1112" spans="1:20">
      <c r="A1112" s="269"/>
      <c r="B1112" s="57"/>
      <c r="C1112" s="55"/>
      <c r="D1112" s="55"/>
      <c r="E1112" s="55"/>
      <c r="F1112" s="55"/>
      <c r="G1112" s="275"/>
      <c r="H1112" s="276"/>
      <c r="I1112" s="213"/>
      <c r="J1112" s="213"/>
      <c r="K1112" s="269"/>
      <c r="L1112" s="272">
        <f t="shared" si="111"/>
        <v>1900</v>
      </c>
      <c r="M1112" s="272">
        <f t="shared" si="112"/>
        <v>1</v>
      </c>
      <c r="N1112" s="273"/>
      <c r="O1112" s="61">
        <f t="shared" si="113"/>
        <v>1900</v>
      </c>
      <c r="P1112" s="61">
        <f t="shared" si="114"/>
        <v>1</v>
      </c>
      <c r="R1112" s="272"/>
      <c r="S1112" s="272"/>
      <c r="T1112" s="273" t="str">
        <f t="shared" si="115"/>
        <v>-</v>
      </c>
    </row>
    <row r="1113" spans="1:20">
      <c r="A1113" s="269"/>
      <c r="B1113" s="57"/>
      <c r="C1113" s="55"/>
      <c r="D1113" s="55"/>
      <c r="E1113" s="55"/>
      <c r="F1113" s="55"/>
      <c r="G1113" s="275"/>
      <c r="H1113" s="276"/>
      <c r="I1113" s="213"/>
      <c r="J1113" s="213"/>
      <c r="K1113" s="269"/>
      <c r="L1113" s="272">
        <f t="shared" si="111"/>
        <v>1900</v>
      </c>
      <c r="M1113" s="272">
        <f t="shared" si="112"/>
        <v>1</v>
      </c>
      <c r="N1113" s="273"/>
      <c r="O1113" s="61">
        <f t="shared" si="113"/>
        <v>1900</v>
      </c>
      <c r="P1113" s="61">
        <f t="shared" si="114"/>
        <v>1</v>
      </c>
      <c r="R1113" s="272"/>
      <c r="S1113" s="272"/>
      <c r="T1113" s="273" t="str">
        <f t="shared" si="115"/>
        <v>-</v>
      </c>
    </row>
    <row r="1114" spans="1:20">
      <c r="A1114" s="269"/>
      <c r="B1114" s="57"/>
      <c r="C1114" s="55"/>
      <c r="D1114" s="55"/>
      <c r="E1114" s="55"/>
      <c r="F1114" s="55"/>
      <c r="G1114" s="275"/>
      <c r="H1114" s="276"/>
      <c r="I1114" s="213"/>
      <c r="J1114" s="213"/>
      <c r="K1114" s="269"/>
      <c r="L1114" s="272">
        <f t="shared" si="111"/>
        <v>1900</v>
      </c>
      <c r="M1114" s="272">
        <f t="shared" si="112"/>
        <v>1</v>
      </c>
      <c r="N1114" s="273"/>
      <c r="O1114" s="61">
        <f t="shared" si="113"/>
        <v>1900</v>
      </c>
      <c r="P1114" s="61">
        <f t="shared" si="114"/>
        <v>1</v>
      </c>
      <c r="R1114" s="272"/>
      <c r="S1114" s="272"/>
      <c r="T1114" s="273" t="str">
        <f t="shared" si="115"/>
        <v>-</v>
      </c>
    </row>
    <row r="1115" spans="1:20">
      <c r="A1115" s="269"/>
      <c r="B1115" s="57"/>
      <c r="C1115" s="55"/>
      <c r="D1115" s="55"/>
      <c r="E1115" s="55"/>
      <c r="F1115" s="55"/>
      <c r="G1115" s="275"/>
      <c r="H1115" s="276"/>
      <c r="I1115" s="213"/>
      <c r="J1115" s="213"/>
      <c r="K1115" s="269"/>
      <c r="L1115" s="272">
        <f t="shared" si="111"/>
        <v>1900</v>
      </c>
      <c r="M1115" s="272">
        <f t="shared" si="112"/>
        <v>1</v>
      </c>
      <c r="N1115" s="273"/>
      <c r="O1115" s="61">
        <f t="shared" si="113"/>
        <v>1900</v>
      </c>
      <c r="P1115" s="61">
        <f t="shared" si="114"/>
        <v>1</v>
      </c>
      <c r="R1115" s="272"/>
      <c r="S1115" s="272"/>
      <c r="T1115" s="273" t="str">
        <f t="shared" si="115"/>
        <v>-</v>
      </c>
    </row>
    <row r="1116" spans="1:20">
      <c r="A1116" s="269"/>
      <c r="B1116" s="57"/>
      <c r="C1116" s="55"/>
      <c r="D1116" s="55"/>
      <c r="E1116" s="55"/>
      <c r="F1116" s="55"/>
      <c r="G1116" s="275"/>
      <c r="H1116" s="276"/>
      <c r="I1116" s="213"/>
      <c r="J1116" s="213"/>
      <c r="K1116" s="269"/>
      <c r="L1116" s="272">
        <f t="shared" si="111"/>
        <v>1900</v>
      </c>
      <c r="M1116" s="272">
        <f t="shared" si="112"/>
        <v>1</v>
      </c>
      <c r="N1116" s="273"/>
      <c r="O1116" s="61">
        <f t="shared" si="113"/>
        <v>1900</v>
      </c>
      <c r="P1116" s="61">
        <f t="shared" si="114"/>
        <v>1</v>
      </c>
      <c r="R1116" s="272"/>
      <c r="S1116" s="272"/>
      <c r="T1116" s="273" t="str">
        <f t="shared" si="115"/>
        <v>-</v>
      </c>
    </row>
    <row r="1117" spans="1:20">
      <c r="A1117" s="269"/>
      <c r="B1117" s="57"/>
      <c r="C1117" s="55"/>
      <c r="D1117" s="55"/>
      <c r="E1117" s="55"/>
      <c r="F1117" s="55"/>
      <c r="G1117" s="275"/>
      <c r="H1117" s="276"/>
      <c r="I1117" s="213"/>
      <c r="J1117" s="213"/>
      <c r="K1117" s="269"/>
      <c r="L1117" s="272">
        <f t="shared" si="111"/>
        <v>1900</v>
      </c>
      <c r="M1117" s="272">
        <f t="shared" si="112"/>
        <v>1</v>
      </c>
      <c r="N1117" s="273"/>
      <c r="O1117" s="61">
        <f t="shared" si="113"/>
        <v>1900</v>
      </c>
      <c r="P1117" s="61">
        <f t="shared" si="114"/>
        <v>1</v>
      </c>
      <c r="R1117" s="272"/>
      <c r="S1117" s="272"/>
      <c r="T1117" s="273" t="str">
        <f t="shared" si="115"/>
        <v>-</v>
      </c>
    </row>
    <row r="1118" spans="1:20">
      <c r="A1118" s="269"/>
      <c r="B1118" s="57"/>
      <c r="C1118" s="55"/>
      <c r="D1118" s="55"/>
      <c r="E1118" s="55"/>
      <c r="F1118" s="55"/>
      <c r="G1118" s="275"/>
      <c r="H1118" s="276"/>
      <c r="I1118" s="213"/>
      <c r="J1118" s="213"/>
      <c r="K1118" s="269"/>
      <c r="L1118" s="272">
        <f t="shared" si="111"/>
        <v>1900</v>
      </c>
      <c r="M1118" s="272">
        <f t="shared" si="112"/>
        <v>1</v>
      </c>
      <c r="N1118" s="273"/>
      <c r="O1118" s="61">
        <f t="shared" si="113"/>
        <v>1900</v>
      </c>
      <c r="P1118" s="61">
        <f t="shared" si="114"/>
        <v>1</v>
      </c>
      <c r="R1118" s="272"/>
      <c r="S1118" s="272"/>
      <c r="T1118" s="273" t="str">
        <f t="shared" si="115"/>
        <v>-</v>
      </c>
    </row>
    <row r="1119" spans="1:20">
      <c r="A1119" s="269"/>
      <c r="B1119" s="57"/>
      <c r="C1119" s="55"/>
      <c r="D1119" s="55"/>
      <c r="E1119" s="55"/>
      <c r="F1119" s="55"/>
      <c r="G1119" s="275"/>
      <c r="H1119" s="276"/>
      <c r="I1119" s="213"/>
      <c r="J1119" s="213"/>
      <c r="K1119" s="269"/>
      <c r="L1119" s="272">
        <f t="shared" si="111"/>
        <v>1900</v>
      </c>
      <c r="M1119" s="272">
        <f t="shared" si="112"/>
        <v>1</v>
      </c>
      <c r="N1119" s="273"/>
      <c r="O1119" s="61">
        <f t="shared" si="113"/>
        <v>1900</v>
      </c>
      <c r="P1119" s="61">
        <f t="shared" si="114"/>
        <v>1</v>
      </c>
      <c r="R1119" s="272"/>
      <c r="S1119" s="272"/>
      <c r="T1119" s="273" t="str">
        <f t="shared" si="115"/>
        <v>-</v>
      </c>
    </row>
    <row r="1120" spans="1:20">
      <c r="A1120" s="269"/>
      <c r="B1120" s="57"/>
      <c r="C1120" s="55"/>
      <c r="D1120" s="55"/>
      <c r="E1120" s="55"/>
      <c r="F1120" s="55"/>
      <c r="G1120" s="275"/>
      <c r="H1120" s="276"/>
      <c r="I1120" s="213"/>
      <c r="J1120" s="213"/>
      <c r="K1120" s="269"/>
      <c r="L1120" s="272">
        <f t="shared" si="111"/>
        <v>1900</v>
      </c>
      <c r="M1120" s="272">
        <f t="shared" si="112"/>
        <v>1</v>
      </c>
      <c r="N1120" s="273"/>
      <c r="O1120" s="61">
        <f t="shared" si="113"/>
        <v>1900</v>
      </c>
      <c r="P1120" s="61">
        <f t="shared" si="114"/>
        <v>1</v>
      </c>
      <c r="R1120" s="272"/>
      <c r="S1120" s="272"/>
      <c r="T1120" s="273" t="str">
        <f t="shared" si="115"/>
        <v>-</v>
      </c>
    </row>
    <row r="1121" spans="1:20">
      <c r="A1121" s="269"/>
      <c r="B1121" s="57"/>
      <c r="C1121" s="55"/>
      <c r="D1121" s="55"/>
      <c r="E1121" s="55"/>
      <c r="F1121" s="55"/>
      <c r="G1121" s="275"/>
      <c r="H1121" s="276"/>
      <c r="I1121" s="213"/>
      <c r="J1121" s="213"/>
      <c r="K1121" s="269"/>
      <c r="L1121" s="272">
        <f t="shared" si="111"/>
        <v>1900</v>
      </c>
      <c r="M1121" s="272">
        <f t="shared" si="112"/>
        <v>1</v>
      </c>
      <c r="N1121" s="273"/>
      <c r="O1121" s="61">
        <f t="shared" si="113"/>
        <v>1900</v>
      </c>
      <c r="P1121" s="61">
        <f t="shared" si="114"/>
        <v>1</v>
      </c>
      <c r="R1121" s="272"/>
      <c r="S1121" s="272"/>
      <c r="T1121" s="273" t="str">
        <f t="shared" si="115"/>
        <v>-</v>
      </c>
    </row>
    <row r="1122" spans="1:20">
      <c r="A1122" s="269"/>
      <c r="B1122" s="57"/>
      <c r="C1122" s="55"/>
      <c r="D1122" s="55"/>
      <c r="E1122" s="55"/>
      <c r="F1122" s="55"/>
      <c r="G1122" s="275"/>
      <c r="H1122" s="276"/>
      <c r="I1122" s="213"/>
      <c r="J1122" s="213"/>
      <c r="K1122" s="269"/>
      <c r="L1122" s="272">
        <f t="shared" si="111"/>
        <v>1900</v>
      </c>
      <c r="M1122" s="272">
        <f t="shared" si="112"/>
        <v>1</v>
      </c>
      <c r="N1122" s="273"/>
      <c r="O1122" s="61">
        <f t="shared" si="113"/>
        <v>1900</v>
      </c>
      <c r="P1122" s="61">
        <f t="shared" si="114"/>
        <v>1</v>
      </c>
      <c r="R1122" s="272"/>
      <c r="S1122" s="272"/>
      <c r="T1122" s="273" t="str">
        <f t="shared" si="115"/>
        <v>-</v>
      </c>
    </row>
    <row r="1123" spans="1:20">
      <c r="A1123" s="269"/>
      <c r="B1123" s="57"/>
      <c r="C1123" s="55"/>
      <c r="D1123" s="55"/>
      <c r="E1123" s="55"/>
      <c r="F1123" s="55"/>
      <c r="G1123" s="275"/>
      <c r="H1123" s="276"/>
      <c r="I1123" s="213"/>
      <c r="J1123" s="213"/>
      <c r="K1123" s="269"/>
      <c r="L1123" s="272">
        <f t="shared" si="111"/>
        <v>1900</v>
      </c>
      <c r="M1123" s="272">
        <f t="shared" si="112"/>
        <v>1</v>
      </c>
      <c r="N1123" s="273"/>
      <c r="O1123" s="61">
        <f t="shared" si="113"/>
        <v>1900</v>
      </c>
      <c r="P1123" s="61">
        <f t="shared" si="114"/>
        <v>1</v>
      </c>
      <c r="R1123" s="272"/>
      <c r="S1123" s="272"/>
      <c r="T1123" s="273" t="str">
        <f t="shared" si="115"/>
        <v>-</v>
      </c>
    </row>
    <row r="1124" spans="1:20">
      <c r="A1124" s="269"/>
      <c r="B1124" s="57"/>
      <c r="C1124" s="55"/>
      <c r="D1124" s="55"/>
      <c r="E1124" s="55"/>
      <c r="F1124" s="55"/>
      <c r="G1124" s="275"/>
      <c r="H1124" s="276"/>
      <c r="I1124" s="213"/>
      <c r="J1124" s="213"/>
      <c r="K1124" s="269"/>
      <c r="L1124" s="272">
        <f t="shared" si="111"/>
        <v>1900</v>
      </c>
      <c r="M1124" s="272">
        <f t="shared" si="112"/>
        <v>1</v>
      </c>
      <c r="N1124" s="273"/>
      <c r="O1124" s="61">
        <f t="shared" si="113"/>
        <v>1900</v>
      </c>
      <c r="P1124" s="61">
        <f t="shared" si="114"/>
        <v>1</v>
      </c>
      <c r="R1124" s="272"/>
      <c r="S1124" s="272"/>
      <c r="T1124" s="273" t="str">
        <f t="shared" si="115"/>
        <v>-</v>
      </c>
    </row>
    <row r="1125" spans="1:20">
      <c r="A1125" s="269"/>
      <c r="B1125" s="57"/>
      <c r="C1125" s="55"/>
      <c r="D1125" s="55"/>
      <c r="E1125" s="55"/>
      <c r="F1125" s="55"/>
      <c r="G1125" s="275"/>
      <c r="H1125" s="276"/>
      <c r="I1125" s="213"/>
      <c r="J1125" s="213"/>
      <c r="K1125" s="269"/>
      <c r="L1125" s="272">
        <f t="shared" si="111"/>
        <v>1900</v>
      </c>
      <c r="M1125" s="272">
        <f t="shared" si="112"/>
        <v>1</v>
      </c>
      <c r="N1125" s="273"/>
      <c r="O1125" s="61">
        <f t="shared" si="113"/>
        <v>1900</v>
      </c>
      <c r="P1125" s="61">
        <f t="shared" si="114"/>
        <v>1</v>
      </c>
      <c r="R1125" s="272"/>
      <c r="S1125" s="272"/>
      <c r="T1125" s="273" t="str">
        <f t="shared" si="115"/>
        <v>-</v>
      </c>
    </row>
    <row r="1126" spans="1:20">
      <c r="A1126" s="269"/>
      <c r="B1126" s="57"/>
      <c r="C1126" s="55"/>
      <c r="D1126" s="55"/>
      <c r="E1126" s="55"/>
      <c r="F1126" s="55"/>
      <c r="G1126" s="275"/>
      <c r="H1126" s="276"/>
      <c r="I1126" s="213"/>
      <c r="J1126" s="213"/>
      <c r="K1126" s="269"/>
      <c r="L1126" s="272">
        <f t="shared" si="111"/>
        <v>1900</v>
      </c>
      <c r="M1126" s="272">
        <f t="shared" si="112"/>
        <v>1</v>
      </c>
      <c r="N1126" s="273"/>
      <c r="O1126" s="61">
        <f t="shared" si="113"/>
        <v>1900</v>
      </c>
      <c r="P1126" s="61">
        <f t="shared" si="114"/>
        <v>1</v>
      </c>
      <c r="R1126" s="272"/>
      <c r="S1126" s="272"/>
      <c r="T1126" s="273" t="str">
        <f t="shared" si="115"/>
        <v>-</v>
      </c>
    </row>
    <row r="1127" spans="1:20">
      <c r="A1127" s="269"/>
      <c r="B1127" s="57"/>
      <c r="C1127" s="55"/>
      <c r="D1127" s="55"/>
      <c r="E1127" s="55"/>
      <c r="F1127" s="55"/>
      <c r="G1127" s="275"/>
      <c r="H1127" s="276"/>
      <c r="I1127" s="213"/>
      <c r="J1127" s="213"/>
      <c r="K1127" s="269"/>
      <c r="L1127" s="272">
        <f t="shared" si="111"/>
        <v>1900</v>
      </c>
      <c r="M1127" s="272">
        <f t="shared" si="112"/>
        <v>1</v>
      </c>
      <c r="N1127" s="273"/>
      <c r="O1127" s="61">
        <f t="shared" si="113"/>
        <v>1900</v>
      </c>
      <c r="P1127" s="61">
        <f t="shared" si="114"/>
        <v>1</v>
      </c>
      <c r="R1127" s="272"/>
      <c r="S1127" s="272"/>
      <c r="T1127" s="273" t="str">
        <f t="shared" si="115"/>
        <v>-</v>
      </c>
    </row>
    <row r="1128" spans="1:20">
      <c r="A1128" s="269"/>
      <c r="B1128" s="57"/>
      <c r="C1128" s="55"/>
      <c r="D1128" s="55"/>
      <c r="E1128" s="55"/>
      <c r="F1128" s="55"/>
      <c r="G1128" s="275"/>
      <c r="H1128" s="276"/>
      <c r="I1128" s="213"/>
      <c r="J1128" s="213"/>
      <c r="K1128" s="269"/>
      <c r="L1128" s="272">
        <f t="shared" si="111"/>
        <v>1900</v>
      </c>
      <c r="M1128" s="272">
        <f t="shared" si="112"/>
        <v>1</v>
      </c>
      <c r="N1128" s="273"/>
      <c r="O1128" s="61">
        <f t="shared" si="113"/>
        <v>1900</v>
      </c>
      <c r="P1128" s="61">
        <f t="shared" si="114"/>
        <v>1</v>
      </c>
      <c r="R1128" s="272"/>
      <c r="S1128" s="272"/>
      <c r="T1128" s="273" t="str">
        <f t="shared" si="115"/>
        <v>-</v>
      </c>
    </row>
    <row r="1129" spans="1:20">
      <c r="A1129" s="269"/>
      <c r="B1129" s="57"/>
      <c r="C1129" s="55"/>
      <c r="D1129" s="55"/>
      <c r="E1129" s="55"/>
      <c r="F1129" s="55"/>
      <c r="G1129" s="275"/>
      <c r="H1129" s="276"/>
      <c r="I1129" s="213"/>
      <c r="J1129" s="213"/>
      <c r="K1129" s="269"/>
      <c r="L1129" s="272">
        <f t="shared" si="111"/>
        <v>1900</v>
      </c>
      <c r="M1129" s="272">
        <f t="shared" si="112"/>
        <v>1</v>
      </c>
      <c r="N1129" s="273"/>
      <c r="O1129" s="61">
        <f t="shared" si="113"/>
        <v>1900</v>
      </c>
      <c r="P1129" s="61">
        <f t="shared" si="114"/>
        <v>1</v>
      </c>
      <c r="R1129" s="272"/>
      <c r="S1129" s="272"/>
      <c r="T1129" s="273" t="str">
        <f t="shared" si="115"/>
        <v>-</v>
      </c>
    </row>
    <row r="1130" spans="1:20">
      <c r="A1130" s="269"/>
      <c r="B1130" s="57"/>
      <c r="C1130" s="55"/>
      <c r="D1130" s="55"/>
      <c r="E1130" s="55"/>
      <c r="F1130" s="55"/>
      <c r="G1130" s="275"/>
      <c r="H1130" s="276"/>
      <c r="I1130" s="213"/>
      <c r="J1130" s="213"/>
      <c r="K1130" s="269"/>
      <c r="L1130" s="272">
        <f t="shared" si="111"/>
        <v>1900</v>
      </c>
      <c r="M1130" s="272">
        <f t="shared" si="112"/>
        <v>1</v>
      </c>
      <c r="N1130" s="273"/>
      <c r="O1130" s="61">
        <f t="shared" si="113"/>
        <v>1900</v>
      </c>
      <c r="P1130" s="61">
        <f t="shared" si="114"/>
        <v>1</v>
      </c>
      <c r="R1130" s="272"/>
      <c r="S1130" s="272"/>
      <c r="T1130" s="273" t="str">
        <f t="shared" si="115"/>
        <v>-</v>
      </c>
    </row>
    <row r="1131" spans="1:20">
      <c r="A1131" s="269"/>
      <c r="B1131" s="57"/>
      <c r="C1131" s="55"/>
      <c r="D1131" s="55"/>
      <c r="E1131" s="55"/>
      <c r="F1131" s="55"/>
      <c r="G1131" s="275"/>
      <c r="H1131" s="276"/>
      <c r="I1131" s="213"/>
      <c r="J1131" s="213"/>
      <c r="K1131" s="269"/>
      <c r="L1131" s="272">
        <f t="shared" si="111"/>
        <v>1900</v>
      </c>
      <c r="M1131" s="272">
        <f t="shared" si="112"/>
        <v>1</v>
      </c>
      <c r="N1131" s="273"/>
      <c r="O1131" s="61">
        <f t="shared" si="113"/>
        <v>1900</v>
      </c>
      <c r="P1131" s="61">
        <f t="shared" si="114"/>
        <v>1</v>
      </c>
      <c r="R1131" s="272"/>
      <c r="S1131" s="272"/>
      <c r="T1131" s="273" t="str">
        <f t="shared" si="115"/>
        <v>-</v>
      </c>
    </row>
    <row r="1132" spans="1:20">
      <c r="A1132" s="269"/>
      <c r="B1132" s="57"/>
      <c r="C1132" s="55"/>
      <c r="D1132" s="55"/>
      <c r="E1132" s="55"/>
      <c r="F1132" s="55"/>
      <c r="G1132" s="275"/>
      <c r="H1132" s="276"/>
      <c r="I1132" s="213"/>
      <c r="J1132" s="213"/>
      <c r="K1132" s="269"/>
      <c r="L1132" s="272">
        <f t="shared" si="111"/>
        <v>1900</v>
      </c>
      <c r="M1132" s="272">
        <f t="shared" si="112"/>
        <v>1</v>
      </c>
      <c r="N1132" s="273"/>
      <c r="O1132" s="61">
        <f t="shared" si="113"/>
        <v>1900</v>
      </c>
      <c r="P1132" s="61">
        <f t="shared" si="114"/>
        <v>1</v>
      </c>
      <c r="R1132" s="272"/>
      <c r="S1132" s="272"/>
      <c r="T1132" s="273" t="str">
        <f t="shared" si="115"/>
        <v>-</v>
      </c>
    </row>
    <row r="1133" spans="1:20">
      <c r="A1133" s="269"/>
      <c r="B1133" s="57"/>
      <c r="C1133" s="55"/>
      <c r="D1133" s="55"/>
      <c r="E1133" s="55"/>
      <c r="F1133" s="55"/>
      <c r="G1133" s="275"/>
      <c r="H1133" s="276"/>
      <c r="I1133" s="213"/>
      <c r="J1133" s="213"/>
      <c r="K1133" s="269"/>
      <c r="L1133" s="272">
        <f t="shared" si="111"/>
        <v>1900</v>
      </c>
      <c r="M1133" s="272">
        <f t="shared" si="112"/>
        <v>1</v>
      </c>
      <c r="N1133" s="273"/>
      <c r="O1133" s="61">
        <f t="shared" si="113"/>
        <v>1900</v>
      </c>
      <c r="P1133" s="61">
        <f t="shared" si="114"/>
        <v>1</v>
      </c>
      <c r="R1133" s="272"/>
      <c r="S1133" s="272"/>
      <c r="T1133" s="273" t="str">
        <f t="shared" si="115"/>
        <v>-</v>
      </c>
    </row>
    <row r="1134" spans="1:20">
      <c r="A1134" s="269"/>
      <c r="B1134" s="57"/>
      <c r="C1134" s="55"/>
      <c r="D1134" s="55"/>
      <c r="E1134" s="55"/>
      <c r="F1134" s="55"/>
      <c r="G1134" s="275"/>
      <c r="H1134" s="276"/>
      <c r="I1134" s="213"/>
      <c r="J1134" s="213"/>
      <c r="K1134" s="269"/>
      <c r="L1134" s="272">
        <f t="shared" si="111"/>
        <v>1900</v>
      </c>
      <c r="M1134" s="272">
        <f t="shared" si="112"/>
        <v>1</v>
      </c>
      <c r="N1134" s="273"/>
      <c r="O1134" s="61">
        <f t="shared" si="113"/>
        <v>1900</v>
      </c>
      <c r="P1134" s="61">
        <f t="shared" si="114"/>
        <v>1</v>
      </c>
      <c r="R1134" s="272"/>
      <c r="S1134" s="272"/>
      <c r="T1134" s="273" t="str">
        <f t="shared" si="115"/>
        <v>-</v>
      </c>
    </row>
    <row r="1135" spans="1:20">
      <c r="A1135" s="269"/>
      <c r="B1135" s="57"/>
      <c r="C1135" s="55"/>
      <c r="D1135" s="55"/>
      <c r="E1135" s="55"/>
      <c r="F1135" s="55"/>
      <c r="G1135" s="275"/>
      <c r="H1135" s="276"/>
      <c r="I1135" s="213"/>
      <c r="J1135" s="213"/>
      <c r="K1135" s="269"/>
      <c r="L1135" s="272">
        <f t="shared" si="111"/>
        <v>1900</v>
      </c>
      <c r="M1135" s="272">
        <f t="shared" si="112"/>
        <v>1</v>
      </c>
      <c r="N1135" s="273"/>
      <c r="O1135" s="61">
        <f t="shared" si="113"/>
        <v>1900</v>
      </c>
      <c r="P1135" s="61">
        <f t="shared" si="114"/>
        <v>1</v>
      </c>
      <c r="R1135" s="272"/>
      <c r="S1135" s="272"/>
      <c r="T1135" s="273" t="str">
        <f t="shared" si="115"/>
        <v>-</v>
      </c>
    </row>
    <row r="1136" spans="1:20">
      <c r="A1136" s="269"/>
      <c r="B1136" s="57"/>
      <c r="C1136" s="55"/>
      <c r="D1136" s="55"/>
      <c r="E1136" s="55"/>
      <c r="F1136" s="55"/>
      <c r="G1136" s="275"/>
      <c r="H1136" s="276"/>
      <c r="I1136" s="213"/>
      <c r="J1136" s="213"/>
      <c r="K1136" s="269"/>
      <c r="L1136" s="272">
        <f t="shared" si="111"/>
        <v>1900</v>
      </c>
      <c r="M1136" s="272">
        <f t="shared" si="112"/>
        <v>1</v>
      </c>
      <c r="N1136" s="273"/>
      <c r="O1136" s="61">
        <f t="shared" si="113"/>
        <v>1900</v>
      </c>
      <c r="P1136" s="61">
        <f t="shared" si="114"/>
        <v>1</v>
      </c>
      <c r="R1136" s="272"/>
      <c r="S1136" s="272"/>
      <c r="T1136" s="273" t="str">
        <f t="shared" si="115"/>
        <v>-</v>
      </c>
    </row>
    <row r="1137" spans="1:20">
      <c r="A1137" s="269"/>
      <c r="B1137" s="57"/>
      <c r="C1137" s="55"/>
      <c r="D1137" s="55"/>
      <c r="E1137" s="55"/>
      <c r="F1137" s="55"/>
      <c r="G1137" s="275"/>
      <c r="H1137" s="276"/>
      <c r="I1137" s="213"/>
      <c r="J1137" s="213"/>
      <c r="K1137" s="269"/>
      <c r="L1137" s="272">
        <f t="shared" si="111"/>
        <v>1900</v>
      </c>
      <c r="M1137" s="272">
        <f t="shared" si="112"/>
        <v>1</v>
      </c>
      <c r="N1137" s="273"/>
      <c r="O1137" s="61">
        <f t="shared" si="113"/>
        <v>1900</v>
      </c>
      <c r="P1137" s="61">
        <f t="shared" si="114"/>
        <v>1</v>
      </c>
      <c r="R1137" s="272"/>
      <c r="S1137" s="272"/>
      <c r="T1137" s="273" t="str">
        <f t="shared" si="115"/>
        <v>-</v>
      </c>
    </row>
    <row r="1138" spans="1:20">
      <c r="A1138" s="269"/>
      <c r="B1138" s="57"/>
      <c r="C1138" s="55"/>
      <c r="D1138" s="55"/>
      <c r="E1138" s="55"/>
      <c r="F1138" s="55"/>
      <c r="G1138" s="275"/>
      <c r="H1138" s="276"/>
      <c r="I1138" s="213"/>
      <c r="J1138" s="213"/>
      <c r="K1138" s="269"/>
      <c r="L1138" s="272">
        <f t="shared" si="111"/>
        <v>1900</v>
      </c>
      <c r="M1138" s="272">
        <f t="shared" si="112"/>
        <v>1</v>
      </c>
      <c r="N1138" s="273"/>
      <c r="O1138" s="61">
        <f t="shared" si="113"/>
        <v>1900</v>
      </c>
      <c r="P1138" s="61">
        <f t="shared" si="114"/>
        <v>1</v>
      </c>
      <c r="R1138" s="272"/>
      <c r="S1138" s="272"/>
      <c r="T1138" s="273" t="str">
        <f t="shared" si="115"/>
        <v>-</v>
      </c>
    </row>
    <row r="1139" spans="1:20">
      <c r="A1139" s="269"/>
      <c r="B1139" s="57"/>
      <c r="C1139" s="55"/>
      <c r="D1139" s="55"/>
      <c r="E1139" s="55"/>
      <c r="F1139" s="55"/>
      <c r="G1139" s="275"/>
      <c r="H1139" s="276"/>
      <c r="I1139" s="213"/>
      <c r="J1139" s="213"/>
      <c r="K1139" s="269"/>
      <c r="L1139" s="272">
        <f t="shared" si="111"/>
        <v>1900</v>
      </c>
      <c r="M1139" s="272">
        <f t="shared" si="112"/>
        <v>1</v>
      </c>
      <c r="N1139" s="273"/>
      <c r="O1139" s="61">
        <f t="shared" si="113"/>
        <v>1900</v>
      </c>
      <c r="P1139" s="61">
        <f t="shared" si="114"/>
        <v>1</v>
      </c>
      <c r="R1139" s="272"/>
      <c r="S1139" s="272"/>
      <c r="T1139" s="273" t="str">
        <f t="shared" si="115"/>
        <v>-</v>
      </c>
    </row>
    <row r="1140" spans="1:20">
      <c r="A1140" s="269"/>
      <c r="B1140" s="57"/>
      <c r="C1140" s="55"/>
      <c r="D1140" s="55"/>
      <c r="E1140" s="55"/>
      <c r="F1140" s="55"/>
      <c r="G1140" s="275"/>
      <c r="H1140" s="276"/>
      <c r="I1140" s="213"/>
      <c r="J1140" s="213"/>
      <c r="K1140" s="269"/>
      <c r="L1140" s="272">
        <f t="shared" si="111"/>
        <v>1900</v>
      </c>
      <c r="M1140" s="272">
        <f t="shared" si="112"/>
        <v>1</v>
      </c>
      <c r="N1140" s="273"/>
      <c r="O1140" s="61">
        <f t="shared" si="113"/>
        <v>1900</v>
      </c>
      <c r="P1140" s="61">
        <f t="shared" si="114"/>
        <v>1</v>
      </c>
      <c r="R1140" s="272"/>
      <c r="S1140" s="272"/>
      <c r="T1140" s="273" t="str">
        <f t="shared" si="115"/>
        <v>-</v>
      </c>
    </row>
    <row r="1141" spans="1:20">
      <c r="A1141" s="269"/>
      <c r="B1141" s="57"/>
      <c r="C1141" s="55"/>
      <c r="D1141" s="55"/>
      <c r="E1141" s="55"/>
      <c r="F1141" s="55"/>
      <c r="G1141" s="275"/>
      <c r="H1141" s="276"/>
      <c r="I1141" s="213"/>
      <c r="J1141" s="213"/>
      <c r="K1141" s="269"/>
      <c r="L1141" s="272">
        <f t="shared" si="111"/>
        <v>1900</v>
      </c>
      <c r="M1141" s="272">
        <f t="shared" si="112"/>
        <v>1</v>
      </c>
      <c r="N1141" s="273"/>
      <c r="O1141" s="61">
        <f t="shared" si="113"/>
        <v>1900</v>
      </c>
      <c r="P1141" s="61">
        <f t="shared" si="114"/>
        <v>1</v>
      </c>
      <c r="R1141" s="272"/>
      <c r="S1141" s="272"/>
      <c r="T1141" s="273" t="str">
        <f t="shared" si="115"/>
        <v>-</v>
      </c>
    </row>
    <row r="1142" spans="1:20">
      <c r="A1142" s="269"/>
      <c r="B1142" s="57"/>
      <c r="C1142" s="55"/>
      <c r="D1142" s="55"/>
      <c r="E1142" s="55"/>
      <c r="F1142" s="55"/>
      <c r="G1142" s="275"/>
      <c r="H1142" s="276"/>
      <c r="I1142" s="213"/>
      <c r="J1142" s="213"/>
      <c r="K1142" s="269"/>
      <c r="L1142" s="272">
        <f t="shared" si="111"/>
        <v>1900</v>
      </c>
      <c r="M1142" s="272">
        <f t="shared" si="112"/>
        <v>1</v>
      </c>
      <c r="N1142" s="273"/>
      <c r="O1142" s="61">
        <f t="shared" si="113"/>
        <v>1900</v>
      </c>
      <c r="P1142" s="61">
        <f t="shared" si="114"/>
        <v>1</v>
      </c>
      <c r="R1142" s="272"/>
      <c r="S1142" s="272"/>
      <c r="T1142" s="273" t="str">
        <f t="shared" si="115"/>
        <v>-</v>
      </c>
    </row>
    <row r="1143" spans="1:20">
      <c r="A1143" s="269"/>
      <c r="B1143" s="57"/>
      <c r="C1143" s="55"/>
      <c r="D1143" s="55"/>
      <c r="E1143" s="55"/>
      <c r="F1143" s="55"/>
      <c r="G1143" s="275"/>
      <c r="H1143" s="276"/>
      <c r="I1143" s="213"/>
      <c r="J1143" s="213"/>
      <c r="K1143" s="269"/>
      <c r="L1143" s="272">
        <f t="shared" si="111"/>
        <v>1900</v>
      </c>
      <c r="M1143" s="272">
        <f t="shared" si="112"/>
        <v>1</v>
      </c>
      <c r="N1143" s="273"/>
      <c r="O1143" s="61">
        <f t="shared" si="113"/>
        <v>1900</v>
      </c>
      <c r="P1143" s="61">
        <f t="shared" si="114"/>
        <v>1</v>
      </c>
      <c r="R1143" s="272"/>
      <c r="S1143" s="272"/>
      <c r="T1143" s="273" t="str">
        <f t="shared" si="115"/>
        <v>-</v>
      </c>
    </row>
    <row r="1144" spans="1:20">
      <c r="A1144" s="269"/>
      <c r="B1144" s="57"/>
      <c r="C1144" s="55"/>
      <c r="D1144" s="55"/>
      <c r="E1144" s="55"/>
      <c r="F1144" s="55"/>
      <c r="G1144" s="275"/>
      <c r="H1144" s="276"/>
      <c r="I1144" s="213"/>
      <c r="J1144" s="213"/>
      <c r="K1144" s="269"/>
      <c r="L1144" s="272">
        <f t="shared" si="111"/>
        <v>1900</v>
      </c>
      <c r="M1144" s="272">
        <f t="shared" si="112"/>
        <v>1</v>
      </c>
      <c r="N1144" s="273"/>
      <c r="O1144" s="61">
        <f t="shared" si="113"/>
        <v>1900</v>
      </c>
      <c r="P1144" s="61">
        <f t="shared" si="114"/>
        <v>1</v>
      </c>
      <c r="R1144" s="272"/>
      <c r="S1144" s="272"/>
      <c r="T1144" s="273" t="str">
        <f t="shared" si="115"/>
        <v>-</v>
      </c>
    </row>
    <row r="1145" spans="1:20">
      <c r="A1145" s="269"/>
      <c r="B1145" s="57"/>
      <c r="C1145" s="55"/>
      <c r="D1145" s="55"/>
      <c r="E1145" s="55"/>
      <c r="F1145" s="55"/>
      <c r="G1145" s="275"/>
      <c r="H1145" s="276"/>
      <c r="I1145" s="213"/>
      <c r="J1145" s="213"/>
      <c r="K1145" s="269"/>
      <c r="L1145" s="272">
        <f t="shared" si="111"/>
        <v>1900</v>
      </c>
      <c r="M1145" s="272">
        <f t="shared" si="112"/>
        <v>1</v>
      </c>
      <c r="N1145" s="273"/>
      <c r="O1145" s="61">
        <f t="shared" si="113"/>
        <v>1900</v>
      </c>
      <c r="P1145" s="61">
        <f t="shared" si="114"/>
        <v>1</v>
      </c>
      <c r="R1145" s="272"/>
      <c r="S1145" s="272"/>
      <c r="T1145" s="273" t="str">
        <f t="shared" si="115"/>
        <v>-</v>
      </c>
    </row>
    <row r="1146" spans="1:20">
      <c r="A1146" s="269"/>
      <c r="B1146" s="57"/>
      <c r="C1146" s="55"/>
      <c r="D1146" s="55"/>
      <c r="E1146" s="55"/>
      <c r="F1146" s="55"/>
      <c r="G1146" s="275"/>
      <c r="H1146" s="276"/>
      <c r="I1146" s="213"/>
      <c r="J1146" s="213"/>
      <c r="K1146" s="269"/>
      <c r="L1146" s="272">
        <f t="shared" si="111"/>
        <v>1900</v>
      </c>
      <c r="M1146" s="272">
        <f t="shared" si="112"/>
        <v>1</v>
      </c>
      <c r="N1146" s="273"/>
      <c r="O1146" s="61">
        <f t="shared" si="113"/>
        <v>1900</v>
      </c>
      <c r="P1146" s="61">
        <f t="shared" si="114"/>
        <v>1</v>
      </c>
      <c r="R1146" s="272"/>
      <c r="S1146" s="272"/>
      <c r="T1146" s="273" t="str">
        <f t="shared" si="115"/>
        <v>-</v>
      </c>
    </row>
    <row r="1147" spans="1:20">
      <c r="A1147" s="269"/>
      <c r="B1147" s="57"/>
      <c r="C1147" s="55"/>
      <c r="D1147" s="55"/>
      <c r="E1147" s="55"/>
      <c r="F1147" s="55"/>
      <c r="G1147" s="275"/>
      <c r="H1147" s="276"/>
      <c r="I1147" s="213"/>
      <c r="J1147" s="213"/>
      <c r="K1147" s="269"/>
      <c r="L1147" s="272">
        <f t="shared" si="111"/>
        <v>1900</v>
      </c>
      <c r="M1147" s="272">
        <f t="shared" si="112"/>
        <v>1</v>
      </c>
      <c r="N1147" s="273"/>
      <c r="O1147" s="61">
        <f t="shared" si="113"/>
        <v>1900</v>
      </c>
      <c r="P1147" s="61">
        <f t="shared" si="114"/>
        <v>1</v>
      </c>
      <c r="R1147" s="272"/>
      <c r="S1147" s="272"/>
      <c r="T1147" s="273" t="str">
        <f t="shared" si="115"/>
        <v>-</v>
      </c>
    </row>
    <row r="1148" spans="1:20">
      <c r="A1148" s="269"/>
      <c r="B1148" s="57"/>
      <c r="C1148" s="55"/>
      <c r="D1148" s="55"/>
      <c r="E1148" s="55"/>
      <c r="F1148" s="55"/>
      <c r="G1148" s="275"/>
      <c r="H1148" s="276"/>
      <c r="I1148" s="213"/>
      <c r="J1148" s="213"/>
      <c r="K1148" s="269"/>
      <c r="L1148" s="272">
        <f t="shared" si="111"/>
        <v>1900</v>
      </c>
      <c r="M1148" s="272">
        <f t="shared" si="112"/>
        <v>1</v>
      </c>
      <c r="N1148" s="273"/>
      <c r="O1148" s="61">
        <f t="shared" si="113"/>
        <v>1900</v>
      </c>
      <c r="P1148" s="61">
        <f t="shared" si="114"/>
        <v>1</v>
      </c>
      <c r="R1148" s="272"/>
      <c r="S1148" s="272"/>
      <c r="T1148" s="273" t="str">
        <f t="shared" si="115"/>
        <v>-</v>
      </c>
    </row>
    <row r="1149" spans="1:20">
      <c r="A1149" s="269"/>
      <c r="B1149" s="57"/>
      <c r="C1149" s="55"/>
      <c r="D1149" s="55"/>
      <c r="E1149" s="55"/>
      <c r="F1149" s="55"/>
      <c r="G1149" s="275"/>
      <c r="H1149" s="276"/>
      <c r="I1149" s="213"/>
      <c r="J1149" s="213"/>
      <c r="K1149" s="269"/>
      <c r="L1149" s="272">
        <f t="shared" si="111"/>
        <v>1900</v>
      </c>
      <c r="M1149" s="272">
        <f t="shared" si="112"/>
        <v>1</v>
      </c>
      <c r="N1149" s="273"/>
      <c r="O1149" s="61">
        <f t="shared" si="113"/>
        <v>1900</v>
      </c>
      <c r="P1149" s="61">
        <f t="shared" si="114"/>
        <v>1</v>
      </c>
      <c r="R1149" s="272"/>
      <c r="S1149" s="272"/>
      <c r="T1149" s="273" t="str">
        <f t="shared" si="115"/>
        <v>-</v>
      </c>
    </row>
    <row r="1150" spans="1:20">
      <c r="A1150" s="269"/>
      <c r="B1150" s="57"/>
      <c r="C1150" s="55"/>
      <c r="D1150" s="55"/>
      <c r="E1150" s="55"/>
      <c r="F1150" s="55"/>
      <c r="G1150" s="275"/>
      <c r="H1150" s="276"/>
      <c r="I1150" s="213"/>
      <c r="J1150" s="213"/>
      <c r="K1150" s="269"/>
      <c r="L1150" s="272">
        <f t="shared" si="111"/>
        <v>1900</v>
      </c>
      <c r="M1150" s="272">
        <f t="shared" si="112"/>
        <v>1</v>
      </c>
      <c r="N1150" s="273"/>
      <c r="O1150" s="61">
        <f t="shared" si="113"/>
        <v>1900</v>
      </c>
      <c r="P1150" s="61">
        <f t="shared" si="114"/>
        <v>1</v>
      </c>
      <c r="R1150" s="272"/>
      <c r="S1150" s="272"/>
      <c r="T1150" s="273" t="str">
        <f t="shared" si="115"/>
        <v>-</v>
      </c>
    </row>
    <row r="1151" spans="1:20">
      <c r="A1151" s="269"/>
      <c r="B1151" s="57"/>
      <c r="C1151" s="55"/>
      <c r="D1151" s="55"/>
      <c r="E1151" s="55"/>
      <c r="F1151" s="55"/>
      <c r="G1151" s="275"/>
      <c r="H1151" s="276"/>
      <c r="I1151" s="213"/>
      <c r="J1151" s="213"/>
      <c r="K1151" s="269"/>
      <c r="L1151" s="272">
        <f t="shared" si="111"/>
        <v>1900</v>
      </c>
      <c r="M1151" s="272">
        <f t="shared" si="112"/>
        <v>1</v>
      </c>
      <c r="N1151" s="273"/>
      <c r="O1151" s="61">
        <f t="shared" si="113"/>
        <v>1900</v>
      </c>
      <c r="P1151" s="61">
        <f t="shared" si="114"/>
        <v>1</v>
      </c>
      <c r="R1151" s="272"/>
      <c r="S1151" s="272"/>
      <c r="T1151" s="273" t="str">
        <f t="shared" si="115"/>
        <v>-</v>
      </c>
    </row>
    <row r="1152" spans="1:20">
      <c r="A1152" s="269"/>
      <c r="B1152" s="57"/>
      <c r="C1152" s="55"/>
      <c r="D1152" s="55"/>
      <c r="E1152" s="55"/>
      <c r="F1152" s="55"/>
      <c r="G1152" s="275"/>
      <c r="H1152" s="276"/>
      <c r="I1152" s="213"/>
      <c r="J1152" s="213"/>
      <c r="K1152" s="269"/>
      <c r="L1152" s="272">
        <f t="shared" si="111"/>
        <v>1900</v>
      </c>
      <c r="M1152" s="272">
        <f t="shared" si="112"/>
        <v>1</v>
      </c>
      <c r="N1152" s="273"/>
      <c r="O1152" s="61">
        <f t="shared" si="113"/>
        <v>1900</v>
      </c>
      <c r="P1152" s="61">
        <f t="shared" si="114"/>
        <v>1</v>
      </c>
      <c r="R1152" s="272"/>
      <c r="S1152" s="272"/>
      <c r="T1152" s="273" t="str">
        <f t="shared" si="115"/>
        <v>-</v>
      </c>
    </row>
    <row r="1153" spans="1:20">
      <c r="A1153" s="269"/>
      <c r="B1153" s="57"/>
      <c r="C1153" s="55"/>
      <c r="D1153" s="55"/>
      <c r="E1153" s="55"/>
      <c r="F1153" s="55"/>
      <c r="G1153" s="275"/>
      <c r="H1153" s="276"/>
      <c r="I1153" s="213"/>
      <c r="J1153" s="213"/>
      <c r="K1153" s="269"/>
      <c r="L1153" s="272">
        <f t="shared" si="111"/>
        <v>1900</v>
      </c>
      <c r="M1153" s="272">
        <f t="shared" si="112"/>
        <v>1</v>
      </c>
      <c r="N1153" s="273"/>
      <c r="O1153" s="61">
        <f t="shared" si="113"/>
        <v>1900</v>
      </c>
      <c r="P1153" s="61">
        <f t="shared" si="114"/>
        <v>1</v>
      </c>
      <c r="R1153" s="272"/>
      <c r="S1153" s="272"/>
      <c r="T1153" s="273" t="str">
        <f t="shared" si="115"/>
        <v>-</v>
      </c>
    </row>
    <row r="1154" spans="1:20">
      <c r="A1154" s="269"/>
      <c r="B1154" s="57"/>
      <c r="C1154" s="55"/>
      <c r="D1154" s="55"/>
      <c r="E1154" s="55"/>
      <c r="F1154" s="55"/>
      <c r="G1154" s="275"/>
      <c r="H1154" s="276"/>
      <c r="I1154" s="213"/>
      <c r="J1154" s="213"/>
      <c r="K1154" s="269"/>
      <c r="L1154" s="272">
        <f t="shared" si="111"/>
        <v>1900</v>
      </c>
      <c r="M1154" s="272">
        <f t="shared" si="112"/>
        <v>1</v>
      </c>
      <c r="N1154" s="273"/>
      <c r="O1154" s="61">
        <f t="shared" si="113"/>
        <v>1900</v>
      </c>
      <c r="P1154" s="61">
        <f t="shared" si="114"/>
        <v>1</v>
      </c>
      <c r="R1154" s="272"/>
      <c r="S1154" s="272"/>
      <c r="T1154" s="273" t="str">
        <f t="shared" si="115"/>
        <v>-</v>
      </c>
    </row>
    <row r="1155" spans="1:20">
      <c r="A1155" s="269"/>
      <c r="B1155" s="57"/>
      <c r="C1155" s="55"/>
      <c r="D1155" s="55"/>
      <c r="E1155" s="55"/>
      <c r="F1155" s="55"/>
      <c r="G1155" s="275"/>
      <c r="H1155" s="276"/>
      <c r="I1155" s="213"/>
      <c r="J1155" s="213"/>
      <c r="K1155" s="269"/>
      <c r="L1155" s="272">
        <f t="shared" si="111"/>
        <v>1900</v>
      </c>
      <c r="M1155" s="272">
        <f t="shared" si="112"/>
        <v>1</v>
      </c>
      <c r="N1155" s="273"/>
      <c r="O1155" s="61">
        <f t="shared" si="113"/>
        <v>1900</v>
      </c>
      <c r="P1155" s="61">
        <f t="shared" si="114"/>
        <v>1</v>
      </c>
      <c r="R1155" s="272"/>
      <c r="S1155" s="272"/>
      <c r="T1155" s="273" t="str">
        <f t="shared" si="115"/>
        <v>-</v>
      </c>
    </row>
    <row r="1156" spans="1:20">
      <c r="A1156" s="269"/>
      <c r="B1156" s="57"/>
      <c r="C1156" s="55"/>
      <c r="D1156" s="55"/>
      <c r="E1156" s="55"/>
      <c r="F1156" s="55"/>
      <c r="G1156" s="275"/>
      <c r="H1156" s="276"/>
      <c r="I1156" s="213"/>
      <c r="J1156" s="213"/>
      <c r="K1156" s="269"/>
      <c r="L1156" s="272">
        <f t="shared" si="111"/>
        <v>1900</v>
      </c>
      <c r="M1156" s="272">
        <f t="shared" si="112"/>
        <v>1</v>
      </c>
      <c r="N1156" s="273"/>
      <c r="O1156" s="61">
        <f t="shared" si="113"/>
        <v>1900</v>
      </c>
      <c r="P1156" s="61">
        <f t="shared" si="114"/>
        <v>1</v>
      </c>
      <c r="R1156" s="272"/>
      <c r="S1156" s="272"/>
      <c r="T1156" s="273" t="str">
        <f t="shared" si="115"/>
        <v>-</v>
      </c>
    </row>
    <row r="1157" spans="1:20">
      <c r="A1157" s="269"/>
      <c r="B1157" s="57"/>
      <c r="C1157" s="55"/>
      <c r="D1157" s="55"/>
      <c r="E1157" s="55"/>
      <c r="F1157" s="55"/>
      <c r="G1157" s="275"/>
      <c r="H1157" s="276"/>
      <c r="I1157" s="213"/>
      <c r="J1157" s="213"/>
      <c r="K1157" s="269"/>
      <c r="L1157" s="272">
        <f t="shared" si="111"/>
        <v>1900</v>
      </c>
      <c r="M1157" s="272">
        <f t="shared" si="112"/>
        <v>1</v>
      </c>
      <c r="N1157" s="273"/>
      <c r="O1157" s="61">
        <f t="shared" si="113"/>
        <v>1900</v>
      </c>
      <c r="P1157" s="61">
        <f t="shared" si="114"/>
        <v>1</v>
      </c>
      <c r="R1157" s="272"/>
      <c r="S1157" s="272"/>
      <c r="T1157" s="273" t="str">
        <f t="shared" si="115"/>
        <v>-</v>
      </c>
    </row>
    <row r="1158" spans="1:20">
      <c r="A1158" s="269"/>
      <c r="B1158" s="57"/>
      <c r="C1158" s="55"/>
      <c r="D1158" s="55"/>
      <c r="E1158" s="55"/>
      <c r="F1158" s="55"/>
      <c r="G1158" s="275"/>
      <c r="H1158" s="276"/>
      <c r="I1158" s="213"/>
      <c r="J1158" s="213"/>
      <c r="K1158" s="269"/>
      <c r="L1158" s="272">
        <f t="shared" si="111"/>
        <v>1900</v>
      </c>
      <c r="M1158" s="272">
        <f t="shared" si="112"/>
        <v>1</v>
      </c>
      <c r="N1158" s="273"/>
      <c r="O1158" s="61">
        <f t="shared" si="113"/>
        <v>1900</v>
      </c>
      <c r="P1158" s="61">
        <f t="shared" si="114"/>
        <v>1</v>
      </c>
      <c r="R1158" s="272"/>
      <c r="S1158" s="272"/>
      <c r="T1158" s="273" t="str">
        <f t="shared" si="115"/>
        <v>-</v>
      </c>
    </row>
    <row r="1159" spans="1:20">
      <c r="A1159" s="269"/>
      <c r="B1159" s="57"/>
      <c r="C1159" s="55"/>
      <c r="D1159" s="55"/>
      <c r="E1159" s="55"/>
      <c r="F1159" s="55"/>
      <c r="G1159" s="275"/>
      <c r="H1159" s="276"/>
      <c r="I1159" s="213"/>
      <c r="J1159" s="213"/>
      <c r="K1159" s="269"/>
      <c r="L1159" s="272">
        <f t="shared" si="111"/>
        <v>1900</v>
      </c>
      <c r="M1159" s="272">
        <f t="shared" si="112"/>
        <v>1</v>
      </c>
      <c r="N1159" s="273"/>
      <c r="O1159" s="61">
        <f t="shared" si="113"/>
        <v>1900</v>
      </c>
      <c r="P1159" s="61">
        <f t="shared" si="114"/>
        <v>1</v>
      </c>
      <c r="R1159" s="272"/>
      <c r="S1159" s="272"/>
      <c r="T1159" s="273" t="str">
        <f t="shared" si="115"/>
        <v>-</v>
      </c>
    </row>
    <row r="1160" spans="1:20">
      <c r="A1160" s="269"/>
      <c r="B1160" s="57"/>
      <c r="C1160" s="55"/>
      <c r="D1160" s="55"/>
      <c r="E1160" s="55"/>
      <c r="F1160" s="55"/>
      <c r="G1160" s="275"/>
      <c r="H1160" s="276"/>
      <c r="I1160" s="213"/>
      <c r="J1160" s="213"/>
      <c r="K1160" s="269"/>
      <c r="L1160" s="272">
        <f t="shared" si="111"/>
        <v>1900</v>
      </c>
      <c r="M1160" s="272">
        <f t="shared" si="112"/>
        <v>1</v>
      </c>
      <c r="N1160" s="273"/>
      <c r="O1160" s="61">
        <f t="shared" si="113"/>
        <v>1900</v>
      </c>
      <c r="P1160" s="61">
        <f t="shared" si="114"/>
        <v>1</v>
      </c>
      <c r="R1160" s="272"/>
      <c r="S1160" s="272"/>
      <c r="T1160" s="273" t="str">
        <f t="shared" si="115"/>
        <v>-</v>
      </c>
    </row>
    <row r="1161" spans="1:20">
      <c r="A1161" s="269"/>
      <c r="B1161" s="57"/>
      <c r="C1161" s="55"/>
      <c r="D1161" s="55"/>
      <c r="E1161" s="55"/>
      <c r="F1161" s="55"/>
      <c r="G1161" s="275"/>
      <c r="H1161" s="276"/>
      <c r="I1161" s="213"/>
      <c r="J1161" s="213"/>
      <c r="K1161" s="269"/>
      <c r="L1161" s="272">
        <f t="shared" si="111"/>
        <v>1900</v>
      </c>
      <c r="M1161" s="272">
        <f t="shared" si="112"/>
        <v>1</v>
      </c>
      <c r="N1161" s="273"/>
      <c r="O1161" s="61">
        <f t="shared" si="113"/>
        <v>1900</v>
      </c>
      <c r="P1161" s="61">
        <f t="shared" si="114"/>
        <v>1</v>
      </c>
      <c r="R1161" s="272"/>
      <c r="S1161" s="272"/>
      <c r="T1161" s="273" t="str">
        <f t="shared" si="115"/>
        <v>-</v>
      </c>
    </row>
    <row r="1162" spans="1:20">
      <c r="A1162" s="269"/>
      <c r="B1162" s="57"/>
      <c r="C1162" s="55"/>
      <c r="D1162" s="55"/>
      <c r="E1162" s="55"/>
      <c r="F1162" s="55"/>
      <c r="G1162" s="275"/>
      <c r="H1162" s="276"/>
      <c r="I1162" s="213"/>
      <c r="J1162" s="213"/>
      <c r="K1162" s="269"/>
      <c r="L1162" s="272">
        <f t="shared" si="111"/>
        <v>1900</v>
      </c>
      <c r="M1162" s="272">
        <f t="shared" si="112"/>
        <v>1</v>
      </c>
      <c r="N1162" s="273"/>
      <c r="O1162" s="61">
        <f t="shared" si="113"/>
        <v>1900</v>
      </c>
      <c r="P1162" s="61">
        <f t="shared" si="114"/>
        <v>1</v>
      </c>
      <c r="R1162" s="272"/>
      <c r="S1162" s="272"/>
      <c r="T1162" s="273" t="str">
        <f t="shared" si="115"/>
        <v>-</v>
      </c>
    </row>
    <row r="1163" spans="1:20">
      <c r="A1163" s="269"/>
      <c r="B1163" s="57"/>
      <c r="C1163" s="55"/>
      <c r="D1163" s="55"/>
      <c r="E1163" s="55"/>
      <c r="F1163" s="55"/>
      <c r="G1163" s="275"/>
      <c r="H1163" s="276"/>
      <c r="I1163" s="213"/>
      <c r="J1163" s="213"/>
      <c r="K1163" s="269"/>
      <c r="L1163" s="272">
        <f t="shared" si="111"/>
        <v>1900</v>
      </c>
      <c r="M1163" s="272">
        <f t="shared" si="112"/>
        <v>1</v>
      </c>
      <c r="N1163" s="273"/>
      <c r="O1163" s="61">
        <f t="shared" si="113"/>
        <v>1900</v>
      </c>
      <c r="P1163" s="61">
        <f t="shared" si="114"/>
        <v>1</v>
      </c>
      <c r="R1163" s="272"/>
      <c r="S1163" s="272"/>
      <c r="T1163" s="273" t="str">
        <f t="shared" si="115"/>
        <v>-</v>
      </c>
    </row>
    <row r="1164" spans="1:20">
      <c r="A1164" s="269"/>
      <c r="B1164" s="57"/>
      <c r="C1164" s="55"/>
      <c r="D1164" s="55"/>
      <c r="E1164" s="55"/>
      <c r="F1164" s="55"/>
      <c r="G1164" s="275"/>
      <c r="H1164" s="276"/>
      <c r="I1164" s="213"/>
      <c r="J1164" s="213"/>
      <c r="K1164" s="269"/>
      <c r="L1164" s="272">
        <f t="shared" si="111"/>
        <v>1900</v>
      </c>
      <c r="M1164" s="272">
        <f t="shared" si="112"/>
        <v>1</v>
      </c>
      <c r="N1164" s="273"/>
      <c r="O1164" s="61">
        <f t="shared" si="113"/>
        <v>1900</v>
      </c>
      <c r="P1164" s="61">
        <f t="shared" si="114"/>
        <v>1</v>
      </c>
      <c r="R1164" s="272"/>
      <c r="S1164" s="272"/>
      <c r="T1164" s="273" t="str">
        <f t="shared" si="115"/>
        <v>-</v>
      </c>
    </row>
    <row r="1165" spans="1:20">
      <c r="A1165" s="269"/>
      <c r="B1165" s="57"/>
      <c r="C1165" s="55"/>
      <c r="D1165" s="55"/>
      <c r="E1165" s="55"/>
      <c r="F1165" s="55"/>
      <c r="G1165" s="275"/>
      <c r="H1165" s="276"/>
      <c r="I1165" s="213"/>
      <c r="J1165" s="213"/>
      <c r="K1165" s="269"/>
      <c r="L1165" s="272">
        <f t="shared" si="111"/>
        <v>1900</v>
      </c>
      <c r="M1165" s="272">
        <f t="shared" si="112"/>
        <v>1</v>
      </c>
      <c r="N1165" s="273"/>
      <c r="O1165" s="61">
        <f t="shared" si="113"/>
        <v>1900</v>
      </c>
      <c r="P1165" s="61">
        <f t="shared" si="114"/>
        <v>1</v>
      </c>
      <c r="R1165" s="272"/>
      <c r="S1165" s="272"/>
      <c r="T1165" s="273" t="str">
        <f t="shared" si="115"/>
        <v>-</v>
      </c>
    </row>
    <row r="1166" spans="1:20">
      <c r="A1166" s="269"/>
      <c r="B1166" s="57"/>
      <c r="C1166" s="55"/>
      <c r="D1166" s="55"/>
      <c r="E1166" s="55"/>
      <c r="F1166" s="55"/>
      <c r="G1166" s="275"/>
      <c r="H1166" s="276"/>
      <c r="I1166" s="213"/>
      <c r="J1166" s="213"/>
      <c r="K1166" s="269"/>
      <c r="L1166" s="272">
        <f t="shared" si="111"/>
        <v>1900</v>
      </c>
      <c r="M1166" s="272">
        <f t="shared" si="112"/>
        <v>1</v>
      </c>
      <c r="N1166" s="273"/>
      <c r="O1166" s="61">
        <f t="shared" si="113"/>
        <v>1900</v>
      </c>
      <c r="P1166" s="61">
        <f t="shared" si="114"/>
        <v>1</v>
      </c>
      <c r="R1166" s="272"/>
      <c r="S1166" s="272"/>
      <c r="T1166" s="273" t="str">
        <f t="shared" si="115"/>
        <v>-</v>
      </c>
    </row>
    <row r="1167" spans="1:20">
      <c r="A1167" s="269"/>
      <c r="B1167" s="57"/>
      <c r="C1167" s="55"/>
      <c r="D1167" s="55"/>
      <c r="E1167" s="55"/>
      <c r="F1167" s="55"/>
      <c r="G1167" s="275"/>
      <c r="H1167" s="276"/>
      <c r="I1167" s="213"/>
      <c r="J1167" s="213"/>
      <c r="K1167" s="269"/>
      <c r="L1167" s="272">
        <f t="shared" si="111"/>
        <v>1900</v>
      </c>
      <c r="M1167" s="272">
        <f t="shared" si="112"/>
        <v>1</v>
      </c>
      <c r="N1167" s="273"/>
      <c r="O1167" s="61">
        <f t="shared" si="113"/>
        <v>1900</v>
      </c>
      <c r="P1167" s="61">
        <f t="shared" si="114"/>
        <v>1</v>
      </c>
      <c r="R1167" s="272"/>
      <c r="S1167" s="272"/>
      <c r="T1167" s="273" t="str">
        <f t="shared" si="115"/>
        <v>-</v>
      </c>
    </row>
    <row r="1168" spans="1:20">
      <c r="A1168" s="269"/>
      <c r="B1168" s="57"/>
      <c r="C1168" s="55"/>
      <c r="D1168" s="55"/>
      <c r="E1168" s="55"/>
      <c r="F1168" s="55"/>
      <c r="G1168" s="275"/>
      <c r="H1168" s="276"/>
      <c r="I1168" s="213"/>
      <c r="J1168" s="213"/>
      <c r="K1168" s="269"/>
      <c r="L1168" s="272">
        <f t="shared" ref="L1168:L1231" si="116">YEAR(B1168)</f>
        <v>1900</v>
      </c>
      <c r="M1168" s="272">
        <f t="shared" ref="M1168:M1231" si="117">MONTH(B1168)</f>
        <v>1</v>
      </c>
      <c r="N1168" s="273"/>
      <c r="O1168" s="61">
        <f t="shared" ref="O1168:O1231" si="118">YEAR(B1168)</f>
        <v>1900</v>
      </c>
      <c r="P1168" s="61">
        <f t="shared" ref="P1168:P1231" si="119">MONTH(B1168)</f>
        <v>1</v>
      </c>
      <c r="R1168" s="272"/>
      <c r="S1168" s="272"/>
      <c r="T1168" s="273" t="str">
        <f t="shared" ref="T1168:T1231" si="120">IF($E1168&gt;0,IF((R1168+S1168)=$E1168,"OK","Error"),"-")</f>
        <v>-</v>
      </c>
    </row>
    <row r="1169" spans="1:20">
      <c r="A1169" s="269"/>
      <c r="B1169" s="57"/>
      <c r="C1169" s="55"/>
      <c r="D1169" s="55"/>
      <c r="E1169" s="55"/>
      <c r="F1169" s="55"/>
      <c r="G1169" s="275"/>
      <c r="H1169" s="276"/>
      <c r="I1169" s="213"/>
      <c r="J1169" s="213"/>
      <c r="K1169" s="269"/>
      <c r="L1169" s="272">
        <f t="shared" si="116"/>
        <v>1900</v>
      </c>
      <c r="M1169" s="272">
        <f t="shared" si="117"/>
        <v>1</v>
      </c>
      <c r="N1169" s="273"/>
      <c r="O1169" s="61">
        <f t="shared" si="118"/>
        <v>1900</v>
      </c>
      <c r="P1169" s="61">
        <f t="shared" si="119"/>
        <v>1</v>
      </c>
      <c r="R1169" s="272"/>
      <c r="S1169" s="272"/>
      <c r="T1169" s="273" t="str">
        <f t="shared" si="120"/>
        <v>-</v>
      </c>
    </row>
    <row r="1170" spans="1:20">
      <c r="A1170" s="269"/>
      <c r="B1170" s="57"/>
      <c r="C1170" s="55"/>
      <c r="D1170" s="55"/>
      <c r="E1170" s="55"/>
      <c r="F1170" s="55"/>
      <c r="G1170" s="275"/>
      <c r="H1170" s="276"/>
      <c r="I1170" s="213"/>
      <c r="J1170" s="213"/>
      <c r="K1170" s="269"/>
      <c r="L1170" s="272">
        <f t="shared" si="116"/>
        <v>1900</v>
      </c>
      <c r="M1170" s="272">
        <f t="shared" si="117"/>
        <v>1</v>
      </c>
      <c r="N1170" s="273"/>
      <c r="O1170" s="61">
        <f t="shared" si="118"/>
        <v>1900</v>
      </c>
      <c r="P1170" s="61">
        <f t="shared" si="119"/>
        <v>1</v>
      </c>
      <c r="R1170" s="272"/>
      <c r="S1170" s="272"/>
      <c r="T1170" s="273" t="str">
        <f t="shared" si="120"/>
        <v>-</v>
      </c>
    </row>
    <row r="1171" spans="1:20">
      <c r="A1171" s="269"/>
      <c r="B1171" s="57"/>
      <c r="C1171" s="55"/>
      <c r="D1171" s="55"/>
      <c r="E1171" s="55"/>
      <c r="F1171" s="55"/>
      <c r="G1171" s="275"/>
      <c r="H1171" s="276"/>
      <c r="I1171" s="213"/>
      <c r="J1171" s="213"/>
      <c r="K1171" s="269"/>
      <c r="L1171" s="272">
        <f t="shared" si="116"/>
        <v>1900</v>
      </c>
      <c r="M1171" s="272">
        <f t="shared" si="117"/>
        <v>1</v>
      </c>
      <c r="N1171" s="273"/>
      <c r="O1171" s="61">
        <f t="shared" si="118"/>
        <v>1900</v>
      </c>
      <c r="P1171" s="61">
        <f t="shared" si="119"/>
        <v>1</v>
      </c>
      <c r="R1171" s="272"/>
      <c r="S1171" s="272"/>
      <c r="T1171" s="273" t="str">
        <f t="shared" si="120"/>
        <v>-</v>
      </c>
    </row>
    <row r="1172" spans="1:20">
      <c r="A1172" s="269"/>
      <c r="B1172" s="57"/>
      <c r="C1172" s="55"/>
      <c r="D1172" s="55"/>
      <c r="E1172" s="55"/>
      <c r="F1172" s="55"/>
      <c r="G1172" s="275"/>
      <c r="H1172" s="276"/>
      <c r="I1172" s="213"/>
      <c r="J1172" s="213"/>
      <c r="K1172" s="269"/>
      <c r="L1172" s="272">
        <f t="shared" si="116"/>
        <v>1900</v>
      </c>
      <c r="M1172" s="272">
        <f t="shared" si="117"/>
        <v>1</v>
      </c>
      <c r="N1172" s="273"/>
      <c r="O1172" s="61">
        <f t="shared" si="118"/>
        <v>1900</v>
      </c>
      <c r="P1172" s="61">
        <f t="shared" si="119"/>
        <v>1</v>
      </c>
      <c r="R1172" s="272"/>
      <c r="S1172" s="272"/>
      <c r="T1172" s="273" t="str">
        <f t="shared" si="120"/>
        <v>-</v>
      </c>
    </row>
    <row r="1173" spans="1:20">
      <c r="A1173" s="269"/>
      <c r="B1173" s="57"/>
      <c r="C1173" s="55"/>
      <c r="D1173" s="55"/>
      <c r="E1173" s="55"/>
      <c r="F1173" s="55"/>
      <c r="G1173" s="275"/>
      <c r="H1173" s="276"/>
      <c r="I1173" s="213"/>
      <c r="J1173" s="213"/>
      <c r="K1173" s="269"/>
      <c r="L1173" s="272">
        <f t="shared" si="116"/>
        <v>1900</v>
      </c>
      <c r="M1173" s="272">
        <f t="shared" si="117"/>
        <v>1</v>
      </c>
      <c r="N1173" s="273"/>
      <c r="O1173" s="61">
        <f t="shared" si="118"/>
        <v>1900</v>
      </c>
      <c r="P1173" s="61">
        <f t="shared" si="119"/>
        <v>1</v>
      </c>
      <c r="R1173" s="272"/>
      <c r="S1173" s="272"/>
      <c r="T1173" s="273" t="str">
        <f t="shared" si="120"/>
        <v>-</v>
      </c>
    </row>
    <row r="1174" spans="1:20">
      <c r="A1174" s="269"/>
      <c r="B1174" s="57"/>
      <c r="C1174" s="55"/>
      <c r="D1174" s="55"/>
      <c r="E1174" s="55"/>
      <c r="F1174" s="55"/>
      <c r="G1174" s="275"/>
      <c r="H1174" s="276"/>
      <c r="I1174" s="213"/>
      <c r="J1174" s="213"/>
      <c r="K1174" s="269"/>
      <c r="L1174" s="272">
        <f t="shared" si="116"/>
        <v>1900</v>
      </c>
      <c r="M1174" s="272">
        <f t="shared" si="117"/>
        <v>1</v>
      </c>
      <c r="N1174" s="273"/>
      <c r="O1174" s="61">
        <f t="shared" si="118"/>
        <v>1900</v>
      </c>
      <c r="P1174" s="61">
        <f t="shared" si="119"/>
        <v>1</v>
      </c>
      <c r="R1174" s="272"/>
      <c r="S1174" s="272"/>
      <c r="T1174" s="273" t="str">
        <f t="shared" si="120"/>
        <v>-</v>
      </c>
    </row>
    <row r="1175" spans="1:20">
      <c r="A1175" s="269"/>
      <c r="B1175" s="57"/>
      <c r="C1175" s="55"/>
      <c r="D1175" s="55"/>
      <c r="E1175" s="55"/>
      <c r="F1175" s="55"/>
      <c r="G1175" s="275"/>
      <c r="H1175" s="276"/>
      <c r="I1175" s="213"/>
      <c r="J1175" s="213"/>
      <c r="K1175" s="269"/>
      <c r="L1175" s="272">
        <f t="shared" si="116"/>
        <v>1900</v>
      </c>
      <c r="M1175" s="272">
        <f t="shared" si="117"/>
        <v>1</v>
      </c>
      <c r="N1175" s="273"/>
      <c r="O1175" s="61">
        <f t="shared" si="118"/>
        <v>1900</v>
      </c>
      <c r="P1175" s="61">
        <f t="shared" si="119"/>
        <v>1</v>
      </c>
      <c r="R1175" s="272"/>
      <c r="S1175" s="272"/>
      <c r="T1175" s="273" t="str">
        <f t="shared" si="120"/>
        <v>-</v>
      </c>
    </row>
    <row r="1176" spans="1:20">
      <c r="A1176" s="269"/>
      <c r="B1176" s="57"/>
      <c r="C1176" s="55"/>
      <c r="D1176" s="55"/>
      <c r="E1176" s="55"/>
      <c r="F1176" s="55"/>
      <c r="G1176" s="275"/>
      <c r="H1176" s="276"/>
      <c r="I1176" s="213"/>
      <c r="J1176" s="213"/>
      <c r="K1176" s="269"/>
      <c r="L1176" s="272">
        <f t="shared" si="116"/>
        <v>1900</v>
      </c>
      <c r="M1176" s="272">
        <f t="shared" si="117"/>
        <v>1</v>
      </c>
      <c r="N1176" s="273"/>
      <c r="O1176" s="61">
        <f t="shared" si="118"/>
        <v>1900</v>
      </c>
      <c r="P1176" s="61">
        <f t="shared" si="119"/>
        <v>1</v>
      </c>
      <c r="R1176" s="272"/>
      <c r="S1176" s="272"/>
      <c r="T1176" s="273" t="str">
        <f t="shared" si="120"/>
        <v>-</v>
      </c>
    </row>
    <row r="1177" spans="1:20">
      <c r="A1177" s="269"/>
      <c r="B1177" s="57"/>
      <c r="C1177" s="55"/>
      <c r="D1177" s="55"/>
      <c r="E1177" s="55"/>
      <c r="F1177" s="55"/>
      <c r="G1177" s="275"/>
      <c r="H1177" s="276"/>
      <c r="I1177" s="213"/>
      <c r="J1177" s="213"/>
      <c r="K1177" s="269"/>
      <c r="L1177" s="272">
        <f t="shared" si="116"/>
        <v>1900</v>
      </c>
      <c r="M1177" s="272">
        <f t="shared" si="117"/>
        <v>1</v>
      </c>
      <c r="N1177" s="273"/>
      <c r="O1177" s="61">
        <f t="shared" si="118"/>
        <v>1900</v>
      </c>
      <c r="P1177" s="61">
        <f t="shared" si="119"/>
        <v>1</v>
      </c>
      <c r="R1177" s="272"/>
      <c r="S1177" s="272"/>
      <c r="T1177" s="273" t="str">
        <f t="shared" si="120"/>
        <v>-</v>
      </c>
    </row>
    <row r="1178" spans="1:20">
      <c r="A1178" s="269"/>
      <c r="B1178" s="57"/>
      <c r="C1178" s="55"/>
      <c r="D1178" s="55"/>
      <c r="E1178" s="55"/>
      <c r="F1178" s="55"/>
      <c r="G1178" s="275"/>
      <c r="H1178" s="276"/>
      <c r="I1178" s="213"/>
      <c r="J1178" s="213"/>
      <c r="K1178" s="269"/>
      <c r="L1178" s="272">
        <f t="shared" si="116"/>
        <v>1900</v>
      </c>
      <c r="M1178" s="272">
        <f t="shared" si="117"/>
        <v>1</v>
      </c>
      <c r="N1178" s="273"/>
      <c r="O1178" s="61">
        <f t="shared" si="118"/>
        <v>1900</v>
      </c>
      <c r="P1178" s="61">
        <f t="shared" si="119"/>
        <v>1</v>
      </c>
      <c r="R1178" s="272"/>
      <c r="S1178" s="272"/>
      <c r="T1178" s="273" t="str">
        <f t="shared" si="120"/>
        <v>-</v>
      </c>
    </row>
    <row r="1179" spans="1:20">
      <c r="A1179" s="269"/>
      <c r="B1179" s="57"/>
      <c r="C1179" s="55"/>
      <c r="D1179" s="55"/>
      <c r="E1179" s="55"/>
      <c r="F1179" s="55"/>
      <c r="G1179" s="275"/>
      <c r="H1179" s="276"/>
      <c r="I1179" s="213"/>
      <c r="J1179" s="213"/>
      <c r="K1179" s="269"/>
      <c r="L1179" s="272">
        <f t="shared" si="116"/>
        <v>1900</v>
      </c>
      <c r="M1179" s="272">
        <f t="shared" si="117"/>
        <v>1</v>
      </c>
      <c r="N1179" s="273"/>
      <c r="O1179" s="61">
        <f t="shared" si="118"/>
        <v>1900</v>
      </c>
      <c r="P1179" s="61">
        <f t="shared" si="119"/>
        <v>1</v>
      </c>
      <c r="R1179" s="272"/>
      <c r="S1179" s="272"/>
      <c r="T1179" s="273" t="str">
        <f t="shared" si="120"/>
        <v>-</v>
      </c>
    </row>
    <row r="1180" spans="1:20">
      <c r="A1180" s="269"/>
      <c r="B1180" s="57"/>
      <c r="C1180" s="55"/>
      <c r="D1180" s="55"/>
      <c r="E1180" s="55"/>
      <c r="F1180" s="55"/>
      <c r="G1180" s="275"/>
      <c r="H1180" s="276"/>
      <c r="I1180" s="213"/>
      <c r="J1180" s="213"/>
      <c r="K1180" s="269"/>
      <c r="L1180" s="272">
        <f t="shared" si="116"/>
        <v>1900</v>
      </c>
      <c r="M1180" s="272">
        <f t="shared" si="117"/>
        <v>1</v>
      </c>
      <c r="N1180" s="273"/>
      <c r="O1180" s="61">
        <f t="shared" si="118"/>
        <v>1900</v>
      </c>
      <c r="P1180" s="61">
        <f t="shared" si="119"/>
        <v>1</v>
      </c>
      <c r="R1180" s="272"/>
      <c r="S1180" s="272"/>
      <c r="T1180" s="273" t="str">
        <f t="shared" si="120"/>
        <v>-</v>
      </c>
    </row>
    <row r="1181" spans="1:20">
      <c r="A1181" s="269"/>
      <c r="B1181" s="57"/>
      <c r="C1181" s="55"/>
      <c r="D1181" s="55"/>
      <c r="E1181" s="55"/>
      <c r="F1181" s="55"/>
      <c r="G1181" s="275"/>
      <c r="H1181" s="276"/>
      <c r="I1181" s="213"/>
      <c r="J1181" s="213"/>
      <c r="K1181" s="269"/>
      <c r="L1181" s="272">
        <f t="shared" si="116"/>
        <v>1900</v>
      </c>
      <c r="M1181" s="272">
        <f t="shared" si="117"/>
        <v>1</v>
      </c>
      <c r="N1181" s="273"/>
      <c r="O1181" s="61">
        <f t="shared" si="118"/>
        <v>1900</v>
      </c>
      <c r="P1181" s="61">
        <f t="shared" si="119"/>
        <v>1</v>
      </c>
      <c r="R1181" s="272"/>
      <c r="S1181" s="272"/>
      <c r="T1181" s="273" t="str">
        <f t="shared" si="120"/>
        <v>-</v>
      </c>
    </row>
    <row r="1182" spans="1:20">
      <c r="A1182" s="269"/>
      <c r="B1182" s="57"/>
      <c r="C1182" s="55"/>
      <c r="D1182" s="55"/>
      <c r="E1182" s="55"/>
      <c r="F1182" s="55"/>
      <c r="G1182" s="275"/>
      <c r="H1182" s="276"/>
      <c r="I1182" s="213"/>
      <c r="J1182" s="213"/>
      <c r="K1182" s="269"/>
      <c r="L1182" s="272">
        <f t="shared" si="116"/>
        <v>1900</v>
      </c>
      <c r="M1182" s="272">
        <f t="shared" si="117"/>
        <v>1</v>
      </c>
      <c r="N1182" s="273"/>
      <c r="O1182" s="61">
        <f t="shared" si="118"/>
        <v>1900</v>
      </c>
      <c r="P1182" s="61">
        <f t="shared" si="119"/>
        <v>1</v>
      </c>
      <c r="R1182" s="272"/>
      <c r="S1182" s="272"/>
      <c r="T1182" s="273" t="str">
        <f t="shared" si="120"/>
        <v>-</v>
      </c>
    </row>
    <row r="1183" spans="1:20">
      <c r="A1183" s="269"/>
      <c r="B1183" s="57"/>
      <c r="C1183" s="55"/>
      <c r="D1183" s="55"/>
      <c r="E1183" s="55"/>
      <c r="F1183" s="55"/>
      <c r="G1183" s="275"/>
      <c r="H1183" s="276"/>
      <c r="I1183" s="213"/>
      <c r="J1183" s="213"/>
      <c r="K1183" s="269"/>
      <c r="L1183" s="272">
        <f t="shared" si="116"/>
        <v>1900</v>
      </c>
      <c r="M1183" s="272">
        <f t="shared" si="117"/>
        <v>1</v>
      </c>
      <c r="N1183" s="273"/>
      <c r="O1183" s="61">
        <f t="shared" si="118"/>
        <v>1900</v>
      </c>
      <c r="P1183" s="61">
        <f t="shared" si="119"/>
        <v>1</v>
      </c>
      <c r="R1183" s="272"/>
      <c r="S1183" s="272"/>
      <c r="T1183" s="273" t="str">
        <f t="shared" si="120"/>
        <v>-</v>
      </c>
    </row>
    <row r="1184" spans="1:20">
      <c r="A1184" s="269"/>
      <c r="B1184" s="57"/>
      <c r="C1184" s="55"/>
      <c r="D1184" s="55"/>
      <c r="E1184" s="55"/>
      <c r="F1184" s="55"/>
      <c r="G1184" s="275"/>
      <c r="H1184" s="276"/>
      <c r="I1184" s="213"/>
      <c r="J1184" s="213"/>
      <c r="K1184" s="269"/>
      <c r="L1184" s="272">
        <f t="shared" si="116"/>
        <v>1900</v>
      </c>
      <c r="M1184" s="272">
        <f t="shared" si="117"/>
        <v>1</v>
      </c>
      <c r="N1184" s="273"/>
      <c r="O1184" s="61">
        <f t="shared" si="118"/>
        <v>1900</v>
      </c>
      <c r="P1184" s="61">
        <f t="shared" si="119"/>
        <v>1</v>
      </c>
      <c r="R1184" s="272"/>
      <c r="S1184" s="272"/>
      <c r="T1184" s="273" t="str">
        <f t="shared" si="120"/>
        <v>-</v>
      </c>
    </row>
    <row r="1185" spans="1:20">
      <c r="A1185" s="269"/>
      <c r="B1185" s="57"/>
      <c r="C1185" s="55"/>
      <c r="D1185" s="55"/>
      <c r="E1185" s="55"/>
      <c r="F1185" s="55"/>
      <c r="G1185" s="275"/>
      <c r="H1185" s="276"/>
      <c r="I1185" s="213"/>
      <c r="J1185" s="213"/>
      <c r="K1185" s="269"/>
      <c r="L1185" s="272">
        <f t="shared" si="116"/>
        <v>1900</v>
      </c>
      <c r="M1185" s="272">
        <f t="shared" si="117"/>
        <v>1</v>
      </c>
      <c r="N1185" s="273"/>
      <c r="O1185" s="61">
        <f t="shared" si="118"/>
        <v>1900</v>
      </c>
      <c r="P1185" s="61">
        <f t="shared" si="119"/>
        <v>1</v>
      </c>
      <c r="R1185" s="272"/>
      <c r="S1185" s="272"/>
      <c r="T1185" s="273" t="str">
        <f t="shared" si="120"/>
        <v>-</v>
      </c>
    </row>
    <row r="1186" spans="1:20">
      <c r="A1186" s="269"/>
      <c r="B1186" s="57"/>
      <c r="C1186" s="55"/>
      <c r="D1186" s="55"/>
      <c r="E1186" s="55"/>
      <c r="F1186" s="55"/>
      <c r="G1186" s="275"/>
      <c r="H1186" s="276"/>
      <c r="I1186" s="213"/>
      <c r="J1186" s="213"/>
      <c r="K1186" s="269"/>
      <c r="L1186" s="272">
        <f t="shared" si="116"/>
        <v>1900</v>
      </c>
      <c r="M1186" s="272">
        <f t="shared" si="117"/>
        <v>1</v>
      </c>
      <c r="N1186" s="273"/>
      <c r="O1186" s="61">
        <f t="shared" si="118"/>
        <v>1900</v>
      </c>
      <c r="P1186" s="61">
        <f t="shared" si="119"/>
        <v>1</v>
      </c>
      <c r="R1186" s="272"/>
      <c r="S1186" s="272"/>
      <c r="T1186" s="273" t="str">
        <f t="shared" si="120"/>
        <v>-</v>
      </c>
    </row>
    <row r="1187" spans="1:20">
      <c r="A1187" s="269"/>
      <c r="B1187" s="57"/>
      <c r="C1187" s="55"/>
      <c r="D1187" s="55"/>
      <c r="E1187" s="55"/>
      <c r="F1187" s="55"/>
      <c r="G1187" s="275"/>
      <c r="H1187" s="276"/>
      <c r="I1187" s="213"/>
      <c r="J1187" s="213"/>
      <c r="K1187" s="269"/>
      <c r="L1187" s="272">
        <f t="shared" si="116"/>
        <v>1900</v>
      </c>
      <c r="M1187" s="272">
        <f t="shared" si="117"/>
        <v>1</v>
      </c>
      <c r="N1187" s="273"/>
      <c r="O1187" s="61">
        <f t="shared" si="118"/>
        <v>1900</v>
      </c>
      <c r="P1187" s="61">
        <f t="shared" si="119"/>
        <v>1</v>
      </c>
      <c r="R1187" s="272"/>
      <c r="S1187" s="272"/>
      <c r="T1187" s="273" t="str">
        <f t="shared" si="120"/>
        <v>-</v>
      </c>
    </row>
    <row r="1188" spans="1:20">
      <c r="A1188" s="269"/>
      <c r="B1188" s="57"/>
      <c r="C1188" s="55"/>
      <c r="D1188" s="55"/>
      <c r="E1188" s="55"/>
      <c r="F1188" s="55"/>
      <c r="G1188" s="275"/>
      <c r="H1188" s="276"/>
      <c r="I1188" s="213"/>
      <c r="J1188" s="213"/>
      <c r="K1188" s="269"/>
      <c r="L1188" s="272">
        <f t="shared" si="116"/>
        <v>1900</v>
      </c>
      <c r="M1188" s="272">
        <f t="shared" si="117"/>
        <v>1</v>
      </c>
      <c r="N1188" s="273"/>
      <c r="O1188" s="61">
        <f t="shared" si="118"/>
        <v>1900</v>
      </c>
      <c r="P1188" s="61">
        <f t="shared" si="119"/>
        <v>1</v>
      </c>
      <c r="R1188" s="272"/>
      <c r="S1188" s="272"/>
      <c r="T1188" s="273" t="str">
        <f t="shared" si="120"/>
        <v>-</v>
      </c>
    </row>
    <row r="1189" spans="1:20">
      <c r="A1189" s="269"/>
      <c r="B1189" s="57"/>
      <c r="C1189" s="55"/>
      <c r="D1189" s="55"/>
      <c r="E1189" s="55"/>
      <c r="F1189" s="55"/>
      <c r="G1189" s="275"/>
      <c r="H1189" s="276"/>
      <c r="I1189" s="213"/>
      <c r="J1189" s="213"/>
      <c r="K1189" s="269"/>
      <c r="L1189" s="272">
        <f t="shared" si="116"/>
        <v>1900</v>
      </c>
      <c r="M1189" s="272">
        <f t="shared" si="117"/>
        <v>1</v>
      </c>
      <c r="N1189" s="273"/>
      <c r="O1189" s="61">
        <f t="shared" si="118"/>
        <v>1900</v>
      </c>
      <c r="P1189" s="61">
        <f t="shared" si="119"/>
        <v>1</v>
      </c>
      <c r="R1189" s="272"/>
      <c r="S1189" s="272"/>
      <c r="T1189" s="273" t="str">
        <f t="shared" si="120"/>
        <v>-</v>
      </c>
    </row>
    <row r="1190" spans="1:20">
      <c r="A1190" s="269"/>
      <c r="B1190" s="57"/>
      <c r="C1190" s="55"/>
      <c r="D1190" s="55"/>
      <c r="E1190" s="55"/>
      <c r="F1190" s="55"/>
      <c r="G1190" s="275"/>
      <c r="H1190" s="276"/>
      <c r="I1190" s="213"/>
      <c r="J1190" s="213"/>
      <c r="K1190" s="269"/>
      <c r="L1190" s="272">
        <f t="shared" si="116"/>
        <v>1900</v>
      </c>
      <c r="M1190" s="272">
        <f t="shared" si="117"/>
        <v>1</v>
      </c>
      <c r="N1190" s="273"/>
      <c r="O1190" s="61">
        <f t="shared" si="118"/>
        <v>1900</v>
      </c>
      <c r="P1190" s="61">
        <f t="shared" si="119"/>
        <v>1</v>
      </c>
      <c r="R1190" s="272"/>
      <c r="S1190" s="272"/>
      <c r="T1190" s="273" t="str">
        <f t="shared" si="120"/>
        <v>-</v>
      </c>
    </row>
    <row r="1191" spans="1:20">
      <c r="A1191" s="269"/>
      <c r="B1191" s="57"/>
      <c r="C1191" s="55"/>
      <c r="D1191" s="55"/>
      <c r="E1191" s="55"/>
      <c r="F1191" s="55"/>
      <c r="G1191" s="275"/>
      <c r="H1191" s="276"/>
      <c r="I1191" s="213"/>
      <c r="J1191" s="213"/>
      <c r="K1191" s="269"/>
      <c r="L1191" s="272">
        <f t="shared" si="116"/>
        <v>1900</v>
      </c>
      <c r="M1191" s="272">
        <f t="shared" si="117"/>
        <v>1</v>
      </c>
      <c r="N1191" s="273"/>
      <c r="O1191" s="61">
        <f t="shared" si="118"/>
        <v>1900</v>
      </c>
      <c r="P1191" s="61">
        <f t="shared" si="119"/>
        <v>1</v>
      </c>
      <c r="R1191" s="272"/>
      <c r="S1191" s="272"/>
      <c r="T1191" s="273" t="str">
        <f t="shared" si="120"/>
        <v>-</v>
      </c>
    </row>
    <row r="1192" spans="1:20">
      <c r="A1192" s="269"/>
      <c r="B1192" s="57"/>
      <c r="C1192" s="55"/>
      <c r="D1192" s="55"/>
      <c r="E1192" s="55"/>
      <c r="F1192" s="55"/>
      <c r="G1192" s="275"/>
      <c r="H1192" s="276"/>
      <c r="I1192" s="213"/>
      <c r="J1192" s="213"/>
      <c r="K1192" s="269"/>
      <c r="L1192" s="272">
        <f t="shared" si="116"/>
        <v>1900</v>
      </c>
      <c r="M1192" s="272">
        <f t="shared" si="117"/>
        <v>1</v>
      </c>
      <c r="N1192" s="273"/>
      <c r="O1192" s="61">
        <f t="shared" si="118"/>
        <v>1900</v>
      </c>
      <c r="P1192" s="61">
        <f t="shared" si="119"/>
        <v>1</v>
      </c>
      <c r="R1192" s="272"/>
      <c r="S1192" s="272"/>
      <c r="T1192" s="273" t="str">
        <f t="shared" si="120"/>
        <v>-</v>
      </c>
    </row>
    <row r="1193" spans="1:20">
      <c r="A1193" s="269"/>
      <c r="B1193" s="57"/>
      <c r="C1193" s="55"/>
      <c r="D1193" s="55"/>
      <c r="E1193" s="55"/>
      <c r="F1193" s="55"/>
      <c r="G1193" s="275"/>
      <c r="H1193" s="276"/>
      <c r="I1193" s="213"/>
      <c r="J1193" s="213"/>
      <c r="K1193" s="269"/>
      <c r="L1193" s="272">
        <f t="shared" si="116"/>
        <v>1900</v>
      </c>
      <c r="M1193" s="272">
        <f t="shared" si="117"/>
        <v>1</v>
      </c>
      <c r="N1193" s="273"/>
      <c r="O1193" s="61">
        <f t="shared" si="118"/>
        <v>1900</v>
      </c>
      <c r="P1193" s="61">
        <f t="shared" si="119"/>
        <v>1</v>
      </c>
      <c r="R1193" s="272"/>
      <c r="S1193" s="272"/>
      <c r="T1193" s="273" t="str">
        <f t="shared" si="120"/>
        <v>-</v>
      </c>
    </row>
    <row r="1194" spans="1:20">
      <c r="A1194" s="269"/>
      <c r="B1194" s="57"/>
      <c r="C1194" s="55"/>
      <c r="D1194" s="55"/>
      <c r="E1194" s="55"/>
      <c r="F1194" s="55"/>
      <c r="G1194" s="275"/>
      <c r="H1194" s="276"/>
      <c r="I1194" s="213"/>
      <c r="J1194" s="213"/>
      <c r="K1194" s="269"/>
      <c r="L1194" s="272">
        <f t="shared" si="116"/>
        <v>1900</v>
      </c>
      <c r="M1194" s="272">
        <f t="shared" si="117"/>
        <v>1</v>
      </c>
      <c r="N1194" s="273"/>
      <c r="O1194" s="61">
        <f t="shared" si="118"/>
        <v>1900</v>
      </c>
      <c r="P1194" s="61">
        <f t="shared" si="119"/>
        <v>1</v>
      </c>
      <c r="R1194" s="272"/>
      <c r="S1194" s="272"/>
      <c r="T1194" s="273" t="str">
        <f t="shared" si="120"/>
        <v>-</v>
      </c>
    </row>
    <row r="1195" spans="1:20">
      <c r="A1195" s="269"/>
      <c r="B1195" s="57"/>
      <c r="C1195" s="55"/>
      <c r="D1195" s="55"/>
      <c r="E1195" s="55"/>
      <c r="F1195" s="55"/>
      <c r="G1195" s="275"/>
      <c r="H1195" s="276"/>
      <c r="I1195" s="213"/>
      <c r="J1195" s="213"/>
      <c r="K1195" s="269"/>
      <c r="L1195" s="272">
        <f t="shared" si="116"/>
        <v>1900</v>
      </c>
      <c r="M1195" s="272">
        <f t="shared" si="117"/>
        <v>1</v>
      </c>
      <c r="N1195" s="273"/>
      <c r="O1195" s="61">
        <f t="shared" si="118"/>
        <v>1900</v>
      </c>
      <c r="P1195" s="61">
        <f t="shared" si="119"/>
        <v>1</v>
      </c>
      <c r="R1195" s="272"/>
      <c r="S1195" s="272"/>
      <c r="T1195" s="273" t="str">
        <f t="shared" si="120"/>
        <v>-</v>
      </c>
    </row>
    <row r="1196" spans="1:20">
      <c r="A1196" s="269"/>
      <c r="B1196" s="57"/>
      <c r="C1196" s="55"/>
      <c r="D1196" s="55"/>
      <c r="E1196" s="55"/>
      <c r="F1196" s="55"/>
      <c r="G1196" s="275"/>
      <c r="H1196" s="276"/>
      <c r="I1196" s="213"/>
      <c r="J1196" s="213"/>
      <c r="K1196" s="269"/>
      <c r="L1196" s="272">
        <f t="shared" si="116"/>
        <v>1900</v>
      </c>
      <c r="M1196" s="272">
        <f t="shared" si="117"/>
        <v>1</v>
      </c>
      <c r="N1196" s="273"/>
      <c r="O1196" s="61">
        <f t="shared" si="118"/>
        <v>1900</v>
      </c>
      <c r="P1196" s="61">
        <f t="shared" si="119"/>
        <v>1</v>
      </c>
      <c r="R1196" s="272"/>
      <c r="S1196" s="272"/>
      <c r="T1196" s="273" t="str">
        <f t="shared" si="120"/>
        <v>-</v>
      </c>
    </row>
    <row r="1197" spans="1:20">
      <c r="A1197" s="269"/>
      <c r="B1197" s="57"/>
      <c r="C1197" s="55"/>
      <c r="D1197" s="55"/>
      <c r="E1197" s="55"/>
      <c r="F1197" s="55"/>
      <c r="G1197" s="275"/>
      <c r="H1197" s="276"/>
      <c r="I1197" s="213"/>
      <c r="J1197" s="213"/>
      <c r="K1197" s="269"/>
      <c r="L1197" s="272">
        <f t="shared" si="116"/>
        <v>1900</v>
      </c>
      <c r="M1197" s="272">
        <f t="shared" si="117"/>
        <v>1</v>
      </c>
      <c r="N1197" s="273"/>
      <c r="O1197" s="61">
        <f t="shared" si="118"/>
        <v>1900</v>
      </c>
      <c r="P1197" s="61">
        <f t="shared" si="119"/>
        <v>1</v>
      </c>
      <c r="R1197" s="272"/>
      <c r="S1197" s="272"/>
      <c r="T1197" s="273" t="str">
        <f t="shared" si="120"/>
        <v>-</v>
      </c>
    </row>
    <row r="1198" spans="1:20">
      <c r="A1198" s="269"/>
      <c r="B1198" s="57"/>
      <c r="C1198" s="55"/>
      <c r="D1198" s="55"/>
      <c r="E1198" s="55"/>
      <c r="F1198" s="55"/>
      <c r="G1198" s="275"/>
      <c r="H1198" s="276"/>
      <c r="I1198" s="213"/>
      <c r="J1198" s="213"/>
      <c r="K1198" s="269"/>
      <c r="L1198" s="272">
        <f t="shared" si="116"/>
        <v>1900</v>
      </c>
      <c r="M1198" s="272">
        <f t="shared" si="117"/>
        <v>1</v>
      </c>
      <c r="N1198" s="273"/>
      <c r="O1198" s="61">
        <f t="shared" si="118"/>
        <v>1900</v>
      </c>
      <c r="P1198" s="61">
        <f t="shared" si="119"/>
        <v>1</v>
      </c>
      <c r="R1198" s="272"/>
      <c r="S1198" s="272"/>
      <c r="T1198" s="273" t="str">
        <f t="shared" si="120"/>
        <v>-</v>
      </c>
    </row>
    <row r="1199" spans="1:20">
      <c r="A1199" s="269"/>
      <c r="B1199" s="57"/>
      <c r="C1199" s="55"/>
      <c r="D1199" s="55"/>
      <c r="E1199" s="55"/>
      <c r="F1199" s="55"/>
      <c r="G1199" s="275"/>
      <c r="H1199" s="276"/>
      <c r="I1199" s="213"/>
      <c r="J1199" s="213"/>
      <c r="K1199" s="269"/>
      <c r="L1199" s="272">
        <f t="shared" si="116"/>
        <v>1900</v>
      </c>
      <c r="M1199" s="272">
        <f t="shared" si="117"/>
        <v>1</v>
      </c>
      <c r="N1199" s="273"/>
      <c r="O1199" s="61">
        <f t="shared" si="118"/>
        <v>1900</v>
      </c>
      <c r="P1199" s="61">
        <f t="shared" si="119"/>
        <v>1</v>
      </c>
      <c r="R1199" s="272"/>
      <c r="S1199" s="272"/>
      <c r="T1199" s="273" t="str">
        <f t="shared" si="120"/>
        <v>-</v>
      </c>
    </row>
    <row r="1200" spans="1:20">
      <c r="A1200" s="269"/>
      <c r="B1200" s="57"/>
      <c r="C1200" s="55"/>
      <c r="D1200" s="55"/>
      <c r="E1200" s="55"/>
      <c r="F1200" s="55"/>
      <c r="G1200" s="275"/>
      <c r="H1200" s="276"/>
      <c r="I1200" s="213"/>
      <c r="J1200" s="213"/>
      <c r="K1200" s="269"/>
      <c r="L1200" s="272">
        <f t="shared" si="116"/>
        <v>1900</v>
      </c>
      <c r="M1200" s="272">
        <f t="shared" si="117"/>
        <v>1</v>
      </c>
      <c r="N1200" s="273"/>
      <c r="O1200" s="61">
        <f t="shared" si="118"/>
        <v>1900</v>
      </c>
      <c r="P1200" s="61">
        <f t="shared" si="119"/>
        <v>1</v>
      </c>
      <c r="R1200" s="272"/>
      <c r="S1200" s="272"/>
      <c r="T1200" s="273" t="str">
        <f t="shared" si="120"/>
        <v>-</v>
      </c>
    </row>
    <row r="1201" spans="1:20">
      <c r="A1201" s="269"/>
      <c r="B1201" s="57"/>
      <c r="C1201" s="55"/>
      <c r="D1201" s="55"/>
      <c r="E1201" s="55"/>
      <c r="F1201" s="55"/>
      <c r="G1201" s="275"/>
      <c r="H1201" s="276"/>
      <c r="I1201" s="213"/>
      <c r="J1201" s="213"/>
      <c r="K1201" s="269"/>
      <c r="L1201" s="272">
        <f t="shared" si="116"/>
        <v>1900</v>
      </c>
      <c r="M1201" s="272">
        <f t="shared" si="117"/>
        <v>1</v>
      </c>
      <c r="N1201" s="273"/>
      <c r="O1201" s="61">
        <f t="shared" si="118"/>
        <v>1900</v>
      </c>
      <c r="P1201" s="61">
        <f t="shared" si="119"/>
        <v>1</v>
      </c>
      <c r="R1201" s="272"/>
      <c r="S1201" s="272"/>
      <c r="T1201" s="273" t="str">
        <f t="shared" si="120"/>
        <v>-</v>
      </c>
    </row>
    <row r="1202" spans="1:20">
      <c r="A1202" s="269"/>
      <c r="B1202" s="57"/>
      <c r="C1202" s="55"/>
      <c r="D1202" s="55"/>
      <c r="E1202" s="55"/>
      <c r="F1202" s="55"/>
      <c r="G1202" s="275"/>
      <c r="H1202" s="276"/>
      <c r="I1202" s="213"/>
      <c r="J1202" s="213"/>
      <c r="K1202" s="269"/>
      <c r="L1202" s="272">
        <f t="shared" si="116"/>
        <v>1900</v>
      </c>
      <c r="M1202" s="272">
        <f t="shared" si="117"/>
        <v>1</v>
      </c>
      <c r="N1202" s="273"/>
      <c r="O1202" s="61">
        <f t="shared" si="118"/>
        <v>1900</v>
      </c>
      <c r="P1202" s="61">
        <f t="shared" si="119"/>
        <v>1</v>
      </c>
      <c r="R1202" s="272"/>
      <c r="S1202" s="272"/>
      <c r="T1202" s="273" t="str">
        <f t="shared" si="120"/>
        <v>-</v>
      </c>
    </row>
    <row r="1203" spans="1:20">
      <c r="A1203" s="269"/>
      <c r="B1203" s="57"/>
      <c r="C1203" s="55"/>
      <c r="D1203" s="55"/>
      <c r="E1203" s="55"/>
      <c r="F1203" s="55"/>
      <c r="G1203" s="275"/>
      <c r="H1203" s="276"/>
      <c r="I1203" s="213"/>
      <c r="J1203" s="213"/>
      <c r="K1203" s="269"/>
      <c r="L1203" s="272">
        <f t="shared" si="116"/>
        <v>1900</v>
      </c>
      <c r="M1203" s="272">
        <f t="shared" si="117"/>
        <v>1</v>
      </c>
      <c r="N1203" s="273"/>
      <c r="O1203" s="61">
        <f t="shared" si="118"/>
        <v>1900</v>
      </c>
      <c r="P1203" s="61">
        <f t="shared" si="119"/>
        <v>1</v>
      </c>
      <c r="R1203" s="272"/>
      <c r="S1203" s="272"/>
      <c r="T1203" s="273" t="str">
        <f t="shared" si="120"/>
        <v>-</v>
      </c>
    </row>
    <row r="1204" spans="1:20">
      <c r="A1204" s="269"/>
      <c r="B1204" s="57"/>
      <c r="C1204" s="55"/>
      <c r="D1204" s="55"/>
      <c r="E1204" s="55"/>
      <c r="F1204" s="55"/>
      <c r="G1204" s="275"/>
      <c r="H1204" s="276"/>
      <c r="I1204" s="213"/>
      <c r="J1204" s="213"/>
      <c r="K1204" s="269"/>
      <c r="L1204" s="272">
        <f t="shared" si="116"/>
        <v>1900</v>
      </c>
      <c r="M1204" s="272">
        <f t="shared" si="117"/>
        <v>1</v>
      </c>
      <c r="N1204" s="273"/>
      <c r="O1204" s="61">
        <f t="shared" si="118"/>
        <v>1900</v>
      </c>
      <c r="P1204" s="61">
        <f t="shared" si="119"/>
        <v>1</v>
      </c>
      <c r="R1204" s="272"/>
      <c r="S1204" s="272"/>
      <c r="T1204" s="273" t="str">
        <f t="shared" si="120"/>
        <v>-</v>
      </c>
    </row>
    <row r="1205" spans="1:20">
      <c r="A1205" s="269"/>
      <c r="B1205" s="57"/>
      <c r="C1205" s="55"/>
      <c r="D1205" s="55"/>
      <c r="E1205" s="55"/>
      <c r="F1205" s="55"/>
      <c r="G1205" s="275"/>
      <c r="H1205" s="276"/>
      <c r="I1205" s="213"/>
      <c r="J1205" s="213"/>
      <c r="K1205" s="269"/>
      <c r="L1205" s="272">
        <f t="shared" si="116"/>
        <v>1900</v>
      </c>
      <c r="M1205" s="272">
        <f t="shared" si="117"/>
        <v>1</v>
      </c>
      <c r="N1205" s="273"/>
      <c r="O1205" s="61">
        <f t="shared" si="118"/>
        <v>1900</v>
      </c>
      <c r="P1205" s="61">
        <f t="shared" si="119"/>
        <v>1</v>
      </c>
      <c r="R1205" s="272"/>
      <c r="S1205" s="272"/>
      <c r="T1205" s="273" t="str">
        <f t="shared" si="120"/>
        <v>-</v>
      </c>
    </row>
    <row r="1206" spans="1:20">
      <c r="A1206" s="269"/>
      <c r="B1206" s="57"/>
      <c r="C1206" s="55"/>
      <c r="D1206" s="55"/>
      <c r="E1206" s="55"/>
      <c r="F1206" s="55"/>
      <c r="G1206" s="275"/>
      <c r="H1206" s="276"/>
      <c r="I1206" s="213"/>
      <c r="J1206" s="213"/>
      <c r="K1206" s="269"/>
      <c r="L1206" s="272">
        <f t="shared" si="116"/>
        <v>1900</v>
      </c>
      <c r="M1206" s="272">
        <f t="shared" si="117"/>
        <v>1</v>
      </c>
      <c r="N1206" s="273"/>
      <c r="O1206" s="61">
        <f t="shared" si="118"/>
        <v>1900</v>
      </c>
      <c r="P1206" s="61">
        <f t="shared" si="119"/>
        <v>1</v>
      </c>
      <c r="R1206" s="272"/>
      <c r="S1206" s="272"/>
      <c r="T1206" s="273" t="str">
        <f t="shared" si="120"/>
        <v>-</v>
      </c>
    </row>
    <row r="1207" spans="1:20">
      <c r="A1207" s="269"/>
      <c r="B1207" s="57"/>
      <c r="C1207" s="55"/>
      <c r="D1207" s="55"/>
      <c r="E1207" s="55"/>
      <c r="F1207" s="55"/>
      <c r="G1207" s="275"/>
      <c r="H1207" s="276"/>
      <c r="I1207" s="213"/>
      <c r="J1207" s="213"/>
      <c r="K1207" s="269"/>
      <c r="L1207" s="272">
        <f t="shared" si="116"/>
        <v>1900</v>
      </c>
      <c r="M1207" s="272">
        <f t="shared" si="117"/>
        <v>1</v>
      </c>
      <c r="N1207" s="273"/>
      <c r="O1207" s="61">
        <f t="shared" si="118"/>
        <v>1900</v>
      </c>
      <c r="P1207" s="61">
        <f t="shared" si="119"/>
        <v>1</v>
      </c>
      <c r="R1207" s="272"/>
      <c r="S1207" s="272"/>
      <c r="T1207" s="273" t="str">
        <f t="shared" si="120"/>
        <v>-</v>
      </c>
    </row>
    <row r="1208" spans="1:20">
      <c r="A1208" s="269"/>
      <c r="B1208" s="57"/>
      <c r="C1208" s="55"/>
      <c r="D1208" s="55"/>
      <c r="E1208" s="55"/>
      <c r="F1208" s="55"/>
      <c r="G1208" s="275"/>
      <c r="H1208" s="276"/>
      <c r="I1208" s="213"/>
      <c r="J1208" s="213"/>
      <c r="K1208" s="269"/>
      <c r="L1208" s="272">
        <f t="shared" si="116"/>
        <v>1900</v>
      </c>
      <c r="M1208" s="272">
        <f t="shared" si="117"/>
        <v>1</v>
      </c>
      <c r="N1208" s="273"/>
      <c r="O1208" s="61">
        <f t="shared" si="118"/>
        <v>1900</v>
      </c>
      <c r="P1208" s="61">
        <f t="shared" si="119"/>
        <v>1</v>
      </c>
      <c r="R1208" s="272"/>
      <c r="S1208" s="272"/>
      <c r="T1208" s="273" t="str">
        <f t="shared" si="120"/>
        <v>-</v>
      </c>
    </row>
    <row r="1209" spans="1:20">
      <c r="A1209" s="269"/>
      <c r="B1209" s="57"/>
      <c r="C1209" s="55"/>
      <c r="D1209" s="55"/>
      <c r="E1209" s="55"/>
      <c r="F1209" s="55"/>
      <c r="G1209" s="275"/>
      <c r="H1209" s="276"/>
      <c r="I1209" s="213"/>
      <c r="J1209" s="213"/>
      <c r="K1209" s="269"/>
      <c r="L1209" s="272">
        <f t="shared" si="116"/>
        <v>1900</v>
      </c>
      <c r="M1209" s="272">
        <f t="shared" si="117"/>
        <v>1</v>
      </c>
      <c r="N1209" s="273"/>
      <c r="O1209" s="61">
        <f t="shared" si="118"/>
        <v>1900</v>
      </c>
      <c r="P1209" s="61">
        <f t="shared" si="119"/>
        <v>1</v>
      </c>
      <c r="R1209" s="272"/>
      <c r="S1209" s="272"/>
      <c r="T1209" s="273" t="str">
        <f t="shared" si="120"/>
        <v>-</v>
      </c>
    </row>
    <row r="1210" spans="1:20">
      <c r="A1210" s="269"/>
      <c r="B1210" s="57"/>
      <c r="C1210" s="55"/>
      <c r="D1210" s="55"/>
      <c r="E1210" s="55"/>
      <c r="F1210" s="55"/>
      <c r="G1210" s="275"/>
      <c r="H1210" s="276"/>
      <c r="I1210" s="213"/>
      <c r="J1210" s="213"/>
      <c r="K1210" s="269"/>
      <c r="L1210" s="272">
        <f t="shared" si="116"/>
        <v>1900</v>
      </c>
      <c r="M1210" s="272">
        <f t="shared" si="117"/>
        <v>1</v>
      </c>
      <c r="N1210" s="273"/>
      <c r="O1210" s="61">
        <f t="shared" si="118"/>
        <v>1900</v>
      </c>
      <c r="P1210" s="61">
        <f t="shared" si="119"/>
        <v>1</v>
      </c>
      <c r="R1210" s="272"/>
      <c r="S1210" s="272"/>
      <c r="T1210" s="273" t="str">
        <f t="shared" si="120"/>
        <v>-</v>
      </c>
    </row>
    <row r="1211" spans="1:20">
      <c r="A1211" s="269"/>
      <c r="B1211" s="57"/>
      <c r="C1211" s="55"/>
      <c r="D1211" s="55"/>
      <c r="E1211" s="55"/>
      <c r="F1211" s="55"/>
      <c r="G1211" s="275"/>
      <c r="H1211" s="276"/>
      <c r="I1211" s="213"/>
      <c r="J1211" s="213"/>
      <c r="K1211" s="269"/>
      <c r="L1211" s="272">
        <f t="shared" si="116"/>
        <v>1900</v>
      </c>
      <c r="M1211" s="272">
        <f t="shared" si="117"/>
        <v>1</v>
      </c>
      <c r="N1211" s="273"/>
      <c r="O1211" s="61">
        <f t="shared" si="118"/>
        <v>1900</v>
      </c>
      <c r="P1211" s="61">
        <f t="shared" si="119"/>
        <v>1</v>
      </c>
      <c r="R1211" s="272"/>
      <c r="S1211" s="272"/>
      <c r="T1211" s="273" t="str">
        <f t="shared" si="120"/>
        <v>-</v>
      </c>
    </row>
    <row r="1212" spans="1:20">
      <c r="A1212" s="269"/>
      <c r="B1212" s="57"/>
      <c r="C1212" s="55"/>
      <c r="D1212" s="55"/>
      <c r="E1212" s="55"/>
      <c r="F1212" s="55"/>
      <c r="G1212" s="275"/>
      <c r="H1212" s="276"/>
      <c r="I1212" s="213"/>
      <c r="J1212" s="213"/>
      <c r="K1212" s="269"/>
      <c r="L1212" s="272">
        <f t="shared" si="116"/>
        <v>1900</v>
      </c>
      <c r="M1212" s="272">
        <f t="shared" si="117"/>
        <v>1</v>
      </c>
      <c r="N1212" s="273"/>
      <c r="O1212" s="61">
        <f t="shared" si="118"/>
        <v>1900</v>
      </c>
      <c r="P1212" s="61">
        <f t="shared" si="119"/>
        <v>1</v>
      </c>
      <c r="R1212" s="272"/>
      <c r="S1212" s="272"/>
      <c r="T1212" s="273" t="str">
        <f t="shared" si="120"/>
        <v>-</v>
      </c>
    </row>
    <row r="1213" spans="1:20">
      <c r="A1213" s="269"/>
      <c r="B1213" s="57"/>
      <c r="C1213" s="55"/>
      <c r="D1213" s="55"/>
      <c r="E1213" s="55"/>
      <c r="F1213" s="55"/>
      <c r="G1213" s="275"/>
      <c r="H1213" s="276"/>
      <c r="I1213" s="213"/>
      <c r="J1213" s="213"/>
      <c r="K1213" s="269"/>
      <c r="L1213" s="272">
        <f t="shared" si="116"/>
        <v>1900</v>
      </c>
      <c r="M1213" s="272">
        <f t="shared" si="117"/>
        <v>1</v>
      </c>
      <c r="N1213" s="273"/>
      <c r="O1213" s="61">
        <f t="shared" si="118"/>
        <v>1900</v>
      </c>
      <c r="P1213" s="61">
        <f t="shared" si="119"/>
        <v>1</v>
      </c>
      <c r="R1213" s="272"/>
      <c r="S1213" s="272"/>
      <c r="T1213" s="273" t="str">
        <f t="shared" si="120"/>
        <v>-</v>
      </c>
    </row>
    <row r="1214" spans="1:20">
      <c r="A1214" s="269"/>
      <c r="B1214" s="57"/>
      <c r="C1214" s="55"/>
      <c r="D1214" s="55"/>
      <c r="E1214" s="55"/>
      <c r="F1214" s="55"/>
      <c r="G1214" s="275"/>
      <c r="H1214" s="276"/>
      <c r="I1214" s="213"/>
      <c r="J1214" s="213"/>
      <c r="K1214" s="269"/>
      <c r="L1214" s="272">
        <f t="shared" si="116"/>
        <v>1900</v>
      </c>
      <c r="M1214" s="272">
        <f t="shared" si="117"/>
        <v>1</v>
      </c>
      <c r="N1214" s="273"/>
      <c r="O1214" s="61">
        <f t="shared" si="118"/>
        <v>1900</v>
      </c>
      <c r="P1214" s="61">
        <f t="shared" si="119"/>
        <v>1</v>
      </c>
      <c r="R1214" s="272"/>
      <c r="S1214" s="272"/>
      <c r="T1214" s="273" t="str">
        <f t="shared" si="120"/>
        <v>-</v>
      </c>
    </row>
    <row r="1215" spans="1:20">
      <c r="A1215" s="269"/>
      <c r="B1215" s="57"/>
      <c r="C1215" s="55"/>
      <c r="D1215" s="55"/>
      <c r="E1215" s="55"/>
      <c r="F1215" s="55"/>
      <c r="G1215" s="275"/>
      <c r="H1215" s="276"/>
      <c r="I1215" s="213"/>
      <c r="J1215" s="213"/>
      <c r="K1215" s="269"/>
      <c r="L1215" s="272">
        <f t="shared" si="116"/>
        <v>1900</v>
      </c>
      <c r="M1215" s="272">
        <f t="shared" si="117"/>
        <v>1</v>
      </c>
      <c r="N1215" s="273"/>
      <c r="O1215" s="61">
        <f t="shared" si="118"/>
        <v>1900</v>
      </c>
      <c r="P1215" s="61">
        <f t="shared" si="119"/>
        <v>1</v>
      </c>
      <c r="R1215" s="272"/>
      <c r="S1215" s="272"/>
      <c r="T1215" s="273" t="str">
        <f t="shared" si="120"/>
        <v>-</v>
      </c>
    </row>
    <row r="1216" spans="1:20">
      <c r="A1216" s="269"/>
      <c r="B1216" s="57"/>
      <c r="C1216" s="55"/>
      <c r="D1216" s="55"/>
      <c r="E1216" s="55"/>
      <c r="F1216" s="55"/>
      <c r="G1216" s="275"/>
      <c r="H1216" s="276"/>
      <c r="I1216" s="213"/>
      <c r="J1216" s="213"/>
      <c r="K1216" s="269"/>
      <c r="L1216" s="272">
        <f t="shared" si="116"/>
        <v>1900</v>
      </c>
      <c r="M1216" s="272">
        <f t="shared" si="117"/>
        <v>1</v>
      </c>
      <c r="N1216" s="273"/>
      <c r="O1216" s="61">
        <f t="shared" si="118"/>
        <v>1900</v>
      </c>
      <c r="P1216" s="61">
        <f t="shared" si="119"/>
        <v>1</v>
      </c>
      <c r="R1216" s="272"/>
      <c r="S1216" s="272"/>
      <c r="T1216" s="273" t="str">
        <f t="shared" si="120"/>
        <v>-</v>
      </c>
    </row>
    <row r="1217" spans="1:20">
      <c r="A1217" s="269"/>
      <c r="B1217" s="57"/>
      <c r="C1217" s="55"/>
      <c r="D1217" s="55"/>
      <c r="E1217" s="55"/>
      <c r="F1217" s="55"/>
      <c r="G1217" s="275"/>
      <c r="H1217" s="276"/>
      <c r="I1217" s="213"/>
      <c r="J1217" s="213"/>
      <c r="K1217" s="269"/>
      <c r="L1217" s="272">
        <f t="shared" si="116"/>
        <v>1900</v>
      </c>
      <c r="M1217" s="272">
        <f t="shared" si="117"/>
        <v>1</v>
      </c>
      <c r="N1217" s="273"/>
      <c r="O1217" s="61">
        <f t="shared" si="118"/>
        <v>1900</v>
      </c>
      <c r="P1217" s="61">
        <f t="shared" si="119"/>
        <v>1</v>
      </c>
      <c r="R1217" s="272"/>
      <c r="S1217" s="272"/>
      <c r="T1217" s="273" t="str">
        <f t="shared" si="120"/>
        <v>-</v>
      </c>
    </row>
    <row r="1218" spans="1:20">
      <c r="A1218" s="269"/>
      <c r="B1218" s="57"/>
      <c r="C1218" s="55"/>
      <c r="D1218" s="55"/>
      <c r="E1218" s="55"/>
      <c r="F1218" s="55"/>
      <c r="G1218" s="275"/>
      <c r="H1218" s="276"/>
      <c r="I1218" s="213"/>
      <c r="J1218" s="213"/>
      <c r="K1218" s="269"/>
      <c r="L1218" s="272">
        <f t="shared" si="116"/>
        <v>1900</v>
      </c>
      <c r="M1218" s="272">
        <f t="shared" si="117"/>
        <v>1</v>
      </c>
      <c r="N1218" s="273"/>
      <c r="O1218" s="61">
        <f t="shared" si="118"/>
        <v>1900</v>
      </c>
      <c r="P1218" s="61">
        <f t="shared" si="119"/>
        <v>1</v>
      </c>
      <c r="R1218" s="272"/>
      <c r="S1218" s="272"/>
      <c r="T1218" s="273" t="str">
        <f t="shared" si="120"/>
        <v>-</v>
      </c>
    </row>
    <row r="1219" spans="1:20">
      <c r="A1219" s="269"/>
      <c r="B1219" s="57"/>
      <c r="C1219" s="55"/>
      <c r="D1219" s="55"/>
      <c r="E1219" s="55"/>
      <c r="F1219" s="55"/>
      <c r="G1219" s="275"/>
      <c r="H1219" s="276"/>
      <c r="I1219" s="213"/>
      <c r="J1219" s="213"/>
      <c r="K1219" s="269"/>
      <c r="L1219" s="272">
        <f t="shared" si="116"/>
        <v>1900</v>
      </c>
      <c r="M1219" s="272">
        <f t="shared" si="117"/>
        <v>1</v>
      </c>
      <c r="N1219" s="273"/>
      <c r="O1219" s="61">
        <f t="shared" si="118"/>
        <v>1900</v>
      </c>
      <c r="P1219" s="61">
        <f t="shared" si="119"/>
        <v>1</v>
      </c>
      <c r="R1219" s="272"/>
      <c r="S1219" s="272"/>
      <c r="T1219" s="273" t="str">
        <f t="shared" si="120"/>
        <v>-</v>
      </c>
    </row>
    <row r="1220" spans="1:20">
      <c r="A1220" s="269"/>
      <c r="B1220" s="57"/>
      <c r="C1220" s="55"/>
      <c r="D1220" s="55"/>
      <c r="E1220" s="55"/>
      <c r="F1220" s="55"/>
      <c r="G1220" s="275"/>
      <c r="H1220" s="276"/>
      <c r="I1220" s="213"/>
      <c r="J1220" s="213"/>
      <c r="K1220" s="269"/>
      <c r="L1220" s="272">
        <f t="shared" si="116"/>
        <v>1900</v>
      </c>
      <c r="M1220" s="272">
        <f t="shared" si="117"/>
        <v>1</v>
      </c>
      <c r="N1220" s="273"/>
      <c r="O1220" s="61">
        <f t="shared" si="118"/>
        <v>1900</v>
      </c>
      <c r="P1220" s="61">
        <f t="shared" si="119"/>
        <v>1</v>
      </c>
      <c r="R1220" s="272"/>
      <c r="S1220" s="272"/>
      <c r="T1220" s="273" t="str">
        <f t="shared" si="120"/>
        <v>-</v>
      </c>
    </row>
    <row r="1221" spans="1:20">
      <c r="A1221" s="269"/>
      <c r="B1221" s="57"/>
      <c r="C1221" s="55"/>
      <c r="D1221" s="55"/>
      <c r="E1221" s="55"/>
      <c r="F1221" s="55"/>
      <c r="G1221" s="275"/>
      <c r="H1221" s="276"/>
      <c r="I1221" s="213"/>
      <c r="J1221" s="213"/>
      <c r="K1221" s="269"/>
      <c r="L1221" s="272">
        <f t="shared" si="116"/>
        <v>1900</v>
      </c>
      <c r="M1221" s="272">
        <f t="shared" si="117"/>
        <v>1</v>
      </c>
      <c r="N1221" s="273"/>
      <c r="O1221" s="61">
        <f t="shared" si="118"/>
        <v>1900</v>
      </c>
      <c r="P1221" s="61">
        <f t="shared" si="119"/>
        <v>1</v>
      </c>
      <c r="R1221" s="272"/>
      <c r="S1221" s="272"/>
      <c r="T1221" s="273" t="str">
        <f t="shared" si="120"/>
        <v>-</v>
      </c>
    </row>
    <row r="1222" spans="1:20">
      <c r="A1222" s="269"/>
      <c r="B1222" s="57"/>
      <c r="C1222" s="55"/>
      <c r="D1222" s="55"/>
      <c r="E1222" s="55"/>
      <c r="F1222" s="55"/>
      <c r="G1222" s="275"/>
      <c r="H1222" s="276"/>
      <c r="I1222" s="213"/>
      <c r="J1222" s="213"/>
      <c r="K1222" s="269"/>
      <c r="L1222" s="272">
        <f t="shared" si="116"/>
        <v>1900</v>
      </c>
      <c r="M1222" s="272">
        <f t="shared" si="117"/>
        <v>1</v>
      </c>
      <c r="N1222" s="273"/>
      <c r="O1222" s="61">
        <f t="shared" si="118"/>
        <v>1900</v>
      </c>
      <c r="P1222" s="61">
        <f t="shared" si="119"/>
        <v>1</v>
      </c>
      <c r="R1222" s="272"/>
      <c r="S1222" s="272"/>
      <c r="T1222" s="273" t="str">
        <f t="shared" si="120"/>
        <v>-</v>
      </c>
    </row>
    <row r="1223" spans="1:20">
      <c r="A1223" s="269"/>
      <c r="B1223" s="57"/>
      <c r="C1223" s="55"/>
      <c r="D1223" s="55"/>
      <c r="E1223" s="55"/>
      <c r="F1223" s="55"/>
      <c r="G1223" s="275"/>
      <c r="H1223" s="276"/>
      <c r="I1223" s="213"/>
      <c r="J1223" s="213"/>
      <c r="K1223" s="269"/>
      <c r="L1223" s="272">
        <f t="shared" si="116"/>
        <v>1900</v>
      </c>
      <c r="M1223" s="272">
        <f t="shared" si="117"/>
        <v>1</v>
      </c>
      <c r="N1223" s="273"/>
      <c r="O1223" s="61">
        <f t="shared" si="118"/>
        <v>1900</v>
      </c>
      <c r="P1223" s="61">
        <f t="shared" si="119"/>
        <v>1</v>
      </c>
      <c r="R1223" s="272"/>
      <c r="S1223" s="272"/>
      <c r="T1223" s="273" t="str">
        <f t="shared" si="120"/>
        <v>-</v>
      </c>
    </row>
    <row r="1224" spans="1:20">
      <c r="A1224" s="269"/>
      <c r="B1224" s="57"/>
      <c r="C1224" s="55"/>
      <c r="D1224" s="55"/>
      <c r="E1224" s="55"/>
      <c r="F1224" s="55"/>
      <c r="G1224" s="275"/>
      <c r="H1224" s="276"/>
      <c r="I1224" s="213"/>
      <c r="J1224" s="213"/>
      <c r="K1224" s="269"/>
      <c r="L1224" s="272">
        <f t="shared" si="116"/>
        <v>1900</v>
      </c>
      <c r="M1224" s="272">
        <f t="shared" si="117"/>
        <v>1</v>
      </c>
      <c r="N1224" s="273"/>
      <c r="O1224" s="61">
        <f t="shared" si="118"/>
        <v>1900</v>
      </c>
      <c r="P1224" s="61">
        <f t="shared" si="119"/>
        <v>1</v>
      </c>
      <c r="R1224" s="272"/>
      <c r="S1224" s="272"/>
      <c r="T1224" s="273" t="str">
        <f t="shared" si="120"/>
        <v>-</v>
      </c>
    </row>
    <row r="1225" spans="1:20">
      <c r="A1225" s="269"/>
      <c r="B1225" s="57"/>
      <c r="C1225" s="55"/>
      <c r="D1225" s="55"/>
      <c r="E1225" s="55"/>
      <c r="F1225" s="55"/>
      <c r="G1225" s="275"/>
      <c r="H1225" s="276"/>
      <c r="I1225" s="213"/>
      <c r="J1225" s="213"/>
      <c r="K1225" s="269"/>
      <c r="L1225" s="272">
        <f t="shared" si="116"/>
        <v>1900</v>
      </c>
      <c r="M1225" s="272">
        <f t="shared" si="117"/>
        <v>1</v>
      </c>
      <c r="N1225" s="273"/>
      <c r="O1225" s="61">
        <f t="shared" si="118"/>
        <v>1900</v>
      </c>
      <c r="P1225" s="61">
        <f t="shared" si="119"/>
        <v>1</v>
      </c>
      <c r="R1225" s="272"/>
      <c r="S1225" s="272"/>
      <c r="T1225" s="273" t="str">
        <f t="shared" si="120"/>
        <v>-</v>
      </c>
    </row>
    <row r="1226" spans="1:20">
      <c r="A1226" s="269"/>
      <c r="B1226" s="57"/>
      <c r="C1226" s="55"/>
      <c r="D1226" s="55"/>
      <c r="E1226" s="55"/>
      <c r="F1226" s="55"/>
      <c r="G1226" s="275"/>
      <c r="H1226" s="276"/>
      <c r="I1226" s="213"/>
      <c r="J1226" s="213"/>
      <c r="K1226" s="269"/>
      <c r="L1226" s="272">
        <f t="shared" si="116"/>
        <v>1900</v>
      </c>
      <c r="M1226" s="272">
        <f t="shared" si="117"/>
        <v>1</v>
      </c>
      <c r="N1226" s="273"/>
      <c r="O1226" s="61">
        <f t="shared" si="118"/>
        <v>1900</v>
      </c>
      <c r="P1226" s="61">
        <f t="shared" si="119"/>
        <v>1</v>
      </c>
      <c r="R1226" s="272"/>
      <c r="S1226" s="272"/>
      <c r="T1226" s="273" t="str">
        <f t="shared" si="120"/>
        <v>-</v>
      </c>
    </row>
    <row r="1227" spans="1:20">
      <c r="A1227" s="269"/>
      <c r="B1227" s="57"/>
      <c r="C1227" s="55"/>
      <c r="D1227" s="55"/>
      <c r="E1227" s="55"/>
      <c r="F1227" s="55"/>
      <c r="G1227" s="275"/>
      <c r="H1227" s="276"/>
      <c r="I1227" s="213"/>
      <c r="J1227" s="213"/>
      <c r="K1227" s="269"/>
      <c r="L1227" s="272">
        <f t="shared" si="116"/>
        <v>1900</v>
      </c>
      <c r="M1227" s="272">
        <f t="shared" si="117"/>
        <v>1</v>
      </c>
      <c r="N1227" s="273"/>
      <c r="O1227" s="61">
        <f t="shared" si="118"/>
        <v>1900</v>
      </c>
      <c r="P1227" s="61">
        <f t="shared" si="119"/>
        <v>1</v>
      </c>
      <c r="R1227" s="272"/>
      <c r="S1227" s="272"/>
      <c r="T1227" s="273" t="str">
        <f t="shared" si="120"/>
        <v>-</v>
      </c>
    </row>
    <row r="1228" spans="1:20">
      <c r="A1228" s="269"/>
      <c r="B1228" s="57"/>
      <c r="C1228" s="55"/>
      <c r="D1228" s="55"/>
      <c r="E1228" s="55"/>
      <c r="F1228" s="55"/>
      <c r="G1228" s="275"/>
      <c r="H1228" s="276"/>
      <c r="I1228" s="213"/>
      <c r="J1228" s="213"/>
      <c r="K1228" s="269"/>
      <c r="L1228" s="272">
        <f t="shared" si="116"/>
        <v>1900</v>
      </c>
      <c r="M1228" s="272">
        <f t="shared" si="117"/>
        <v>1</v>
      </c>
      <c r="N1228" s="273"/>
      <c r="O1228" s="61">
        <f t="shared" si="118"/>
        <v>1900</v>
      </c>
      <c r="P1228" s="61">
        <f t="shared" si="119"/>
        <v>1</v>
      </c>
      <c r="R1228" s="272"/>
      <c r="S1228" s="272"/>
      <c r="T1228" s="273" t="str">
        <f t="shared" si="120"/>
        <v>-</v>
      </c>
    </row>
    <row r="1229" spans="1:20">
      <c r="A1229" s="269"/>
      <c r="B1229" s="57"/>
      <c r="C1229" s="55"/>
      <c r="D1229" s="55"/>
      <c r="E1229" s="55"/>
      <c r="F1229" s="55"/>
      <c r="G1229" s="275"/>
      <c r="H1229" s="276"/>
      <c r="I1229" s="213"/>
      <c r="J1229" s="213"/>
      <c r="K1229" s="269"/>
      <c r="L1229" s="272">
        <f t="shared" si="116"/>
        <v>1900</v>
      </c>
      <c r="M1229" s="272">
        <f t="shared" si="117"/>
        <v>1</v>
      </c>
      <c r="N1229" s="273"/>
      <c r="O1229" s="61">
        <f t="shared" si="118"/>
        <v>1900</v>
      </c>
      <c r="P1229" s="61">
        <f t="shared" si="119"/>
        <v>1</v>
      </c>
      <c r="R1229" s="272"/>
      <c r="S1229" s="272"/>
      <c r="T1229" s="273" t="str">
        <f t="shared" si="120"/>
        <v>-</v>
      </c>
    </row>
    <row r="1230" spans="1:20">
      <c r="A1230" s="269"/>
      <c r="B1230" s="57"/>
      <c r="C1230" s="55"/>
      <c r="D1230" s="55"/>
      <c r="E1230" s="55"/>
      <c r="F1230" s="55"/>
      <c r="G1230" s="275"/>
      <c r="H1230" s="276"/>
      <c r="I1230" s="213"/>
      <c r="J1230" s="213"/>
      <c r="K1230" s="269"/>
      <c r="L1230" s="272">
        <f t="shared" si="116"/>
        <v>1900</v>
      </c>
      <c r="M1230" s="272">
        <f t="shared" si="117"/>
        <v>1</v>
      </c>
      <c r="N1230" s="273"/>
      <c r="O1230" s="61">
        <f t="shared" si="118"/>
        <v>1900</v>
      </c>
      <c r="P1230" s="61">
        <f t="shared" si="119"/>
        <v>1</v>
      </c>
      <c r="R1230" s="272"/>
      <c r="S1230" s="272"/>
      <c r="T1230" s="273" t="str">
        <f t="shared" si="120"/>
        <v>-</v>
      </c>
    </row>
    <row r="1231" spans="1:20">
      <c r="A1231" s="269"/>
      <c r="B1231" s="57"/>
      <c r="C1231" s="55"/>
      <c r="D1231" s="55"/>
      <c r="E1231" s="55"/>
      <c r="F1231" s="55"/>
      <c r="G1231" s="275"/>
      <c r="H1231" s="276"/>
      <c r="I1231" s="213"/>
      <c r="J1231" s="213"/>
      <c r="K1231" s="269"/>
      <c r="L1231" s="272">
        <f t="shared" si="116"/>
        <v>1900</v>
      </c>
      <c r="M1231" s="272">
        <f t="shared" si="117"/>
        <v>1</v>
      </c>
      <c r="N1231" s="273"/>
      <c r="O1231" s="61">
        <f t="shared" si="118"/>
        <v>1900</v>
      </c>
      <c r="P1231" s="61">
        <f t="shared" si="119"/>
        <v>1</v>
      </c>
      <c r="R1231" s="272"/>
      <c r="S1231" s="272"/>
      <c r="T1231" s="273" t="str">
        <f t="shared" si="120"/>
        <v>-</v>
      </c>
    </row>
    <row r="1232" spans="1:20">
      <c r="A1232" s="269"/>
      <c r="B1232" s="57"/>
      <c r="C1232" s="55"/>
      <c r="D1232" s="55"/>
      <c r="E1232" s="55"/>
      <c r="F1232" s="55"/>
      <c r="G1232" s="275"/>
      <c r="H1232" s="276"/>
      <c r="I1232" s="213"/>
      <c r="J1232" s="213"/>
      <c r="K1232" s="269"/>
      <c r="L1232" s="272">
        <f t="shared" ref="L1232:L1295" si="121">YEAR(B1232)</f>
        <v>1900</v>
      </c>
      <c r="M1232" s="272">
        <f t="shared" ref="M1232:M1295" si="122">MONTH(B1232)</f>
        <v>1</v>
      </c>
      <c r="N1232" s="273"/>
      <c r="O1232" s="61">
        <f t="shared" ref="O1232:O1295" si="123">YEAR(B1232)</f>
        <v>1900</v>
      </c>
      <c r="P1232" s="61">
        <f t="shared" ref="P1232:P1295" si="124">MONTH(B1232)</f>
        <v>1</v>
      </c>
      <c r="R1232" s="272"/>
      <c r="S1232" s="272"/>
      <c r="T1232" s="273" t="str">
        <f t="shared" ref="T1232:T1295" si="125">IF($E1232&gt;0,IF((R1232+S1232)=$E1232,"OK","Error"),"-")</f>
        <v>-</v>
      </c>
    </row>
    <row r="1233" spans="1:20">
      <c r="A1233" s="269"/>
      <c r="B1233" s="57"/>
      <c r="C1233" s="55"/>
      <c r="D1233" s="55"/>
      <c r="E1233" s="55"/>
      <c r="F1233" s="55"/>
      <c r="G1233" s="275"/>
      <c r="H1233" s="276"/>
      <c r="I1233" s="213"/>
      <c r="J1233" s="213"/>
      <c r="K1233" s="269"/>
      <c r="L1233" s="272">
        <f t="shared" si="121"/>
        <v>1900</v>
      </c>
      <c r="M1233" s="272">
        <f t="shared" si="122"/>
        <v>1</v>
      </c>
      <c r="N1233" s="273"/>
      <c r="O1233" s="61">
        <f t="shared" si="123"/>
        <v>1900</v>
      </c>
      <c r="P1233" s="61">
        <f t="shared" si="124"/>
        <v>1</v>
      </c>
      <c r="R1233" s="272"/>
      <c r="S1233" s="272"/>
      <c r="T1233" s="273" t="str">
        <f t="shared" si="125"/>
        <v>-</v>
      </c>
    </row>
    <row r="1234" spans="1:20">
      <c r="A1234" s="269"/>
      <c r="B1234" s="57"/>
      <c r="C1234" s="55"/>
      <c r="D1234" s="55"/>
      <c r="E1234" s="55"/>
      <c r="F1234" s="55"/>
      <c r="G1234" s="275"/>
      <c r="H1234" s="276"/>
      <c r="I1234" s="213"/>
      <c r="J1234" s="213"/>
      <c r="K1234" s="269"/>
      <c r="L1234" s="272">
        <f t="shared" si="121"/>
        <v>1900</v>
      </c>
      <c r="M1234" s="272">
        <f t="shared" si="122"/>
        <v>1</v>
      </c>
      <c r="N1234" s="273"/>
      <c r="O1234" s="61">
        <f t="shared" si="123"/>
        <v>1900</v>
      </c>
      <c r="P1234" s="61">
        <f t="shared" si="124"/>
        <v>1</v>
      </c>
      <c r="R1234" s="272"/>
      <c r="S1234" s="272"/>
      <c r="T1234" s="273" t="str">
        <f t="shared" si="125"/>
        <v>-</v>
      </c>
    </row>
    <row r="1235" spans="1:20">
      <c r="A1235" s="269"/>
      <c r="B1235" s="57"/>
      <c r="C1235" s="55"/>
      <c r="D1235" s="55"/>
      <c r="E1235" s="55"/>
      <c r="F1235" s="55"/>
      <c r="G1235" s="275"/>
      <c r="H1235" s="276"/>
      <c r="I1235" s="213"/>
      <c r="J1235" s="213"/>
      <c r="K1235" s="269"/>
      <c r="L1235" s="272">
        <f t="shared" si="121"/>
        <v>1900</v>
      </c>
      <c r="M1235" s="272">
        <f t="shared" si="122"/>
        <v>1</v>
      </c>
      <c r="N1235" s="273"/>
      <c r="O1235" s="61">
        <f t="shared" si="123"/>
        <v>1900</v>
      </c>
      <c r="P1235" s="61">
        <f t="shared" si="124"/>
        <v>1</v>
      </c>
      <c r="R1235" s="272"/>
      <c r="S1235" s="272"/>
      <c r="T1235" s="273" t="str">
        <f t="shared" si="125"/>
        <v>-</v>
      </c>
    </row>
    <row r="1236" spans="1:20">
      <c r="A1236" s="269"/>
      <c r="B1236" s="57"/>
      <c r="C1236" s="55"/>
      <c r="D1236" s="55"/>
      <c r="E1236" s="55"/>
      <c r="F1236" s="55"/>
      <c r="G1236" s="275"/>
      <c r="H1236" s="276"/>
      <c r="I1236" s="213"/>
      <c r="J1236" s="213"/>
      <c r="K1236" s="269"/>
      <c r="L1236" s="272">
        <f t="shared" si="121"/>
        <v>1900</v>
      </c>
      <c r="M1236" s="272">
        <f t="shared" si="122"/>
        <v>1</v>
      </c>
      <c r="N1236" s="273"/>
      <c r="O1236" s="61">
        <f t="shared" si="123"/>
        <v>1900</v>
      </c>
      <c r="P1236" s="61">
        <f t="shared" si="124"/>
        <v>1</v>
      </c>
      <c r="R1236" s="272"/>
      <c r="S1236" s="272"/>
      <c r="T1236" s="273" t="str">
        <f t="shared" si="125"/>
        <v>-</v>
      </c>
    </row>
    <row r="1237" spans="1:20">
      <c r="A1237" s="269"/>
      <c r="B1237" s="57"/>
      <c r="C1237" s="55"/>
      <c r="D1237" s="55"/>
      <c r="E1237" s="55"/>
      <c r="F1237" s="55"/>
      <c r="G1237" s="275"/>
      <c r="H1237" s="276"/>
      <c r="I1237" s="213"/>
      <c r="J1237" s="213"/>
      <c r="K1237" s="269"/>
      <c r="L1237" s="272">
        <f t="shared" si="121"/>
        <v>1900</v>
      </c>
      <c r="M1237" s="272">
        <f t="shared" si="122"/>
        <v>1</v>
      </c>
      <c r="N1237" s="273"/>
      <c r="O1237" s="61">
        <f t="shared" si="123"/>
        <v>1900</v>
      </c>
      <c r="P1237" s="61">
        <f t="shared" si="124"/>
        <v>1</v>
      </c>
      <c r="R1237" s="272"/>
      <c r="S1237" s="272"/>
      <c r="T1237" s="273" t="str">
        <f t="shared" si="125"/>
        <v>-</v>
      </c>
    </row>
    <row r="1238" spans="1:20">
      <c r="A1238" s="269"/>
      <c r="B1238" s="57"/>
      <c r="C1238" s="55"/>
      <c r="D1238" s="55"/>
      <c r="E1238" s="55"/>
      <c r="F1238" s="55"/>
      <c r="G1238" s="275"/>
      <c r="H1238" s="276"/>
      <c r="I1238" s="213"/>
      <c r="J1238" s="213"/>
      <c r="K1238" s="269"/>
      <c r="L1238" s="272">
        <f t="shared" si="121"/>
        <v>1900</v>
      </c>
      <c r="M1238" s="272">
        <f t="shared" si="122"/>
        <v>1</v>
      </c>
      <c r="N1238" s="273"/>
      <c r="O1238" s="61">
        <f t="shared" si="123"/>
        <v>1900</v>
      </c>
      <c r="P1238" s="61">
        <f t="shared" si="124"/>
        <v>1</v>
      </c>
      <c r="R1238" s="272"/>
      <c r="S1238" s="272"/>
      <c r="T1238" s="273" t="str">
        <f t="shared" si="125"/>
        <v>-</v>
      </c>
    </row>
    <row r="1239" spans="1:20">
      <c r="A1239" s="269"/>
      <c r="B1239" s="57"/>
      <c r="C1239" s="55"/>
      <c r="D1239" s="55"/>
      <c r="E1239" s="55"/>
      <c r="F1239" s="55"/>
      <c r="G1239" s="275"/>
      <c r="H1239" s="276"/>
      <c r="I1239" s="213"/>
      <c r="J1239" s="213"/>
      <c r="K1239" s="269"/>
      <c r="L1239" s="272">
        <f t="shared" si="121"/>
        <v>1900</v>
      </c>
      <c r="M1239" s="272">
        <f t="shared" si="122"/>
        <v>1</v>
      </c>
      <c r="N1239" s="273"/>
      <c r="O1239" s="61">
        <f t="shared" si="123"/>
        <v>1900</v>
      </c>
      <c r="P1239" s="61">
        <f t="shared" si="124"/>
        <v>1</v>
      </c>
      <c r="R1239" s="272"/>
      <c r="S1239" s="272"/>
      <c r="T1239" s="273" t="str">
        <f t="shared" si="125"/>
        <v>-</v>
      </c>
    </row>
    <row r="1240" spans="1:20">
      <c r="A1240" s="269"/>
      <c r="B1240" s="57"/>
      <c r="C1240" s="55"/>
      <c r="D1240" s="55"/>
      <c r="E1240" s="55"/>
      <c r="F1240" s="55"/>
      <c r="G1240" s="275"/>
      <c r="H1240" s="276"/>
      <c r="I1240" s="213"/>
      <c r="J1240" s="213"/>
      <c r="K1240" s="269"/>
      <c r="L1240" s="272">
        <f t="shared" si="121"/>
        <v>1900</v>
      </c>
      <c r="M1240" s="272">
        <f t="shared" si="122"/>
        <v>1</v>
      </c>
      <c r="N1240" s="273"/>
      <c r="O1240" s="61">
        <f t="shared" si="123"/>
        <v>1900</v>
      </c>
      <c r="P1240" s="61">
        <f t="shared" si="124"/>
        <v>1</v>
      </c>
      <c r="R1240" s="272"/>
      <c r="S1240" s="272"/>
      <c r="T1240" s="273" t="str">
        <f t="shared" si="125"/>
        <v>-</v>
      </c>
    </row>
    <row r="1241" spans="1:20">
      <c r="A1241" s="269"/>
      <c r="B1241" s="57"/>
      <c r="C1241" s="55"/>
      <c r="D1241" s="55"/>
      <c r="E1241" s="55"/>
      <c r="F1241" s="55"/>
      <c r="G1241" s="275"/>
      <c r="H1241" s="276"/>
      <c r="I1241" s="213"/>
      <c r="J1241" s="213"/>
      <c r="K1241" s="269"/>
      <c r="L1241" s="272">
        <f t="shared" si="121"/>
        <v>1900</v>
      </c>
      <c r="M1241" s="272">
        <f t="shared" si="122"/>
        <v>1</v>
      </c>
      <c r="N1241" s="273"/>
      <c r="O1241" s="61">
        <f t="shared" si="123"/>
        <v>1900</v>
      </c>
      <c r="P1241" s="61">
        <f t="shared" si="124"/>
        <v>1</v>
      </c>
      <c r="R1241" s="272"/>
      <c r="S1241" s="272"/>
      <c r="T1241" s="273" t="str">
        <f t="shared" si="125"/>
        <v>-</v>
      </c>
    </row>
    <row r="1242" spans="1:20">
      <c r="A1242" s="269"/>
      <c r="B1242" s="57"/>
      <c r="C1242" s="55"/>
      <c r="D1242" s="55"/>
      <c r="E1242" s="55"/>
      <c r="F1242" s="55"/>
      <c r="G1242" s="275"/>
      <c r="H1242" s="276"/>
      <c r="I1242" s="213"/>
      <c r="J1242" s="213"/>
      <c r="K1242" s="269"/>
      <c r="L1242" s="272">
        <f t="shared" si="121"/>
        <v>1900</v>
      </c>
      <c r="M1242" s="272">
        <f t="shared" si="122"/>
        <v>1</v>
      </c>
      <c r="N1242" s="273"/>
      <c r="O1242" s="61">
        <f t="shared" si="123"/>
        <v>1900</v>
      </c>
      <c r="P1242" s="61">
        <f t="shared" si="124"/>
        <v>1</v>
      </c>
      <c r="R1242" s="272"/>
      <c r="S1242" s="272"/>
      <c r="T1242" s="273" t="str">
        <f t="shared" si="125"/>
        <v>-</v>
      </c>
    </row>
    <row r="1243" spans="1:20">
      <c r="A1243" s="269"/>
      <c r="B1243" s="57"/>
      <c r="C1243" s="55"/>
      <c r="D1243" s="55"/>
      <c r="E1243" s="55"/>
      <c r="F1243" s="55"/>
      <c r="G1243" s="275"/>
      <c r="H1243" s="276"/>
      <c r="I1243" s="213"/>
      <c r="J1243" s="213"/>
      <c r="K1243" s="269"/>
      <c r="L1243" s="272">
        <f t="shared" si="121"/>
        <v>1900</v>
      </c>
      <c r="M1243" s="272">
        <f t="shared" si="122"/>
        <v>1</v>
      </c>
      <c r="N1243" s="273"/>
      <c r="O1243" s="61">
        <f t="shared" si="123"/>
        <v>1900</v>
      </c>
      <c r="P1243" s="61">
        <f t="shared" si="124"/>
        <v>1</v>
      </c>
      <c r="R1243" s="272"/>
      <c r="S1243" s="272"/>
      <c r="T1243" s="273" t="str">
        <f t="shared" si="125"/>
        <v>-</v>
      </c>
    </row>
    <row r="1244" spans="1:20">
      <c r="A1244" s="269"/>
      <c r="B1244" s="57"/>
      <c r="C1244" s="55"/>
      <c r="D1244" s="55"/>
      <c r="E1244" s="55"/>
      <c r="F1244" s="55"/>
      <c r="G1244" s="275"/>
      <c r="H1244" s="276"/>
      <c r="I1244" s="213"/>
      <c r="J1244" s="213"/>
      <c r="K1244" s="269"/>
      <c r="L1244" s="272">
        <f t="shared" si="121"/>
        <v>1900</v>
      </c>
      <c r="M1244" s="272">
        <f t="shared" si="122"/>
        <v>1</v>
      </c>
      <c r="N1244" s="273"/>
      <c r="O1244" s="61">
        <f t="shared" si="123"/>
        <v>1900</v>
      </c>
      <c r="P1244" s="61">
        <f t="shared" si="124"/>
        <v>1</v>
      </c>
      <c r="R1244" s="272"/>
      <c r="S1244" s="272"/>
      <c r="T1244" s="273" t="str">
        <f t="shared" si="125"/>
        <v>-</v>
      </c>
    </row>
    <row r="1245" spans="1:20">
      <c r="A1245" s="269"/>
      <c r="B1245" s="57"/>
      <c r="C1245" s="55"/>
      <c r="D1245" s="55"/>
      <c r="E1245" s="55"/>
      <c r="F1245" s="55"/>
      <c r="G1245" s="275"/>
      <c r="H1245" s="276"/>
      <c r="I1245" s="213"/>
      <c r="J1245" s="213"/>
      <c r="K1245" s="269"/>
      <c r="L1245" s="272">
        <f t="shared" si="121"/>
        <v>1900</v>
      </c>
      <c r="M1245" s="272">
        <f t="shared" si="122"/>
        <v>1</v>
      </c>
      <c r="N1245" s="273"/>
      <c r="O1245" s="61">
        <f t="shared" si="123"/>
        <v>1900</v>
      </c>
      <c r="P1245" s="61">
        <f t="shared" si="124"/>
        <v>1</v>
      </c>
      <c r="R1245" s="272"/>
      <c r="S1245" s="272"/>
      <c r="T1245" s="273" t="str">
        <f t="shared" si="125"/>
        <v>-</v>
      </c>
    </row>
    <row r="1246" spans="1:20">
      <c r="A1246" s="269"/>
      <c r="B1246" s="57"/>
      <c r="C1246" s="55"/>
      <c r="D1246" s="55"/>
      <c r="E1246" s="55"/>
      <c r="F1246" s="55"/>
      <c r="G1246" s="275"/>
      <c r="H1246" s="276"/>
      <c r="I1246" s="213"/>
      <c r="J1246" s="213"/>
      <c r="K1246" s="269"/>
      <c r="L1246" s="272">
        <f t="shared" si="121"/>
        <v>1900</v>
      </c>
      <c r="M1246" s="272">
        <f t="shared" si="122"/>
        <v>1</v>
      </c>
      <c r="N1246" s="273"/>
      <c r="O1246" s="61">
        <f t="shared" si="123"/>
        <v>1900</v>
      </c>
      <c r="P1246" s="61">
        <f t="shared" si="124"/>
        <v>1</v>
      </c>
      <c r="R1246" s="272"/>
      <c r="S1246" s="272"/>
      <c r="T1246" s="273" t="str">
        <f t="shared" si="125"/>
        <v>-</v>
      </c>
    </row>
    <row r="1247" spans="1:20">
      <c r="A1247" s="269"/>
      <c r="B1247" s="57"/>
      <c r="C1247" s="55"/>
      <c r="D1247" s="55"/>
      <c r="E1247" s="55"/>
      <c r="F1247" s="55"/>
      <c r="G1247" s="275"/>
      <c r="H1247" s="276"/>
      <c r="I1247" s="213"/>
      <c r="J1247" s="213"/>
      <c r="K1247" s="269"/>
      <c r="L1247" s="272">
        <f t="shared" si="121"/>
        <v>1900</v>
      </c>
      <c r="M1247" s="272">
        <f t="shared" si="122"/>
        <v>1</v>
      </c>
      <c r="N1247" s="273"/>
      <c r="O1247" s="61">
        <f t="shared" si="123"/>
        <v>1900</v>
      </c>
      <c r="P1247" s="61">
        <f t="shared" si="124"/>
        <v>1</v>
      </c>
      <c r="R1247" s="272"/>
      <c r="S1247" s="272"/>
      <c r="T1247" s="273" t="str">
        <f t="shared" si="125"/>
        <v>-</v>
      </c>
    </row>
    <row r="1248" spans="1:20">
      <c r="A1248" s="269"/>
      <c r="B1248" s="57"/>
      <c r="C1248" s="55"/>
      <c r="D1248" s="55"/>
      <c r="E1248" s="55"/>
      <c r="F1248" s="55"/>
      <c r="G1248" s="275"/>
      <c r="H1248" s="276"/>
      <c r="I1248" s="213"/>
      <c r="J1248" s="213"/>
      <c r="K1248" s="269"/>
      <c r="L1248" s="272">
        <f t="shared" si="121"/>
        <v>1900</v>
      </c>
      <c r="M1248" s="272">
        <f t="shared" si="122"/>
        <v>1</v>
      </c>
      <c r="N1248" s="273"/>
      <c r="O1248" s="61">
        <f t="shared" si="123"/>
        <v>1900</v>
      </c>
      <c r="P1248" s="61">
        <f t="shared" si="124"/>
        <v>1</v>
      </c>
      <c r="R1248" s="272"/>
      <c r="S1248" s="272"/>
      <c r="T1248" s="273" t="str">
        <f t="shared" si="125"/>
        <v>-</v>
      </c>
    </row>
    <row r="1249" spans="1:20">
      <c r="A1249" s="269"/>
      <c r="B1249" s="57"/>
      <c r="C1249" s="55"/>
      <c r="D1249" s="55"/>
      <c r="E1249" s="55"/>
      <c r="F1249" s="55"/>
      <c r="G1249" s="275"/>
      <c r="H1249" s="276"/>
      <c r="I1249" s="213"/>
      <c r="J1249" s="213"/>
      <c r="K1249" s="269"/>
      <c r="L1249" s="272">
        <f t="shared" si="121"/>
        <v>1900</v>
      </c>
      <c r="M1249" s="272">
        <f t="shared" si="122"/>
        <v>1</v>
      </c>
      <c r="N1249" s="273"/>
      <c r="O1249" s="61">
        <f t="shared" si="123"/>
        <v>1900</v>
      </c>
      <c r="P1249" s="61">
        <f t="shared" si="124"/>
        <v>1</v>
      </c>
      <c r="R1249" s="272"/>
      <c r="S1249" s="272"/>
      <c r="T1249" s="273" t="str">
        <f t="shared" si="125"/>
        <v>-</v>
      </c>
    </row>
    <row r="1250" spans="1:20">
      <c r="A1250" s="269"/>
      <c r="B1250" s="57"/>
      <c r="C1250" s="55"/>
      <c r="D1250" s="55"/>
      <c r="E1250" s="55"/>
      <c r="F1250" s="55"/>
      <c r="G1250" s="275"/>
      <c r="H1250" s="276"/>
      <c r="I1250" s="213"/>
      <c r="J1250" s="213"/>
      <c r="K1250" s="269"/>
      <c r="L1250" s="272">
        <f t="shared" si="121"/>
        <v>1900</v>
      </c>
      <c r="M1250" s="272">
        <f t="shared" si="122"/>
        <v>1</v>
      </c>
      <c r="N1250" s="273"/>
      <c r="O1250" s="61">
        <f t="shared" si="123"/>
        <v>1900</v>
      </c>
      <c r="P1250" s="61">
        <f t="shared" si="124"/>
        <v>1</v>
      </c>
      <c r="R1250" s="272"/>
      <c r="S1250" s="272"/>
      <c r="T1250" s="273" t="str">
        <f t="shared" si="125"/>
        <v>-</v>
      </c>
    </row>
    <row r="1251" spans="1:20">
      <c r="A1251" s="269"/>
      <c r="B1251" s="57"/>
      <c r="C1251" s="55"/>
      <c r="D1251" s="55"/>
      <c r="E1251" s="55"/>
      <c r="F1251" s="55"/>
      <c r="G1251" s="275"/>
      <c r="H1251" s="276"/>
      <c r="I1251" s="213"/>
      <c r="J1251" s="213"/>
      <c r="K1251" s="269"/>
      <c r="L1251" s="272">
        <f t="shared" si="121"/>
        <v>1900</v>
      </c>
      <c r="M1251" s="272">
        <f t="shared" si="122"/>
        <v>1</v>
      </c>
      <c r="N1251" s="273"/>
      <c r="O1251" s="61">
        <f t="shared" si="123"/>
        <v>1900</v>
      </c>
      <c r="P1251" s="61">
        <f t="shared" si="124"/>
        <v>1</v>
      </c>
      <c r="R1251" s="272"/>
      <c r="S1251" s="272"/>
      <c r="T1251" s="273" t="str">
        <f t="shared" si="125"/>
        <v>-</v>
      </c>
    </row>
    <row r="1252" spans="1:20">
      <c r="A1252" s="269"/>
      <c r="B1252" s="57"/>
      <c r="C1252" s="55"/>
      <c r="D1252" s="55"/>
      <c r="E1252" s="55"/>
      <c r="F1252" s="55"/>
      <c r="G1252" s="275"/>
      <c r="H1252" s="276"/>
      <c r="I1252" s="213"/>
      <c r="J1252" s="213"/>
      <c r="K1252" s="269"/>
      <c r="L1252" s="272">
        <f t="shared" si="121"/>
        <v>1900</v>
      </c>
      <c r="M1252" s="272">
        <f t="shared" si="122"/>
        <v>1</v>
      </c>
      <c r="N1252" s="273"/>
      <c r="O1252" s="61">
        <f t="shared" si="123"/>
        <v>1900</v>
      </c>
      <c r="P1252" s="61">
        <f t="shared" si="124"/>
        <v>1</v>
      </c>
      <c r="R1252" s="272"/>
      <c r="S1252" s="272"/>
      <c r="T1252" s="273" t="str">
        <f t="shared" si="125"/>
        <v>-</v>
      </c>
    </row>
    <row r="1253" spans="1:20">
      <c r="A1253" s="269"/>
      <c r="B1253" s="57"/>
      <c r="C1253" s="55"/>
      <c r="D1253" s="55"/>
      <c r="E1253" s="55"/>
      <c r="F1253" s="55"/>
      <c r="G1253" s="275"/>
      <c r="H1253" s="276"/>
      <c r="I1253" s="213"/>
      <c r="J1253" s="213"/>
      <c r="K1253" s="269"/>
      <c r="L1253" s="272">
        <f t="shared" si="121"/>
        <v>1900</v>
      </c>
      <c r="M1253" s="272">
        <f t="shared" si="122"/>
        <v>1</v>
      </c>
      <c r="N1253" s="273"/>
      <c r="O1253" s="61">
        <f t="shared" si="123"/>
        <v>1900</v>
      </c>
      <c r="P1253" s="61">
        <f t="shared" si="124"/>
        <v>1</v>
      </c>
      <c r="R1253" s="272"/>
      <c r="S1253" s="272"/>
      <c r="T1253" s="273" t="str">
        <f t="shared" si="125"/>
        <v>-</v>
      </c>
    </row>
    <row r="1254" spans="1:20">
      <c r="A1254" s="269"/>
      <c r="B1254" s="57"/>
      <c r="C1254" s="55"/>
      <c r="D1254" s="55"/>
      <c r="E1254" s="55"/>
      <c r="F1254" s="55"/>
      <c r="G1254" s="275"/>
      <c r="H1254" s="276"/>
      <c r="I1254" s="213"/>
      <c r="J1254" s="213"/>
      <c r="K1254" s="269"/>
      <c r="L1254" s="272">
        <f t="shared" si="121"/>
        <v>1900</v>
      </c>
      <c r="M1254" s="272">
        <f t="shared" si="122"/>
        <v>1</v>
      </c>
      <c r="N1254" s="273"/>
      <c r="O1254" s="61">
        <f t="shared" si="123"/>
        <v>1900</v>
      </c>
      <c r="P1254" s="61">
        <f t="shared" si="124"/>
        <v>1</v>
      </c>
      <c r="R1254" s="272"/>
      <c r="S1254" s="272"/>
      <c r="T1254" s="273" t="str">
        <f t="shared" si="125"/>
        <v>-</v>
      </c>
    </row>
    <row r="1255" spans="1:20">
      <c r="A1255" s="269"/>
      <c r="B1255" s="57"/>
      <c r="C1255" s="55"/>
      <c r="D1255" s="55"/>
      <c r="E1255" s="55"/>
      <c r="F1255" s="55"/>
      <c r="G1255" s="275"/>
      <c r="H1255" s="276"/>
      <c r="I1255" s="213"/>
      <c r="J1255" s="213"/>
      <c r="K1255" s="269"/>
      <c r="L1255" s="272">
        <f t="shared" si="121"/>
        <v>1900</v>
      </c>
      <c r="M1255" s="272">
        <f t="shared" si="122"/>
        <v>1</v>
      </c>
      <c r="N1255" s="273"/>
      <c r="O1255" s="61">
        <f t="shared" si="123"/>
        <v>1900</v>
      </c>
      <c r="P1255" s="61">
        <f t="shared" si="124"/>
        <v>1</v>
      </c>
      <c r="R1255" s="272"/>
      <c r="S1255" s="272"/>
      <c r="T1255" s="273" t="str">
        <f t="shared" si="125"/>
        <v>-</v>
      </c>
    </row>
    <row r="1256" spans="1:20">
      <c r="A1256" s="269"/>
      <c r="B1256" s="57"/>
      <c r="C1256" s="55"/>
      <c r="D1256" s="55"/>
      <c r="E1256" s="55"/>
      <c r="F1256" s="55"/>
      <c r="G1256" s="275"/>
      <c r="H1256" s="276"/>
      <c r="I1256" s="213"/>
      <c r="J1256" s="213"/>
      <c r="K1256" s="269"/>
      <c r="L1256" s="272">
        <f t="shared" si="121"/>
        <v>1900</v>
      </c>
      <c r="M1256" s="272">
        <f t="shared" si="122"/>
        <v>1</v>
      </c>
      <c r="N1256" s="273"/>
      <c r="O1256" s="61">
        <f t="shared" si="123"/>
        <v>1900</v>
      </c>
      <c r="P1256" s="61">
        <f t="shared" si="124"/>
        <v>1</v>
      </c>
      <c r="R1256" s="272"/>
      <c r="S1256" s="272"/>
      <c r="T1256" s="273" t="str">
        <f t="shared" si="125"/>
        <v>-</v>
      </c>
    </row>
    <row r="1257" spans="1:20">
      <c r="A1257" s="269"/>
      <c r="B1257" s="57"/>
      <c r="C1257" s="55"/>
      <c r="D1257" s="55"/>
      <c r="E1257" s="55"/>
      <c r="F1257" s="55"/>
      <c r="G1257" s="275"/>
      <c r="H1257" s="276"/>
      <c r="I1257" s="213"/>
      <c r="J1257" s="213"/>
      <c r="K1257" s="269"/>
      <c r="L1257" s="272">
        <f t="shared" si="121"/>
        <v>1900</v>
      </c>
      <c r="M1257" s="272">
        <f t="shared" si="122"/>
        <v>1</v>
      </c>
      <c r="N1257" s="273"/>
      <c r="O1257" s="61">
        <f t="shared" si="123"/>
        <v>1900</v>
      </c>
      <c r="P1257" s="61">
        <f t="shared" si="124"/>
        <v>1</v>
      </c>
      <c r="R1257" s="272"/>
      <c r="S1257" s="272"/>
      <c r="T1257" s="273" t="str">
        <f t="shared" si="125"/>
        <v>-</v>
      </c>
    </row>
    <row r="1258" spans="1:20">
      <c r="A1258" s="269"/>
      <c r="B1258" s="57"/>
      <c r="C1258" s="55"/>
      <c r="D1258" s="55"/>
      <c r="E1258" s="55"/>
      <c r="F1258" s="55"/>
      <c r="G1258" s="275"/>
      <c r="H1258" s="276"/>
      <c r="I1258" s="213"/>
      <c r="J1258" s="213"/>
      <c r="K1258" s="269"/>
      <c r="L1258" s="272">
        <f t="shared" si="121"/>
        <v>1900</v>
      </c>
      <c r="M1258" s="272">
        <f t="shared" si="122"/>
        <v>1</v>
      </c>
      <c r="N1258" s="273"/>
      <c r="O1258" s="61">
        <f t="shared" si="123"/>
        <v>1900</v>
      </c>
      <c r="P1258" s="61">
        <f t="shared" si="124"/>
        <v>1</v>
      </c>
      <c r="R1258" s="272"/>
      <c r="S1258" s="272"/>
      <c r="T1258" s="273" t="str">
        <f t="shared" si="125"/>
        <v>-</v>
      </c>
    </row>
    <row r="1259" spans="1:20">
      <c r="A1259" s="269"/>
      <c r="B1259" s="57"/>
      <c r="C1259" s="55"/>
      <c r="D1259" s="55"/>
      <c r="E1259" s="55"/>
      <c r="F1259" s="55"/>
      <c r="G1259" s="275"/>
      <c r="H1259" s="276"/>
      <c r="I1259" s="213"/>
      <c r="J1259" s="213"/>
      <c r="K1259" s="269"/>
      <c r="L1259" s="272">
        <f t="shared" si="121"/>
        <v>1900</v>
      </c>
      <c r="M1259" s="272">
        <f t="shared" si="122"/>
        <v>1</v>
      </c>
      <c r="N1259" s="273"/>
      <c r="O1259" s="61">
        <f t="shared" si="123"/>
        <v>1900</v>
      </c>
      <c r="P1259" s="61">
        <f t="shared" si="124"/>
        <v>1</v>
      </c>
      <c r="R1259" s="272"/>
      <c r="S1259" s="272"/>
      <c r="T1259" s="273" t="str">
        <f t="shared" si="125"/>
        <v>-</v>
      </c>
    </row>
    <row r="1260" spans="1:20">
      <c r="A1260" s="269"/>
      <c r="B1260" s="57"/>
      <c r="C1260" s="55"/>
      <c r="D1260" s="55"/>
      <c r="E1260" s="55"/>
      <c r="F1260" s="55"/>
      <c r="G1260" s="275"/>
      <c r="H1260" s="276"/>
      <c r="I1260" s="213"/>
      <c r="J1260" s="213"/>
      <c r="K1260" s="269"/>
      <c r="L1260" s="272">
        <f t="shared" si="121"/>
        <v>1900</v>
      </c>
      <c r="M1260" s="272">
        <f t="shared" si="122"/>
        <v>1</v>
      </c>
      <c r="N1260" s="273"/>
      <c r="O1260" s="61">
        <f t="shared" si="123"/>
        <v>1900</v>
      </c>
      <c r="P1260" s="61">
        <f t="shared" si="124"/>
        <v>1</v>
      </c>
      <c r="R1260" s="272"/>
      <c r="S1260" s="272"/>
      <c r="T1260" s="273" t="str">
        <f t="shared" si="125"/>
        <v>-</v>
      </c>
    </row>
    <row r="1261" spans="1:20">
      <c r="A1261" s="269"/>
      <c r="B1261" s="57"/>
      <c r="C1261" s="55"/>
      <c r="D1261" s="55"/>
      <c r="E1261" s="55"/>
      <c r="F1261" s="55"/>
      <c r="G1261" s="275"/>
      <c r="H1261" s="276"/>
      <c r="I1261" s="213"/>
      <c r="J1261" s="213"/>
      <c r="K1261" s="269"/>
      <c r="L1261" s="272">
        <f t="shared" si="121"/>
        <v>1900</v>
      </c>
      <c r="M1261" s="272">
        <f t="shared" si="122"/>
        <v>1</v>
      </c>
      <c r="N1261" s="273"/>
      <c r="O1261" s="61">
        <f t="shared" si="123"/>
        <v>1900</v>
      </c>
      <c r="P1261" s="61">
        <f t="shared" si="124"/>
        <v>1</v>
      </c>
      <c r="R1261" s="272"/>
      <c r="S1261" s="272"/>
      <c r="T1261" s="273" t="str">
        <f t="shared" si="125"/>
        <v>-</v>
      </c>
    </row>
    <row r="1262" spans="1:20">
      <c r="A1262" s="269"/>
      <c r="B1262" s="57"/>
      <c r="C1262" s="55"/>
      <c r="D1262" s="55"/>
      <c r="E1262" s="55"/>
      <c r="F1262" s="55"/>
      <c r="G1262" s="275"/>
      <c r="H1262" s="276"/>
      <c r="I1262" s="213"/>
      <c r="J1262" s="213"/>
      <c r="K1262" s="269"/>
      <c r="L1262" s="272">
        <f t="shared" si="121"/>
        <v>1900</v>
      </c>
      <c r="M1262" s="272">
        <f t="shared" si="122"/>
        <v>1</v>
      </c>
      <c r="N1262" s="273"/>
      <c r="O1262" s="61">
        <f t="shared" si="123"/>
        <v>1900</v>
      </c>
      <c r="P1262" s="61">
        <f t="shared" si="124"/>
        <v>1</v>
      </c>
      <c r="R1262" s="272"/>
      <c r="S1262" s="272"/>
      <c r="T1262" s="273" t="str">
        <f t="shared" si="125"/>
        <v>-</v>
      </c>
    </row>
    <row r="1263" spans="1:20">
      <c r="A1263" s="269"/>
      <c r="B1263" s="57"/>
      <c r="C1263" s="55"/>
      <c r="D1263" s="55"/>
      <c r="E1263" s="55"/>
      <c r="F1263" s="55"/>
      <c r="G1263" s="275"/>
      <c r="H1263" s="276"/>
      <c r="I1263" s="213"/>
      <c r="J1263" s="213"/>
      <c r="K1263" s="269"/>
      <c r="L1263" s="272">
        <f t="shared" si="121"/>
        <v>1900</v>
      </c>
      <c r="M1263" s="272">
        <f t="shared" si="122"/>
        <v>1</v>
      </c>
      <c r="N1263" s="273"/>
      <c r="O1263" s="61">
        <f t="shared" si="123"/>
        <v>1900</v>
      </c>
      <c r="P1263" s="61">
        <f t="shared" si="124"/>
        <v>1</v>
      </c>
      <c r="R1263" s="272"/>
      <c r="S1263" s="272"/>
      <c r="T1263" s="273" t="str">
        <f t="shared" si="125"/>
        <v>-</v>
      </c>
    </row>
    <row r="1264" spans="1:20">
      <c r="A1264" s="269"/>
      <c r="B1264" s="57"/>
      <c r="C1264" s="55"/>
      <c r="D1264" s="55"/>
      <c r="E1264" s="55"/>
      <c r="F1264" s="55"/>
      <c r="G1264" s="275"/>
      <c r="H1264" s="276"/>
      <c r="I1264" s="213"/>
      <c r="J1264" s="213"/>
      <c r="K1264" s="269"/>
      <c r="L1264" s="272">
        <f t="shared" si="121"/>
        <v>1900</v>
      </c>
      <c r="M1264" s="272">
        <f t="shared" si="122"/>
        <v>1</v>
      </c>
      <c r="N1264" s="273"/>
      <c r="O1264" s="61">
        <f t="shared" si="123"/>
        <v>1900</v>
      </c>
      <c r="P1264" s="61">
        <f t="shared" si="124"/>
        <v>1</v>
      </c>
      <c r="R1264" s="272"/>
      <c r="S1264" s="272"/>
      <c r="T1264" s="273" t="str">
        <f t="shared" si="125"/>
        <v>-</v>
      </c>
    </row>
    <row r="1265" spans="1:20">
      <c r="A1265" s="269"/>
      <c r="B1265" s="57"/>
      <c r="C1265" s="55"/>
      <c r="D1265" s="55"/>
      <c r="E1265" s="55"/>
      <c r="F1265" s="55"/>
      <c r="G1265" s="275"/>
      <c r="H1265" s="276"/>
      <c r="I1265" s="213"/>
      <c r="J1265" s="213"/>
      <c r="K1265" s="269"/>
      <c r="L1265" s="272">
        <f t="shared" si="121"/>
        <v>1900</v>
      </c>
      <c r="M1265" s="272">
        <f t="shared" si="122"/>
        <v>1</v>
      </c>
      <c r="N1265" s="273"/>
      <c r="O1265" s="61">
        <f t="shared" si="123"/>
        <v>1900</v>
      </c>
      <c r="P1265" s="61">
        <f t="shared" si="124"/>
        <v>1</v>
      </c>
      <c r="R1265" s="272"/>
      <c r="S1265" s="272"/>
      <c r="T1265" s="273" t="str">
        <f t="shared" si="125"/>
        <v>-</v>
      </c>
    </row>
    <row r="1266" spans="1:20">
      <c r="A1266" s="269"/>
      <c r="B1266" s="57"/>
      <c r="C1266" s="55"/>
      <c r="D1266" s="55"/>
      <c r="E1266" s="55"/>
      <c r="F1266" s="55"/>
      <c r="G1266" s="275"/>
      <c r="H1266" s="276"/>
      <c r="I1266" s="213"/>
      <c r="J1266" s="213"/>
      <c r="K1266" s="269"/>
      <c r="L1266" s="272">
        <f t="shared" si="121"/>
        <v>1900</v>
      </c>
      <c r="M1266" s="272">
        <f t="shared" si="122"/>
        <v>1</v>
      </c>
      <c r="N1266" s="273"/>
      <c r="O1266" s="61">
        <f t="shared" si="123"/>
        <v>1900</v>
      </c>
      <c r="P1266" s="61">
        <f t="shared" si="124"/>
        <v>1</v>
      </c>
      <c r="R1266" s="272"/>
      <c r="S1266" s="272"/>
      <c r="T1266" s="273" t="str">
        <f t="shared" si="125"/>
        <v>-</v>
      </c>
    </row>
    <row r="1267" spans="1:20">
      <c r="A1267" s="269"/>
      <c r="B1267" s="57"/>
      <c r="C1267" s="55"/>
      <c r="D1267" s="55"/>
      <c r="E1267" s="55"/>
      <c r="F1267" s="55"/>
      <c r="G1267" s="275"/>
      <c r="H1267" s="276"/>
      <c r="I1267" s="213"/>
      <c r="J1267" s="213"/>
      <c r="K1267" s="269"/>
      <c r="L1267" s="272">
        <f t="shared" si="121"/>
        <v>1900</v>
      </c>
      <c r="M1267" s="272">
        <f t="shared" si="122"/>
        <v>1</v>
      </c>
      <c r="N1267" s="273"/>
      <c r="O1267" s="61">
        <f t="shared" si="123"/>
        <v>1900</v>
      </c>
      <c r="P1267" s="61">
        <f t="shared" si="124"/>
        <v>1</v>
      </c>
      <c r="R1267" s="272"/>
      <c r="S1267" s="272"/>
      <c r="T1267" s="273" t="str">
        <f t="shared" si="125"/>
        <v>-</v>
      </c>
    </row>
    <row r="1268" spans="1:20">
      <c r="A1268" s="269"/>
      <c r="B1268" s="57"/>
      <c r="C1268" s="55"/>
      <c r="D1268" s="55"/>
      <c r="E1268" s="55"/>
      <c r="F1268" s="55"/>
      <c r="G1268" s="275"/>
      <c r="H1268" s="276"/>
      <c r="I1268" s="213"/>
      <c r="J1268" s="213"/>
      <c r="K1268" s="269"/>
      <c r="L1268" s="272">
        <f t="shared" si="121"/>
        <v>1900</v>
      </c>
      <c r="M1268" s="272">
        <f t="shared" si="122"/>
        <v>1</v>
      </c>
      <c r="N1268" s="273"/>
      <c r="O1268" s="61">
        <f t="shared" si="123"/>
        <v>1900</v>
      </c>
      <c r="P1268" s="61">
        <f t="shared" si="124"/>
        <v>1</v>
      </c>
      <c r="R1268" s="272"/>
      <c r="S1268" s="272"/>
      <c r="T1268" s="273" t="str">
        <f t="shared" si="125"/>
        <v>-</v>
      </c>
    </row>
    <row r="1269" spans="1:20">
      <c r="A1269" s="269"/>
      <c r="B1269" s="57"/>
      <c r="C1269" s="55"/>
      <c r="D1269" s="55"/>
      <c r="E1269" s="55"/>
      <c r="F1269" s="55"/>
      <c r="G1269" s="275"/>
      <c r="H1269" s="276"/>
      <c r="I1269" s="213"/>
      <c r="J1269" s="213"/>
      <c r="K1269" s="269"/>
      <c r="L1269" s="272">
        <f t="shared" si="121"/>
        <v>1900</v>
      </c>
      <c r="M1269" s="272">
        <f t="shared" si="122"/>
        <v>1</v>
      </c>
      <c r="N1269" s="273"/>
      <c r="O1269" s="61">
        <f t="shared" si="123"/>
        <v>1900</v>
      </c>
      <c r="P1269" s="61">
        <f t="shared" si="124"/>
        <v>1</v>
      </c>
      <c r="R1269" s="272"/>
      <c r="S1269" s="272"/>
      <c r="T1269" s="273" t="str">
        <f t="shared" si="125"/>
        <v>-</v>
      </c>
    </row>
    <row r="1270" spans="1:20">
      <c r="A1270" s="269"/>
      <c r="B1270" s="57"/>
      <c r="C1270" s="55"/>
      <c r="D1270" s="55"/>
      <c r="E1270" s="55"/>
      <c r="F1270" s="55"/>
      <c r="G1270" s="275"/>
      <c r="H1270" s="276"/>
      <c r="I1270" s="213"/>
      <c r="J1270" s="213"/>
      <c r="K1270" s="269"/>
      <c r="L1270" s="272">
        <f t="shared" si="121"/>
        <v>1900</v>
      </c>
      <c r="M1270" s="272">
        <f t="shared" si="122"/>
        <v>1</v>
      </c>
      <c r="N1270" s="273"/>
      <c r="O1270" s="61">
        <f t="shared" si="123"/>
        <v>1900</v>
      </c>
      <c r="P1270" s="61">
        <f t="shared" si="124"/>
        <v>1</v>
      </c>
      <c r="R1270" s="272"/>
      <c r="S1270" s="272"/>
      <c r="T1270" s="273" t="str">
        <f t="shared" si="125"/>
        <v>-</v>
      </c>
    </row>
    <row r="1271" spans="1:20">
      <c r="A1271" s="269"/>
      <c r="B1271" s="57"/>
      <c r="C1271" s="55"/>
      <c r="D1271" s="55"/>
      <c r="E1271" s="55"/>
      <c r="F1271" s="55"/>
      <c r="G1271" s="275"/>
      <c r="H1271" s="276"/>
      <c r="I1271" s="213"/>
      <c r="J1271" s="213"/>
      <c r="K1271" s="269"/>
      <c r="L1271" s="272">
        <f t="shared" si="121"/>
        <v>1900</v>
      </c>
      <c r="M1271" s="272">
        <f t="shared" si="122"/>
        <v>1</v>
      </c>
      <c r="N1271" s="273"/>
      <c r="O1271" s="61">
        <f t="shared" si="123"/>
        <v>1900</v>
      </c>
      <c r="P1271" s="61">
        <f t="shared" si="124"/>
        <v>1</v>
      </c>
      <c r="R1271" s="272"/>
      <c r="S1271" s="272"/>
      <c r="T1271" s="273" t="str">
        <f t="shared" si="125"/>
        <v>-</v>
      </c>
    </row>
    <row r="1272" spans="1:20">
      <c r="A1272" s="269"/>
      <c r="B1272" s="57"/>
      <c r="C1272" s="55"/>
      <c r="D1272" s="55"/>
      <c r="E1272" s="55"/>
      <c r="F1272" s="55"/>
      <c r="G1272" s="275"/>
      <c r="H1272" s="276"/>
      <c r="I1272" s="213"/>
      <c r="J1272" s="213"/>
      <c r="K1272" s="269"/>
      <c r="L1272" s="272">
        <f t="shared" si="121"/>
        <v>1900</v>
      </c>
      <c r="M1272" s="272">
        <f t="shared" si="122"/>
        <v>1</v>
      </c>
      <c r="N1272" s="273"/>
      <c r="O1272" s="61">
        <f t="shared" si="123"/>
        <v>1900</v>
      </c>
      <c r="P1272" s="61">
        <f t="shared" si="124"/>
        <v>1</v>
      </c>
      <c r="R1272" s="272"/>
      <c r="S1272" s="272"/>
      <c r="T1272" s="273" t="str">
        <f t="shared" si="125"/>
        <v>-</v>
      </c>
    </row>
    <row r="1273" spans="1:20">
      <c r="A1273" s="269"/>
      <c r="B1273" s="57"/>
      <c r="C1273" s="55"/>
      <c r="D1273" s="55"/>
      <c r="E1273" s="55"/>
      <c r="F1273" s="55"/>
      <c r="G1273" s="275"/>
      <c r="H1273" s="276"/>
      <c r="I1273" s="213"/>
      <c r="J1273" s="213"/>
      <c r="K1273" s="269"/>
      <c r="L1273" s="272">
        <f t="shared" si="121"/>
        <v>1900</v>
      </c>
      <c r="M1273" s="272">
        <f t="shared" si="122"/>
        <v>1</v>
      </c>
      <c r="N1273" s="273"/>
      <c r="O1273" s="61">
        <f t="shared" si="123"/>
        <v>1900</v>
      </c>
      <c r="P1273" s="61">
        <f t="shared" si="124"/>
        <v>1</v>
      </c>
      <c r="R1273" s="272"/>
      <c r="S1273" s="272"/>
      <c r="T1273" s="273" t="str">
        <f t="shared" si="125"/>
        <v>-</v>
      </c>
    </row>
    <row r="1274" spans="1:20">
      <c r="A1274" s="269"/>
      <c r="B1274" s="57"/>
      <c r="C1274" s="55"/>
      <c r="D1274" s="55"/>
      <c r="E1274" s="55"/>
      <c r="F1274" s="55"/>
      <c r="G1274" s="275"/>
      <c r="H1274" s="276"/>
      <c r="I1274" s="213"/>
      <c r="J1274" s="213"/>
      <c r="K1274" s="269"/>
      <c r="L1274" s="272">
        <f t="shared" si="121"/>
        <v>1900</v>
      </c>
      <c r="M1274" s="272">
        <f t="shared" si="122"/>
        <v>1</v>
      </c>
      <c r="N1274" s="273"/>
      <c r="O1274" s="61">
        <f t="shared" si="123"/>
        <v>1900</v>
      </c>
      <c r="P1274" s="61">
        <f t="shared" si="124"/>
        <v>1</v>
      </c>
      <c r="R1274" s="272"/>
      <c r="S1274" s="272"/>
      <c r="T1274" s="273" t="str">
        <f t="shared" si="125"/>
        <v>-</v>
      </c>
    </row>
    <row r="1275" spans="1:20">
      <c r="A1275" s="269"/>
      <c r="B1275" s="57"/>
      <c r="C1275" s="55"/>
      <c r="D1275" s="55"/>
      <c r="E1275" s="55"/>
      <c r="F1275" s="55"/>
      <c r="G1275" s="275"/>
      <c r="H1275" s="276"/>
      <c r="I1275" s="213"/>
      <c r="J1275" s="213"/>
      <c r="K1275" s="269"/>
      <c r="L1275" s="272">
        <f t="shared" si="121"/>
        <v>1900</v>
      </c>
      <c r="M1275" s="272">
        <f t="shared" si="122"/>
        <v>1</v>
      </c>
      <c r="N1275" s="273"/>
      <c r="O1275" s="61">
        <f t="shared" si="123"/>
        <v>1900</v>
      </c>
      <c r="P1275" s="61">
        <f t="shared" si="124"/>
        <v>1</v>
      </c>
      <c r="R1275" s="272"/>
      <c r="S1275" s="272"/>
      <c r="T1275" s="273" t="str">
        <f t="shared" si="125"/>
        <v>-</v>
      </c>
    </row>
    <row r="1276" spans="1:20">
      <c r="A1276" s="269"/>
      <c r="B1276" s="57"/>
      <c r="C1276" s="55"/>
      <c r="D1276" s="55"/>
      <c r="E1276" s="55"/>
      <c r="F1276" s="55"/>
      <c r="G1276" s="275"/>
      <c r="H1276" s="276"/>
      <c r="I1276" s="213"/>
      <c r="J1276" s="213"/>
      <c r="K1276" s="269"/>
      <c r="L1276" s="272">
        <f t="shared" si="121"/>
        <v>1900</v>
      </c>
      <c r="M1276" s="272">
        <f t="shared" si="122"/>
        <v>1</v>
      </c>
      <c r="N1276" s="273"/>
      <c r="O1276" s="61">
        <f t="shared" si="123"/>
        <v>1900</v>
      </c>
      <c r="P1276" s="61">
        <f t="shared" si="124"/>
        <v>1</v>
      </c>
      <c r="R1276" s="272"/>
      <c r="S1276" s="272"/>
      <c r="T1276" s="273" t="str">
        <f t="shared" si="125"/>
        <v>-</v>
      </c>
    </row>
    <row r="1277" spans="1:20">
      <c r="A1277" s="269"/>
      <c r="B1277" s="57"/>
      <c r="C1277" s="55"/>
      <c r="D1277" s="55"/>
      <c r="E1277" s="55"/>
      <c r="F1277" s="55"/>
      <c r="G1277" s="275"/>
      <c r="H1277" s="276"/>
      <c r="I1277" s="213"/>
      <c r="J1277" s="213"/>
      <c r="K1277" s="269"/>
      <c r="L1277" s="272">
        <f t="shared" si="121"/>
        <v>1900</v>
      </c>
      <c r="M1277" s="272">
        <f t="shared" si="122"/>
        <v>1</v>
      </c>
      <c r="N1277" s="273"/>
      <c r="O1277" s="61">
        <f t="shared" si="123"/>
        <v>1900</v>
      </c>
      <c r="P1277" s="61">
        <f t="shared" si="124"/>
        <v>1</v>
      </c>
      <c r="R1277" s="272"/>
      <c r="S1277" s="272"/>
      <c r="T1277" s="273" t="str">
        <f t="shared" si="125"/>
        <v>-</v>
      </c>
    </row>
    <row r="1278" spans="1:20">
      <c r="A1278" s="269"/>
      <c r="B1278" s="57"/>
      <c r="C1278" s="55"/>
      <c r="D1278" s="55"/>
      <c r="E1278" s="55"/>
      <c r="F1278" s="55"/>
      <c r="G1278" s="275"/>
      <c r="H1278" s="276"/>
      <c r="I1278" s="213"/>
      <c r="J1278" s="213"/>
      <c r="K1278" s="269"/>
      <c r="L1278" s="272">
        <f t="shared" si="121"/>
        <v>1900</v>
      </c>
      <c r="M1278" s="272">
        <f t="shared" si="122"/>
        <v>1</v>
      </c>
      <c r="N1278" s="273"/>
      <c r="O1278" s="61">
        <f t="shared" si="123"/>
        <v>1900</v>
      </c>
      <c r="P1278" s="61">
        <f t="shared" si="124"/>
        <v>1</v>
      </c>
      <c r="R1278" s="272"/>
      <c r="S1278" s="272"/>
      <c r="T1278" s="273" t="str">
        <f t="shared" si="125"/>
        <v>-</v>
      </c>
    </row>
    <row r="1279" spans="1:20">
      <c r="A1279" s="269"/>
      <c r="B1279" s="57"/>
      <c r="C1279" s="55"/>
      <c r="D1279" s="55"/>
      <c r="E1279" s="55"/>
      <c r="F1279" s="55"/>
      <c r="G1279" s="275"/>
      <c r="H1279" s="276"/>
      <c r="I1279" s="213"/>
      <c r="J1279" s="213"/>
      <c r="K1279" s="269"/>
      <c r="L1279" s="272">
        <f t="shared" si="121"/>
        <v>1900</v>
      </c>
      <c r="M1279" s="272">
        <f t="shared" si="122"/>
        <v>1</v>
      </c>
      <c r="N1279" s="273"/>
      <c r="O1279" s="61">
        <f t="shared" si="123"/>
        <v>1900</v>
      </c>
      <c r="P1279" s="61">
        <f t="shared" si="124"/>
        <v>1</v>
      </c>
      <c r="R1279" s="272"/>
      <c r="S1279" s="272"/>
      <c r="T1279" s="273" t="str">
        <f t="shared" si="125"/>
        <v>-</v>
      </c>
    </row>
    <row r="1280" spans="1:20">
      <c r="A1280" s="269"/>
      <c r="B1280" s="57"/>
      <c r="C1280" s="55"/>
      <c r="D1280" s="55"/>
      <c r="E1280" s="55"/>
      <c r="F1280" s="55"/>
      <c r="G1280" s="275"/>
      <c r="H1280" s="276"/>
      <c r="I1280" s="213"/>
      <c r="J1280" s="213"/>
      <c r="K1280" s="269"/>
      <c r="L1280" s="272">
        <f t="shared" si="121"/>
        <v>1900</v>
      </c>
      <c r="M1280" s="272">
        <f t="shared" si="122"/>
        <v>1</v>
      </c>
      <c r="N1280" s="273"/>
      <c r="O1280" s="61">
        <f t="shared" si="123"/>
        <v>1900</v>
      </c>
      <c r="P1280" s="61">
        <f t="shared" si="124"/>
        <v>1</v>
      </c>
      <c r="R1280" s="272"/>
      <c r="S1280" s="272"/>
      <c r="T1280" s="273" t="str">
        <f t="shared" si="125"/>
        <v>-</v>
      </c>
    </row>
    <row r="1281" spans="1:20">
      <c r="A1281" s="269"/>
      <c r="B1281" s="57"/>
      <c r="C1281" s="55"/>
      <c r="D1281" s="55"/>
      <c r="E1281" s="55"/>
      <c r="F1281" s="55"/>
      <c r="G1281" s="275"/>
      <c r="H1281" s="276"/>
      <c r="I1281" s="213"/>
      <c r="J1281" s="213"/>
      <c r="K1281" s="269"/>
      <c r="L1281" s="272">
        <f t="shared" si="121"/>
        <v>1900</v>
      </c>
      <c r="M1281" s="272">
        <f t="shared" si="122"/>
        <v>1</v>
      </c>
      <c r="N1281" s="273"/>
      <c r="O1281" s="61">
        <f t="shared" si="123"/>
        <v>1900</v>
      </c>
      <c r="P1281" s="61">
        <f t="shared" si="124"/>
        <v>1</v>
      </c>
      <c r="R1281" s="272"/>
      <c r="S1281" s="272"/>
      <c r="T1281" s="273" t="str">
        <f t="shared" si="125"/>
        <v>-</v>
      </c>
    </row>
    <row r="1282" spans="1:20">
      <c r="A1282" s="269"/>
      <c r="B1282" s="57"/>
      <c r="C1282" s="55"/>
      <c r="D1282" s="55"/>
      <c r="E1282" s="55"/>
      <c r="F1282" s="55"/>
      <c r="G1282" s="275"/>
      <c r="H1282" s="276"/>
      <c r="I1282" s="213"/>
      <c r="J1282" s="213"/>
      <c r="K1282" s="269"/>
      <c r="L1282" s="272">
        <f t="shared" si="121"/>
        <v>1900</v>
      </c>
      <c r="M1282" s="272">
        <f t="shared" si="122"/>
        <v>1</v>
      </c>
      <c r="N1282" s="273"/>
      <c r="O1282" s="61">
        <f t="shared" si="123"/>
        <v>1900</v>
      </c>
      <c r="P1282" s="61">
        <f t="shared" si="124"/>
        <v>1</v>
      </c>
      <c r="R1282" s="272"/>
      <c r="S1282" s="272"/>
      <c r="T1282" s="273" t="str">
        <f t="shared" si="125"/>
        <v>-</v>
      </c>
    </row>
    <row r="1283" spans="1:20">
      <c r="A1283" s="269"/>
      <c r="B1283" s="57"/>
      <c r="C1283" s="55"/>
      <c r="D1283" s="55"/>
      <c r="E1283" s="55"/>
      <c r="F1283" s="55"/>
      <c r="G1283" s="275"/>
      <c r="H1283" s="276"/>
      <c r="I1283" s="213"/>
      <c r="J1283" s="213"/>
      <c r="K1283" s="269"/>
      <c r="L1283" s="272">
        <f t="shared" si="121"/>
        <v>1900</v>
      </c>
      <c r="M1283" s="272">
        <f t="shared" si="122"/>
        <v>1</v>
      </c>
      <c r="N1283" s="273"/>
      <c r="O1283" s="61">
        <f t="shared" si="123"/>
        <v>1900</v>
      </c>
      <c r="P1283" s="61">
        <f t="shared" si="124"/>
        <v>1</v>
      </c>
      <c r="R1283" s="272"/>
      <c r="S1283" s="272"/>
      <c r="T1283" s="273" t="str">
        <f t="shared" si="125"/>
        <v>-</v>
      </c>
    </row>
    <row r="1284" spans="1:20">
      <c r="A1284" s="269"/>
      <c r="B1284" s="57"/>
      <c r="C1284" s="55"/>
      <c r="D1284" s="55"/>
      <c r="E1284" s="55"/>
      <c r="F1284" s="55"/>
      <c r="G1284" s="275"/>
      <c r="H1284" s="276"/>
      <c r="I1284" s="213"/>
      <c r="J1284" s="213"/>
      <c r="K1284" s="269"/>
      <c r="L1284" s="272">
        <f t="shared" si="121"/>
        <v>1900</v>
      </c>
      <c r="M1284" s="272">
        <f t="shared" si="122"/>
        <v>1</v>
      </c>
      <c r="N1284" s="273"/>
      <c r="O1284" s="61">
        <f t="shared" si="123"/>
        <v>1900</v>
      </c>
      <c r="P1284" s="61">
        <f t="shared" si="124"/>
        <v>1</v>
      </c>
      <c r="R1284" s="272"/>
      <c r="S1284" s="272"/>
      <c r="T1284" s="273" t="str">
        <f t="shared" si="125"/>
        <v>-</v>
      </c>
    </row>
    <row r="1285" spans="1:20">
      <c r="A1285" s="269"/>
      <c r="B1285" s="57"/>
      <c r="C1285" s="55"/>
      <c r="D1285" s="55"/>
      <c r="E1285" s="55"/>
      <c r="F1285" s="55"/>
      <c r="G1285" s="275"/>
      <c r="H1285" s="276"/>
      <c r="I1285" s="213"/>
      <c r="J1285" s="213"/>
      <c r="K1285" s="269"/>
      <c r="L1285" s="272">
        <f t="shared" si="121"/>
        <v>1900</v>
      </c>
      <c r="M1285" s="272">
        <f t="shared" si="122"/>
        <v>1</v>
      </c>
      <c r="N1285" s="273"/>
      <c r="O1285" s="61">
        <f t="shared" si="123"/>
        <v>1900</v>
      </c>
      <c r="P1285" s="61">
        <f t="shared" si="124"/>
        <v>1</v>
      </c>
      <c r="R1285" s="272"/>
      <c r="S1285" s="272"/>
      <c r="T1285" s="273" t="str">
        <f t="shared" si="125"/>
        <v>-</v>
      </c>
    </row>
    <row r="1286" spans="1:20">
      <c r="A1286" s="269"/>
      <c r="B1286" s="57"/>
      <c r="C1286" s="55"/>
      <c r="D1286" s="55"/>
      <c r="E1286" s="55"/>
      <c r="F1286" s="55"/>
      <c r="G1286" s="275"/>
      <c r="H1286" s="276"/>
      <c r="I1286" s="213"/>
      <c r="J1286" s="213"/>
      <c r="K1286" s="269"/>
      <c r="L1286" s="272">
        <f t="shared" si="121"/>
        <v>1900</v>
      </c>
      <c r="M1286" s="272">
        <f t="shared" si="122"/>
        <v>1</v>
      </c>
      <c r="N1286" s="273"/>
      <c r="O1286" s="61">
        <f t="shared" si="123"/>
        <v>1900</v>
      </c>
      <c r="P1286" s="61">
        <f t="shared" si="124"/>
        <v>1</v>
      </c>
      <c r="R1286" s="272"/>
      <c r="S1286" s="272"/>
      <c r="T1286" s="273" t="str">
        <f t="shared" si="125"/>
        <v>-</v>
      </c>
    </row>
    <row r="1287" spans="1:20">
      <c r="A1287" s="269"/>
      <c r="B1287" s="57"/>
      <c r="C1287" s="55"/>
      <c r="D1287" s="55"/>
      <c r="E1287" s="55"/>
      <c r="F1287" s="55"/>
      <c r="G1287" s="275"/>
      <c r="H1287" s="276"/>
      <c r="I1287" s="213"/>
      <c r="J1287" s="213"/>
      <c r="K1287" s="269"/>
      <c r="L1287" s="272">
        <f t="shared" si="121"/>
        <v>1900</v>
      </c>
      <c r="M1287" s="272">
        <f t="shared" si="122"/>
        <v>1</v>
      </c>
      <c r="N1287" s="273"/>
      <c r="O1287" s="61">
        <f t="shared" si="123"/>
        <v>1900</v>
      </c>
      <c r="P1287" s="61">
        <f t="shared" si="124"/>
        <v>1</v>
      </c>
      <c r="R1287" s="272"/>
      <c r="S1287" s="272"/>
      <c r="T1287" s="273" t="str">
        <f t="shared" si="125"/>
        <v>-</v>
      </c>
    </row>
    <row r="1288" spans="1:20">
      <c r="A1288" s="269"/>
      <c r="B1288" s="57"/>
      <c r="C1288" s="55"/>
      <c r="D1288" s="55"/>
      <c r="E1288" s="55"/>
      <c r="F1288" s="55"/>
      <c r="G1288" s="275"/>
      <c r="H1288" s="276"/>
      <c r="I1288" s="213"/>
      <c r="J1288" s="213"/>
      <c r="K1288" s="269"/>
      <c r="L1288" s="272">
        <f t="shared" si="121"/>
        <v>1900</v>
      </c>
      <c r="M1288" s="272">
        <f t="shared" si="122"/>
        <v>1</v>
      </c>
      <c r="N1288" s="273"/>
      <c r="O1288" s="61">
        <f t="shared" si="123"/>
        <v>1900</v>
      </c>
      <c r="P1288" s="61">
        <f t="shared" si="124"/>
        <v>1</v>
      </c>
      <c r="R1288" s="272"/>
      <c r="S1288" s="272"/>
      <c r="T1288" s="273" t="str">
        <f t="shared" si="125"/>
        <v>-</v>
      </c>
    </row>
    <row r="1289" spans="1:20">
      <c r="A1289" s="269"/>
      <c r="B1289" s="57"/>
      <c r="C1289" s="55"/>
      <c r="D1289" s="55"/>
      <c r="E1289" s="55"/>
      <c r="F1289" s="55"/>
      <c r="G1289" s="275"/>
      <c r="H1289" s="276"/>
      <c r="I1289" s="213"/>
      <c r="J1289" s="213"/>
      <c r="K1289" s="269"/>
      <c r="L1289" s="272">
        <f t="shared" si="121"/>
        <v>1900</v>
      </c>
      <c r="M1289" s="272">
        <f t="shared" si="122"/>
        <v>1</v>
      </c>
      <c r="N1289" s="273"/>
      <c r="O1289" s="61">
        <f t="shared" si="123"/>
        <v>1900</v>
      </c>
      <c r="P1289" s="61">
        <f t="shared" si="124"/>
        <v>1</v>
      </c>
      <c r="R1289" s="272"/>
      <c r="S1289" s="272"/>
      <c r="T1289" s="273" t="str">
        <f t="shared" si="125"/>
        <v>-</v>
      </c>
    </row>
    <row r="1290" spans="1:20">
      <c r="A1290" s="269"/>
      <c r="B1290" s="57"/>
      <c r="C1290" s="55"/>
      <c r="D1290" s="55"/>
      <c r="E1290" s="55"/>
      <c r="F1290" s="55"/>
      <c r="G1290" s="275"/>
      <c r="H1290" s="276"/>
      <c r="I1290" s="213"/>
      <c r="J1290" s="213"/>
      <c r="K1290" s="269"/>
      <c r="L1290" s="272">
        <f t="shared" si="121"/>
        <v>1900</v>
      </c>
      <c r="M1290" s="272">
        <f t="shared" si="122"/>
        <v>1</v>
      </c>
      <c r="N1290" s="273"/>
      <c r="O1290" s="61">
        <f t="shared" si="123"/>
        <v>1900</v>
      </c>
      <c r="P1290" s="61">
        <f t="shared" si="124"/>
        <v>1</v>
      </c>
      <c r="R1290" s="272"/>
      <c r="S1290" s="272"/>
      <c r="T1290" s="273" t="str">
        <f t="shared" si="125"/>
        <v>-</v>
      </c>
    </row>
    <row r="1291" spans="1:20">
      <c r="A1291" s="269"/>
      <c r="B1291" s="57"/>
      <c r="C1291" s="55"/>
      <c r="D1291" s="55"/>
      <c r="E1291" s="55"/>
      <c r="F1291" s="55"/>
      <c r="G1291" s="275"/>
      <c r="H1291" s="276"/>
      <c r="I1291" s="213"/>
      <c r="J1291" s="213"/>
      <c r="K1291" s="269"/>
      <c r="L1291" s="272">
        <f t="shared" si="121"/>
        <v>1900</v>
      </c>
      <c r="M1291" s="272">
        <f t="shared" si="122"/>
        <v>1</v>
      </c>
      <c r="N1291" s="273"/>
      <c r="O1291" s="61">
        <f t="shared" si="123"/>
        <v>1900</v>
      </c>
      <c r="P1291" s="61">
        <f t="shared" si="124"/>
        <v>1</v>
      </c>
      <c r="R1291" s="272"/>
      <c r="S1291" s="272"/>
      <c r="T1291" s="273" t="str">
        <f t="shared" si="125"/>
        <v>-</v>
      </c>
    </row>
    <row r="1292" spans="1:20">
      <c r="A1292" s="269"/>
      <c r="B1292" s="57"/>
      <c r="C1292" s="55"/>
      <c r="D1292" s="55"/>
      <c r="E1292" s="55"/>
      <c r="F1292" s="55"/>
      <c r="G1292" s="275"/>
      <c r="H1292" s="276"/>
      <c r="I1292" s="213"/>
      <c r="J1292" s="213"/>
      <c r="K1292" s="269"/>
      <c r="L1292" s="272">
        <f t="shared" si="121"/>
        <v>1900</v>
      </c>
      <c r="M1292" s="272">
        <f t="shared" si="122"/>
        <v>1</v>
      </c>
      <c r="N1292" s="273"/>
      <c r="O1292" s="61">
        <f t="shared" si="123"/>
        <v>1900</v>
      </c>
      <c r="P1292" s="61">
        <f t="shared" si="124"/>
        <v>1</v>
      </c>
      <c r="R1292" s="272"/>
      <c r="S1292" s="272"/>
      <c r="T1292" s="273" t="str">
        <f t="shared" si="125"/>
        <v>-</v>
      </c>
    </row>
    <row r="1293" spans="1:20">
      <c r="A1293" s="269"/>
      <c r="B1293" s="57"/>
      <c r="C1293" s="55"/>
      <c r="D1293" s="55"/>
      <c r="E1293" s="55"/>
      <c r="F1293" s="55"/>
      <c r="G1293" s="275"/>
      <c r="H1293" s="276"/>
      <c r="I1293" s="213"/>
      <c r="J1293" s="213"/>
      <c r="K1293" s="269"/>
      <c r="L1293" s="272">
        <f t="shared" si="121"/>
        <v>1900</v>
      </c>
      <c r="M1293" s="272">
        <f t="shared" si="122"/>
        <v>1</v>
      </c>
      <c r="N1293" s="273"/>
      <c r="O1293" s="61">
        <f t="shared" si="123"/>
        <v>1900</v>
      </c>
      <c r="P1293" s="61">
        <f t="shared" si="124"/>
        <v>1</v>
      </c>
      <c r="R1293" s="272"/>
      <c r="S1293" s="272"/>
      <c r="T1293" s="273" t="str">
        <f t="shared" si="125"/>
        <v>-</v>
      </c>
    </row>
    <row r="1294" spans="1:20">
      <c r="A1294" s="269"/>
      <c r="B1294" s="57"/>
      <c r="C1294" s="55"/>
      <c r="D1294" s="55"/>
      <c r="E1294" s="55"/>
      <c r="F1294" s="55"/>
      <c r="G1294" s="275"/>
      <c r="H1294" s="276"/>
      <c r="I1294" s="213"/>
      <c r="J1294" s="213"/>
      <c r="K1294" s="269"/>
      <c r="L1294" s="272">
        <f t="shared" si="121"/>
        <v>1900</v>
      </c>
      <c r="M1294" s="272">
        <f t="shared" si="122"/>
        <v>1</v>
      </c>
      <c r="N1294" s="273"/>
      <c r="O1294" s="61">
        <f t="shared" si="123"/>
        <v>1900</v>
      </c>
      <c r="P1294" s="61">
        <f t="shared" si="124"/>
        <v>1</v>
      </c>
      <c r="R1294" s="272"/>
      <c r="S1294" s="272"/>
      <c r="T1294" s="273" t="str">
        <f t="shared" si="125"/>
        <v>-</v>
      </c>
    </row>
    <row r="1295" spans="1:20">
      <c r="A1295" s="269"/>
      <c r="B1295" s="57"/>
      <c r="C1295" s="55"/>
      <c r="D1295" s="55"/>
      <c r="E1295" s="55"/>
      <c r="F1295" s="55"/>
      <c r="G1295" s="275"/>
      <c r="H1295" s="276"/>
      <c r="I1295" s="213"/>
      <c r="J1295" s="213"/>
      <c r="K1295" s="269"/>
      <c r="L1295" s="272">
        <f t="shared" si="121"/>
        <v>1900</v>
      </c>
      <c r="M1295" s="272">
        <f t="shared" si="122"/>
        <v>1</v>
      </c>
      <c r="N1295" s="273"/>
      <c r="O1295" s="61">
        <f t="shared" si="123"/>
        <v>1900</v>
      </c>
      <c r="P1295" s="61">
        <f t="shared" si="124"/>
        <v>1</v>
      </c>
      <c r="R1295" s="272"/>
      <c r="S1295" s="272"/>
      <c r="T1295" s="273" t="str">
        <f t="shared" si="125"/>
        <v>-</v>
      </c>
    </row>
    <row r="1296" spans="1:20">
      <c r="A1296" s="269"/>
      <c r="B1296" s="57"/>
      <c r="C1296" s="55"/>
      <c r="D1296" s="55"/>
      <c r="E1296" s="55"/>
      <c r="F1296" s="55"/>
      <c r="G1296" s="275"/>
      <c r="H1296" s="276"/>
      <c r="I1296" s="213"/>
      <c r="J1296" s="213"/>
      <c r="K1296" s="269"/>
      <c r="L1296" s="272">
        <f t="shared" ref="L1296:L1359" si="126">YEAR(B1296)</f>
        <v>1900</v>
      </c>
      <c r="M1296" s="272">
        <f t="shared" ref="M1296:M1359" si="127">MONTH(B1296)</f>
        <v>1</v>
      </c>
      <c r="N1296" s="273"/>
      <c r="O1296" s="61">
        <f t="shared" ref="O1296:O1359" si="128">YEAR(B1296)</f>
        <v>1900</v>
      </c>
      <c r="P1296" s="61">
        <f t="shared" ref="P1296:P1359" si="129">MONTH(B1296)</f>
        <v>1</v>
      </c>
      <c r="R1296" s="272"/>
      <c r="S1296" s="272"/>
      <c r="T1296" s="273" t="str">
        <f t="shared" ref="T1296:T1359" si="130">IF($E1296&gt;0,IF((R1296+S1296)=$E1296,"OK","Error"),"-")</f>
        <v>-</v>
      </c>
    </row>
    <row r="1297" spans="1:20">
      <c r="A1297" s="269"/>
      <c r="B1297" s="57"/>
      <c r="C1297" s="55"/>
      <c r="D1297" s="55"/>
      <c r="E1297" s="55"/>
      <c r="F1297" s="55"/>
      <c r="G1297" s="275"/>
      <c r="H1297" s="276"/>
      <c r="I1297" s="213"/>
      <c r="J1297" s="213"/>
      <c r="K1297" s="269"/>
      <c r="L1297" s="272">
        <f t="shared" si="126"/>
        <v>1900</v>
      </c>
      <c r="M1297" s="272">
        <f t="shared" si="127"/>
        <v>1</v>
      </c>
      <c r="N1297" s="273"/>
      <c r="O1297" s="61">
        <f t="shared" si="128"/>
        <v>1900</v>
      </c>
      <c r="P1297" s="61">
        <f t="shared" si="129"/>
        <v>1</v>
      </c>
      <c r="R1297" s="272"/>
      <c r="S1297" s="272"/>
      <c r="T1297" s="273" t="str">
        <f t="shared" si="130"/>
        <v>-</v>
      </c>
    </row>
    <row r="1298" spans="1:20">
      <c r="A1298" s="269"/>
      <c r="B1298" s="57"/>
      <c r="C1298" s="55"/>
      <c r="D1298" s="55"/>
      <c r="E1298" s="55"/>
      <c r="F1298" s="55"/>
      <c r="G1298" s="275"/>
      <c r="H1298" s="276"/>
      <c r="I1298" s="213"/>
      <c r="J1298" s="213"/>
      <c r="K1298" s="269"/>
      <c r="L1298" s="272">
        <f t="shared" si="126"/>
        <v>1900</v>
      </c>
      <c r="M1298" s="272">
        <f t="shared" si="127"/>
        <v>1</v>
      </c>
      <c r="N1298" s="273"/>
      <c r="O1298" s="61">
        <f t="shared" si="128"/>
        <v>1900</v>
      </c>
      <c r="P1298" s="61">
        <f t="shared" si="129"/>
        <v>1</v>
      </c>
      <c r="R1298" s="272"/>
      <c r="S1298" s="272"/>
      <c r="T1298" s="273" t="str">
        <f t="shared" si="130"/>
        <v>-</v>
      </c>
    </row>
    <row r="1299" spans="1:20">
      <c r="A1299" s="269"/>
      <c r="B1299" s="57"/>
      <c r="C1299" s="55"/>
      <c r="D1299" s="55"/>
      <c r="E1299" s="55"/>
      <c r="F1299" s="55"/>
      <c r="G1299" s="275"/>
      <c r="H1299" s="276"/>
      <c r="I1299" s="213"/>
      <c r="J1299" s="213"/>
      <c r="K1299" s="269"/>
      <c r="L1299" s="272">
        <f t="shared" si="126"/>
        <v>1900</v>
      </c>
      <c r="M1299" s="272">
        <f t="shared" si="127"/>
        <v>1</v>
      </c>
      <c r="N1299" s="273"/>
      <c r="O1299" s="61">
        <f t="shared" si="128"/>
        <v>1900</v>
      </c>
      <c r="P1299" s="61">
        <f t="shared" si="129"/>
        <v>1</v>
      </c>
      <c r="R1299" s="272"/>
      <c r="S1299" s="272"/>
      <c r="T1299" s="273" t="str">
        <f t="shared" si="130"/>
        <v>-</v>
      </c>
    </row>
    <row r="1300" spans="1:20">
      <c r="A1300" s="269"/>
      <c r="B1300" s="57"/>
      <c r="C1300" s="55"/>
      <c r="D1300" s="55"/>
      <c r="E1300" s="55"/>
      <c r="F1300" s="55"/>
      <c r="G1300" s="275"/>
      <c r="H1300" s="276"/>
      <c r="I1300" s="213"/>
      <c r="J1300" s="213"/>
      <c r="K1300" s="269"/>
      <c r="L1300" s="272">
        <f t="shared" si="126"/>
        <v>1900</v>
      </c>
      <c r="M1300" s="272">
        <f t="shared" si="127"/>
        <v>1</v>
      </c>
      <c r="N1300" s="273"/>
      <c r="O1300" s="61">
        <f t="shared" si="128"/>
        <v>1900</v>
      </c>
      <c r="P1300" s="61">
        <f t="shared" si="129"/>
        <v>1</v>
      </c>
      <c r="R1300" s="272"/>
      <c r="S1300" s="272"/>
      <c r="T1300" s="273" t="str">
        <f t="shared" si="130"/>
        <v>-</v>
      </c>
    </row>
    <row r="1301" spans="1:20">
      <c r="A1301" s="269"/>
      <c r="B1301" s="57"/>
      <c r="C1301" s="55"/>
      <c r="D1301" s="55"/>
      <c r="E1301" s="55"/>
      <c r="F1301" s="55"/>
      <c r="G1301" s="275"/>
      <c r="H1301" s="276"/>
      <c r="I1301" s="213"/>
      <c r="J1301" s="213"/>
      <c r="K1301" s="269"/>
      <c r="L1301" s="272">
        <f t="shared" si="126"/>
        <v>1900</v>
      </c>
      <c r="M1301" s="272">
        <f t="shared" si="127"/>
        <v>1</v>
      </c>
      <c r="N1301" s="273"/>
      <c r="O1301" s="61">
        <f t="shared" si="128"/>
        <v>1900</v>
      </c>
      <c r="P1301" s="61">
        <f t="shared" si="129"/>
        <v>1</v>
      </c>
      <c r="R1301" s="272"/>
      <c r="S1301" s="272"/>
      <c r="T1301" s="273" t="str">
        <f t="shared" si="130"/>
        <v>-</v>
      </c>
    </row>
    <row r="1302" spans="1:20">
      <c r="A1302" s="269"/>
      <c r="B1302" s="57"/>
      <c r="C1302" s="55"/>
      <c r="D1302" s="55"/>
      <c r="E1302" s="55"/>
      <c r="F1302" s="55"/>
      <c r="G1302" s="275"/>
      <c r="H1302" s="276"/>
      <c r="I1302" s="213"/>
      <c r="J1302" s="213"/>
      <c r="K1302" s="269"/>
      <c r="L1302" s="272">
        <f t="shared" si="126"/>
        <v>1900</v>
      </c>
      <c r="M1302" s="272">
        <f t="shared" si="127"/>
        <v>1</v>
      </c>
      <c r="N1302" s="273"/>
      <c r="O1302" s="61">
        <f t="shared" si="128"/>
        <v>1900</v>
      </c>
      <c r="P1302" s="61">
        <f t="shared" si="129"/>
        <v>1</v>
      </c>
      <c r="R1302" s="272"/>
      <c r="S1302" s="272"/>
      <c r="T1302" s="273" t="str">
        <f t="shared" si="130"/>
        <v>-</v>
      </c>
    </row>
    <row r="1303" spans="1:20">
      <c r="A1303" s="269"/>
      <c r="B1303" s="57"/>
      <c r="C1303" s="55"/>
      <c r="D1303" s="55"/>
      <c r="E1303" s="55"/>
      <c r="F1303" s="55"/>
      <c r="G1303" s="275"/>
      <c r="H1303" s="276"/>
      <c r="I1303" s="213"/>
      <c r="J1303" s="213"/>
      <c r="K1303" s="269"/>
      <c r="L1303" s="272">
        <f t="shared" si="126"/>
        <v>1900</v>
      </c>
      <c r="M1303" s="272">
        <f t="shared" si="127"/>
        <v>1</v>
      </c>
      <c r="N1303" s="273"/>
      <c r="O1303" s="61">
        <f t="shared" si="128"/>
        <v>1900</v>
      </c>
      <c r="P1303" s="61">
        <f t="shared" si="129"/>
        <v>1</v>
      </c>
      <c r="R1303" s="272"/>
      <c r="S1303" s="272"/>
      <c r="T1303" s="273" t="str">
        <f t="shared" si="130"/>
        <v>-</v>
      </c>
    </row>
    <row r="1304" spans="1:20">
      <c r="A1304" s="269"/>
      <c r="B1304" s="57"/>
      <c r="C1304" s="55"/>
      <c r="D1304" s="55"/>
      <c r="E1304" s="55"/>
      <c r="F1304" s="55"/>
      <c r="G1304" s="275"/>
      <c r="H1304" s="276"/>
      <c r="I1304" s="213"/>
      <c r="J1304" s="213"/>
      <c r="K1304" s="269"/>
      <c r="L1304" s="272">
        <f t="shared" si="126"/>
        <v>1900</v>
      </c>
      <c r="M1304" s="272">
        <f t="shared" si="127"/>
        <v>1</v>
      </c>
      <c r="N1304" s="273"/>
      <c r="O1304" s="61">
        <f t="shared" si="128"/>
        <v>1900</v>
      </c>
      <c r="P1304" s="61">
        <f t="shared" si="129"/>
        <v>1</v>
      </c>
      <c r="R1304" s="272"/>
      <c r="S1304" s="272"/>
      <c r="T1304" s="273" t="str">
        <f t="shared" si="130"/>
        <v>-</v>
      </c>
    </row>
    <row r="1305" spans="1:20">
      <c r="A1305" s="269"/>
      <c r="B1305" s="57"/>
      <c r="C1305" s="55"/>
      <c r="D1305" s="55"/>
      <c r="E1305" s="55"/>
      <c r="F1305" s="55"/>
      <c r="G1305" s="275"/>
      <c r="H1305" s="276"/>
      <c r="I1305" s="213"/>
      <c r="J1305" s="213"/>
      <c r="K1305" s="269"/>
      <c r="L1305" s="272">
        <f t="shared" si="126"/>
        <v>1900</v>
      </c>
      <c r="M1305" s="272">
        <f t="shared" si="127"/>
        <v>1</v>
      </c>
      <c r="N1305" s="273"/>
      <c r="O1305" s="61">
        <f t="shared" si="128"/>
        <v>1900</v>
      </c>
      <c r="P1305" s="61">
        <f t="shared" si="129"/>
        <v>1</v>
      </c>
      <c r="R1305" s="272"/>
      <c r="S1305" s="272"/>
      <c r="T1305" s="273" t="str">
        <f t="shared" si="130"/>
        <v>-</v>
      </c>
    </row>
    <row r="1306" spans="1:20">
      <c r="A1306" s="269"/>
      <c r="B1306" s="57"/>
      <c r="C1306" s="55"/>
      <c r="D1306" s="55"/>
      <c r="E1306" s="55"/>
      <c r="F1306" s="55"/>
      <c r="G1306" s="275"/>
      <c r="H1306" s="276"/>
      <c r="I1306" s="213"/>
      <c r="J1306" s="213"/>
      <c r="K1306" s="269"/>
      <c r="L1306" s="272">
        <f t="shared" si="126"/>
        <v>1900</v>
      </c>
      <c r="M1306" s="272">
        <f t="shared" si="127"/>
        <v>1</v>
      </c>
      <c r="N1306" s="273"/>
      <c r="O1306" s="61">
        <f t="shared" si="128"/>
        <v>1900</v>
      </c>
      <c r="P1306" s="61">
        <f t="shared" si="129"/>
        <v>1</v>
      </c>
      <c r="R1306" s="272"/>
      <c r="S1306" s="272"/>
      <c r="T1306" s="273" t="str">
        <f t="shared" si="130"/>
        <v>-</v>
      </c>
    </row>
    <row r="1307" spans="1:20">
      <c r="A1307" s="269"/>
      <c r="B1307" s="57"/>
      <c r="C1307" s="55"/>
      <c r="D1307" s="55"/>
      <c r="E1307" s="55"/>
      <c r="F1307" s="55"/>
      <c r="G1307" s="275"/>
      <c r="H1307" s="276"/>
      <c r="I1307" s="213"/>
      <c r="J1307" s="213"/>
      <c r="K1307" s="269"/>
      <c r="L1307" s="272">
        <f t="shared" si="126"/>
        <v>1900</v>
      </c>
      <c r="M1307" s="272">
        <f t="shared" si="127"/>
        <v>1</v>
      </c>
      <c r="N1307" s="273"/>
      <c r="O1307" s="61">
        <f t="shared" si="128"/>
        <v>1900</v>
      </c>
      <c r="P1307" s="61">
        <f t="shared" si="129"/>
        <v>1</v>
      </c>
      <c r="R1307" s="272"/>
      <c r="S1307" s="272"/>
      <c r="T1307" s="273" t="str">
        <f t="shared" si="130"/>
        <v>-</v>
      </c>
    </row>
    <row r="1308" spans="1:20">
      <c r="A1308" s="269"/>
      <c r="B1308" s="57"/>
      <c r="C1308" s="55"/>
      <c r="D1308" s="55"/>
      <c r="E1308" s="55"/>
      <c r="F1308" s="55"/>
      <c r="G1308" s="275"/>
      <c r="H1308" s="276"/>
      <c r="I1308" s="213"/>
      <c r="J1308" s="213"/>
      <c r="K1308" s="269"/>
      <c r="L1308" s="272">
        <f t="shared" si="126"/>
        <v>1900</v>
      </c>
      <c r="M1308" s="272">
        <f t="shared" si="127"/>
        <v>1</v>
      </c>
      <c r="N1308" s="273"/>
      <c r="O1308" s="61">
        <f t="shared" si="128"/>
        <v>1900</v>
      </c>
      <c r="P1308" s="61">
        <f t="shared" si="129"/>
        <v>1</v>
      </c>
      <c r="R1308" s="272"/>
      <c r="S1308" s="272"/>
      <c r="T1308" s="273" t="str">
        <f t="shared" si="130"/>
        <v>-</v>
      </c>
    </row>
    <row r="1309" spans="1:20">
      <c r="A1309" s="269"/>
      <c r="B1309" s="57"/>
      <c r="C1309" s="55"/>
      <c r="D1309" s="55"/>
      <c r="E1309" s="55"/>
      <c r="F1309" s="55"/>
      <c r="G1309" s="275"/>
      <c r="H1309" s="276"/>
      <c r="I1309" s="213"/>
      <c r="J1309" s="213"/>
      <c r="K1309" s="269"/>
      <c r="L1309" s="272">
        <f t="shared" si="126"/>
        <v>1900</v>
      </c>
      <c r="M1309" s="272">
        <f t="shared" si="127"/>
        <v>1</v>
      </c>
      <c r="N1309" s="273"/>
      <c r="O1309" s="61">
        <f t="shared" si="128"/>
        <v>1900</v>
      </c>
      <c r="P1309" s="61">
        <f t="shared" si="129"/>
        <v>1</v>
      </c>
      <c r="R1309" s="272"/>
      <c r="S1309" s="272"/>
      <c r="T1309" s="273" t="str">
        <f t="shared" si="130"/>
        <v>-</v>
      </c>
    </row>
    <row r="1310" spans="1:20">
      <c r="A1310" s="269"/>
      <c r="B1310" s="57"/>
      <c r="C1310" s="55"/>
      <c r="D1310" s="55"/>
      <c r="E1310" s="55"/>
      <c r="F1310" s="55"/>
      <c r="G1310" s="275"/>
      <c r="H1310" s="276"/>
      <c r="I1310" s="213"/>
      <c r="J1310" s="213"/>
      <c r="K1310" s="269"/>
      <c r="L1310" s="272">
        <f t="shared" si="126"/>
        <v>1900</v>
      </c>
      <c r="M1310" s="272">
        <f t="shared" si="127"/>
        <v>1</v>
      </c>
      <c r="N1310" s="273"/>
      <c r="O1310" s="61">
        <f t="shared" si="128"/>
        <v>1900</v>
      </c>
      <c r="P1310" s="61">
        <f t="shared" si="129"/>
        <v>1</v>
      </c>
      <c r="R1310" s="272"/>
      <c r="S1310" s="272"/>
      <c r="T1310" s="273" t="str">
        <f t="shared" si="130"/>
        <v>-</v>
      </c>
    </row>
    <row r="1311" spans="1:20">
      <c r="A1311" s="269"/>
      <c r="B1311" s="57"/>
      <c r="C1311" s="55"/>
      <c r="D1311" s="55"/>
      <c r="E1311" s="55"/>
      <c r="F1311" s="55"/>
      <c r="G1311" s="275"/>
      <c r="H1311" s="276"/>
      <c r="I1311" s="213"/>
      <c r="J1311" s="213"/>
      <c r="K1311" s="269"/>
      <c r="L1311" s="272">
        <f t="shared" si="126"/>
        <v>1900</v>
      </c>
      <c r="M1311" s="272">
        <f t="shared" si="127"/>
        <v>1</v>
      </c>
      <c r="N1311" s="273"/>
      <c r="O1311" s="61">
        <f t="shared" si="128"/>
        <v>1900</v>
      </c>
      <c r="P1311" s="61">
        <f t="shared" si="129"/>
        <v>1</v>
      </c>
      <c r="R1311" s="272"/>
      <c r="S1311" s="272"/>
      <c r="T1311" s="273" t="str">
        <f t="shared" si="130"/>
        <v>-</v>
      </c>
    </row>
    <row r="1312" spans="1:20">
      <c r="A1312" s="269"/>
      <c r="B1312" s="57"/>
      <c r="C1312" s="55"/>
      <c r="D1312" s="55"/>
      <c r="E1312" s="55"/>
      <c r="F1312" s="55"/>
      <c r="G1312" s="275"/>
      <c r="H1312" s="276"/>
      <c r="I1312" s="213"/>
      <c r="J1312" s="213"/>
      <c r="K1312" s="269"/>
      <c r="L1312" s="272">
        <f t="shared" si="126"/>
        <v>1900</v>
      </c>
      <c r="M1312" s="272">
        <f t="shared" si="127"/>
        <v>1</v>
      </c>
      <c r="N1312" s="273"/>
      <c r="O1312" s="61">
        <f t="shared" si="128"/>
        <v>1900</v>
      </c>
      <c r="P1312" s="61">
        <f t="shared" si="129"/>
        <v>1</v>
      </c>
      <c r="R1312" s="272"/>
      <c r="S1312" s="272"/>
      <c r="T1312" s="273" t="str">
        <f t="shared" si="130"/>
        <v>-</v>
      </c>
    </row>
    <row r="1313" spans="1:20">
      <c r="A1313" s="269"/>
      <c r="B1313" s="57"/>
      <c r="C1313" s="55"/>
      <c r="D1313" s="55"/>
      <c r="E1313" s="55"/>
      <c r="F1313" s="55"/>
      <c r="G1313" s="275"/>
      <c r="H1313" s="276"/>
      <c r="I1313" s="213"/>
      <c r="J1313" s="213"/>
      <c r="K1313" s="269"/>
      <c r="L1313" s="272">
        <f t="shared" si="126"/>
        <v>1900</v>
      </c>
      <c r="M1313" s="272">
        <f t="shared" si="127"/>
        <v>1</v>
      </c>
      <c r="N1313" s="273"/>
      <c r="O1313" s="61">
        <f t="shared" si="128"/>
        <v>1900</v>
      </c>
      <c r="P1313" s="61">
        <f t="shared" si="129"/>
        <v>1</v>
      </c>
      <c r="R1313" s="272"/>
      <c r="S1313" s="272"/>
      <c r="T1313" s="273" t="str">
        <f t="shared" si="130"/>
        <v>-</v>
      </c>
    </row>
    <row r="1314" spans="1:20">
      <c r="A1314" s="269"/>
      <c r="B1314" s="57"/>
      <c r="C1314" s="55"/>
      <c r="D1314" s="55"/>
      <c r="E1314" s="55"/>
      <c r="F1314" s="55"/>
      <c r="G1314" s="275"/>
      <c r="H1314" s="276"/>
      <c r="I1314" s="213"/>
      <c r="J1314" s="213"/>
      <c r="K1314" s="269"/>
      <c r="L1314" s="272">
        <f t="shared" si="126"/>
        <v>1900</v>
      </c>
      <c r="M1314" s="272">
        <f t="shared" si="127"/>
        <v>1</v>
      </c>
      <c r="N1314" s="273"/>
      <c r="O1314" s="61">
        <f t="shared" si="128"/>
        <v>1900</v>
      </c>
      <c r="P1314" s="61">
        <f t="shared" si="129"/>
        <v>1</v>
      </c>
      <c r="R1314" s="272"/>
      <c r="S1314" s="272"/>
      <c r="T1314" s="273" t="str">
        <f t="shared" si="130"/>
        <v>-</v>
      </c>
    </row>
    <row r="1315" spans="1:20">
      <c r="A1315" s="269"/>
      <c r="B1315" s="57"/>
      <c r="C1315" s="55"/>
      <c r="D1315" s="55"/>
      <c r="E1315" s="55"/>
      <c r="F1315" s="55"/>
      <c r="G1315" s="275"/>
      <c r="H1315" s="276"/>
      <c r="I1315" s="213"/>
      <c r="J1315" s="213"/>
      <c r="K1315" s="269"/>
      <c r="L1315" s="272">
        <f t="shared" si="126"/>
        <v>1900</v>
      </c>
      <c r="M1315" s="272">
        <f t="shared" si="127"/>
        <v>1</v>
      </c>
      <c r="N1315" s="273"/>
      <c r="O1315" s="61">
        <f t="shared" si="128"/>
        <v>1900</v>
      </c>
      <c r="P1315" s="61">
        <f t="shared" si="129"/>
        <v>1</v>
      </c>
      <c r="R1315" s="272"/>
      <c r="S1315" s="272"/>
      <c r="T1315" s="273" t="str">
        <f t="shared" si="130"/>
        <v>-</v>
      </c>
    </row>
    <row r="1316" spans="1:20">
      <c r="A1316" s="269"/>
      <c r="B1316" s="57"/>
      <c r="C1316" s="55"/>
      <c r="D1316" s="55"/>
      <c r="E1316" s="55"/>
      <c r="F1316" s="55"/>
      <c r="G1316" s="275"/>
      <c r="H1316" s="276"/>
      <c r="I1316" s="213"/>
      <c r="J1316" s="213"/>
      <c r="K1316" s="269"/>
      <c r="L1316" s="272">
        <f t="shared" si="126"/>
        <v>1900</v>
      </c>
      <c r="M1316" s="272">
        <f t="shared" si="127"/>
        <v>1</v>
      </c>
      <c r="N1316" s="273"/>
      <c r="O1316" s="61">
        <f t="shared" si="128"/>
        <v>1900</v>
      </c>
      <c r="P1316" s="61">
        <f t="shared" si="129"/>
        <v>1</v>
      </c>
      <c r="R1316" s="272"/>
      <c r="S1316" s="272"/>
      <c r="T1316" s="273" t="str">
        <f t="shared" si="130"/>
        <v>-</v>
      </c>
    </row>
    <row r="1317" spans="1:20">
      <c r="A1317" s="269"/>
      <c r="B1317" s="57"/>
      <c r="C1317" s="55"/>
      <c r="D1317" s="55"/>
      <c r="E1317" s="55"/>
      <c r="F1317" s="55"/>
      <c r="G1317" s="275"/>
      <c r="H1317" s="276"/>
      <c r="I1317" s="213"/>
      <c r="J1317" s="213"/>
      <c r="K1317" s="269"/>
      <c r="L1317" s="272">
        <f t="shared" si="126"/>
        <v>1900</v>
      </c>
      <c r="M1317" s="272">
        <f t="shared" si="127"/>
        <v>1</v>
      </c>
      <c r="N1317" s="273"/>
      <c r="O1317" s="61">
        <f t="shared" si="128"/>
        <v>1900</v>
      </c>
      <c r="P1317" s="61">
        <f t="shared" si="129"/>
        <v>1</v>
      </c>
      <c r="R1317" s="272"/>
      <c r="S1317" s="272"/>
      <c r="T1317" s="273" t="str">
        <f t="shared" si="130"/>
        <v>-</v>
      </c>
    </row>
    <row r="1318" spans="1:20">
      <c r="A1318" s="269"/>
      <c r="B1318" s="57"/>
      <c r="C1318" s="55"/>
      <c r="D1318" s="55"/>
      <c r="E1318" s="55"/>
      <c r="F1318" s="55"/>
      <c r="G1318" s="275"/>
      <c r="H1318" s="276"/>
      <c r="I1318" s="213"/>
      <c r="J1318" s="213"/>
      <c r="K1318" s="269"/>
      <c r="L1318" s="272">
        <f t="shared" si="126"/>
        <v>1900</v>
      </c>
      <c r="M1318" s="272">
        <f t="shared" si="127"/>
        <v>1</v>
      </c>
      <c r="N1318" s="273"/>
      <c r="O1318" s="61">
        <f t="shared" si="128"/>
        <v>1900</v>
      </c>
      <c r="P1318" s="61">
        <f t="shared" si="129"/>
        <v>1</v>
      </c>
      <c r="R1318" s="272"/>
      <c r="S1318" s="272"/>
      <c r="T1318" s="273" t="str">
        <f t="shared" si="130"/>
        <v>-</v>
      </c>
    </row>
    <row r="1319" spans="1:20">
      <c r="A1319" s="269"/>
      <c r="B1319" s="57"/>
      <c r="C1319" s="55"/>
      <c r="D1319" s="55"/>
      <c r="E1319" s="55"/>
      <c r="F1319" s="55"/>
      <c r="G1319" s="275"/>
      <c r="H1319" s="276"/>
      <c r="I1319" s="213"/>
      <c r="J1319" s="213"/>
      <c r="K1319" s="269"/>
      <c r="L1319" s="272">
        <f t="shared" si="126"/>
        <v>1900</v>
      </c>
      <c r="M1319" s="272">
        <f t="shared" si="127"/>
        <v>1</v>
      </c>
      <c r="N1319" s="273"/>
      <c r="O1319" s="61">
        <f t="shared" si="128"/>
        <v>1900</v>
      </c>
      <c r="P1319" s="61">
        <f t="shared" si="129"/>
        <v>1</v>
      </c>
      <c r="R1319" s="272"/>
      <c r="S1319" s="272"/>
      <c r="T1319" s="273" t="str">
        <f t="shared" si="130"/>
        <v>-</v>
      </c>
    </row>
    <row r="1320" spans="1:20">
      <c r="A1320" s="269"/>
      <c r="B1320" s="57"/>
      <c r="C1320" s="55"/>
      <c r="D1320" s="55"/>
      <c r="E1320" s="55"/>
      <c r="F1320" s="55"/>
      <c r="G1320" s="275"/>
      <c r="H1320" s="276"/>
      <c r="I1320" s="213"/>
      <c r="J1320" s="213"/>
      <c r="K1320" s="269"/>
      <c r="L1320" s="272">
        <f t="shared" si="126"/>
        <v>1900</v>
      </c>
      <c r="M1320" s="272">
        <f t="shared" si="127"/>
        <v>1</v>
      </c>
      <c r="N1320" s="273"/>
      <c r="O1320" s="61">
        <f t="shared" si="128"/>
        <v>1900</v>
      </c>
      <c r="P1320" s="61">
        <f t="shared" si="129"/>
        <v>1</v>
      </c>
      <c r="R1320" s="272"/>
      <c r="S1320" s="272"/>
      <c r="T1320" s="273" t="str">
        <f t="shared" si="130"/>
        <v>-</v>
      </c>
    </row>
    <row r="1321" spans="1:20">
      <c r="A1321" s="269"/>
      <c r="B1321" s="57"/>
      <c r="C1321" s="55"/>
      <c r="D1321" s="55"/>
      <c r="E1321" s="55"/>
      <c r="F1321" s="55"/>
      <c r="G1321" s="275"/>
      <c r="H1321" s="276"/>
      <c r="I1321" s="213"/>
      <c r="J1321" s="213"/>
      <c r="K1321" s="269"/>
      <c r="L1321" s="272">
        <f t="shared" si="126"/>
        <v>1900</v>
      </c>
      <c r="M1321" s="272">
        <f t="shared" si="127"/>
        <v>1</v>
      </c>
      <c r="N1321" s="273"/>
      <c r="O1321" s="61">
        <f t="shared" si="128"/>
        <v>1900</v>
      </c>
      <c r="P1321" s="61">
        <f t="shared" si="129"/>
        <v>1</v>
      </c>
      <c r="R1321" s="272"/>
      <c r="S1321" s="272"/>
      <c r="T1321" s="273" t="str">
        <f t="shared" si="130"/>
        <v>-</v>
      </c>
    </row>
    <row r="1322" spans="1:20">
      <c r="A1322" s="269"/>
      <c r="B1322" s="57"/>
      <c r="C1322" s="55"/>
      <c r="D1322" s="55"/>
      <c r="E1322" s="55"/>
      <c r="F1322" s="55"/>
      <c r="G1322" s="275"/>
      <c r="H1322" s="276"/>
      <c r="I1322" s="213"/>
      <c r="J1322" s="213"/>
      <c r="K1322" s="269"/>
      <c r="L1322" s="272">
        <f t="shared" si="126"/>
        <v>1900</v>
      </c>
      <c r="M1322" s="272">
        <f t="shared" si="127"/>
        <v>1</v>
      </c>
      <c r="N1322" s="273"/>
      <c r="O1322" s="61">
        <f t="shared" si="128"/>
        <v>1900</v>
      </c>
      <c r="P1322" s="61">
        <f t="shared" si="129"/>
        <v>1</v>
      </c>
      <c r="R1322" s="272"/>
      <c r="S1322" s="272"/>
      <c r="T1322" s="273" t="str">
        <f t="shared" si="130"/>
        <v>-</v>
      </c>
    </row>
    <row r="1323" spans="1:20">
      <c r="A1323" s="269"/>
      <c r="B1323" s="57"/>
      <c r="C1323" s="55"/>
      <c r="D1323" s="55"/>
      <c r="E1323" s="55"/>
      <c r="F1323" s="55"/>
      <c r="G1323" s="275"/>
      <c r="H1323" s="276"/>
      <c r="I1323" s="213"/>
      <c r="J1323" s="213"/>
      <c r="K1323" s="269"/>
      <c r="L1323" s="272">
        <f t="shared" si="126"/>
        <v>1900</v>
      </c>
      <c r="M1323" s="272">
        <f t="shared" si="127"/>
        <v>1</v>
      </c>
      <c r="N1323" s="273"/>
      <c r="O1323" s="61">
        <f t="shared" si="128"/>
        <v>1900</v>
      </c>
      <c r="P1323" s="61">
        <f t="shared" si="129"/>
        <v>1</v>
      </c>
      <c r="R1323" s="272"/>
      <c r="S1323" s="272"/>
      <c r="T1323" s="273" t="str">
        <f t="shared" si="130"/>
        <v>-</v>
      </c>
    </row>
    <row r="1324" spans="1:20">
      <c r="A1324" s="269"/>
      <c r="B1324" s="57"/>
      <c r="C1324" s="55"/>
      <c r="D1324" s="55"/>
      <c r="E1324" s="55"/>
      <c r="F1324" s="55"/>
      <c r="G1324" s="275"/>
      <c r="H1324" s="276"/>
      <c r="I1324" s="213"/>
      <c r="J1324" s="213"/>
      <c r="K1324" s="269"/>
      <c r="L1324" s="272">
        <f t="shared" si="126"/>
        <v>1900</v>
      </c>
      <c r="M1324" s="272">
        <f t="shared" si="127"/>
        <v>1</v>
      </c>
      <c r="N1324" s="273"/>
      <c r="O1324" s="61">
        <f t="shared" si="128"/>
        <v>1900</v>
      </c>
      <c r="P1324" s="61">
        <f t="shared" si="129"/>
        <v>1</v>
      </c>
      <c r="R1324" s="272"/>
      <c r="S1324" s="272"/>
      <c r="T1324" s="273" t="str">
        <f t="shared" si="130"/>
        <v>-</v>
      </c>
    </row>
    <row r="1325" spans="1:20">
      <c r="A1325" s="269"/>
      <c r="B1325" s="57"/>
      <c r="C1325" s="55"/>
      <c r="D1325" s="55"/>
      <c r="E1325" s="55"/>
      <c r="F1325" s="55"/>
      <c r="G1325" s="275"/>
      <c r="H1325" s="276"/>
      <c r="I1325" s="213"/>
      <c r="J1325" s="213"/>
      <c r="K1325" s="269"/>
      <c r="L1325" s="272">
        <f t="shared" si="126"/>
        <v>1900</v>
      </c>
      <c r="M1325" s="272">
        <f t="shared" si="127"/>
        <v>1</v>
      </c>
      <c r="N1325" s="273"/>
      <c r="O1325" s="61">
        <f t="shared" si="128"/>
        <v>1900</v>
      </c>
      <c r="P1325" s="61">
        <f t="shared" si="129"/>
        <v>1</v>
      </c>
      <c r="R1325" s="272"/>
      <c r="S1325" s="272"/>
      <c r="T1325" s="273" t="str">
        <f t="shared" si="130"/>
        <v>-</v>
      </c>
    </row>
    <row r="1326" spans="1:20">
      <c r="A1326" s="269"/>
      <c r="B1326" s="57"/>
      <c r="C1326" s="55"/>
      <c r="D1326" s="55"/>
      <c r="E1326" s="55"/>
      <c r="F1326" s="55"/>
      <c r="G1326" s="275"/>
      <c r="H1326" s="276"/>
      <c r="I1326" s="213"/>
      <c r="J1326" s="213"/>
      <c r="K1326" s="269"/>
      <c r="L1326" s="272">
        <f t="shared" si="126"/>
        <v>1900</v>
      </c>
      <c r="M1326" s="272">
        <f t="shared" si="127"/>
        <v>1</v>
      </c>
      <c r="N1326" s="273"/>
      <c r="O1326" s="61">
        <f t="shared" si="128"/>
        <v>1900</v>
      </c>
      <c r="P1326" s="61">
        <f t="shared" si="129"/>
        <v>1</v>
      </c>
      <c r="R1326" s="272"/>
      <c r="S1326" s="272"/>
      <c r="T1326" s="273" t="str">
        <f t="shared" si="130"/>
        <v>-</v>
      </c>
    </row>
    <row r="1327" spans="1:20">
      <c r="A1327" s="269"/>
      <c r="B1327" s="57"/>
      <c r="C1327" s="55"/>
      <c r="D1327" s="55"/>
      <c r="E1327" s="55"/>
      <c r="F1327" s="55"/>
      <c r="G1327" s="275"/>
      <c r="H1327" s="276"/>
      <c r="I1327" s="213"/>
      <c r="J1327" s="213"/>
      <c r="K1327" s="269"/>
      <c r="L1327" s="272">
        <f t="shared" si="126"/>
        <v>1900</v>
      </c>
      <c r="M1327" s="272">
        <f t="shared" si="127"/>
        <v>1</v>
      </c>
      <c r="N1327" s="273"/>
      <c r="O1327" s="61">
        <f t="shared" si="128"/>
        <v>1900</v>
      </c>
      <c r="P1327" s="61">
        <f t="shared" si="129"/>
        <v>1</v>
      </c>
      <c r="R1327" s="272"/>
      <c r="S1327" s="272"/>
      <c r="T1327" s="273" t="str">
        <f t="shared" si="130"/>
        <v>-</v>
      </c>
    </row>
    <row r="1328" spans="1:20">
      <c r="A1328" s="269"/>
      <c r="B1328" s="57"/>
      <c r="C1328" s="55"/>
      <c r="D1328" s="55"/>
      <c r="E1328" s="55"/>
      <c r="F1328" s="55"/>
      <c r="G1328" s="275"/>
      <c r="H1328" s="276"/>
      <c r="I1328" s="213"/>
      <c r="J1328" s="213"/>
      <c r="K1328" s="269"/>
      <c r="L1328" s="272">
        <f t="shared" si="126"/>
        <v>1900</v>
      </c>
      <c r="M1328" s="272">
        <f t="shared" si="127"/>
        <v>1</v>
      </c>
      <c r="N1328" s="273"/>
      <c r="O1328" s="61">
        <f t="shared" si="128"/>
        <v>1900</v>
      </c>
      <c r="P1328" s="61">
        <f t="shared" si="129"/>
        <v>1</v>
      </c>
      <c r="R1328" s="272"/>
      <c r="S1328" s="272"/>
      <c r="T1328" s="273" t="str">
        <f t="shared" si="130"/>
        <v>-</v>
      </c>
    </row>
    <row r="1329" spans="1:20">
      <c r="A1329" s="269"/>
      <c r="B1329" s="57"/>
      <c r="C1329" s="55"/>
      <c r="D1329" s="55"/>
      <c r="E1329" s="55"/>
      <c r="F1329" s="55"/>
      <c r="G1329" s="275"/>
      <c r="H1329" s="276"/>
      <c r="I1329" s="213"/>
      <c r="J1329" s="213"/>
      <c r="K1329" s="269"/>
      <c r="L1329" s="272">
        <f t="shared" si="126"/>
        <v>1900</v>
      </c>
      <c r="M1329" s="272">
        <f t="shared" si="127"/>
        <v>1</v>
      </c>
      <c r="N1329" s="273"/>
      <c r="O1329" s="61">
        <f t="shared" si="128"/>
        <v>1900</v>
      </c>
      <c r="P1329" s="61">
        <f t="shared" si="129"/>
        <v>1</v>
      </c>
      <c r="R1329" s="272"/>
      <c r="S1329" s="272"/>
      <c r="T1329" s="273" t="str">
        <f t="shared" si="130"/>
        <v>-</v>
      </c>
    </row>
    <row r="1330" spans="1:20">
      <c r="A1330" s="269"/>
      <c r="B1330" s="57"/>
      <c r="C1330" s="55"/>
      <c r="D1330" s="55"/>
      <c r="E1330" s="55"/>
      <c r="F1330" s="55"/>
      <c r="G1330" s="275"/>
      <c r="H1330" s="276"/>
      <c r="I1330" s="213"/>
      <c r="J1330" s="213"/>
      <c r="K1330" s="269"/>
      <c r="L1330" s="272">
        <f t="shared" si="126"/>
        <v>1900</v>
      </c>
      <c r="M1330" s="272">
        <f t="shared" si="127"/>
        <v>1</v>
      </c>
      <c r="N1330" s="273"/>
      <c r="O1330" s="61">
        <f t="shared" si="128"/>
        <v>1900</v>
      </c>
      <c r="P1330" s="61">
        <f t="shared" si="129"/>
        <v>1</v>
      </c>
      <c r="R1330" s="272"/>
      <c r="S1330" s="272"/>
      <c r="T1330" s="273" t="str">
        <f t="shared" si="130"/>
        <v>-</v>
      </c>
    </row>
    <row r="1331" spans="1:20">
      <c r="A1331" s="269"/>
      <c r="B1331" s="57"/>
      <c r="C1331" s="55"/>
      <c r="D1331" s="55"/>
      <c r="E1331" s="55"/>
      <c r="F1331" s="55"/>
      <c r="G1331" s="275"/>
      <c r="H1331" s="276"/>
      <c r="I1331" s="213"/>
      <c r="J1331" s="213"/>
      <c r="K1331" s="269"/>
      <c r="L1331" s="272">
        <f t="shared" si="126"/>
        <v>1900</v>
      </c>
      <c r="M1331" s="272">
        <f t="shared" si="127"/>
        <v>1</v>
      </c>
      <c r="N1331" s="273"/>
      <c r="O1331" s="61">
        <f t="shared" si="128"/>
        <v>1900</v>
      </c>
      <c r="P1331" s="61">
        <f t="shared" si="129"/>
        <v>1</v>
      </c>
      <c r="R1331" s="272"/>
      <c r="S1331" s="272"/>
      <c r="T1331" s="273" t="str">
        <f t="shared" si="130"/>
        <v>-</v>
      </c>
    </row>
    <row r="1332" spans="1:20">
      <c r="A1332" s="269"/>
      <c r="B1332" s="57"/>
      <c r="C1332" s="55"/>
      <c r="D1332" s="55"/>
      <c r="E1332" s="55"/>
      <c r="F1332" s="55"/>
      <c r="G1332" s="275"/>
      <c r="H1332" s="276"/>
      <c r="I1332" s="213"/>
      <c r="J1332" s="213"/>
      <c r="K1332" s="269"/>
      <c r="L1332" s="272">
        <f t="shared" si="126"/>
        <v>1900</v>
      </c>
      <c r="M1332" s="272">
        <f t="shared" si="127"/>
        <v>1</v>
      </c>
      <c r="N1332" s="273"/>
      <c r="O1332" s="61">
        <f t="shared" si="128"/>
        <v>1900</v>
      </c>
      <c r="P1332" s="61">
        <f t="shared" si="129"/>
        <v>1</v>
      </c>
      <c r="R1332" s="272"/>
      <c r="S1332" s="272"/>
      <c r="T1332" s="273" t="str">
        <f t="shared" si="130"/>
        <v>-</v>
      </c>
    </row>
    <row r="1333" spans="1:20">
      <c r="A1333" s="269"/>
      <c r="B1333" s="57"/>
      <c r="C1333" s="55"/>
      <c r="D1333" s="55"/>
      <c r="E1333" s="55"/>
      <c r="F1333" s="55"/>
      <c r="G1333" s="275"/>
      <c r="H1333" s="276"/>
      <c r="I1333" s="213"/>
      <c r="J1333" s="213"/>
      <c r="K1333" s="269"/>
      <c r="L1333" s="272">
        <f t="shared" si="126"/>
        <v>1900</v>
      </c>
      <c r="M1333" s="272">
        <f t="shared" si="127"/>
        <v>1</v>
      </c>
      <c r="N1333" s="273"/>
      <c r="O1333" s="61">
        <f t="shared" si="128"/>
        <v>1900</v>
      </c>
      <c r="P1333" s="61">
        <f t="shared" si="129"/>
        <v>1</v>
      </c>
      <c r="R1333" s="272"/>
      <c r="S1333" s="272"/>
      <c r="T1333" s="273" t="str">
        <f t="shared" si="130"/>
        <v>-</v>
      </c>
    </row>
    <row r="1334" spans="1:20">
      <c r="A1334" s="269"/>
      <c r="B1334" s="57"/>
      <c r="C1334" s="55"/>
      <c r="D1334" s="55"/>
      <c r="E1334" s="55"/>
      <c r="F1334" s="55"/>
      <c r="G1334" s="275"/>
      <c r="H1334" s="276"/>
      <c r="I1334" s="213"/>
      <c r="J1334" s="213"/>
      <c r="K1334" s="269"/>
      <c r="L1334" s="272">
        <f t="shared" si="126"/>
        <v>1900</v>
      </c>
      <c r="M1334" s="272">
        <f t="shared" si="127"/>
        <v>1</v>
      </c>
      <c r="N1334" s="273"/>
      <c r="O1334" s="61">
        <f t="shared" si="128"/>
        <v>1900</v>
      </c>
      <c r="P1334" s="61">
        <f t="shared" si="129"/>
        <v>1</v>
      </c>
      <c r="R1334" s="272"/>
      <c r="S1334" s="272"/>
      <c r="T1334" s="273" t="str">
        <f t="shared" si="130"/>
        <v>-</v>
      </c>
    </row>
    <row r="1335" spans="1:20">
      <c r="A1335" s="269"/>
      <c r="B1335" s="57"/>
      <c r="C1335" s="55"/>
      <c r="D1335" s="55"/>
      <c r="E1335" s="55"/>
      <c r="F1335" s="55"/>
      <c r="G1335" s="275"/>
      <c r="H1335" s="276"/>
      <c r="I1335" s="213"/>
      <c r="J1335" s="213"/>
      <c r="K1335" s="269"/>
      <c r="L1335" s="272">
        <f t="shared" si="126"/>
        <v>1900</v>
      </c>
      <c r="M1335" s="272">
        <f t="shared" si="127"/>
        <v>1</v>
      </c>
      <c r="N1335" s="273"/>
      <c r="O1335" s="61">
        <f t="shared" si="128"/>
        <v>1900</v>
      </c>
      <c r="P1335" s="61">
        <f t="shared" si="129"/>
        <v>1</v>
      </c>
      <c r="R1335" s="272"/>
      <c r="S1335" s="272"/>
      <c r="T1335" s="273" t="str">
        <f t="shared" si="130"/>
        <v>-</v>
      </c>
    </row>
    <row r="1336" spans="1:20">
      <c r="A1336" s="269"/>
      <c r="B1336" s="57"/>
      <c r="C1336" s="55"/>
      <c r="D1336" s="55"/>
      <c r="E1336" s="55"/>
      <c r="F1336" s="55"/>
      <c r="G1336" s="275"/>
      <c r="H1336" s="276"/>
      <c r="I1336" s="213"/>
      <c r="J1336" s="213"/>
      <c r="K1336" s="269"/>
      <c r="L1336" s="272">
        <f t="shared" si="126"/>
        <v>1900</v>
      </c>
      <c r="M1336" s="272">
        <f t="shared" si="127"/>
        <v>1</v>
      </c>
      <c r="N1336" s="273"/>
      <c r="O1336" s="61">
        <f t="shared" si="128"/>
        <v>1900</v>
      </c>
      <c r="P1336" s="61">
        <f t="shared" si="129"/>
        <v>1</v>
      </c>
      <c r="R1336" s="272"/>
      <c r="S1336" s="272"/>
      <c r="T1336" s="273" t="str">
        <f t="shared" si="130"/>
        <v>-</v>
      </c>
    </row>
    <row r="1337" spans="1:20">
      <c r="A1337" s="269"/>
      <c r="B1337" s="57"/>
      <c r="C1337" s="55"/>
      <c r="D1337" s="55"/>
      <c r="E1337" s="55"/>
      <c r="F1337" s="55"/>
      <c r="G1337" s="275"/>
      <c r="H1337" s="276"/>
      <c r="I1337" s="213"/>
      <c r="J1337" s="213"/>
      <c r="K1337" s="269"/>
      <c r="L1337" s="272">
        <f t="shared" si="126"/>
        <v>1900</v>
      </c>
      <c r="M1337" s="272">
        <f t="shared" si="127"/>
        <v>1</v>
      </c>
      <c r="N1337" s="273"/>
      <c r="O1337" s="61">
        <f t="shared" si="128"/>
        <v>1900</v>
      </c>
      <c r="P1337" s="61">
        <f t="shared" si="129"/>
        <v>1</v>
      </c>
      <c r="R1337" s="272"/>
      <c r="S1337" s="272"/>
      <c r="T1337" s="273" t="str">
        <f t="shared" si="130"/>
        <v>-</v>
      </c>
    </row>
    <row r="1338" spans="1:20">
      <c r="A1338" s="269"/>
      <c r="B1338" s="57"/>
      <c r="C1338" s="55"/>
      <c r="D1338" s="55"/>
      <c r="E1338" s="55"/>
      <c r="F1338" s="55"/>
      <c r="G1338" s="275"/>
      <c r="H1338" s="276"/>
      <c r="I1338" s="213"/>
      <c r="J1338" s="213"/>
      <c r="K1338" s="269"/>
      <c r="L1338" s="272">
        <f t="shared" si="126"/>
        <v>1900</v>
      </c>
      <c r="M1338" s="272">
        <f t="shared" si="127"/>
        <v>1</v>
      </c>
      <c r="N1338" s="273"/>
      <c r="O1338" s="61">
        <f t="shared" si="128"/>
        <v>1900</v>
      </c>
      <c r="P1338" s="61">
        <f t="shared" si="129"/>
        <v>1</v>
      </c>
      <c r="R1338" s="272"/>
      <c r="S1338" s="272"/>
      <c r="T1338" s="273" t="str">
        <f t="shared" si="130"/>
        <v>-</v>
      </c>
    </row>
    <row r="1339" spans="1:20">
      <c r="A1339" s="269"/>
      <c r="B1339" s="57"/>
      <c r="C1339" s="55"/>
      <c r="D1339" s="55"/>
      <c r="E1339" s="55"/>
      <c r="F1339" s="55"/>
      <c r="G1339" s="275"/>
      <c r="H1339" s="276"/>
      <c r="I1339" s="213"/>
      <c r="J1339" s="213"/>
      <c r="K1339" s="269"/>
      <c r="L1339" s="272">
        <f t="shared" si="126"/>
        <v>1900</v>
      </c>
      <c r="M1339" s="272">
        <f t="shared" si="127"/>
        <v>1</v>
      </c>
      <c r="N1339" s="273"/>
      <c r="O1339" s="61">
        <f t="shared" si="128"/>
        <v>1900</v>
      </c>
      <c r="P1339" s="61">
        <f t="shared" si="129"/>
        <v>1</v>
      </c>
      <c r="R1339" s="272"/>
      <c r="S1339" s="272"/>
      <c r="T1339" s="273" t="str">
        <f t="shared" si="130"/>
        <v>-</v>
      </c>
    </row>
    <row r="1340" spans="1:20">
      <c r="A1340" s="269"/>
      <c r="B1340" s="57"/>
      <c r="C1340" s="55"/>
      <c r="D1340" s="55"/>
      <c r="E1340" s="55"/>
      <c r="F1340" s="55"/>
      <c r="G1340" s="275"/>
      <c r="H1340" s="276"/>
      <c r="I1340" s="213"/>
      <c r="J1340" s="213"/>
      <c r="K1340" s="269"/>
      <c r="L1340" s="272">
        <f t="shared" si="126"/>
        <v>1900</v>
      </c>
      <c r="M1340" s="272">
        <f t="shared" si="127"/>
        <v>1</v>
      </c>
      <c r="N1340" s="273"/>
      <c r="O1340" s="61">
        <f t="shared" si="128"/>
        <v>1900</v>
      </c>
      <c r="P1340" s="61">
        <f t="shared" si="129"/>
        <v>1</v>
      </c>
      <c r="R1340" s="272"/>
      <c r="S1340" s="272"/>
      <c r="T1340" s="273" t="str">
        <f t="shared" si="130"/>
        <v>-</v>
      </c>
    </row>
    <row r="1341" spans="1:20">
      <c r="A1341" s="269"/>
      <c r="B1341" s="57"/>
      <c r="C1341" s="55"/>
      <c r="D1341" s="55"/>
      <c r="E1341" s="55"/>
      <c r="F1341" s="55"/>
      <c r="G1341" s="275"/>
      <c r="H1341" s="276"/>
      <c r="I1341" s="213"/>
      <c r="J1341" s="213"/>
      <c r="K1341" s="269"/>
      <c r="L1341" s="272">
        <f t="shared" si="126"/>
        <v>1900</v>
      </c>
      <c r="M1341" s="272">
        <f t="shared" si="127"/>
        <v>1</v>
      </c>
      <c r="N1341" s="273"/>
      <c r="O1341" s="61">
        <f t="shared" si="128"/>
        <v>1900</v>
      </c>
      <c r="P1341" s="61">
        <f t="shared" si="129"/>
        <v>1</v>
      </c>
      <c r="R1341" s="272"/>
      <c r="S1341" s="272"/>
      <c r="T1341" s="273" t="str">
        <f t="shared" si="130"/>
        <v>-</v>
      </c>
    </row>
    <row r="1342" spans="1:20">
      <c r="A1342" s="269"/>
      <c r="B1342" s="277"/>
      <c r="C1342" s="55"/>
      <c r="D1342" s="55"/>
      <c r="E1342" s="55"/>
      <c r="F1342" s="55"/>
      <c r="G1342" s="275"/>
      <c r="H1342" s="276"/>
      <c r="I1342" s="213"/>
      <c r="J1342" s="213"/>
      <c r="K1342" s="269"/>
      <c r="L1342" s="272">
        <f t="shared" si="126"/>
        <v>1900</v>
      </c>
      <c r="M1342" s="272">
        <f t="shared" si="127"/>
        <v>1</v>
      </c>
      <c r="N1342" s="273"/>
      <c r="O1342" s="61">
        <f t="shared" si="128"/>
        <v>1900</v>
      </c>
      <c r="P1342" s="61">
        <f t="shared" si="129"/>
        <v>1</v>
      </c>
      <c r="R1342" s="272"/>
      <c r="S1342" s="272"/>
      <c r="T1342" s="273" t="str">
        <f t="shared" si="130"/>
        <v>-</v>
      </c>
    </row>
    <row r="1343" spans="1:20">
      <c r="A1343" s="269"/>
      <c r="B1343" s="277"/>
      <c r="C1343" s="55"/>
      <c r="D1343" s="55"/>
      <c r="E1343" s="55"/>
      <c r="F1343" s="55"/>
      <c r="G1343" s="275"/>
      <c r="H1343" s="276"/>
      <c r="I1343" s="213"/>
      <c r="J1343" s="213"/>
      <c r="K1343" s="269"/>
      <c r="L1343" s="272">
        <f t="shared" si="126"/>
        <v>1900</v>
      </c>
      <c r="M1343" s="272">
        <f t="shared" si="127"/>
        <v>1</v>
      </c>
      <c r="N1343" s="273"/>
      <c r="O1343" s="61">
        <f t="shared" si="128"/>
        <v>1900</v>
      </c>
      <c r="P1343" s="61">
        <f t="shared" si="129"/>
        <v>1</v>
      </c>
      <c r="R1343" s="272"/>
      <c r="S1343" s="272"/>
      <c r="T1343" s="273" t="str">
        <f t="shared" si="130"/>
        <v>-</v>
      </c>
    </row>
    <row r="1344" spans="1:20">
      <c r="A1344" s="269"/>
      <c r="B1344" s="277"/>
      <c r="C1344" s="55"/>
      <c r="D1344" s="55"/>
      <c r="E1344" s="55"/>
      <c r="F1344" s="55"/>
      <c r="G1344" s="275"/>
      <c r="H1344" s="276"/>
      <c r="I1344" s="213"/>
      <c r="J1344" s="213"/>
      <c r="K1344" s="269"/>
      <c r="L1344" s="272">
        <f t="shared" si="126"/>
        <v>1900</v>
      </c>
      <c r="M1344" s="272">
        <f t="shared" si="127"/>
        <v>1</v>
      </c>
      <c r="N1344" s="273"/>
      <c r="O1344" s="61">
        <f t="shared" si="128"/>
        <v>1900</v>
      </c>
      <c r="P1344" s="61">
        <f t="shared" si="129"/>
        <v>1</v>
      </c>
      <c r="R1344" s="272"/>
      <c r="S1344" s="272"/>
      <c r="T1344" s="273" t="str">
        <f t="shared" si="130"/>
        <v>-</v>
      </c>
    </row>
    <row r="1345" spans="1:20">
      <c r="A1345" s="269"/>
      <c r="B1345" s="277"/>
      <c r="C1345" s="55"/>
      <c r="D1345" s="55"/>
      <c r="E1345" s="55"/>
      <c r="F1345" s="55"/>
      <c r="G1345" s="275"/>
      <c r="H1345" s="276"/>
      <c r="I1345" s="213"/>
      <c r="J1345" s="213"/>
      <c r="K1345" s="269"/>
      <c r="L1345" s="272">
        <f t="shared" si="126"/>
        <v>1900</v>
      </c>
      <c r="M1345" s="272">
        <f t="shared" si="127"/>
        <v>1</v>
      </c>
      <c r="N1345" s="273"/>
      <c r="O1345" s="61">
        <f t="shared" si="128"/>
        <v>1900</v>
      </c>
      <c r="P1345" s="61">
        <f t="shared" si="129"/>
        <v>1</v>
      </c>
      <c r="R1345" s="272"/>
      <c r="S1345" s="272"/>
      <c r="T1345" s="273" t="str">
        <f t="shared" si="130"/>
        <v>-</v>
      </c>
    </row>
    <row r="1346" spans="1:20">
      <c r="A1346" s="269"/>
      <c r="B1346" s="277"/>
      <c r="C1346" s="55"/>
      <c r="D1346" s="55"/>
      <c r="E1346" s="55"/>
      <c r="F1346" s="55"/>
      <c r="G1346" s="275"/>
      <c r="H1346" s="276"/>
      <c r="I1346" s="213"/>
      <c r="J1346" s="213"/>
      <c r="K1346" s="269"/>
      <c r="L1346" s="272">
        <f t="shared" si="126"/>
        <v>1900</v>
      </c>
      <c r="M1346" s="272">
        <f t="shared" si="127"/>
        <v>1</v>
      </c>
      <c r="N1346" s="273"/>
      <c r="O1346" s="61">
        <f t="shared" si="128"/>
        <v>1900</v>
      </c>
      <c r="P1346" s="61">
        <f t="shared" si="129"/>
        <v>1</v>
      </c>
      <c r="R1346" s="272"/>
      <c r="S1346" s="272"/>
      <c r="T1346" s="273" t="str">
        <f t="shared" si="130"/>
        <v>-</v>
      </c>
    </row>
    <row r="1347" spans="1:20">
      <c r="A1347" s="269"/>
      <c r="B1347" s="277"/>
      <c r="C1347" s="55"/>
      <c r="D1347" s="55"/>
      <c r="E1347" s="55"/>
      <c r="F1347" s="55"/>
      <c r="G1347" s="275"/>
      <c r="H1347" s="276"/>
      <c r="I1347" s="213"/>
      <c r="J1347" s="213"/>
      <c r="K1347" s="269"/>
      <c r="L1347" s="272">
        <f t="shared" si="126"/>
        <v>1900</v>
      </c>
      <c r="M1347" s="272">
        <f t="shared" si="127"/>
        <v>1</v>
      </c>
      <c r="N1347" s="273"/>
      <c r="O1347" s="61">
        <f t="shared" si="128"/>
        <v>1900</v>
      </c>
      <c r="P1347" s="61">
        <f t="shared" si="129"/>
        <v>1</v>
      </c>
      <c r="R1347" s="272"/>
      <c r="S1347" s="272"/>
      <c r="T1347" s="273" t="str">
        <f t="shared" si="130"/>
        <v>-</v>
      </c>
    </row>
    <row r="1348" spans="1:20">
      <c r="A1348" s="269"/>
      <c r="B1348" s="277"/>
      <c r="C1348" s="55"/>
      <c r="D1348" s="55"/>
      <c r="E1348" s="55"/>
      <c r="F1348" s="55"/>
      <c r="G1348" s="275"/>
      <c r="H1348" s="276"/>
      <c r="I1348" s="213"/>
      <c r="J1348" s="213"/>
      <c r="K1348" s="269"/>
      <c r="L1348" s="272">
        <f t="shared" si="126"/>
        <v>1900</v>
      </c>
      <c r="M1348" s="272">
        <f t="shared" si="127"/>
        <v>1</v>
      </c>
      <c r="N1348" s="273"/>
      <c r="O1348" s="61">
        <f t="shared" si="128"/>
        <v>1900</v>
      </c>
      <c r="P1348" s="61">
        <f t="shared" si="129"/>
        <v>1</v>
      </c>
      <c r="R1348" s="272"/>
      <c r="S1348" s="272"/>
      <c r="T1348" s="273" t="str">
        <f t="shared" si="130"/>
        <v>-</v>
      </c>
    </row>
    <row r="1349" spans="1:20">
      <c r="A1349" s="269"/>
      <c r="B1349" s="277"/>
      <c r="C1349" s="55"/>
      <c r="D1349" s="55"/>
      <c r="E1349" s="55"/>
      <c r="F1349" s="55"/>
      <c r="G1349" s="275"/>
      <c r="H1349" s="276"/>
      <c r="I1349" s="213"/>
      <c r="J1349" s="213"/>
      <c r="K1349" s="269"/>
      <c r="L1349" s="272">
        <f t="shared" si="126"/>
        <v>1900</v>
      </c>
      <c r="M1349" s="272">
        <f t="shared" si="127"/>
        <v>1</v>
      </c>
      <c r="N1349" s="273"/>
      <c r="O1349" s="61">
        <f t="shared" si="128"/>
        <v>1900</v>
      </c>
      <c r="P1349" s="61">
        <f t="shared" si="129"/>
        <v>1</v>
      </c>
      <c r="R1349" s="272"/>
      <c r="S1349" s="272"/>
      <c r="T1349" s="273" t="str">
        <f t="shared" si="130"/>
        <v>-</v>
      </c>
    </row>
    <row r="1350" spans="1:20">
      <c r="A1350" s="269"/>
      <c r="B1350" s="277"/>
      <c r="C1350" s="55"/>
      <c r="D1350" s="55"/>
      <c r="E1350" s="55"/>
      <c r="F1350" s="55"/>
      <c r="G1350" s="275"/>
      <c r="H1350" s="276"/>
      <c r="I1350" s="213"/>
      <c r="J1350" s="213"/>
      <c r="K1350" s="269"/>
      <c r="L1350" s="272">
        <f t="shared" si="126"/>
        <v>1900</v>
      </c>
      <c r="M1350" s="272">
        <f t="shared" si="127"/>
        <v>1</v>
      </c>
      <c r="N1350" s="273"/>
      <c r="O1350" s="61">
        <f t="shared" si="128"/>
        <v>1900</v>
      </c>
      <c r="P1350" s="61">
        <f t="shared" si="129"/>
        <v>1</v>
      </c>
      <c r="R1350" s="272"/>
      <c r="S1350" s="272"/>
      <c r="T1350" s="273" t="str">
        <f t="shared" si="130"/>
        <v>-</v>
      </c>
    </row>
    <row r="1351" spans="1:20">
      <c r="A1351" s="269"/>
      <c r="B1351" s="277"/>
      <c r="C1351" s="55"/>
      <c r="D1351" s="55"/>
      <c r="E1351" s="55"/>
      <c r="F1351" s="55"/>
      <c r="G1351" s="275"/>
      <c r="H1351" s="276"/>
      <c r="I1351" s="213"/>
      <c r="J1351" s="213"/>
      <c r="K1351" s="269"/>
      <c r="L1351" s="272">
        <f t="shared" si="126"/>
        <v>1900</v>
      </c>
      <c r="M1351" s="272">
        <f t="shared" si="127"/>
        <v>1</v>
      </c>
      <c r="N1351" s="273"/>
      <c r="O1351" s="61">
        <f t="shared" si="128"/>
        <v>1900</v>
      </c>
      <c r="P1351" s="61">
        <f t="shared" si="129"/>
        <v>1</v>
      </c>
      <c r="R1351" s="272"/>
      <c r="S1351" s="272"/>
      <c r="T1351" s="273" t="str">
        <f t="shared" si="130"/>
        <v>-</v>
      </c>
    </row>
    <row r="1352" spans="1:20">
      <c r="A1352" s="269"/>
      <c r="B1352" s="277"/>
      <c r="C1352" s="55"/>
      <c r="D1352" s="55"/>
      <c r="E1352" s="55"/>
      <c r="F1352" s="55"/>
      <c r="G1352" s="275"/>
      <c r="H1352" s="276"/>
      <c r="I1352" s="213"/>
      <c r="J1352" s="213"/>
      <c r="K1352" s="269"/>
      <c r="L1352" s="272">
        <f t="shared" si="126"/>
        <v>1900</v>
      </c>
      <c r="M1352" s="272">
        <f t="shared" si="127"/>
        <v>1</v>
      </c>
      <c r="N1352" s="273"/>
      <c r="O1352" s="61">
        <f t="shared" si="128"/>
        <v>1900</v>
      </c>
      <c r="P1352" s="61">
        <f t="shared" si="129"/>
        <v>1</v>
      </c>
      <c r="R1352" s="272"/>
      <c r="S1352" s="272"/>
      <c r="T1352" s="273" t="str">
        <f t="shared" si="130"/>
        <v>-</v>
      </c>
    </row>
    <row r="1353" spans="1:20">
      <c r="A1353" s="269"/>
      <c r="B1353" s="277"/>
      <c r="C1353" s="55"/>
      <c r="D1353" s="55"/>
      <c r="E1353" s="55"/>
      <c r="F1353" s="55"/>
      <c r="G1353" s="275"/>
      <c r="H1353" s="276"/>
      <c r="I1353" s="213"/>
      <c r="J1353" s="213"/>
      <c r="K1353" s="269"/>
      <c r="L1353" s="272">
        <f t="shared" si="126"/>
        <v>1900</v>
      </c>
      <c r="M1353" s="272">
        <f t="shared" si="127"/>
        <v>1</v>
      </c>
      <c r="N1353" s="273"/>
      <c r="O1353" s="61">
        <f t="shared" si="128"/>
        <v>1900</v>
      </c>
      <c r="P1353" s="61">
        <f t="shared" si="129"/>
        <v>1</v>
      </c>
      <c r="R1353" s="272"/>
      <c r="S1353" s="272"/>
      <c r="T1353" s="273" t="str">
        <f t="shared" si="130"/>
        <v>-</v>
      </c>
    </row>
    <row r="1354" spans="1:20">
      <c r="A1354" s="269"/>
      <c r="B1354" s="277"/>
      <c r="C1354" s="55"/>
      <c r="D1354" s="55"/>
      <c r="E1354" s="55"/>
      <c r="F1354" s="55"/>
      <c r="G1354" s="275"/>
      <c r="H1354" s="276"/>
      <c r="I1354" s="213"/>
      <c r="J1354" s="213"/>
      <c r="K1354" s="269"/>
      <c r="L1354" s="272">
        <f t="shared" si="126"/>
        <v>1900</v>
      </c>
      <c r="M1354" s="272">
        <f t="shared" si="127"/>
        <v>1</v>
      </c>
      <c r="N1354" s="273"/>
      <c r="O1354" s="61">
        <f t="shared" si="128"/>
        <v>1900</v>
      </c>
      <c r="P1354" s="61">
        <f t="shared" si="129"/>
        <v>1</v>
      </c>
      <c r="R1354" s="272"/>
      <c r="S1354" s="272"/>
      <c r="T1354" s="273" t="str">
        <f t="shared" si="130"/>
        <v>-</v>
      </c>
    </row>
    <row r="1355" spans="1:20">
      <c r="A1355" s="269"/>
      <c r="B1355" s="277"/>
      <c r="C1355" s="55"/>
      <c r="D1355" s="55"/>
      <c r="E1355" s="55"/>
      <c r="F1355" s="55"/>
      <c r="G1355" s="275"/>
      <c r="H1355" s="276"/>
      <c r="I1355" s="213"/>
      <c r="J1355" s="213"/>
      <c r="K1355" s="269"/>
      <c r="L1355" s="272">
        <f t="shared" si="126"/>
        <v>1900</v>
      </c>
      <c r="M1355" s="272">
        <f t="shared" si="127"/>
        <v>1</v>
      </c>
      <c r="N1355" s="273"/>
      <c r="O1355" s="61">
        <f t="shared" si="128"/>
        <v>1900</v>
      </c>
      <c r="P1355" s="61">
        <f t="shared" si="129"/>
        <v>1</v>
      </c>
      <c r="R1355" s="272"/>
      <c r="S1355" s="272"/>
      <c r="T1355" s="273" t="str">
        <f t="shared" si="130"/>
        <v>-</v>
      </c>
    </row>
    <row r="1356" spans="1:20">
      <c r="A1356" s="269"/>
      <c r="B1356" s="277"/>
      <c r="C1356" s="55"/>
      <c r="D1356" s="55"/>
      <c r="E1356" s="55"/>
      <c r="F1356" s="55"/>
      <c r="G1356" s="275"/>
      <c r="H1356" s="276"/>
      <c r="I1356" s="213"/>
      <c r="J1356" s="213"/>
      <c r="K1356" s="269"/>
      <c r="L1356" s="272">
        <f t="shared" si="126"/>
        <v>1900</v>
      </c>
      <c r="M1356" s="272">
        <f t="shared" si="127"/>
        <v>1</v>
      </c>
      <c r="N1356" s="273"/>
      <c r="O1356" s="61">
        <f t="shared" si="128"/>
        <v>1900</v>
      </c>
      <c r="P1356" s="61">
        <f t="shared" si="129"/>
        <v>1</v>
      </c>
      <c r="R1356" s="272"/>
      <c r="S1356" s="272"/>
      <c r="T1356" s="273" t="str">
        <f t="shared" si="130"/>
        <v>-</v>
      </c>
    </row>
    <row r="1357" spans="1:20">
      <c r="A1357" s="269"/>
      <c r="B1357" s="277"/>
      <c r="C1357" s="55"/>
      <c r="D1357" s="55"/>
      <c r="E1357" s="55"/>
      <c r="F1357" s="55"/>
      <c r="G1357" s="275"/>
      <c r="H1357" s="276"/>
      <c r="I1357" s="213"/>
      <c r="J1357" s="213"/>
      <c r="K1357" s="269"/>
      <c r="L1357" s="272">
        <f t="shared" si="126"/>
        <v>1900</v>
      </c>
      <c r="M1357" s="272">
        <f t="shared" si="127"/>
        <v>1</v>
      </c>
      <c r="N1357" s="273"/>
      <c r="O1357" s="61">
        <f t="shared" si="128"/>
        <v>1900</v>
      </c>
      <c r="P1357" s="61">
        <f t="shared" si="129"/>
        <v>1</v>
      </c>
      <c r="R1357" s="272"/>
      <c r="S1357" s="272"/>
      <c r="T1357" s="273" t="str">
        <f t="shared" si="130"/>
        <v>-</v>
      </c>
    </row>
    <row r="1358" spans="1:20">
      <c r="A1358" s="269"/>
      <c r="B1358" s="277"/>
      <c r="C1358" s="55"/>
      <c r="D1358" s="55"/>
      <c r="E1358" s="55"/>
      <c r="F1358" s="55"/>
      <c r="G1358" s="275"/>
      <c r="H1358" s="276"/>
      <c r="I1358" s="213"/>
      <c r="J1358" s="213"/>
      <c r="K1358" s="269"/>
      <c r="L1358" s="272">
        <f t="shared" si="126"/>
        <v>1900</v>
      </c>
      <c r="M1358" s="272">
        <f t="shared" si="127"/>
        <v>1</v>
      </c>
      <c r="N1358" s="273"/>
      <c r="O1358" s="61">
        <f t="shared" si="128"/>
        <v>1900</v>
      </c>
      <c r="P1358" s="61">
        <f t="shared" si="129"/>
        <v>1</v>
      </c>
      <c r="R1358" s="272"/>
      <c r="S1358" s="272"/>
      <c r="T1358" s="273" t="str">
        <f t="shared" si="130"/>
        <v>-</v>
      </c>
    </row>
    <row r="1359" spans="1:20">
      <c r="A1359" s="269"/>
      <c r="B1359" s="277"/>
      <c r="C1359" s="55"/>
      <c r="D1359" s="55"/>
      <c r="E1359" s="55"/>
      <c r="F1359" s="55"/>
      <c r="G1359" s="275"/>
      <c r="H1359" s="276"/>
      <c r="I1359" s="213"/>
      <c r="J1359" s="213"/>
      <c r="K1359" s="269"/>
      <c r="L1359" s="272">
        <f t="shared" si="126"/>
        <v>1900</v>
      </c>
      <c r="M1359" s="272">
        <f t="shared" si="127"/>
        <v>1</v>
      </c>
      <c r="N1359" s="273"/>
      <c r="O1359" s="61">
        <f t="shared" si="128"/>
        <v>1900</v>
      </c>
      <c r="P1359" s="61">
        <f t="shared" si="129"/>
        <v>1</v>
      </c>
      <c r="R1359" s="272"/>
      <c r="S1359" s="272"/>
      <c r="T1359" s="273" t="str">
        <f t="shared" si="130"/>
        <v>-</v>
      </c>
    </row>
    <row r="1360" spans="1:20">
      <c r="A1360" s="269"/>
      <c r="B1360" s="277"/>
      <c r="C1360" s="55"/>
      <c r="D1360" s="55"/>
      <c r="E1360" s="55"/>
      <c r="F1360" s="55"/>
      <c r="G1360" s="275"/>
      <c r="H1360" s="276"/>
      <c r="I1360" s="213"/>
      <c r="J1360" s="213"/>
      <c r="K1360" s="269"/>
      <c r="L1360" s="272">
        <f t="shared" ref="L1360:L1423" si="131">YEAR(B1360)</f>
        <v>1900</v>
      </c>
      <c r="M1360" s="272">
        <f t="shared" ref="M1360:M1423" si="132">MONTH(B1360)</f>
        <v>1</v>
      </c>
      <c r="N1360" s="273"/>
      <c r="O1360" s="61">
        <f t="shared" ref="O1360:O1423" si="133">YEAR(B1360)</f>
        <v>1900</v>
      </c>
      <c r="P1360" s="61">
        <f t="shared" ref="P1360:P1423" si="134">MONTH(B1360)</f>
        <v>1</v>
      </c>
      <c r="R1360" s="272"/>
      <c r="S1360" s="272"/>
      <c r="T1360" s="273" t="str">
        <f t="shared" ref="T1360:T1423" si="135">IF($E1360&gt;0,IF((R1360+S1360)=$E1360,"OK","Error"),"-")</f>
        <v>-</v>
      </c>
    </row>
    <row r="1361" spans="1:20">
      <c r="A1361" s="269"/>
      <c r="B1361" s="277"/>
      <c r="C1361" s="55"/>
      <c r="D1361" s="55"/>
      <c r="E1361" s="55"/>
      <c r="F1361" s="55"/>
      <c r="G1361" s="275"/>
      <c r="H1361" s="276"/>
      <c r="I1361" s="213"/>
      <c r="J1361" s="213"/>
      <c r="K1361" s="269"/>
      <c r="L1361" s="272">
        <f t="shared" si="131"/>
        <v>1900</v>
      </c>
      <c r="M1361" s="272">
        <f t="shared" si="132"/>
        <v>1</v>
      </c>
      <c r="N1361" s="273"/>
      <c r="O1361" s="61">
        <f t="shared" si="133"/>
        <v>1900</v>
      </c>
      <c r="P1361" s="61">
        <f t="shared" si="134"/>
        <v>1</v>
      </c>
      <c r="R1361" s="272"/>
      <c r="S1361" s="272"/>
      <c r="T1361" s="273" t="str">
        <f t="shared" si="135"/>
        <v>-</v>
      </c>
    </row>
    <row r="1362" spans="1:20">
      <c r="A1362" s="269"/>
      <c r="B1362" s="277"/>
      <c r="C1362" s="55"/>
      <c r="D1362" s="55"/>
      <c r="E1362" s="55"/>
      <c r="F1362" s="55"/>
      <c r="G1362" s="275"/>
      <c r="H1362" s="276"/>
      <c r="I1362" s="213"/>
      <c r="J1362" s="213"/>
      <c r="K1362" s="269"/>
      <c r="L1362" s="272">
        <f t="shared" si="131"/>
        <v>1900</v>
      </c>
      <c r="M1362" s="272">
        <f t="shared" si="132"/>
        <v>1</v>
      </c>
      <c r="N1362" s="273"/>
      <c r="O1362" s="61">
        <f t="shared" si="133"/>
        <v>1900</v>
      </c>
      <c r="P1362" s="61">
        <f t="shared" si="134"/>
        <v>1</v>
      </c>
      <c r="R1362" s="272"/>
      <c r="S1362" s="272"/>
      <c r="T1362" s="273" t="str">
        <f t="shared" si="135"/>
        <v>-</v>
      </c>
    </row>
    <row r="1363" spans="1:20">
      <c r="A1363" s="269"/>
      <c r="B1363" s="277"/>
      <c r="C1363" s="55"/>
      <c r="D1363" s="55"/>
      <c r="E1363" s="55"/>
      <c r="F1363" s="55"/>
      <c r="G1363" s="275"/>
      <c r="H1363" s="276"/>
      <c r="I1363" s="213"/>
      <c r="J1363" s="213"/>
      <c r="K1363" s="269"/>
      <c r="L1363" s="272">
        <f t="shared" si="131"/>
        <v>1900</v>
      </c>
      <c r="M1363" s="272">
        <f t="shared" si="132"/>
        <v>1</v>
      </c>
      <c r="N1363" s="273"/>
      <c r="O1363" s="61">
        <f t="shared" si="133"/>
        <v>1900</v>
      </c>
      <c r="P1363" s="61">
        <f t="shared" si="134"/>
        <v>1</v>
      </c>
      <c r="R1363" s="272"/>
      <c r="S1363" s="272"/>
      <c r="T1363" s="273" t="str">
        <f t="shared" si="135"/>
        <v>-</v>
      </c>
    </row>
    <row r="1364" spans="1:20">
      <c r="A1364" s="269"/>
      <c r="B1364" s="277"/>
      <c r="C1364" s="55"/>
      <c r="D1364" s="55"/>
      <c r="E1364" s="55"/>
      <c r="F1364" s="55"/>
      <c r="G1364" s="275"/>
      <c r="H1364" s="276"/>
      <c r="I1364" s="213"/>
      <c r="J1364" s="213"/>
      <c r="K1364" s="269"/>
      <c r="L1364" s="272">
        <f t="shared" si="131"/>
        <v>1900</v>
      </c>
      <c r="M1364" s="272">
        <f t="shared" si="132"/>
        <v>1</v>
      </c>
      <c r="N1364" s="273"/>
      <c r="O1364" s="61">
        <f t="shared" si="133"/>
        <v>1900</v>
      </c>
      <c r="P1364" s="61">
        <f t="shared" si="134"/>
        <v>1</v>
      </c>
      <c r="R1364" s="272"/>
      <c r="S1364" s="272"/>
      <c r="T1364" s="273" t="str">
        <f t="shared" si="135"/>
        <v>-</v>
      </c>
    </row>
    <row r="1365" spans="1:20">
      <c r="A1365" s="269"/>
      <c r="B1365" s="277"/>
      <c r="C1365" s="55"/>
      <c r="D1365" s="55"/>
      <c r="E1365" s="55"/>
      <c r="F1365" s="55"/>
      <c r="G1365" s="275"/>
      <c r="H1365" s="276"/>
      <c r="I1365" s="213"/>
      <c r="J1365" s="213"/>
      <c r="K1365" s="269"/>
      <c r="L1365" s="272">
        <f t="shared" si="131"/>
        <v>1900</v>
      </c>
      <c r="M1365" s="272">
        <f t="shared" si="132"/>
        <v>1</v>
      </c>
      <c r="N1365" s="273"/>
      <c r="O1365" s="61">
        <f t="shared" si="133"/>
        <v>1900</v>
      </c>
      <c r="P1365" s="61">
        <f t="shared" si="134"/>
        <v>1</v>
      </c>
      <c r="R1365" s="272"/>
      <c r="S1365" s="272"/>
      <c r="T1365" s="273" t="str">
        <f t="shared" si="135"/>
        <v>-</v>
      </c>
    </row>
    <row r="1366" spans="1:20">
      <c r="A1366" s="269"/>
      <c r="B1366" s="277"/>
      <c r="C1366" s="55"/>
      <c r="D1366" s="55"/>
      <c r="E1366" s="55"/>
      <c r="F1366" s="55"/>
      <c r="G1366" s="275"/>
      <c r="H1366" s="276"/>
      <c r="I1366" s="213"/>
      <c r="J1366" s="213"/>
      <c r="K1366" s="269"/>
      <c r="L1366" s="272">
        <f t="shared" si="131"/>
        <v>1900</v>
      </c>
      <c r="M1366" s="272">
        <f t="shared" si="132"/>
        <v>1</v>
      </c>
      <c r="N1366" s="273"/>
      <c r="O1366" s="61">
        <f t="shared" si="133"/>
        <v>1900</v>
      </c>
      <c r="P1366" s="61">
        <f t="shared" si="134"/>
        <v>1</v>
      </c>
      <c r="R1366" s="272"/>
      <c r="S1366" s="272"/>
      <c r="T1366" s="273" t="str">
        <f t="shared" si="135"/>
        <v>-</v>
      </c>
    </row>
    <row r="1367" spans="1:20">
      <c r="A1367" s="269"/>
      <c r="B1367" s="277"/>
      <c r="C1367" s="55"/>
      <c r="D1367" s="55"/>
      <c r="E1367" s="55"/>
      <c r="F1367" s="55"/>
      <c r="G1367" s="275"/>
      <c r="H1367" s="276"/>
      <c r="I1367" s="213"/>
      <c r="J1367" s="213"/>
      <c r="K1367" s="269"/>
      <c r="L1367" s="272">
        <f t="shared" si="131"/>
        <v>1900</v>
      </c>
      <c r="M1367" s="272">
        <f t="shared" si="132"/>
        <v>1</v>
      </c>
      <c r="N1367" s="273"/>
      <c r="O1367" s="61">
        <f t="shared" si="133"/>
        <v>1900</v>
      </c>
      <c r="P1367" s="61">
        <f t="shared" si="134"/>
        <v>1</v>
      </c>
      <c r="R1367" s="272"/>
      <c r="S1367" s="272"/>
      <c r="T1367" s="273" t="str">
        <f t="shared" si="135"/>
        <v>-</v>
      </c>
    </row>
    <row r="1368" spans="1:20">
      <c r="A1368" s="269"/>
      <c r="B1368" s="277"/>
      <c r="C1368" s="55"/>
      <c r="D1368" s="55"/>
      <c r="E1368" s="55"/>
      <c r="F1368" s="55"/>
      <c r="G1368" s="275"/>
      <c r="H1368" s="276"/>
      <c r="I1368" s="213"/>
      <c r="J1368" s="213"/>
      <c r="K1368" s="269"/>
      <c r="L1368" s="272">
        <f t="shared" si="131"/>
        <v>1900</v>
      </c>
      <c r="M1368" s="272">
        <f t="shared" si="132"/>
        <v>1</v>
      </c>
      <c r="N1368" s="273"/>
      <c r="O1368" s="61">
        <f t="shared" si="133"/>
        <v>1900</v>
      </c>
      <c r="P1368" s="61">
        <f t="shared" si="134"/>
        <v>1</v>
      </c>
      <c r="R1368" s="272"/>
      <c r="S1368" s="272"/>
      <c r="T1368" s="273" t="str">
        <f t="shared" si="135"/>
        <v>-</v>
      </c>
    </row>
    <row r="1369" spans="1:20">
      <c r="A1369" s="269"/>
      <c r="B1369" s="277"/>
      <c r="C1369" s="55"/>
      <c r="D1369" s="55"/>
      <c r="E1369" s="55"/>
      <c r="F1369" s="55"/>
      <c r="G1369" s="275"/>
      <c r="H1369" s="276"/>
      <c r="I1369" s="213"/>
      <c r="J1369" s="213"/>
      <c r="K1369" s="269"/>
      <c r="L1369" s="272">
        <f t="shared" si="131"/>
        <v>1900</v>
      </c>
      <c r="M1369" s="272">
        <f t="shared" si="132"/>
        <v>1</v>
      </c>
      <c r="N1369" s="273"/>
      <c r="O1369" s="61">
        <f t="shared" si="133"/>
        <v>1900</v>
      </c>
      <c r="P1369" s="61">
        <f t="shared" si="134"/>
        <v>1</v>
      </c>
      <c r="R1369" s="272"/>
      <c r="S1369" s="272"/>
      <c r="T1369" s="273" t="str">
        <f t="shared" si="135"/>
        <v>-</v>
      </c>
    </row>
    <row r="1370" spans="1:20">
      <c r="A1370" s="269"/>
      <c r="B1370" s="277"/>
      <c r="C1370" s="55"/>
      <c r="D1370" s="55"/>
      <c r="E1370" s="55"/>
      <c r="F1370" s="55"/>
      <c r="G1370" s="275"/>
      <c r="H1370" s="276"/>
      <c r="I1370" s="213"/>
      <c r="J1370" s="213"/>
      <c r="K1370" s="269"/>
      <c r="L1370" s="272">
        <f t="shared" si="131"/>
        <v>1900</v>
      </c>
      <c r="M1370" s="272">
        <f t="shared" si="132"/>
        <v>1</v>
      </c>
      <c r="N1370" s="273"/>
      <c r="O1370" s="61">
        <f t="shared" si="133"/>
        <v>1900</v>
      </c>
      <c r="P1370" s="61">
        <f t="shared" si="134"/>
        <v>1</v>
      </c>
      <c r="R1370" s="272"/>
      <c r="S1370" s="272"/>
      <c r="T1370" s="273" t="str">
        <f t="shared" si="135"/>
        <v>-</v>
      </c>
    </row>
    <row r="1371" spans="1:20">
      <c r="A1371" s="269"/>
      <c r="B1371" s="277"/>
      <c r="C1371" s="55"/>
      <c r="D1371" s="55"/>
      <c r="E1371" s="55"/>
      <c r="F1371" s="55"/>
      <c r="G1371" s="275"/>
      <c r="H1371" s="276"/>
      <c r="I1371" s="213"/>
      <c r="J1371" s="213"/>
      <c r="K1371" s="269"/>
      <c r="L1371" s="272">
        <f t="shared" si="131"/>
        <v>1900</v>
      </c>
      <c r="M1371" s="272">
        <f t="shared" si="132"/>
        <v>1</v>
      </c>
      <c r="N1371" s="273"/>
      <c r="O1371" s="61">
        <f t="shared" si="133"/>
        <v>1900</v>
      </c>
      <c r="P1371" s="61">
        <f t="shared" si="134"/>
        <v>1</v>
      </c>
      <c r="R1371" s="272"/>
      <c r="S1371" s="272"/>
      <c r="T1371" s="273" t="str">
        <f t="shared" si="135"/>
        <v>-</v>
      </c>
    </row>
    <row r="1372" spans="1:20">
      <c r="A1372" s="269"/>
      <c r="B1372" s="277"/>
      <c r="C1372" s="55"/>
      <c r="D1372" s="55"/>
      <c r="E1372" s="55"/>
      <c r="F1372" s="55"/>
      <c r="G1372" s="275"/>
      <c r="H1372" s="276"/>
      <c r="I1372" s="213"/>
      <c r="J1372" s="213"/>
      <c r="K1372" s="269"/>
      <c r="L1372" s="272">
        <f t="shared" si="131"/>
        <v>1900</v>
      </c>
      <c r="M1372" s="272">
        <f t="shared" si="132"/>
        <v>1</v>
      </c>
      <c r="N1372" s="273"/>
      <c r="O1372" s="61">
        <f t="shared" si="133"/>
        <v>1900</v>
      </c>
      <c r="P1372" s="61">
        <f t="shared" si="134"/>
        <v>1</v>
      </c>
      <c r="R1372" s="272"/>
      <c r="S1372" s="272"/>
      <c r="T1372" s="273" t="str">
        <f t="shared" si="135"/>
        <v>-</v>
      </c>
    </row>
    <row r="1373" spans="1:20">
      <c r="A1373" s="269"/>
      <c r="B1373" s="277"/>
      <c r="C1373" s="55"/>
      <c r="D1373" s="55"/>
      <c r="E1373" s="55"/>
      <c r="F1373" s="55"/>
      <c r="G1373" s="275"/>
      <c r="H1373" s="276"/>
      <c r="I1373" s="213"/>
      <c r="J1373" s="213"/>
      <c r="K1373" s="269"/>
      <c r="L1373" s="272">
        <f t="shared" si="131"/>
        <v>1900</v>
      </c>
      <c r="M1373" s="272">
        <f t="shared" si="132"/>
        <v>1</v>
      </c>
      <c r="N1373" s="273"/>
      <c r="O1373" s="61">
        <f t="shared" si="133"/>
        <v>1900</v>
      </c>
      <c r="P1373" s="61">
        <f t="shared" si="134"/>
        <v>1</v>
      </c>
      <c r="R1373" s="272"/>
      <c r="S1373" s="272"/>
      <c r="T1373" s="273" t="str">
        <f t="shared" si="135"/>
        <v>-</v>
      </c>
    </row>
    <row r="1374" spans="1:20">
      <c r="A1374" s="269"/>
      <c r="B1374" s="277"/>
      <c r="C1374" s="55"/>
      <c r="D1374" s="55"/>
      <c r="E1374" s="55"/>
      <c r="F1374" s="55"/>
      <c r="G1374" s="275"/>
      <c r="H1374" s="276"/>
      <c r="I1374" s="213"/>
      <c r="J1374" s="213"/>
      <c r="K1374" s="269"/>
      <c r="L1374" s="272">
        <f t="shared" si="131"/>
        <v>1900</v>
      </c>
      <c r="M1374" s="272">
        <f t="shared" si="132"/>
        <v>1</v>
      </c>
      <c r="N1374" s="273"/>
      <c r="O1374" s="61">
        <f t="shared" si="133"/>
        <v>1900</v>
      </c>
      <c r="P1374" s="61">
        <f t="shared" si="134"/>
        <v>1</v>
      </c>
      <c r="R1374" s="272"/>
      <c r="S1374" s="272"/>
      <c r="T1374" s="273" t="str">
        <f t="shared" si="135"/>
        <v>-</v>
      </c>
    </row>
    <row r="1375" spans="1:20">
      <c r="A1375" s="269"/>
      <c r="B1375" s="277"/>
      <c r="C1375" s="55"/>
      <c r="D1375" s="55"/>
      <c r="E1375" s="55"/>
      <c r="F1375" s="55"/>
      <c r="G1375" s="275"/>
      <c r="H1375" s="276"/>
      <c r="I1375" s="213"/>
      <c r="J1375" s="213"/>
      <c r="K1375" s="269"/>
      <c r="L1375" s="272">
        <f t="shared" si="131"/>
        <v>1900</v>
      </c>
      <c r="M1375" s="272">
        <f t="shared" si="132"/>
        <v>1</v>
      </c>
      <c r="N1375" s="273"/>
      <c r="O1375" s="61">
        <f t="shared" si="133"/>
        <v>1900</v>
      </c>
      <c r="P1375" s="61">
        <f t="shared" si="134"/>
        <v>1</v>
      </c>
      <c r="R1375" s="272"/>
      <c r="S1375" s="272"/>
      <c r="T1375" s="273" t="str">
        <f t="shared" si="135"/>
        <v>-</v>
      </c>
    </row>
    <row r="1376" spans="1:20">
      <c r="A1376" s="269"/>
      <c r="B1376" s="277"/>
      <c r="C1376" s="55"/>
      <c r="D1376" s="55"/>
      <c r="E1376" s="55"/>
      <c r="F1376" s="55"/>
      <c r="G1376" s="275"/>
      <c r="H1376" s="276"/>
      <c r="I1376" s="213"/>
      <c r="J1376" s="213"/>
      <c r="K1376" s="269"/>
      <c r="L1376" s="272">
        <f t="shared" si="131"/>
        <v>1900</v>
      </c>
      <c r="M1376" s="272">
        <f t="shared" si="132"/>
        <v>1</v>
      </c>
      <c r="N1376" s="273"/>
      <c r="O1376" s="61">
        <f t="shared" si="133"/>
        <v>1900</v>
      </c>
      <c r="P1376" s="61">
        <f t="shared" si="134"/>
        <v>1</v>
      </c>
      <c r="R1376" s="272"/>
      <c r="S1376" s="272"/>
      <c r="T1376" s="273" t="str">
        <f t="shared" si="135"/>
        <v>-</v>
      </c>
    </row>
    <row r="1377" spans="1:20">
      <c r="A1377" s="269"/>
      <c r="B1377" s="277"/>
      <c r="C1377" s="55"/>
      <c r="D1377" s="55"/>
      <c r="E1377" s="55"/>
      <c r="F1377" s="55"/>
      <c r="G1377" s="275"/>
      <c r="H1377" s="276"/>
      <c r="I1377" s="213"/>
      <c r="J1377" s="213"/>
      <c r="K1377" s="269"/>
      <c r="L1377" s="272">
        <f t="shared" si="131"/>
        <v>1900</v>
      </c>
      <c r="M1377" s="272">
        <f t="shared" si="132"/>
        <v>1</v>
      </c>
      <c r="N1377" s="273"/>
      <c r="O1377" s="61">
        <f t="shared" si="133"/>
        <v>1900</v>
      </c>
      <c r="P1377" s="61">
        <f t="shared" si="134"/>
        <v>1</v>
      </c>
      <c r="R1377" s="272"/>
      <c r="S1377" s="272"/>
      <c r="T1377" s="273" t="str">
        <f t="shared" si="135"/>
        <v>-</v>
      </c>
    </row>
    <row r="1378" spans="1:20">
      <c r="A1378" s="269"/>
      <c r="B1378" s="277"/>
      <c r="C1378" s="55"/>
      <c r="D1378" s="55"/>
      <c r="E1378" s="55"/>
      <c r="F1378" s="55"/>
      <c r="G1378" s="275"/>
      <c r="H1378" s="276"/>
      <c r="I1378" s="213"/>
      <c r="J1378" s="213"/>
      <c r="K1378" s="269"/>
      <c r="L1378" s="272">
        <f t="shared" si="131"/>
        <v>1900</v>
      </c>
      <c r="M1378" s="272">
        <f t="shared" si="132"/>
        <v>1</v>
      </c>
      <c r="N1378" s="273"/>
      <c r="O1378" s="61">
        <f t="shared" si="133"/>
        <v>1900</v>
      </c>
      <c r="P1378" s="61">
        <f t="shared" si="134"/>
        <v>1</v>
      </c>
      <c r="R1378" s="272"/>
      <c r="S1378" s="272"/>
      <c r="T1378" s="273" t="str">
        <f t="shared" si="135"/>
        <v>-</v>
      </c>
    </row>
    <row r="1379" spans="1:20">
      <c r="A1379" s="269"/>
      <c r="B1379" s="277"/>
      <c r="C1379" s="55"/>
      <c r="D1379" s="55"/>
      <c r="E1379" s="55"/>
      <c r="F1379" s="55"/>
      <c r="G1379" s="275"/>
      <c r="H1379" s="276"/>
      <c r="I1379" s="213"/>
      <c r="J1379" s="213"/>
      <c r="K1379" s="269"/>
      <c r="L1379" s="272">
        <f t="shared" si="131"/>
        <v>1900</v>
      </c>
      <c r="M1379" s="272">
        <f t="shared" si="132"/>
        <v>1</v>
      </c>
      <c r="N1379" s="273"/>
      <c r="O1379" s="61">
        <f t="shared" si="133"/>
        <v>1900</v>
      </c>
      <c r="P1379" s="61">
        <f t="shared" si="134"/>
        <v>1</v>
      </c>
      <c r="R1379" s="272"/>
      <c r="S1379" s="272"/>
      <c r="T1379" s="273" t="str">
        <f t="shared" si="135"/>
        <v>-</v>
      </c>
    </row>
    <row r="1380" spans="1:20">
      <c r="A1380" s="269"/>
      <c r="B1380" s="277"/>
      <c r="C1380" s="55"/>
      <c r="D1380" s="55"/>
      <c r="E1380" s="55"/>
      <c r="F1380" s="55"/>
      <c r="G1380" s="275"/>
      <c r="H1380" s="276"/>
      <c r="I1380" s="213"/>
      <c r="J1380" s="213"/>
      <c r="K1380" s="269"/>
      <c r="L1380" s="272">
        <f t="shared" si="131"/>
        <v>1900</v>
      </c>
      <c r="M1380" s="272">
        <f t="shared" si="132"/>
        <v>1</v>
      </c>
      <c r="N1380" s="273"/>
      <c r="O1380" s="61">
        <f t="shared" si="133"/>
        <v>1900</v>
      </c>
      <c r="P1380" s="61">
        <f t="shared" si="134"/>
        <v>1</v>
      </c>
      <c r="R1380" s="272"/>
      <c r="S1380" s="272"/>
      <c r="T1380" s="273" t="str">
        <f t="shared" si="135"/>
        <v>-</v>
      </c>
    </row>
    <row r="1381" spans="1:20">
      <c r="A1381" s="269"/>
      <c r="B1381" s="277"/>
      <c r="C1381" s="55"/>
      <c r="D1381" s="55"/>
      <c r="E1381" s="55"/>
      <c r="F1381" s="55"/>
      <c r="G1381" s="275"/>
      <c r="H1381" s="276"/>
      <c r="I1381" s="213"/>
      <c r="J1381" s="213"/>
      <c r="K1381" s="269"/>
      <c r="L1381" s="272">
        <f t="shared" si="131"/>
        <v>1900</v>
      </c>
      <c r="M1381" s="272">
        <f t="shared" si="132"/>
        <v>1</v>
      </c>
      <c r="N1381" s="273"/>
      <c r="O1381" s="61">
        <f t="shared" si="133"/>
        <v>1900</v>
      </c>
      <c r="P1381" s="61">
        <f t="shared" si="134"/>
        <v>1</v>
      </c>
      <c r="R1381" s="272"/>
      <c r="S1381" s="272"/>
      <c r="T1381" s="273" t="str">
        <f t="shared" si="135"/>
        <v>-</v>
      </c>
    </row>
    <row r="1382" spans="1:20">
      <c r="A1382" s="269"/>
      <c r="B1382" s="277"/>
      <c r="C1382" s="55"/>
      <c r="D1382" s="55"/>
      <c r="E1382" s="55"/>
      <c r="F1382" s="55"/>
      <c r="G1382" s="275"/>
      <c r="H1382" s="276"/>
      <c r="I1382" s="213"/>
      <c r="J1382" s="213"/>
      <c r="K1382" s="269"/>
      <c r="L1382" s="272">
        <f t="shared" si="131"/>
        <v>1900</v>
      </c>
      <c r="M1382" s="272">
        <f t="shared" si="132"/>
        <v>1</v>
      </c>
      <c r="N1382" s="273"/>
      <c r="O1382" s="61">
        <f t="shared" si="133"/>
        <v>1900</v>
      </c>
      <c r="P1382" s="61">
        <f t="shared" si="134"/>
        <v>1</v>
      </c>
      <c r="R1382" s="272"/>
      <c r="S1382" s="272"/>
      <c r="T1382" s="273" t="str">
        <f t="shared" si="135"/>
        <v>-</v>
      </c>
    </row>
    <row r="1383" spans="1:20">
      <c r="A1383" s="269"/>
      <c r="B1383" s="277"/>
      <c r="C1383" s="55"/>
      <c r="D1383" s="55"/>
      <c r="E1383" s="55"/>
      <c r="F1383" s="55"/>
      <c r="G1383" s="275"/>
      <c r="H1383" s="276"/>
      <c r="I1383" s="213"/>
      <c r="J1383" s="213"/>
      <c r="K1383" s="269"/>
      <c r="L1383" s="272">
        <f t="shared" si="131"/>
        <v>1900</v>
      </c>
      <c r="M1383" s="272">
        <f t="shared" si="132"/>
        <v>1</v>
      </c>
      <c r="N1383" s="273"/>
      <c r="O1383" s="61">
        <f t="shared" si="133"/>
        <v>1900</v>
      </c>
      <c r="P1383" s="61">
        <f t="shared" si="134"/>
        <v>1</v>
      </c>
      <c r="R1383" s="272"/>
      <c r="S1383" s="272"/>
      <c r="T1383" s="273" t="str">
        <f t="shared" si="135"/>
        <v>-</v>
      </c>
    </row>
    <row r="1384" spans="1:20">
      <c r="A1384" s="269"/>
      <c r="B1384" s="277"/>
      <c r="C1384" s="55"/>
      <c r="D1384" s="55"/>
      <c r="E1384" s="55"/>
      <c r="F1384" s="55"/>
      <c r="G1384" s="275"/>
      <c r="H1384" s="276"/>
      <c r="I1384" s="213"/>
      <c r="J1384" s="213"/>
      <c r="K1384" s="269"/>
      <c r="L1384" s="272">
        <f t="shared" si="131"/>
        <v>1900</v>
      </c>
      <c r="M1384" s="272">
        <f t="shared" si="132"/>
        <v>1</v>
      </c>
      <c r="N1384" s="273"/>
      <c r="O1384" s="61">
        <f t="shared" si="133"/>
        <v>1900</v>
      </c>
      <c r="P1384" s="61">
        <f t="shared" si="134"/>
        <v>1</v>
      </c>
      <c r="R1384" s="272"/>
      <c r="S1384" s="272"/>
      <c r="T1384" s="273" t="str">
        <f t="shared" si="135"/>
        <v>-</v>
      </c>
    </row>
    <row r="1385" spans="1:20">
      <c r="A1385" s="269"/>
      <c r="B1385" s="277"/>
      <c r="C1385" s="55"/>
      <c r="D1385" s="55"/>
      <c r="E1385" s="55"/>
      <c r="F1385" s="55"/>
      <c r="G1385" s="275"/>
      <c r="H1385" s="276"/>
      <c r="I1385" s="213"/>
      <c r="J1385" s="213"/>
      <c r="K1385" s="269"/>
      <c r="L1385" s="272">
        <f t="shared" si="131"/>
        <v>1900</v>
      </c>
      <c r="M1385" s="272">
        <f t="shared" si="132"/>
        <v>1</v>
      </c>
      <c r="N1385" s="273"/>
      <c r="O1385" s="61">
        <f t="shared" si="133"/>
        <v>1900</v>
      </c>
      <c r="P1385" s="61">
        <f t="shared" si="134"/>
        <v>1</v>
      </c>
      <c r="R1385" s="272"/>
      <c r="S1385" s="272"/>
      <c r="T1385" s="273" t="str">
        <f t="shared" si="135"/>
        <v>-</v>
      </c>
    </row>
    <row r="1386" spans="1:20">
      <c r="A1386" s="269"/>
      <c r="B1386" s="277"/>
      <c r="C1386" s="55"/>
      <c r="D1386" s="55"/>
      <c r="E1386" s="55"/>
      <c r="F1386" s="55"/>
      <c r="G1386" s="275"/>
      <c r="H1386" s="276"/>
      <c r="I1386" s="213"/>
      <c r="J1386" s="213"/>
      <c r="K1386" s="269"/>
      <c r="L1386" s="272">
        <f t="shared" si="131"/>
        <v>1900</v>
      </c>
      <c r="M1386" s="272">
        <f t="shared" si="132"/>
        <v>1</v>
      </c>
      <c r="N1386" s="273"/>
      <c r="O1386" s="61">
        <f t="shared" si="133"/>
        <v>1900</v>
      </c>
      <c r="P1386" s="61">
        <f t="shared" si="134"/>
        <v>1</v>
      </c>
      <c r="R1386" s="272"/>
      <c r="S1386" s="272"/>
      <c r="T1386" s="273" t="str">
        <f t="shared" si="135"/>
        <v>-</v>
      </c>
    </row>
    <row r="1387" spans="1:20">
      <c r="A1387" s="269"/>
      <c r="B1387" s="277"/>
      <c r="C1387" s="55"/>
      <c r="D1387" s="55"/>
      <c r="E1387" s="55"/>
      <c r="F1387" s="55"/>
      <c r="G1387" s="275"/>
      <c r="H1387" s="276"/>
      <c r="I1387" s="213"/>
      <c r="J1387" s="213"/>
      <c r="K1387" s="269"/>
      <c r="L1387" s="272">
        <f t="shared" si="131"/>
        <v>1900</v>
      </c>
      <c r="M1387" s="272">
        <f t="shared" si="132"/>
        <v>1</v>
      </c>
      <c r="N1387" s="273"/>
      <c r="O1387" s="61">
        <f t="shared" si="133"/>
        <v>1900</v>
      </c>
      <c r="P1387" s="61">
        <f t="shared" si="134"/>
        <v>1</v>
      </c>
      <c r="R1387" s="272"/>
      <c r="S1387" s="272"/>
      <c r="T1387" s="273" t="str">
        <f t="shared" si="135"/>
        <v>-</v>
      </c>
    </row>
    <row r="1388" spans="1:20">
      <c r="A1388" s="269"/>
      <c r="B1388" s="277"/>
      <c r="C1388" s="55"/>
      <c r="D1388" s="55"/>
      <c r="E1388" s="55"/>
      <c r="F1388" s="55"/>
      <c r="G1388" s="275"/>
      <c r="H1388" s="276"/>
      <c r="I1388" s="213"/>
      <c r="J1388" s="213"/>
      <c r="K1388" s="269"/>
      <c r="L1388" s="272">
        <f t="shared" si="131"/>
        <v>1900</v>
      </c>
      <c r="M1388" s="272">
        <f t="shared" si="132"/>
        <v>1</v>
      </c>
      <c r="N1388" s="273"/>
      <c r="O1388" s="61">
        <f t="shared" si="133"/>
        <v>1900</v>
      </c>
      <c r="P1388" s="61">
        <f t="shared" si="134"/>
        <v>1</v>
      </c>
      <c r="R1388" s="272"/>
      <c r="S1388" s="272"/>
      <c r="T1388" s="273" t="str">
        <f t="shared" si="135"/>
        <v>-</v>
      </c>
    </row>
    <row r="1389" spans="1:20">
      <c r="A1389" s="269"/>
      <c r="B1389" s="277"/>
      <c r="C1389" s="55"/>
      <c r="D1389" s="55"/>
      <c r="E1389" s="55"/>
      <c r="F1389" s="55"/>
      <c r="G1389" s="275"/>
      <c r="H1389" s="276"/>
      <c r="I1389" s="213"/>
      <c r="J1389" s="213"/>
      <c r="K1389" s="269"/>
      <c r="L1389" s="272">
        <f t="shared" si="131"/>
        <v>1900</v>
      </c>
      <c r="M1389" s="272">
        <f t="shared" si="132"/>
        <v>1</v>
      </c>
      <c r="N1389" s="273"/>
      <c r="O1389" s="61">
        <f t="shared" si="133"/>
        <v>1900</v>
      </c>
      <c r="P1389" s="61">
        <f t="shared" si="134"/>
        <v>1</v>
      </c>
      <c r="R1389" s="272"/>
      <c r="S1389" s="272"/>
      <c r="T1389" s="273" t="str">
        <f t="shared" si="135"/>
        <v>-</v>
      </c>
    </row>
    <row r="1390" spans="1:20">
      <c r="A1390" s="269"/>
      <c r="B1390" s="277"/>
      <c r="C1390" s="55"/>
      <c r="D1390" s="55"/>
      <c r="E1390" s="55"/>
      <c r="F1390" s="55"/>
      <c r="G1390" s="275"/>
      <c r="H1390" s="276"/>
      <c r="I1390" s="213"/>
      <c r="J1390" s="213"/>
      <c r="K1390" s="269"/>
      <c r="L1390" s="272">
        <f t="shared" si="131"/>
        <v>1900</v>
      </c>
      <c r="M1390" s="272">
        <f t="shared" si="132"/>
        <v>1</v>
      </c>
      <c r="N1390" s="273"/>
      <c r="O1390" s="61">
        <f t="shared" si="133"/>
        <v>1900</v>
      </c>
      <c r="P1390" s="61">
        <f t="shared" si="134"/>
        <v>1</v>
      </c>
      <c r="R1390" s="272"/>
      <c r="S1390" s="272"/>
      <c r="T1390" s="273" t="str">
        <f t="shared" si="135"/>
        <v>-</v>
      </c>
    </row>
    <row r="1391" spans="1:20">
      <c r="A1391" s="269"/>
      <c r="B1391" s="277"/>
      <c r="C1391" s="55"/>
      <c r="D1391" s="55"/>
      <c r="E1391" s="55"/>
      <c r="F1391" s="55"/>
      <c r="G1391" s="275"/>
      <c r="H1391" s="276"/>
      <c r="I1391" s="213"/>
      <c r="J1391" s="213"/>
      <c r="K1391" s="269"/>
      <c r="L1391" s="272">
        <f t="shared" si="131"/>
        <v>1900</v>
      </c>
      <c r="M1391" s="272">
        <f t="shared" si="132"/>
        <v>1</v>
      </c>
      <c r="N1391" s="273"/>
      <c r="O1391" s="61">
        <f t="shared" si="133"/>
        <v>1900</v>
      </c>
      <c r="P1391" s="61">
        <f t="shared" si="134"/>
        <v>1</v>
      </c>
      <c r="R1391" s="272"/>
      <c r="S1391" s="272"/>
      <c r="T1391" s="273" t="str">
        <f t="shared" si="135"/>
        <v>-</v>
      </c>
    </row>
    <row r="1392" spans="1:20">
      <c r="A1392" s="269"/>
      <c r="B1392" s="277"/>
      <c r="C1392" s="55"/>
      <c r="D1392" s="55"/>
      <c r="E1392" s="55"/>
      <c r="F1392" s="55"/>
      <c r="G1392" s="275"/>
      <c r="H1392" s="276"/>
      <c r="I1392" s="213"/>
      <c r="J1392" s="213"/>
      <c r="K1392" s="269"/>
      <c r="L1392" s="272">
        <f t="shared" si="131"/>
        <v>1900</v>
      </c>
      <c r="M1392" s="272">
        <f t="shared" si="132"/>
        <v>1</v>
      </c>
      <c r="N1392" s="273"/>
      <c r="O1392" s="61">
        <f t="shared" si="133"/>
        <v>1900</v>
      </c>
      <c r="P1392" s="61">
        <f t="shared" si="134"/>
        <v>1</v>
      </c>
      <c r="R1392" s="272"/>
      <c r="S1392" s="272"/>
      <c r="T1392" s="273" t="str">
        <f t="shared" si="135"/>
        <v>-</v>
      </c>
    </row>
    <row r="1393" spans="1:20">
      <c r="A1393" s="269"/>
      <c r="B1393" s="277"/>
      <c r="C1393" s="55"/>
      <c r="D1393" s="55"/>
      <c r="E1393" s="55"/>
      <c r="F1393" s="55"/>
      <c r="G1393" s="275"/>
      <c r="H1393" s="276"/>
      <c r="I1393" s="213"/>
      <c r="J1393" s="213"/>
      <c r="K1393" s="269"/>
      <c r="L1393" s="272">
        <f t="shared" si="131"/>
        <v>1900</v>
      </c>
      <c r="M1393" s="272">
        <f t="shared" si="132"/>
        <v>1</v>
      </c>
      <c r="N1393" s="273"/>
      <c r="O1393" s="61">
        <f t="shared" si="133"/>
        <v>1900</v>
      </c>
      <c r="P1393" s="61">
        <f t="shared" si="134"/>
        <v>1</v>
      </c>
      <c r="R1393" s="272"/>
      <c r="S1393" s="272"/>
      <c r="T1393" s="273" t="str">
        <f t="shared" si="135"/>
        <v>-</v>
      </c>
    </row>
    <row r="1394" spans="1:20">
      <c r="A1394" s="269"/>
      <c r="B1394" s="277"/>
      <c r="C1394" s="55"/>
      <c r="D1394" s="55"/>
      <c r="E1394" s="55"/>
      <c r="F1394" s="55"/>
      <c r="G1394" s="275"/>
      <c r="H1394" s="276"/>
      <c r="I1394" s="213"/>
      <c r="J1394" s="213"/>
      <c r="K1394" s="269"/>
      <c r="L1394" s="272">
        <f t="shared" si="131"/>
        <v>1900</v>
      </c>
      <c r="M1394" s="272">
        <f t="shared" si="132"/>
        <v>1</v>
      </c>
      <c r="N1394" s="273"/>
      <c r="O1394" s="61">
        <f t="shared" si="133"/>
        <v>1900</v>
      </c>
      <c r="P1394" s="61">
        <f t="shared" si="134"/>
        <v>1</v>
      </c>
      <c r="R1394" s="272"/>
      <c r="S1394" s="272"/>
      <c r="T1394" s="273" t="str">
        <f t="shared" si="135"/>
        <v>-</v>
      </c>
    </row>
    <row r="1395" spans="1:20">
      <c r="A1395" s="269"/>
      <c r="B1395" s="277"/>
      <c r="C1395" s="55"/>
      <c r="D1395" s="55"/>
      <c r="E1395" s="55"/>
      <c r="F1395" s="55"/>
      <c r="G1395" s="275"/>
      <c r="H1395" s="276"/>
      <c r="I1395" s="213"/>
      <c r="J1395" s="213"/>
      <c r="K1395" s="269"/>
      <c r="L1395" s="272">
        <f t="shared" si="131"/>
        <v>1900</v>
      </c>
      <c r="M1395" s="272">
        <f t="shared" si="132"/>
        <v>1</v>
      </c>
      <c r="N1395" s="273"/>
      <c r="O1395" s="61">
        <f t="shared" si="133"/>
        <v>1900</v>
      </c>
      <c r="P1395" s="61">
        <f t="shared" si="134"/>
        <v>1</v>
      </c>
      <c r="R1395" s="272"/>
      <c r="S1395" s="272"/>
      <c r="T1395" s="273" t="str">
        <f t="shared" si="135"/>
        <v>-</v>
      </c>
    </row>
    <row r="1396" spans="1:20">
      <c r="A1396" s="269"/>
      <c r="B1396" s="277"/>
      <c r="C1396" s="55"/>
      <c r="D1396" s="55"/>
      <c r="E1396" s="55"/>
      <c r="F1396" s="55"/>
      <c r="G1396" s="275"/>
      <c r="H1396" s="276"/>
      <c r="I1396" s="213"/>
      <c r="J1396" s="213"/>
      <c r="K1396" s="269"/>
      <c r="L1396" s="272">
        <f t="shared" si="131"/>
        <v>1900</v>
      </c>
      <c r="M1396" s="272">
        <f t="shared" si="132"/>
        <v>1</v>
      </c>
      <c r="N1396" s="273"/>
      <c r="O1396" s="61">
        <f t="shared" si="133"/>
        <v>1900</v>
      </c>
      <c r="P1396" s="61">
        <f t="shared" si="134"/>
        <v>1</v>
      </c>
      <c r="R1396" s="272"/>
      <c r="S1396" s="272"/>
      <c r="T1396" s="273" t="str">
        <f t="shared" si="135"/>
        <v>-</v>
      </c>
    </row>
    <row r="1397" spans="1:20">
      <c r="A1397" s="269"/>
      <c r="B1397" s="277"/>
      <c r="C1397" s="55"/>
      <c r="D1397" s="55"/>
      <c r="E1397" s="55"/>
      <c r="F1397" s="55"/>
      <c r="G1397" s="275"/>
      <c r="H1397" s="276"/>
      <c r="I1397" s="213"/>
      <c r="J1397" s="213"/>
      <c r="K1397" s="269"/>
      <c r="L1397" s="272">
        <f t="shared" si="131"/>
        <v>1900</v>
      </c>
      <c r="M1397" s="272">
        <f t="shared" si="132"/>
        <v>1</v>
      </c>
      <c r="N1397" s="273"/>
      <c r="O1397" s="61">
        <f t="shared" si="133"/>
        <v>1900</v>
      </c>
      <c r="P1397" s="61">
        <f t="shared" si="134"/>
        <v>1</v>
      </c>
      <c r="R1397" s="272"/>
      <c r="S1397" s="272"/>
      <c r="T1397" s="273" t="str">
        <f t="shared" si="135"/>
        <v>-</v>
      </c>
    </row>
    <row r="1398" spans="1:20">
      <c r="A1398" s="269"/>
      <c r="B1398" s="277"/>
      <c r="C1398" s="55"/>
      <c r="D1398" s="55"/>
      <c r="E1398" s="55"/>
      <c r="F1398" s="55"/>
      <c r="G1398" s="275"/>
      <c r="H1398" s="276"/>
      <c r="I1398" s="213"/>
      <c r="J1398" s="213"/>
      <c r="K1398" s="269"/>
      <c r="L1398" s="272">
        <f t="shared" si="131"/>
        <v>1900</v>
      </c>
      <c r="M1398" s="272">
        <f t="shared" si="132"/>
        <v>1</v>
      </c>
      <c r="N1398" s="273"/>
      <c r="O1398" s="61">
        <f t="shared" si="133"/>
        <v>1900</v>
      </c>
      <c r="P1398" s="61">
        <f t="shared" si="134"/>
        <v>1</v>
      </c>
      <c r="R1398" s="272"/>
      <c r="S1398" s="272"/>
      <c r="T1398" s="273" t="str">
        <f t="shared" si="135"/>
        <v>-</v>
      </c>
    </row>
    <row r="1399" spans="1:20">
      <c r="A1399" s="269"/>
      <c r="B1399" s="277"/>
      <c r="C1399" s="55"/>
      <c r="D1399" s="55"/>
      <c r="E1399" s="55"/>
      <c r="F1399" s="55"/>
      <c r="G1399" s="275"/>
      <c r="H1399" s="276"/>
      <c r="I1399" s="213"/>
      <c r="J1399" s="213"/>
      <c r="K1399" s="269"/>
      <c r="L1399" s="272">
        <f t="shared" si="131"/>
        <v>1900</v>
      </c>
      <c r="M1399" s="272">
        <f t="shared" si="132"/>
        <v>1</v>
      </c>
      <c r="N1399" s="273"/>
      <c r="O1399" s="61">
        <f t="shared" si="133"/>
        <v>1900</v>
      </c>
      <c r="P1399" s="61">
        <f t="shared" si="134"/>
        <v>1</v>
      </c>
      <c r="R1399" s="272"/>
      <c r="S1399" s="272"/>
      <c r="T1399" s="273" t="str">
        <f t="shared" si="135"/>
        <v>-</v>
      </c>
    </row>
    <row r="1400" spans="1:20">
      <c r="A1400" s="269"/>
      <c r="B1400" s="277"/>
      <c r="C1400" s="55"/>
      <c r="D1400" s="55"/>
      <c r="E1400" s="55"/>
      <c r="F1400" s="55"/>
      <c r="G1400" s="275"/>
      <c r="H1400" s="276"/>
      <c r="I1400" s="213"/>
      <c r="J1400" s="213"/>
      <c r="K1400" s="269"/>
      <c r="L1400" s="272">
        <f t="shared" si="131"/>
        <v>1900</v>
      </c>
      <c r="M1400" s="272">
        <f t="shared" si="132"/>
        <v>1</v>
      </c>
      <c r="N1400" s="273"/>
      <c r="O1400" s="61">
        <f t="shared" si="133"/>
        <v>1900</v>
      </c>
      <c r="P1400" s="61">
        <f t="shared" si="134"/>
        <v>1</v>
      </c>
      <c r="R1400" s="272"/>
      <c r="S1400" s="272"/>
      <c r="T1400" s="273" t="str">
        <f t="shared" si="135"/>
        <v>-</v>
      </c>
    </row>
    <row r="1401" spans="1:20">
      <c r="A1401" s="269"/>
      <c r="B1401" s="277"/>
      <c r="C1401" s="55"/>
      <c r="D1401" s="55"/>
      <c r="E1401" s="55"/>
      <c r="F1401" s="55"/>
      <c r="G1401" s="275"/>
      <c r="H1401" s="276"/>
      <c r="I1401" s="213"/>
      <c r="J1401" s="213"/>
      <c r="K1401" s="269"/>
      <c r="L1401" s="272">
        <f t="shared" si="131"/>
        <v>1900</v>
      </c>
      <c r="M1401" s="272">
        <f t="shared" si="132"/>
        <v>1</v>
      </c>
      <c r="N1401" s="273"/>
      <c r="O1401" s="61">
        <f t="shared" si="133"/>
        <v>1900</v>
      </c>
      <c r="P1401" s="61">
        <f t="shared" si="134"/>
        <v>1</v>
      </c>
      <c r="R1401" s="272"/>
      <c r="S1401" s="272"/>
      <c r="T1401" s="273" t="str">
        <f t="shared" si="135"/>
        <v>-</v>
      </c>
    </row>
    <row r="1402" spans="1:20">
      <c r="A1402" s="269"/>
      <c r="B1402" s="277"/>
      <c r="C1402" s="55"/>
      <c r="D1402" s="55"/>
      <c r="E1402" s="55"/>
      <c r="F1402" s="55"/>
      <c r="G1402" s="275"/>
      <c r="H1402" s="276"/>
      <c r="I1402" s="213"/>
      <c r="J1402" s="213"/>
      <c r="K1402" s="269"/>
      <c r="L1402" s="272">
        <f t="shared" si="131"/>
        <v>1900</v>
      </c>
      <c r="M1402" s="272">
        <f t="shared" si="132"/>
        <v>1</v>
      </c>
      <c r="N1402" s="273"/>
      <c r="O1402" s="61">
        <f t="shared" si="133"/>
        <v>1900</v>
      </c>
      <c r="P1402" s="61">
        <f t="shared" si="134"/>
        <v>1</v>
      </c>
      <c r="R1402" s="272"/>
      <c r="S1402" s="272"/>
      <c r="T1402" s="273" t="str">
        <f t="shared" si="135"/>
        <v>-</v>
      </c>
    </row>
    <row r="1403" spans="1:20">
      <c r="A1403" s="269"/>
      <c r="B1403" s="277"/>
      <c r="C1403" s="55"/>
      <c r="D1403" s="55"/>
      <c r="E1403" s="55"/>
      <c r="F1403" s="55"/>
      <c r="G1403" s="275"/>
      <c r="H1403" s="276"/>
      <c r="I1403" s="213"/>
      <c r="J1403" s="213"/>
      <c r="K1403" s="269"/>
      <c r="L1403" s="272">
        <f t="shared" si="131"/>
        <v>1900</v>
      </c>
      <c r="M1403" s="272">
        <f t="shared" si="132"/>
        <v>1</v>
      </c>
      <c r="N1403" s="273"/>
      <c r="O1403" s="61">
        <f t="shared" si="133"/>
        <v>1900</v>
      </c>
      <c r="P1403" s="61">
        <f t="shared" si="134"/>
        <v>1</v>
      </c>
      <c r="R1403" s="272"/>
      <c r="S1403" s="272"/>
      <c r="T1403" s="273" t="str">
        <f t="shared" si="135"/>
        <v>-</v>
      </c>
    </row>
    <row r="1404" spans="1:20">
      <c r="A1404" s="269"/>
      <c r="B1404" s="277"/>
      <c r="C1404" s="55"/>
      <c r="D1404" s="55"/>
      <c r="E1404" s="55"/>
      <c r="F1404" s="55"/>
      <c r="G1404" s="275"/>
      <c r="H1404" s="276"/>
      <c r="I1404" s="213"/>
      <c r="J1404" s="213"/>
      <c r="K1404" s="269"/>
      <c r="L1404" s="272">
        <f t="shared" si="131"/>
        <v>1900</v>
      </c>
      <c r="M1404" s="272">
        <f t="shared" si="132"/>
        <v>1</v>
      </c>
      <c r="N1404" s="273"/>
      <c r="O1404" s="61">
        <f t="shared" si="133"/>
        <v>1900</v>
      </c>
      <c r="P1404" s="61">
        <f t="shared" si="134"/>
        <v>1</v>
      </c>
      <c r="R1404" s="272"/>
      <c r="S1404" s="272"/>
      <c r="T1404" s="273" t="str">
        <f t="shared" si="135"/>
        <v>-</v>
      </c>
    </row>
    <row r="1405" spans="1:20">
      <c r="A1405" s="269"/>
      <c r="B1405" s="277"/>
      <c r="C1405" s="55"/>
      <c r="D1405" s="55"/>
      <c r="E1405" s="55"/>
      <c r="F1405" s="55"/>
      <c r="G1405" s="275"/>
      <c r="H1405" s="276"/>
      <c r="I1405" s="213"/>
      <c r="J1405" s="213"/>
      <c r="K1405" s="269"/>
      <c r="L1405" s="272">
        <f t="shared" si="131"/>
        <v>1900</v>
      </c>
      <c r="M1405" s="272">
        <f t="shared" si="132"/>
        <v>1</v>
      </c>
      <c r="N1405" s="273"/>
      <c r="O1405" s="61">
        <f t="shared" si="133"/>
        <v>1900</v>
      </c>
      <c r="P1405" s="61">
        <f t="shared" si="134"/>
        <v>1</v>
      </c>
      <c r="R1405" s="272"/>
      <c r="S1405" s="272"/>
      <c r="T1405" s="273" t="str">
        <f t="shared" si="135"/>
        <v>-</v>
      </c>
    </row>
    <row r="1406" spans="1:20">
      <c r="A1406" s="269"/>
      <c r="B1406" s="277"/>
      <c r="C1406" s="55"/>
      <c r="D1406" s="55"/>
      <c r="E1406" s="55"/>
      <c r="F1406" s="55"/>
      <c r="G1406" s="275"/>
      <c r="H1406" s="276"/>
      <c r="I1406" s="213"/>
      <c r="J1406" s="213"/>
      <c r="K1406" s="269"/>
      <c r="L1406" s="272">
        <f t="shared" si="131"/>
        <v>1900</v>
      </c>
      <c r="M1406" s="272">
        <f t="shared" si="132"/>
        <v>1</v>
      </c>
      <c r="N1406" s="273"/>
      <c r="O1406" s="61">
        <f t="shared" si="133"/>
        <v>1900</v>
      </c>
      <c r="P1406" s="61">
        <f t="shared" si="134"/>
        <v>1</v>
      </c>
      <c r="R1406" s="272"/>
      <c r="S1406" s="272"/>
      <c r="T1406" s="273" t="str">
        <f t="shared" si="135"/>
        <v>-</v>
      </c>
    </row>
    <row r="1407" spans="1:20">
      <c r="A1407" s="269"/>
      <c r="B1407" s="277"/>
      <c r="C1407" s="55"/>
      <c r="D1407" s="55"/>
      <c r="E1407" s="55"/>
      <c r="F1407" s="55"/>
      <c r="G1407" s="275"/>
      <c r="H1407" s="276"/>
      <c r="I1407" s="213"/>
      <c r="J1407" s="213"/>
      <c r="K1407" s="269"/>
      <c r="L1407" s="272">
        <f t="shared" si="131"/>
        <v>1900</v>
      </c>
      <c r="M1407" s="272">
        <f t="shared" si="132"/>
        <v>1</v>
      </c>
      <c r="N1407" s="273"/>
      <c r="O1407" s="61">
        <f t="shared" si="133"/>
        <v>1900</v>
      </c>
      <c r="P1407" s="61">
        <f t="shared" si="134"/>
        <v>1</v>
      </c>
      <c r="R1407" s="272"/>
      <c r="S1407" s="272"/>
      <c r="T1407" s="273" t="str">
        <f t="shared" si="135"/>
        <v>-</v>
      </c>
    </row>
    <row r="1408" spans="1:20">
      <c r="A1408" s="269"/>
      <c r="B1408" s="277"/>
      <c r="C1408" s="55"/>
      <c r="D1408" s="55"/>
      <c r="E1408" s="55"/>
      <c r="F1408" s="55"/>
      <c r="G1408" s="275"/>
      <c r="H1408" s="276"/>
      <c r="I1408" s="213"/>
      <c r="J1408" s="213"/>
      <c r="K1408" s="269"/>
      <c r="L1408" s="272">
        <f t="shared" si="131"/>
        <v>1900</v>
      </c>
      <c r="M1408" s="272">
        <f t="shared" si="132"/>
        <v>1</v>
      </c>
      <c r="N1408" s="273"/>
      <c r="O1408" s="61">
        <f t="shared" si="133"/>
        <v>1900</v>
      </c>
      <c r="P1408" s="61">
        <f t="shared" si="134"/>
        <v>1</v>
      </c>
      <c r="R1408" s="272"/>
      <c r="S1408" s="272"/>
      <c r="T1408" s="273" t="str">
        <f t="shared" si="135"/>
        <v>-</v>
      </c>
    </row>
    <row r="1409" spans="1:20">
      <c r="A1409" s="269"/>
      <c r="B1409" s="277"/>
      <c r="C1409" s="55"/>
      <c r="D1409" s="55"/>
      <c r="E1409" s="55"/>
      <c r="F1409" s="55"/>
      <c r="G1409" s="275"/>
      <c r="H1409" s="276"/>
      <c r="I1409" s="213"/>
      <c r="J1409" s="213"/>
      <c r="K1409" s="269"/>
      <c r="L1409" s="272">
        <f t="shared" si="131"/>
        <v>1900</v>
      </c>
      <c r="M1409" s="272">
        <f t="shared" si="132"/>
        <v>1</v>
      </c>
      <c r="N1409" s="273"/>
      <c r="O1409" s="61">
        <f t="shared" si="133"/>
        <v>1900</v>
      </c>
      <c r="P1409" s="61">
        <f t="shared" si="134"/>
        <v>1</v>
      </c>
      <c r="R1409" s="272"/>
      <c r="S1409" s="272"/>
      <c r="T1409" s="273" t="str">
        <f t="shared" si="135"/>
        <v>-</v>
      </c>
    </row>
    <row r="1410" spans="1:20">
      <c r="A1410" s="269"/>
      <c r="B1410" s="277"/>
      <c r="C1410" s="55"/>
      <c r="D1410" s="55"/>
      <c r="E1410" s="55"/>
      <c r="F1410" s="55"/>
      <c r="G1410" s="275"/>
      <c r="H1410" s="276"/>
      <c r="I1410" s="213"/>
      <c r="J1410" s="213"/>
      <c r="K1410" s="269"/>
      <c r="L1410" s="272">
        <f t="shared" si="131"/>
        <v>1900</v>
      </c>
      <c r="M1410" s="272">
        <f t="shared" si="132"/>
        <v>1</v>
      </c>
      <c r="N1410" s="273"/>
      <c r="O1410" s="61">
        <f t="shared" si="133"/>
        <v>1900</v>
      </c>
      <c r="P1410" s="61">
        <f t="shared" si="134"/>
        <v>1</v>
      </c>
      <c r="R1410" s="272"/>
      <c r="S1410" s="272"/>
      <c r="T1410" s="273" t="str">
        <f t="shared" si="135"/>
        <v>-</v>
      </c>
    </row>
    <row r="1411" spans="1:20">
      <c r="A1411" s="269"/>
      <c r="B1411" s="277"/>
      <c r="C1411" s="55"/>
      <c r="D1411" s="55"/>
      <c r="E1411" s="55"/>
      <c r="F1411" s="55"/>
      <c r="G1411" s="275"/>
      <c r="H1411" s="276"/>
      <c r="I1411" s="213"/>
      <c r="J1411" s="213"/>
      <c r="K1411" s="269"/>
      <c r="L1411" s="272">
        <f t="shared" si="131"/>
        <v>1900</v>
      </c>
      <c r="M1411" s="272">
        <f t="shared" si="132"/>
        <v>1</v>
      </c>
      <c r="N1411" s="273"/>
      <c r="O1411" s="61">
        <f t="shared" si="133"/>
        <v>1900</v>
      </c>
      <c r="P1411" s="61">
        <f t="shared" si="134"/>
        <v>1</v>
      </c>
      <c r="R1411" s="272"/>
      <c r="S1411" s="272"/>
      <c r="T1411" s="273" t="str">
        <f t="shared" si="135"/>
        <v>-</v>
      </c>
    </row>
    <row r="1412" spans="1:20">
      <c r="A1412" s="269"/>
      <c r="B1412" s="277"/>
      <c r="C1412" s="55"/>
      <c r="D1412" s="55"/>
      <c r="E1412" s="55"/>
      <c r="F1412" s="55"/>
      <c r="G1412" s="275"/>
      <c r="H1412" s="276"/>
      <c r="I1412" s="213"/>
      <c r="J1412" s="213"/>
      <c r="K1412" s="269"/>
      <c r="L1412" s="272">
        <f t="shared" si="131"/>
        <v>1900</v>
      </c>
      <c r="M1412" s="272">
        <f t="shared" si="132"/>
        <v>1</v>
      </c>
      <c r="N1412" s="273"/>
      <c r="O1412" s="61">
        <f t="shared" si="133"/>
        <v>1900</v>
      </c>
      <c r="P1412" s="61">
        <f t="shared" si="134"/>
        <v>1</v>
      </c>
      <c r="R1412" s="272"/>
      <c r="S1412" s="272"/>
      <c r="T1412" s="273" t="str">
        <f t="shared" si="135"/>
        <v>-</v>
      </c>
    </row>
    <row r="1413" spans="1:20">
      <c r="A1413" s="269"/>
      <c r="B1413" s="277"/>
      <c r="C1413" s="55"/>
      <c r="D1413" s="55"/>
      <c r="E1413" s="55"/>
      <c r="F1413" s="55"/>
      <c r="G1413" s="275"/>
      <c r="H1413" s="276"/>
      <c r="I1413" s="213"/>
      <c r="J1413" s="213"/>
      <c r="K1413" s="269"/>
      <c r="L1413" s="272">
        <f t="shared" si="131"/>
        <v>1900</v>
      </c>
      <c r="M1413" s="272">
        <f t="shared" si="132"/>
        <v>1</v>
      </c>
      <c r="N1413" s="273"/>
      <c r="O1413" s="61">
        <f t="shared" si="133"/>
        <v>1900</v>
      </c>
      <c r="P1413" s="61">
        <f t="shared" si="134"/>
        <v>1</v>
      </c>
      <c r="R1413" s="272"/>
      <c r="S1413" s="272"/>
      <c r="T1413" s="273" t="str">
        <f t="shared" si="135"/>
        <v>-</v>
      </c>
    </row>
    <row r="1414" spans="1:20">
      <c r="A1414" s="269"/>
      <c r="B1414" s="277"/>
      <c r="C1414" s="55"/>
      <c r="D1414" s="55"/>
      <c r="E1414" s="55"/>
      <c r="F1414" s="55"/>
      <c r="G1414" s="275"/>
      <c r="H1414" s="276"/>
      <c r="I1414" s="213"/>
      <c r="J1414" s="213"/>
      <c r="K1414" s="269"/>
      <c r="L1414" s="272">
        <f t="shared" si="131"/>
        <v>1900</v>
      </c>
      <c r="M1414" s="272">
        <f t="shared" si="132"/>
        <v>1</v>
      </c>
      <c r="N1414" s="273"/>
      <c r="O1414" s="61">
        <f t="shared" si="133"/>
        <v>1900</v>
      </c>
      <c r="P1414" s="61">
        <f t="shared" si="134"/>
        <v>1</v>
      </c>
      <c r="R1414" s="272"/>
      <c r="S1414" s="272"/>
      <c r="T1414" s="273" t="str">
        <f t="shared" si="135"/>
        <v>-</v>
      </c>
    </row>
    <row r="1415" spans="1:20">
      <c r="A1415" s="269"/>
      <c r="B1415" s="277"/>
      <c r="C1415" s="55"/>
      <c r="D1415" s="55"/>
      <c r="E1415" s="55"/>
      <c r="F1415" s="55"/>
      <c r="G1415" s="275"/>
      <c r="H1415" s="276"/>
      <c r="I1415" s="213"/>
      <c r="J1415" s="213"/>
      <c r="K1415" s="269"/>
      <c r="L1415" s="272">
        <f t="shared" si="131"/>
        <v>1900</v>
      </c>
      <c r="M1415" s="272">
        <f t="shared" si="132"/>
        <v>1</v>
      </c>
      <c r="N1415" s="273"/>
      <c r="O1415" s="61">
        <f t="shared" si="133"/>
        <v>1900</v>
      </c>
      <c r="P1415" s="61">
        <f t="shared" si="134"/>
        <v>1</v>
      </c>
      <c r="R1415" s="272"/>
      <c r="S1415" s="272"/>
      <c r="T1415" s="273" t="str">
        <f t="shared" si="135"/>
        <v>-</v>
      </c>
    </row>
    <row r="1416" spans="1:20">
      <c r="A1416" s="269"/>
      <c r="B1416" s="277"/>
      <c r="C1416" s="55"/>
      <c r="D1416" s="55"/>
      <c r="E1416" s="55"/>
      <c r="F1416" s="55"/>
      <c r="G1416" s="275"/>
      <c r="H1416" s="276"/>
      <c r="I1416" s="213"/>
      <c r="J1416" s="213"/>
      <c r="K1416" s="269"/>
      <c r="L1416" s="272">
        <f t="shared" si="131"/>
        <v>1900</v>
      </c>
      <c r="M1416" s="272">
        <f t="shared" si="132"/>
        <v>1</v>
      </c>
      <c r="N1416" s="273"/>
      <c r="O1416" s="61">
        <f t="shared" si="133"/>
        <v>1900</v>
      </c>
      <c r="P1416" s="61">
        <f t="shared" si="134"/>
        <v>1</v>
      </c>
      <c r="R1416" s="272"/>
      <c r="S1416" s="272"/>
      <c r="T1416" s="273" t="str">
        <f t="shared" si="135"/>
        <v>-</v>
      </c>
    </row>
    <row r="1417" spans="1:20">
      <c r="A1417" s="269"/>
      <c r="B1417" s="277"/>
      <c r="C1417" s="55"/>
      <c r="D1417" s="55"/>
      <c r="E1417" s="55"/>
      <c r="F1417" s="55"/>
      <c r="G1417" s="275"/>
      <c r="H1417" s="276"/>
      <c r="I1417" s="213"/>
      <c r="J1417" s="213"/>
      <c r="K1417" s="269"/>
      <c r="L1417" s="272">
        <f t="shared" si="131"/>
        <v>1900</v>
      </c>
      <c r="M1417" s="272">
        <f t="shared" si="132"/>
        <v>1</v>
      </c>
      <c r="N1417" s="273"/>
      <c r="O1417" s="61">
        <f t="shared" si="133"/>
        <v>1900</v>
      </c>
      <c r="P1417" s="61">
        <f t="shared" si="134"/>
        <v>1</v>
      </c>
      <c r="R1417" s="272"/>
      <c r="S1417" s="272"/>
      <c r="T1417" s="273" t="str">
        <f t="shared" si="135"/>
        <v>-</v>
      </c>
    </row>
    <row r="1418" spans="1:20">
      <c r="A1418" s="269"/>
      <c r="B1418" s="277"/>
      <c r="C1418" s="55"/>
      <c r="D1418" s="55"/>
      <c r="E1418" s="55"/>
      <c r="F1418" s="55"/>
      <c r="G1418" s="275"/>
      <c r="H1418" s="276"/>
      <c r="I1418" s="213"/>
      <c r="J1418" s="213"/>
      <c r="K1418" s="269"/>
      <c r="L1418" s="272">
        <f t="shared" si="131"/>
        <v>1900</v>
      </c>
      <c r="M1418" s="272">
        <f t="shared" si="132"/>
        <v>1</v>
      </c>
      <c r="N1418" s="273"/>
      <c r="O1418" s="61">
        <f t="shared" si="133"/>
        <v>1900</v>
      </c>
      <c r="P1418" s="61">
        <f t="shared" si="134"/>
        <v>1</v>
      </c>
      <c r="R1418" s="272"/>
      <c r="S1418" s="272"/>
      <c r="T1418" s="273" t="str">
        <f t="shared" si="135"/>
        <v>-</v>
      </c>
    </row>
    <row r="1419" spans="1:20">
      <c r="A1419" s="269"/>
      <c r="B1419" s="277"/>
      <c r="C1419" s="55"/>
      <c r="D1419" s="55"/>
      <c r="E1419" s="55"/>
      <c r="F1419" s="55"/>
      <c r="G1419" s="275"/>
      <c r="H1419" s="276"/>
      <c r="I1419" s="213"/>
      <c r="J1419" s="213"/>
      <c r="K1419" s="269"/>
      <c r="L1419" s="272">
        <f t="shared" si="131"/>
        <v>1900</v>
      </c>
      <c r="M1419" s="272">
        <f t="shared" si="132"/>
        <v>1</v>
      </c>
      <c r="N1419" s="273"/>
      <c r="O1419" s="61">
        <f t="shared" si="133"/>
        <v>1900</v>
      </c>
      <c r="P1419" s="61">
        <f t="shared" si="134"/>
        <v>1</v>
      </c>
      <c r="R1419" s="272"/>
      <c r="S1419" s="272"/>
      <c r="T1419" s="273" t="str">
        <f t="shared" si="135"/>
        <v>-</v>
      </c>
    </row>
    <row r="1420" spans="1:20">
      <c r="A1420" s="269"/>
      <c r="B1420" s="277"/>
      <c r="C1420" s="55"/>
      <c r="D1420" s="55"/>
      <c r="E1420" s="55"/>
      <c r="F1420" s="55"/>
      <c r="G1420" s="275"/>
      <c r="H1420" s="276"/>
      <c r="I1420" s="213"/>
      <c r="J1420" s="213"/>
      <c r="K1420" s="269"/>
      <c r="L1420" s="272">
        <f t="shared" si="131"/>
        <v>1900</v>
      </c>
      <c r="M1420" s="272">
        <f t="shared" si="132"/>
        <v>1</v>
      </c>
      <c r="N1420" s="273"/>
      <c r="O1420" s="61">
        <f t="shared" si="133"/>
        <v>1900</v>
      </c>
      <c r="P1420" s="61">
        <f t="shared" si="134"/>
        <v>1</v>
      </c>
      <c r="R1420" s="272"/>
      <c r="S1420" s="272"/>
      <c r="T1420" s="273" t="str">
        <f t="shared" si="135"/>
        <v>-</v>
      </c>
    </row>
    <row r="1421" spans="1:20">
      <c r="A1421" s="269"/>
      <c r="B1421" s="277"/>
      <c r="C1421" s="55"/>
      <c r="D1421" s="55"/>
      <c r="E1421" s="55"/>
      <c r="F1421" s="55"/>
      <c r="G1421" s="275"/>
      <c r="H1421" s="276"/>
      <c r="I1421" s="213"/>
      <c r="J1421" s="213"/>
      <c r="K1421" s="269"/>
      <c r="L1421" s="272">
        <f t="shared" si="131"/>
        <v>1900</v>
      </c>
      <c r="M1421" s="272">
        <f t="shared" si="132"/>
        <v>1</v>
      </c>
      <c r="N1421" s="273"/>
      <c r="O1421" s="61">
        <f t="shared" si="133"/>
        <v>1900</v>
      </c>
      <c r="P1421" s="61">
        <f t="shared" si="134"/>
        <v>1</v>
      </c>
      <c r="R1421" s="272"/>
      <c r="S1421" s="272"/>
      <c r="T1421" s="273" t="str">
        <f t="shared" si="135"/>
        <v>-</v>
      </c>
    </row>
    <row r="1422" spans="1:20">
      <c r="A1422" s="269"/>
      <c r="B1422" s="277"/>
      <c r="C1422" s="55"/>
      <c r="D1422" s="55"/>
      <c r="E1422" s="55"/>
      <c r="F1422" s="55"/>
      <c r="G1422" s="275"/>
      <c r="H1422" s="276"/>
      <c r="I1422" s="213"/>
      <c r="J1422" s="213"/>
      <c r="K1422" s="269"/>
      <c r="L1422" s="272">
        <f t="shared" si="131"/>
        <v>1900</v>
      </c>
      <c r="M1422" s="272">
        <f t="shared" si="132"/>
        <v>1</v>
      </c>
      <c r="N1422" s="273"/>
      <c r="O1422" s="61">
        <f t="shared" si="133"/>
        <v>1900</v>
      </c>
      <c r="P1422" s="61">
        <f t="shared" si="134"/>
        <v>1</v>
      </c>
      <c r="R1422" s="272"/>
      <c r="S1422" s="272"/>
      <c r="T1422" s="273" t="str">
        <f t="shared" si="135"/>
        <v>-</v>
      </c>
    </row>
    <row r="1423" spans="1:20">
      <c r="A1423" s="269"/>
      <c r="B1423" s="277"/>
      <c r="C1423" s="55"/>
      <c r="D1423" s="55"/>
      <c r="E1423" s="55"/>
      <c r="F1423" s="55"/>
      <c r="G1423" s="275"/>
      <c r="H1423" s="276"/>
      <c r="I1423" s="213"/>
      <c r="J1423" s="213"/>
      <c r="K1423" s="269"/>
      <c r="L1423" s="272">
        <f t="shared" si="131"/>
        <v>1900</v>
      </c>
      <c r="M1423" s="272">
        <f t="shared" si="132"/>
        <v>1</v>
      </c>
      <c r="N1423" s="273"/>
      <c r="O1423" s="61">
        <f t="shared" si="133"/>
        <v>1900</v>
      </c>
      <c r="P1423" s="61">
        <f t="shared" si="134"/>
        <v>1</v>
      </c>
      <c r="R1423" s="272"/>
      <c r="S1423" s="272"/>
      <c r="T1423" s="273" t="str">
        <f t="shared" si="135"/>
        <v>-</v>
      </c>
    </row>
    <row r="1424" spans="1:20">
      <c r="A1424" s="269"/>
      <c r="B1424" s="277"/>
      <c r="C1424" s="55"/>
      <c r="D1424" s="55"/>
      <c r="E1424" s="55"/>
      <c r="F1424" s="55"/>
      <c r="G1424" s="275"/>
      <c r="H1424" s="276"/>
      <c r="I1424" s="213"/>
      <c r="J1424" s="213"/>
      <c r="K1424" s="269"/>
      <c r="L1424" s="272">
        <f t="shared" ref="L1424:L1487" si="136">YEAR(B1424)</f>
        <v>1900</v>
      </c>
      <c r="M1424" s="272">
        <f t="shared" ref="M1424:M1487" si="137">MONTH(B1424)</f>
        <v>1</v>
      </c>
      <c r="N1424" s="273"/>
      <c r="O1424" s="61">
        <f t="shared" ref="O1424:O1487" si="138">YEAR(B1424)</f>
        <v>1900</v>
      </c>
      <c r="P1424" s="61">
        <f t="shared" ref="P1424:P1487" si="139">MONTH(B1424)</f>
        <v>1</v>
      </c>
      <c r="R1424" s="272"/>
      <c r="S1424" s="272"/>
      <c r="T1424" s="273" t="str">
        <f t="shared" ref="T1424:T1487" si="140">IF($E1424&gt;0,IF((R1424+S1424)=$E1424,"OK","Error"),"-")</f>
        <v>-</v>
      </c>
    </row>
    <row r="1425" spans="1:20">
      <c r="A1425" s="269"/>
      <c r="B1425" s="277"/>
      <c r="C1425" s="55"/>
      <c r="D1425" s="55"/>
      <c r="E1425" s="55"/>
      <c r="F1425" s="55"/>
      <c r="G1425" s="275"/>
      <c r="H1425" s="276"/>
      <c r="I1425" s="213"/>
      <c r="J1425" s="213"/>
      <c r="K1425" s="269"/>
      <c r="L1425" s="272">
        <f t="shared" si="136"/>
        <v>1900</v>
      </c>
      <c r="M1425" s="272">
        <f t="shared" si="137"/>
        <v>1</v>
      </c>
      <c r="N1425" s="273"/>
      <c r="O1425" s="61">
        <f t="shared" si="138"/>
        <v>1900</v>
      </c>
      <c r="P1425" s="61">
        <f t="shared" si="139"/>
        <v>1</v>
      </c>
      <c r="R1425" s="272"/>
      <c r="S1425" s="272"/>
      <c r="T1425" s="273" t="str">
        <f t="shared" si="140"/>
        <v>-</v>
      </c>
    </row>
    <row r="1426" spans="1:20">
      <c r="A1426" s="269"/>
      <c r="B1426" s="277"/>
      <c r="C1426" s="55"/>
      <c r="D1426" s="55"/>
      <c r="E1426" s="55"/>
      <c r="F1426" s="55"/>
      <c r="G1426" s="275"/>
      <c r="H1426" s="276"/>
      <c r="I1426" s="213"/>
      <c r="J1426" s="213"/>
      <c r="K1426" s="269"/>
      <c r="L1426" s="272">
        <f t="shared" si="136"/>
        <v>1900</v>
      </c>
      <c r="M1426" s="272">
        <f t="shared" si="137"/>
        <v>1</v>
      </c>
      <c r="N1426" s="273"/>
      <c r="O1426" s="61">
        <f t="shared" si="138"/>
        <v>1900</v>
      </c>
      <c r="P1426" s="61">
        <f t="shared" si="139"/>
        <v>1</v>
      </c>
      <c r="R1426" s="272"/>
      <c r="S1426" s="272"/>
      <c r="T1426" s="273" t="str">
        <f t="shared" si="140"/>
        <v>-</v>
      </c>
    </row>
    <row r="1427" spans="1:20">
      <c r="A1427" s="269"/>
      <c r="B1427" s="277"/>
      <c r="C1427" s="55"/>
      <c r="D1427" s="55"/>
      <c r="E1427" s="55"/>
      <c r="F1427" s="55"/>
      <c r="G1427" s="275"/>
      <c r="H1427" s="276"/>
      <c r="I1427" s="213"/>
      <c r="J1427" s="213"/>
      <c r="K1427" s="269"/>
      <c r="L1427" s="272">
        <f t="shared" si="136"/>
        <v>1900</v>
      </c>
      <c r="M1427" s="272">
        <f t="shared" si="137"/>
        <v>1</v>
      </c>
      <c r="N1427" s="273"/>
      <c r="O1427" s="61">
        <f t="shared" si="138"/>
        <v>1900</v>
      </c>
      <c r="P1427" s="61">
        <f t="shared" si="139"/>
        <v>1</v>
      </c>
      <c r="R1427" s="272"/>
      <c r="S1427" s="272"/>
      <c r="T1427" s="273" t="str">
        <f t="shared" si="140"/>
        <v>-</v>
      </c>
    </row>
    <row r="1428" spans="1:20">
      <c r="A1428" s="269"/>
      <c r="B1428" s="277"/>
      <c r="C1428" s="55"/>
      <c r="D1428" s="55"/>
      <c r="E1428" s="55"/>
      <c r="F1428" s="55"/>
      <c r="G1428" s="275"/>
      <c r="H1428" s="276"/>
      <c r="I1428" s="213"/>
      <c r="J1428" s="213"/>
      <c r="K1428" s="269"/>
      <c r="L1428" s="272">
        <f t="shared" si="136"/>
        <v>1900</v>
      </c>
      <c r="M1428" s="272">
        <f t="shared" si="137"/>
        <v>1</v>
      </c>
      <c r="N1428" s="273"/>
      <c r="O1428" s="61">
        <f t="shared" si="138"/>
        <v>1900</v>
      </c>
      <c r="P1428" s="61">
        <f t="shared" si="139"/>
        <v>1</v>
      </c>
      <c r="R1428" s="272"/>
      <c r="S1428" s="272"/>
      <c r="T1428" s="273" t="str">
        <f t="shared" si="140"/>
        <v>-</v>
      </c>
    </row>
    <row r="1429" spans="1:20">
      <c r="A1429" s="269"/>
      <c r="B1429" s="277"/>
      <c r="C1429" s="55"/>
      <c r="D1429" s="55"/>
      <c r="E1429" s="55"/>
      <c r="F1429" s="55"/>
      <c r="G1429" s="275"/>
      <c r="H1429" s="276"/>
      <c r="I1429" s="213"/>
      <c r="J1429" s="213"/>
      <c r="K1429" s="269"/>
      <c r="L1429" s="272">
        <f t="shared" si="136"/>
        <v>1900</v>
      </c>
      <c r="M1429" s="272">
        <f t="shared" si="137"/>
        <v>1</v>
      </c>
      <c r="N1429" s="273"/>
      <c r="O1429" s="61">
        <f t="shared" si="138"/>
        <v>1900</v>
      </c>
      <c r="P1429" s="61">
        <f t="shared" si="139"/>
        <v>1</v>
      </c>
      <c r="R1429" s="272"/>
      <c r="S1429" s="272"/>
      <c r="T1429" s="273" t="str">
        <f t="shared" si="140"/>
        <v>-</v>
      </c>
    </row>
    <row r="1430" spans="1:20">
      <c r="A1430" s="269"/>
      <c r="B1430" s="277"/>
      <c r="C1430" s="55"/>
      <c r="D1430" s="55"/>
      <c r="E1430" s="55"/>
      <c r="F1430" s="55"/>
      <c r="G1430" s="275"/>
      <c r="H1430" s="276"/>
      <c r="I1430" s="213"/>
      <c r="J1430" s="213"/>
      <c r="K1430" s="269"/>
      <c r="L1430" s="272">
        <f t="shared" si="136"/>
        <v>1900</v>
      </c>
      <c r="M1430" s="272">
        <f t="shared" si="137"/>
        <v>1</v>
      </c>
      <c r="N1430" s="273"/>
      <c r="O1430" s="61">
        <f t="shared" si="138"/>
        <v>1900</v>
      </c>
      <c r="P1430" s="61">
        <f t="shared" si="139"/>
        <v>1</v>
      </c>
      <c r="R1430" s="272"/>
      <c r="S1430" s="272"/>
      <c r="T1430" s="273" t="str">
        <f t="shared" si="140"/>
        <v>-</v>
      </c>
    </row>
    <row r="1431" spans="1:20">
      <c r="A1431" s="269"/>
      <c r="B1431" s="277"/>
      <c r="C1431" s="55"/>
      <c r="D1431" s="55"/>
      <c r="E1431" s="55"/>
      <c r="F1431" s="55"/>
      <c r="G1431" s="275"/>
      <c r="H1431" s="276"/>
      <c r="I1431" s="213"/>
      <c r="J1431" s="213"/>
      <c r="K1431" s="269"/>
      <c r="L1431" s="272">
        <f t="shared" si="136"/>
        <v>1900</v>
      </c>
      <c r="M1431" s="272">
        <f t="shared" si="137"/>
        <v>1</v>
      </c>
      <c r="N1431" s="273"/>
      <c r="O1431" s="61">
        <f t="shared" si="138"/>
        <v>1900</v>
      </c>
      <c r="P1431" s="61">
        <f t="shared" si="139"/>
        <v>1</v>
      </c>
      <c r="R1431" s="272"/>
      <c r="S1431" s="272"/>
      <c r="T1431" s="273" t="str">
        <f t="shared" si="140"/>
        <v>-</v>
      </c>
    </row>
    <row r="1432" spans="1:20">
      <c r="A1432" s="269"/>
      <c r="B1432" s="277"/>
      <c r="C1432" s="55"/>
      <c r="D1432" s="55"/>
      <c r="E1432" s="55"/>
      <c r="F1432" s="55"/>
      <c r="G1432" s="275"/>
      <c r="H1432" s="276"/>
      <c r="I1432" s="213"/>
      <c r="J1432" s="213"/>
      <c r="K1432" s="269"/>
      <c r="L1432" s="272">
        <f t="shared" si="136"/>
        <v>1900</v>
      </c>
      <c r="M1432" s="272">
        <f t="shared" si="137"/>
        <v>1</v>
      </c>
      <c r="N1432" s="273"/>
      <c r="O1432" s="61">
        <f t="shared" si="138"/>
        <v>1900</v>
      </c>
      <c r="P1432" s="61">
        <f t="shared" si="139"/>
        <v>1</v>
      </c>
      <c r="R1432" s="272"/>
      <c r="S1432" s="272"/>
      <c r="T1432" s="273" t="str">
        <f t="shared" si="140"/>
        <v>-</v>
      </c>
    </row>
    <row r="1433" spans="1:20">
      <c r="A1433" s="269"/>
      <c r="B1433" s="277"/>
      <c r="C1433" s="55"/>
      <c r="D1433" s="55"/>
      <c r="E1433" s="55"/>
      <c r="F1433" s="55"/>
      <c r="G1433" s="275"/>
      <c r="H1433" s="276"/>
      <c r="I1433" s="213"/>
      <c r="J1433" s="213"/>
      <c r="K1433" s="269"/>
      <c r="L1433" s="272">
        <f t="shared" si="136"/>
        <v>1900</v>
      </c>
      <c r="M1433" s="272">
        <f t="shared" si="137"/>
        <v>1</v>
      </c>
      <c r="N1433" s="273"/>
      <c r="O1433" s="61">
        <f t="shared" si="138"/>
        <v>1900</v>
      </c>
      <c r="P1433" s="61">
        <f t="shared" si="139"/>
        <v>1</v>
      </c>
      <c r="R1433" s="272"/>
      <c r="S1433" s="272"/>
      <c r="T1433" s="273" t="str">
        <f t="shared" si="140"/>
        <v>-</v>
      </c>
    </row>
    <row r="1434" spans="1:20">
      <c r="A1434" s="269"/>
      <c r="B1434" s="277"/>
      <c r="C1434" s="55"/>
      <c r="D1434" s="55"/>
      <c r="E1434" s="55"/>
      <c r="F1434" s="55"/>
      <c r="G1434" s="275"/>
      <c r="H1434" s="276"/>
      <c r="I1434" s="213"/>
      <c r="J1434" s="213"/>
      <c r="K1434" s="269"/>
      <c r="L1434" s="272">
        <f t="shared" si="136"/>
        <v>1900</v>
      </c>
      <c r="M1434" s="272">
        <f t="shared" si="137"/>
        <v>1</v>
      </c>
      <c r="N1434" s="273"/>
      <c r="O1434" s="61">
        <f t="shared" si="138"/>
        <v>1900</v>
      </c>
      <c r="P1434" s="61">
        <f t="shared" si="139"/>
        <v>1</v>
      </c>
      <c r="R1434" s="272"/>
      <c r="S1434" s="272"/>
      <c r="T1434" s="273" t="str">
        <f t="shared" si="140"/>
        <v>-</v>
      </c>
    </row>
    <row r="1435" spans="1:20">
      <c r="A1435" s="269"/>
      <c r="B1435" s="277"/>
      <c r="C1435" s="55"/>
      <c r="D1435" s="55"/>
      <c r="E1435" s="55"/>
      <c r="F1435" s="55"/>
      <c r="G1435" s="275"/>
      <c r="H1435" s="276"/>
      <c r="I1435" s="213"/>
      <c r="J1435" s="213"/>
      <c r="K1435" s="269"/>
      <c r="L1435" s="272">
        <f t="shared" si="136"/>
        <v>1900</v>
      </c>
      <c r="M1435" s="272">
        <f t="shared" si="137"/>
        <v>1</v>
      </c>
      <c r="N1435" s="273"/>
      <c r="O1435" s="61">
        <f t="shared" si="138"/>
        <v>1900</v>
      </c>
      <c r="P1435" s="61">
        <f t="shared" si="139"/>
        <v>1</v>
      </c>
      <c r="R1435" s="272"/>
      <c r="S1435" s="272"/>
      <c r="T1435" s="273" t="str">
        <f t="shared" si="140"/>
        <v>-</v>
      </c>
    </row>
    <row r="1436" spans="1:20">
      <c r="A1436" s="269"/>
      <c r="B1436" s="277"/>
      <c r="C1436" s="55"/>
      <c r="D1436" s="55"/>
      <c r="E1436" s="55"/>
      <c r="F1436" s="55"/>
      <c r="G1436" s="275"/>
      <c r="H1436" s="276"/>
      <c r="I1436" s="213"/>
      <c r="J1436" s="213"/>
      <c r="K1436" s="269"/>
      <c r="L1436" s="272">
        <f t="shared" si="136"/>
        <v>1900</v>
      </c>
      <c r="M1436" s="272">
        <f t="shared" si="137"/>
        <v>1</v>
      </c>
      <c r="N1436" s="273"/>
      <c r="O1436" s="61">
        <f t="shared" si="138"/>
        <v>1900</v>
      </c>
      <c r="P1436" s="61">
        <f t="shared" si="139"/>
        <v>1</v>
      </c>
      <c r="R1436" s="272"/>
      <c r="S1436" s="272"/>
      <c r="T1436" s="273" t="str">
        <f t="shared" si="140"/>
        <v>-</v>
      </c>
    </row>
    <row r="1437" spans="1:20">
      <c r="A1437" s="269"/>
      <c r="B1437" s="277"/>
      <c r="C1437" s="55"/>
      <c r="D1437" s="55"/>
      <c r="E1437" s="55"/>
      <c r="F1437" s="55"/>
      <c r="G1437" s="275"/>
      <c r="H1437" s="276"/>
      <c r="I1437" s="213"/>
      <c r="J1437" s="213"/>
      <c r="K1437" s="269"/>
      <c r="L1437" s="272">
        <f t="shared" si="136"/>
        <v>1900</v>
      </c>
      <c r="M1437" s="272">
        <f t="shared" si="137"/>
        <v>1</v>
      </c>
      <c r="N1437" s="273"/>
      <c r="O1437" s="61">
        <f t="shared" si="138"/>
        <v>1900</v>
      </c>
      <c r="P1437" s="61">
        <f t="shared" si="139"/>
        <v>1</v>
      </c>
      <c r="R1437" s="272"/>
      <c r="S1437" s="272"/>
      <c r="T1437" s="273" t="str">
        <f t="shared" si="140"/>
        <v>-</v>
      </c>
    </row>
    <row r="1438" spans="1:20">
      <c r="A1438" s="269"/>
      <c r="B1438" s="277"/>
      <c r="C1438" s="55"/>
      <c r="D1438" s="55"/>
      <c r="E1438" s="55"/>
      <c r="F1438" s="55"/>
      <c r="G1438" s="275"/>
      <c r="H1438" s="276"/>
      <c r="I1438" s="213"/>
      <c r="J1438" s="213"/>
      <c r="K1438" s="269"/>
      <c r="L1438" s="272">
        <f t="shared" si="136"/>
        <v>1900</v>
      </c>
      <c r="M1438" s="272">
        <f t="shared" si="137"/>
        <v>1</v>
      </c>
      <c r="N1438" s="273"/>
      <c r="O1438" s="61">
        <f t="shared" si="138"/>
        <v>1900</v>
      </c>
      <c r="P1438" s="61">
        <f t="shared" si="139"/>
        <v>1</v>
      </c>
      <c r="R1438" s="272"/>
      <c r="S1438" s="272"/>
      <c r="T1438" s="273" t="str">
        <f t="shared" si="140"/>
        <v>-</v>
      </c>
    </row>
    <row r="1439" spans="1:20">
      <c r="A1439" s="269"/>
      <c r="B1439" s="277"/>
      <c r="C1439" s="55"/>
      <c r="D1439" s="55"/>
      <c r="E1439" s="55"/>
      <c r="F1439" s="55"/>
      <c r="G1439" s="275"/>
      <c r="H1439" s="276"/>
      <c r="I1439" s="213"/>
      <c r="J1439" s="213"/>
      <c r="K1439" s="269"/>
      <c r="L1439" s="272">
        <f t="shared" si="136"/>
        <v>1900</v>
      </c>
      <c r="M1439" s="272">
        <f t="shared" si="137"/>
        <v>1</v>
      </c>
      <c r="N1439" s="273"/>
      <c r="O1439" s="61">
        <f t="shared" si="138"/>
        <v>1900</v>
      </c>
      <c r="P1439" s="61">
        <f t="shared" si="139"/>
        <v>1</v>
      </c>
      <c r="R1439" s="272"/>
      <c r="S1439" s="272"/>
      <c r="T1439" s="273" t="str">
        <f t="shared" si="140"/>
        <v>-</v>
      </c>
    </row>
    <row r="1440" spans="1:20">
      <c r="A1440" s="269"/>
      <c r="B1440" s="277"/>
      <c r="C1440" s="55"/>
      <c r="D1440" s="55"/>
      <c r="E1440" s="55"/>
      <c r="F1440" s="55"/>
      <c r="G1440" s="275"/>
      <c r="H1440" s="276"/>
      <c r="I1440" s="213"/>
      <c r="J1440" s="213"/>
      <c r="K1440" s="269"/>
      <c r="L1440" s="272">
        <f t="shared" si="136"/>
        <v>1900</v>
      </c>
      <c r="M1440" s="272">
        <f t="shared" si="137"/>
        <v>1</v>
      </c>
      <c r="N1440" s="273"/>
      <c r="O1440" s="61">
        <f t="shared" si="138"/>
        <v>1900</v>
      </c>
      <c r="P1440" s="61">
        <f t="shared" si="139"/>
        <v>1</v>
      </c>
      <c r="R1440" s="272"/>
      <c r="S1440" s="272"/>
      <c r="T1440" s="273" t="str">
        <f t="shared" si="140"/>
        <v>-</v>
      </c>
    </row>
    <row r="1441" spans="1:20">
      <c r="A1441" s="269"/>
      <c r="B1441" s="277"/>
      <c r="C1441" s="55"/>
      <c r="D1441" s="55"/>
      <c r="E1441" s="55"/>
      <c r="F1441" s="55"/>
      <c r="G1441" s="275"/>
      <c r="H1441" s="276"/>
      <c r="I1441" s="213"/>
      <c r="J1441" s="213"/>
      <c r="K1441" s="269"/>
      <c r="L1441" s="272">
        <f t="shared" si="136"/>
        <v>1900</v>
      </c>
      <c r="M1441" s="272">
        <f t="shared" si="137"/>
        <v>1</v>
      </c>
      <c r="N1441" s="273"/>
      <c r="O1441" s="61">
        <f t="shared" si="138"/>
        <v>1900</v>
      </c>
      <c r="P1441" s="61">
        <f t="shared" si="139"/>
        <v>1</v>
      </c>
      <c r="R1441" s="272"/>
      <c r="S1441" s="272"/>
      <c r="T1441" s="273" t="str">
        <f t="shared" si="140"/>
        <v>-</v>
      </c>
    </row>
    <row r="1442" spans="1:20">
      <c r="A1442" s="269"/>
      <c r="B1442" s="277"/>
      <c r="C1442" s="55"/>
      <c r="D1442" s="55"/>
      <c r="E1442" s="55"/>
      <c r="F1442" s="55"/>
      <c r="G1442" s="275"/>
      <c r="H1442" s="276"/>
      <c r="I1442" s="213"/>
      <c r="J1442" s="213"/>
      <c r="K1442" s="269"/>
      <c r="L1442" s="272">
        <f t="shared" si="136"/>
        <v>1900</v>
      </c>
      <c r="M1442" s="272">
        <f t="shared" si="137"/>
        <v>1</v>
      </c>
      <c r="N1442" s="273"/>
      <c r="O1442" s="61">
        <f t="shared" si="138"/>
        <v>1900</v>
      </c>
      <c r="P1442" s="61">
        <f t="shared" si="139"/>
        <v>1</v>
      </c>
      <c r="R1442" s="272"/>
      <c r="S1442" s="272"/>
      <c r="T1442" s="273" t="str">
        <f t="shared" si="140"/>
        <v>-</v>
      </c>
    </row>
    <row r="1443" spans="1:20">
      <c r="A1443" s="269"/>
      <c r="B1443" s="277"/>
      <c r="C1443" s="55"/>
      <c r="D1443" s="55"/>
      <c r="E1443" s="55"/>
      <c r="F1443" s="55"/>
      <c r="G1443" s="275"/>
      <c r="H1443" s="276"/>
      <c r="I1443" s="213"/>
      <c r="J1443" s="213"/>
      <c r="K1443" s="269"/>
      <c r="L1443" s="272">
        <f t="shared" si="136"/>
        <v>1900</v>
      </c>
      <c r="M1443" s="272">
        <f t="shared" si="137"/>
        <v>1</v>
      </c>
      <c r="N1443" s="273"/>
      <c r="O1443" s="61">
        <f t="shared" si="138"/>
        <v>1900</v>
      </c>
      <c r="P1443" s="61">
        <f t="shared" si="139"/>
        <v>1</v>
      </c>
      <c r="R1443" s="272"/>
      <c r="S1443" s="272"/>
      <c r="T1443" s="273" t="str">
        <f t="shared" si="140"/>
        <v>-</v>
      </c>
    </row>
    <row r="1444" spans="1:20">
      <c r="A1444" s="269"/>
      <c r="B1444" s="277"/>
      <c r="C1444" s="55"/>
      <c r="D1444" s="55"/>
      <c r="E1444" s="55"/>
      <c r="F1444" s="55"/>
      <c r="G1444" s="275"/>
      <c r="H1444" s="276"/>
      <c r="I1444" s="213"/>
      <c r="J1444" s="213"/>
      <c r="K1444" s="269"/>
      <c r="L1444" s="272">
        <f t="shared" si="136"/>
        <v>1900</v>
      </c>
      <c r="M1444" s="272">
        <f t="shared" si="137"/>
        <v>1</v>
      </c>
      <c r="N1444" s="273"/>
      <c r="O1444" s="61">
        <f t="shared" si="138"/>
        <v>1900</v>
      </c>
      <c r="P1444" s="61">
        <f t="shared" si="139"/>
        <v>1</v>
      </c>
      <c r="R1444" s="272"/>
      <c r="S1444" s="272"/>
      <c r="T1444" s="273" t="str">
        <f t="shared" si="140"/>
        <v>-</v>
      </c>
    </row>
    <row r="1445" spans="1:20">
      <c r="A1445" s="269"/>
      <c r="B1445" s="277"/>
      <c r="C1445" s="55"/>
      <c r="D1445" s="55"/>
      <c r="E1445" s="55"/>
      <c r="F1445" s="55"/>
      <c r="G1445" s="275"/>
      <c r="H1445" s="276"/>
      <c r="I1445" s="213"/>
      <c r="J1445" s="213"/>
      <c r="K1445" s="269"/>
      <c r="L1445" s="272">
        <f t="shared" si="136"/>
        <v>1900</v>
      </c>
      <c r="M1445" s="272">
        <f t="shared" si="137"/>
        <v>1</v>
      </c>
      <c r="N1445" s="273"/>
      <c r="O1445" s="61">
        <f t="shared" si="138"/>
        <v>1900</v>
      </c>
      <c r="P1445" s="61">
        <f t="shared" si="139"/>
        <v>1</v>
      </c>
      <c r="R1445" s="272"/>
      <c r="S1445" s="272"/>
      <c r="T1445" s="273" t="str">
        <f t="shared" si="140"/>
        <v>-</v>
      </c>
    </row>
    <row r="1446" spans="1:20">
      <c r="A1446" s="269"/>
      <c r="B1446" s="277"/>
      <c r="C1446" s="55"/>
      <c r="D1446" s="55"/>
      <c r="E1446" s="55"/>
      <c r="F1446" s="55"/>
      <c r="G1446" s="275"/>
      <c r="H1446" s="276"/>
      <c r="I1446" s="213"/>
      <c r="J1446" s="213"/>
      <c r="K1446" s="269"/>
      <c r="L1446" s="272">
        <f t="shared" si="136"/>
        <v>1900</v>
      </c>
      <c r="M1446" s="272">
        <f t="shared" si="137"/>
        <v>1</v>
      </c>
      <c r="N1446" s="273"/>
      <c r="O1446" s="61">
        <f t="shared" si="138"/>
        <v>1900</v>
      </c>
      <c r="P1446" s="61">
        <f t="shared" si="139"/>
        <v>1</v>
      </c>
      <c r="R1446" s="272"/>
      <c r="S1446" s="272"/>
      <c r="T1446" s="273" t="str">
        <f t="shared" si="140"/>
        <v>-</v>
      </c>
    </row>
    <row r="1447" spans="1:20">
      <c r="A1447" s="269"/>
      <c r="B1447" s="277"/>
      <c r="C1447" s="55"/>
      <c r="D1447" s="55"/>
      <c r="E1447" s="55"/>
      <c r="F1447" s="55"/>
      <c r="G1447" s="275"/>
      <c r="H1447" s="276"/>
      <c r="I1447" s="213"/>
      <c r="J1447" s="213"/>
      <c r="K1447" s="269"/>
      <c r="L1447" s="272">
        <f t="shared" si="136"/>
        <v>1900</v>
      </c>
      <c r="M1447" s="272">
        <f t="shared" si="137"/>
        <v>1</v>
      </c>
      <c r="N1447" s="273"/>
      <c r="O1447" s="61">
        <f t="shared" si="138"/>
        <v>1900</v>
      </c>
      <c r="P1447" s="61">
        <f t="shared" si="139"/>
        <v>1</v>
      </c>
      <c r="R1447" s="272"/>
      <c r="S1447" s="272"/>
      <c r="T1447" s="273" t="str">
        <f t="shared" si="140"/>
        <v>-</v>
      </c>
    </row>
    <row r="1448" spans="1:20">
      <c r="A1448" s="269"/>
      <c r="B1448" s="277"/>
      <c r="C1448" s="55"/>
      <c r="D1448" s="55"/>
      <c r="E1448" s="55"/>
      <c r="F1448" s="55"/>
      <c r="G1448" s="275"/>
      <c r="H1448" s="276"/>
      <c r="I1448" s="213"/>
      <c r="J1448" s="213"/>
      <c r="K1448" s="269"/>
      <c r="L1448" s="272">
        <f t="shared" si="136"/>
        <v>1900</v>
      </c>
      <c r="M1448" s="272">
        <f t="shared" si="137"/>
        <v>1</v>
      </c>
      <c r="N1448" s="273"/>
      <c r="O1448" s="61">
        <f t="shared" si="138"/>
        <v>1900</v>
      </c>
      <c r="P1448" s="61">
        <f t="shared" si="139"/>
        <v>1</v>
      </c>
      <c r="R1448" s="272"/>
      <c r="S1448" s="272"/>
      <c r="T1448" s="273" t="str">
        <f t="shared" si="140"/>
        <v>-</v>
      </c>
    </row>
    <row r="1449" spans="1:20">
      <c r="A1449" s="269"/>
      <c r="B1449" s="277"/>
      <c r="C1449" s="55"/>
      <c r="D1449" s="55"/>
      <c r="E1449" s="55"/>
      <c r="F1449" s="55"/>
      <c r="G1449" s="275"/>
      <c r="H1449" s="276"/>
      <c r="I1449" s="213"/>
      <c r="J1449" s="213"/>
      <c r="K1449" s="269"/>
      <c r="L1449" s="272">
        <f t="shared" si="136"/>
        <v>1900</v>
      </c>
      <c r="M1449" s="272">
        <f t="shared" si="137"/>
        <v>1</v>
      </c>
      <c r="N1449" s="273"/>
      <c r="O1449" s="61">
        <f t="shared" si="138"/>
        <v>1900</v>
      </c>
      <c r="P1449" s="61">
        <f t="shared" si="139"/>
        <v>1</v>
      </c>
      <c r="R1449" s="272"/>
      <c r="S1449" s="272"/>
      <c r="T1449" s="273" t="str">
        <f t="shared" si="140"/>
        <v>-</v>
      </c>
    </row>
    <row r="1450" spans="1:20">
      <c r="A1450" s="269"/>
      <c r="B1450" s="277"/>
      <c r="C1450" s="55"/>
      <c r="D1450" s="55"/>
      <c r="E1450" s="55"/>
      <c r="F1450" s="55"/>
      <c r="G1450" s="275"/>
      <c r="H1450" s="276"/>
      <c r="I1450" s="213"/>
      <c r="J1450" s="213"/>
      <c r="K1450" s="269"/>
      <c r="L1450" s="272">
        <f t="shared" si="136"/>
        <v>1900</v>
      </c>
      <c r="M1450" s="272">
        <f t="shared" si="137"/>
        <v>1</v>
      </c>
      <c r="N1450" s="273"/>
      <c r="O1450" s="61">
        <f t="shared" si="138"/>
        <v>1900</v>
      </c>
      <c r="P1450" s="61">
        <f t="shared" si="139"/>
        <v>1</v>
      </c>
      <c r="R1450" s="272"/>
      <c r="S1450" s="272"/>
      <c r="T1450" s="273" t="str">
        <f t="shared" si="140"/>
        <v>-</v>
      </c>
    </row>
    <row r="1451" spans="1:20">
      <c r="A1451" s="269"/>
      <c r="B1451" s="277"/>
      <c r="C1451" s="55"/>
      <c r="D1451" s="55"/>
      <c r="E1451" s="55"/>
      <c r="F1451" s="55"/>
      <c r="G1451" s="275"/>
      <c r="H1451" s="276"/>
      <c r="I1451" s="213"/>
      <c r="J1451" s="213"/>
      <c r="K1451" s="269"/>
      <c r="L1451" s="272">
        <f t="shared" si="136"/>
        <v>1900</v>
      </c>
      <c r="M1451" s="272">
        <f t="shared" si="137"/>
        <v>1</v>
      </c>
      <c r="N1451" s="273"/>
      <c r="O1451" s="61">
        <f t="shared" si="138"/>
        <v>1900</v>
      </c>
      <c r="P1451" s="61">
        <f t="shared" si="139"/>
        <v>1</v>
      </c>
      <c r="R1451" s="272"/>
      <c r="S1451" s="272"/>
      <c r="T1451" s="273" t="str">
        <f t="shared" si="140"/>
        <v>-</v>
      </c>
    </row>
    <row r="1452" spans="1:20">
      <c r="A1452" s="269"/>
      <c r="B1452" s="277"/>
      <c r="C1452" s="55"/>
      <c r="D1452" s="55"/>
      <c r="E1452" s="55"/>
      <c r="F1452" s="55"/>
      <c r="G1452" s="275"/>
      <c r="H1452" s="276"/>
      <c r="I1452" s="213"/>
      <c r="J1452" s="213"/>
      <c r="K1452" s="269"/>
      <c r="L1452" s="272">
        <f t="shared" si="136"/>
        <v>1900</v>
      </c>
      <c r="M1452" s="272">
        <f t="shared" si="137"/>
        <v>1</v>
      </c>
      <c r="N1452" s="273"/>
      <c r="O1452" s="61">
        <f t="shared" si="138"/>
        <v>1900</v>
      </c>
      <c r="P1452" s="61">
        <f t="shared" si="139"/>
        <v>1</v>
      </c>
      <c r="R1452" s="272"/>
      <c r="S1452" s="272"/>
      <c r="T1452" s="273" t="str">
        <f t="shared" si="140"/>
        <v>-</v>
      </c>
    </row>
    <row r="1453" spans="1:20">
      <c r="A1453" s="269"/>
      <c r="B1453" s="277"/>
      <c r="C1453" s="55"/>
      <c r="D1453" s="55"/>
      <c r="E1453" s="55"/>
      <c r="F1453" s="55"/>
      <c r="G1453" s="275"/>
      <c r="H1453" s="276"/>
      <c r="I1453" s="213"/>
      <c r="J1453" s="213"/>
      <c r="K1453" s="269"/>
      <c r="L1453" s="272">
        <f t="shared" si="136"/>
        <v>1900</v>
      </c>
      <c r="M1453" s="272">
        <f t="shared" si="137"/>
        <v>1</v>
      </c>
      <c r="N1453" s="273"/>
      <c r="O1453" s="61">
        <f t="shared" si="138"/>
        <v>1900</v>
      </c>
      <c r="P1453" s="61">
        <f t="shared" si="139"/>
        <v>1</v>
      </c>
      <c r="R1453" s="272"/>
      <c r="S1453" s="272"/>
      <c r="T1453" s="273" t="str">
        <f t="shared" si="140"/>
        <v>-</v>
      </c>
    </row>
    <row r="1454" spans="1:20">
      <c r="A1454" s="269"/>
      <c r="B1454" s="277"/>
      <c r="C1454" s="55"/>
      <c r="D1454" s="55"/>
      <c r="E1454" s="55"/>
      <c r="F1454" s="55"/>
      <c r="G1454" s="275"/>
      <c r="H1454" s="276"/>
      <c r="I1454" s="213"/>
      <c r="J1454" s="213"/>
      <c r="K1454" s="269"/>
      <c r="L1454" s="272">
        <f t="shared" si="136"/>
        <v>1900</v>
      </c>
      <c r="M1454" s="272">
        <f t="shared" si="137"/>
        <v>1</v>
      </c>
      <c r="N1454" s="273"/>
      <c r="O1454" s="61">
        <f t="shared" si="138"/>
        <v>1900</v>
      </c>
      <c r="P1454" s="61">
        <f t="shared" si="139"/>
        <v>1</v>
      </c>
      <c r="R1454" s="272"/>
      <c r="S1454" s="272"/>
      <c r="T1454" s="273" t="str">
        <f t="shared" si="140"/>
        <v>-</v>
      </c>
    </row>
    <row r="1455" spans="1:20">
      <c r="A1455" s="269"/>
      <c r="B1455" s="277"/>
      <c r="C1455" s="55"/>
      <c r="D1455" s="55"/>
      <c r="E1455" s="55"/>
      <c r="F1455" s="55"/>
      <c r="G1455" s="275"/>
      <c r="H1455" s="276"/>
      <c r="I1455" s="213"/>
      <c r="J1455" s="213"/>
      <c r="K1455" s="269"/>
      <c r="L1455" s="272">
        <f t="shared" si="136"/>
        <v>1900</v>
      </c>
      <c r="M1455" s="272">
        <f t="shared" si="137"/>
        <v>1</v>
      </c>
      <c r="N1455" s="273"/>
      <c r="O1455" s="61">
        <f t="shared" si="138"/>
        <v>1900</v>
      </c>
      <c r="P1455" s="61">
        <f t="shared" si="139"/>
        <v>1</v>
      </c>
      <c r="R1455" s="272"/>
      <c r="S1455" s="272"/>
      <c r="T1455" s="273" t="str">
        <f t="shared" si="140"/>
        <v>-</v>
      </c>
    </row>
    <row r="1456" spans="1:20">
      <c r="A1456" s="269"/>
      <c r="B1456" s="277"/>
      <c r="C1456" s="55"/>
      <c r="D1456" s="55"/>
      <c r="E1456" s="55"/>
      <c r="F1456" s="55"/>
      <c r="G1456" s="275"/>
      <c r="H1456" s="276"/>
      <c r="I1456" s="213"/>
      <c r="J1456" s="213"/>
      <c r="K1456" s="269"/>
      <c r="L1456" s="272">
        <f t="shared" si="136"/>
        <v>1900</v>
      </c>
      <c r="M1456" s="272">
        <f t="shared" si="137"/>
        <v>1</v>
      </c>
      <c r="N1456" s="273"/>
      <c r="O1456" s="61">
        <f t="shared" si="138"/>
        <v>1900</v>
      </c>
      <c r="P1456" s="61">
        <f t="shared" si="139"/>
        <v>1</v>
      </c>
      <c r="R1456" s="272"/>
      <c r="S1456" s="272"/>
      <c r="T1456" s="273" t="str">
        <f t="shared" si="140"/>
        <v>-</v>
      </c>
    </row>
    <row r="1457" spans="1:20">
      <c r="A1457" s="269"/>
      <c r="B1457" s="277"/>
      <c r="C1457" s="55"/>
      <c r="D1457" s="55"/>
      <c r="E1457" s="55"/>
      <c r="F1457" s="55"/>
      <c r="G1457" s="275"/>
      <c r="H1457" s="276"/>
      <c r="I1457" s="213"/>
      <c r="J1457" s="213"/>
      <c r="K1457" s="269"/>
      <c r="L1457" s="272">
        <f t="shared" si="136"/>
        <v>1900</v>
      </c>
      <c r="M1457" s="272">
        <f t="shared" si="137"/>
        <v>1</v>
      </c>
      <c r="N1457" s="273"/>
      <c r="O1457" s="61">
        <f t="shared" si="138"/>
        <v>1900</v>
      </c>
      <c r="P1457" s="61">
        <f t="shared" si="139"/>
        <v>1</v>
      </c>
      <c r="R1457" s="272"/>
      <c r="S1457" s="272"/>
      <c r="T1457" s="273" t="str">
        <f t="shared" si="140"/>
        <v>-</v>
      </c>
    </row>
    <row r="1458" spans="1:20">
      <c r="A1458" s="269"/>
      <c r="B1458" s="277"/>
      <c r="C1458" s="55"/>
      <c r="D1458" s="55"/>
      <c r="E1458" s="55"/>
      <c r="F1458" s="55"/>
      <c r="G1458" s="275"/>
      <c r="H1458" s="276"/>
      <c r="I1458" s="213"/>
      <c r="J1458" s="213"/>
      <c r="K1458" s="269"/>
      <c r="L1458" s="272">
        <f t="shared" si="136"/>
        <v>1900</v>
      </c>
      <c r="M1458" s="272">
        <f t="shared" si="137"/>
        <v>1</v>
      </c>
      <c r="N1458" s="273"/>
      <c r="O1458" s="61">
        <f t="shared" si="138"/>
        <v>1900</v>
      </c>
      <c r="P1458" s="61">
        <f t="shared" si="139"/>
        <v>1</v>
      </c>
      <c r="R1458" s="272"/>
      <c r="S1458" s="272"/>
      <c r="T1458" s="273" t="str">
        <f t="shared" si="140"/>
        <v>-</v>
      </c>
    </row>
    <row r="1459" spans="1:20">
      <c r="A1459" s="269"/>
      <c r="B1459" s="277"/>
      <c r="C1459" s="55"/>
      <c r="D1459" s="55"/>
      <c r="E1459" s="55"/>
      <c r="F1459" s="55"/>
      <c r="G1459" s="275"/>
      <c r="H1459" s="276"/>
      <c r="I1459" s="213"/>
      <c r="J1459" s="213"/>
      <c r="K1459" s="269"/>
      <c r="L1459" s="272">
        <f t="shared" si="136"/>
        <v>1900</v>
      </c>
      <c r="M1459" s="272">
        <f t="shared" si="137"/>
        <v>1</v>
      </c>
      <c r="N1459" s="273"/>
      <c r="O1459" s="61">
        <f t="shared" si="138"/>
        <v>1900</v>
      </c>
      <c r="P1459" s="61">
        <f t="shared" si="139"/>
        <v>1</v>
      </c>
      <c r="R1459" s="272"/>
      <c r="S1459" s="272"/>
      <c r="T1459" s="273" t="str">
        <f t="shared" si="140"/>
        <v>-</v>
      </c>
    </row>
    <row r="1460" spans="1:20">
      <c r="A1460" s="269"/>
      <c r="B1460" s="277"/>
      <c r="C1460" s="55"/>
      <c r="D1460" s="55"/>
      <c r="E1460" s="55"/>
      <c r="F1460" s="55"/>
      <c r="G1460" s="275"/>
      <c r="H1460" s="276"/>
      <c r="I1460" s="213"/>
      <c r="J1460" s="213"/>
      <c r="K1460" s="269"/>
      <c r="L1460" s="272">
        <f t="shared" si="136"/>
        <v>1900</v>
      </c>
      <c r="M1460" s="272">
        <f t="shared" si="137"/>
        <v>1</v>
      </c>
      <c r="N1460" s="273"/>
      <c r="O1460" s="61">
        <f t="shared" si="138"/>
        <v>1900</v>
      </c>
      <c r="P1460" s="61">
        <f t="shared" si="139"/>
        <v>1</v>
      </c>
      <c r="R1460" s="272"/>
      <c r="S1460" s="272"/>
      <c r="T1460" s="273" t="str">
        <f t="shared" si="140"/>
        <v>-</v>
      </c>
    </row>
    <row r="1461" spans="1:20">
      <c r="A1461" s="269"/>
      <c r="B1461" s="277"/>
      <c r="C1461" s="55"/>
      <c r="D1461" s="55"/>
      <c r="E1461" s="55"/>
      <c r="F1461" s="55"/>
      <c r="G1461" s="275"/>
      <c r="H1461" s="276"/>
      <c r="I1461" s="213"/>
      <c r="J1461" s="213"/>
      <c r="K1461" s="269"/>
      <c r="L1461" s="272">
        <f t="shared" si="136"/>
        <v>1900</v>
      </c>
      <c r="M1461" s="272">
        <f t="shared" si="137"/>
        <v>1</v>
      </c>
      <c r="N1461" s="273"/>
      <c r="O1461" s="61">
        <f t="shared" si="138"/>
        <v>1900</v>
      </c>
      <c r="P1461" s="61">
        <f t="shared" si="139"/>
        <v>1</v>
      </c>
      <c r="R1461" s="272"/>
      <c r="S1461" s="272"/>
      <c r="T1461" s="273" t="str">
        <f t="shared" si="140"/>
        <v>-</v>
      </c>
    </row>
    <row r="1462" spans="1:20">
      <c r="A1462" s="269"/>
      <c r="B1462" s="277"/>
      <c r="C1462" s="55"/>
      <c r="D1462" s="55"/>
      <c r="E1462" s="55"/>
      <c r="F1462" s="55"/>
      <c r="G1462" s="275"/>
      <c r="H1462" s="276"/>
      <c r="I1462" s="213"/>
      <c r="J1462" s="213"/>
      <c r="K1462" s="269"/>
      <c r="L1462" s="272">
        <f t="shared" si="136"/>
        <v>1900</v>
      </c>
      <c r="M1462" s="272">
        <f t="shared" si="137"/>
        <v>1</v>
      </c>
      <c r="N1462" s="273"/>
      <c r="O1462" s="61">
        <f t="shared" si="138"/>
        <v>1900</v>
      </c>
      <c r="P1462" s="61">
        <f t="shared" si="139"/>
        <v>1</v>
      </c>
      <c r="R1462" s="272"/>
      <c r="S1462" s="272"/>
      <c r="T1462" s="273" t="str">
        <f t="shared" si="140"/>
        <v>-</v>
      </c>
    </row>
    <row r="1463" spans="1:20">
      <c r="A1463" s="269"/>
      <c r="B1463" s="277"/>
      <c r="C1463" s="55"/>
      <c r="D1463" s="55"/>
      <c r="E1463" s="55"/>
      <c r="F1463" s="55"/>
      <c r="G1463" s="275"/>
      <c r="H1463" s="276"/>
      <c r="I1463" s="213"/>
      <c r="J1463" s="213"/>
      <c r="K1463" s="269"/>
      <c r="L1463" s="272">
        <f t="shared" si="136"/>
        <v>1900</v>
      </c>
      <c r="M1463" s="272">
        <f t="shared" si="137"/>
        <v>1</v>
      </c>
      <c r="N1463" s="273"/>
      <c r="O1463" s="61">
        <f t="shared" si="138"/>
        <v>1900</v>
      </c>
      <c r="P1463" s="61">
        <f t="shared" si="139"/>
        <v>1</v>
      </c>
      <c r="R1463" s="272"/>
      <c r="S1463" s="272"/>
      <c r="T1463" s="273" t="str">
        <f t="shared" si="140"/>
        <v>-</v>
      </c>
    </row>
    <row r="1464" spans="1:20">
      <c r="A1464" s="269"/>
      <c r="B1464" s="277"/>
      <c r="C1464" s="55"/>
      <c r="D1464" s="55"/>
      <c r="E1464" s="55"/>
      <c r="F1464" s="55"/>
      <c r="G1464" s="275"/>
      <c r="H1464" s="276"/>
      <c r="I1464" s="213"/>
      <c r="J1464" s="213"/>
      <c r="K1464" s="269"/>
      <c r="L1464" s="272">
        <f t="shared" si="136"/>
        <v>1900</v>
      </c>
      <c r="M1464" s="272">
        <f t="shared" si="137"/>
        <v>1</v>
      </c>
      <c r="N1464" s="273"/>
      <c r="O1464" s="61">
        <f t="shared" si="138"/>
        <v>1900</v>
      </c>
      <c r="P1464" s="61">
        <f t="shared" si="139"/>
        <v>1</v>
      </c>
      <c r="R1464" s="272"/>
      <c r="S1464" s="272"/>
      <c r="T1464" s="273" t="str">
        <f t="shared" si="140"/>
        <v>-</v>
      </c>
    </row>
    <row r="1465" spans="1:20">
      <c r="A1465" s="269"/>
      <c r="B1465" s="277"/>
      <c r="C1465" s="55"/>
      <c r="D1465" s="55"/>
      <c r="E1465" s="55"/>
      <c r="F1465" s="55"/>
      <c r="G1465" s="275"/>
      <c r="H1465" s="276"/>
      <c r="I1465" s="213"/>
      <c r="J1465" s="213"/>
      <c r="K1465" s="269"/>
      <c r="L1465" s="272">
        <f t="shared" si="136"/>
        <v>1900</v>
      </c>
      <c r="M1465" s="272">
        <f t="shared" si="137"/>
        <v>1</v>
      </c>
      <c r="N1465" s="273"/>
      <c r="O1465" s="61">
        <f t="shared" si="138"/>
        <v>1900</v>
      </c>
      <c r="P1465" s="61">
        <f t="shared" si="139"/>
        <v>1</v>
      </c>
      <c r="R1465" s="272"/>
      <c r="S1465" s="272"/>
      <c r="T1465" s="273" t="str">
        <f t="shared" si="140"/>
        <v>-</v>
      </c>
    </row>
    <row r="1466" spans="1:20">
      <c r="A1466" s="269"/>
      <c r="B1466" s="277"/>
      <c r="C1466" s="55"/>
      <c r="D1466" s="55"/>
      <c r="E1466" s="55"/>
      <c r="F1466" s="55"/>
      <c r="G1466" s="275"/>
      <c r="H1466" s="276"/>
      <c r="I1466" s="213"/>
      <c r="J1466" s="213"/>
      <c r="K1466" s="269"/>
      <c r="L1466" s="272">
        <f t="shared" si="136"/>
        <v>1900</v>
      </c>
      <c r="M1466" s="272">
        <f t="shared" si="137"/>
        <v>1</v>
      </c>
      <c r="N1466" s="273"/>
      <c r="O1466" s="61">
        <f t="shared" si="138"/>
        <v>1900</v>
      </c>
      <c r="P1466" s="61">
        <f t="shared" si="139"/>
        <v>1</v>
      </c>
      <c r="R1466" s="272"/>
      <c r="S1466" s="272"/>
      <c r="T1466" s="273" t="str">
        <f t="shared" si="140"/>
        <v>-</v>
      </c>
    </row>
    <row r="1467" spans="1:20">
      <c r="A1467" s="269"/>
      <c r="B1467" s="277"/>
      <c r="C1467" s="55"/>
      <c r="D1467" s="55"/>
      <c r="E1467" s="55"/>
      <c r="F1467" s="55"/>
      <c r="G1467" s="275"/>
      <c r="H1467" s="276"/>
      <c r="I1467" s="213"/>
      <c r="J1467" s="213"/>
      <c r="K1467" s="269"/>
      <c r="L1467" s="272">
        <f t="shared" si="136"/>
        <v>1900</v>
      </c>
      <c r="M1467" s="272">
        <f t="shared" si="137"/>
        <v>1</v>
      </c>
      <c r="N1467" s="273"/>
      <c r="O1467" s="61">
        <f t="shared" si="138"/>
        <v>1900</v>
      </c>
      <c r="P1467" s="61">
        <f t="shared" si="139"/>
        <v>1</v>
      </c>
      <c r="R1467" s="272"/>
      <c r="S1467" s="272"/>
      <c r="T1467" s="273" t="str">
        <f t="shared" si="140"/>
        <v>-</v>
      </c>
    </row>
    <row r="1468" spans="1:20">
      <c r="A1468" s="269"/>
      <c r="B1468" s="277"/>
      <c r="C1468" s="55"/>
      <c r="D1468" s="55"/>
      <c r="E1468" s="55"/>
      <c r="F1468" s="55"/>
      <c r="G1468" s="275"/>
      <c r="H1468" s="276"/>
      <c r="I1468" s="213"/>
      <c r="J1468" s="213"/>
      <c r="K1468" s="269"/>
      <c r="L1468" s="272">
        <f t="shared" si="136"/>
        <v>1900</v>
      </c>
      <c r="M1468" s="272">
        <f t="shared" si="137"/>
        <v>1</v>
      </c>
      <c r="N1468" s="273"/>
      <c r="O1468" s="61">
        <f t="shared" si="138"/>
        <v>1900</v>
      </c>
      <c r="P1468" s="61">
        <f t="shared" si="139"/>
        <v>1</v>
      </c>
      <c r="R1468" s="272"/>
      <c r="S1468" s="272"/>
      <c r="T1468" s="273" t="str">
        <f t="shared" si="140"/>
        <v>-</v>
      </c>
    </row>
    <row r="1469" spans="1:20">
      <c r="A1469" s="269"/>
      <c r="B1469" s="277"/>
      <c r="C1469" s="55"/>
      <c r="D1469" s="55"/>
      <c r="E1469" s="55"/>
      <c r="F1469" s="55"/>
      <c r="G1469" s="275"/>
      <c r="H1469" s="276"/>
      <c r="I1469" s="213"/>
      <c r="J1469" s="213"/>
      <c r="K1469" s="269"/>
      <c r="L1469" s="272">
        <f t="shared" si="136"/>
        <v>1900</v>
      </c>
      <c r="M1469" s="272">
        <f t="shared" si="137"/>
        <v>1</v>
      </c>
      <c r="N1469" s="273"/>
      <c r="O1469" s="61">
        <f t="shared" si="138"/>
        <v>1900</v>
      </c>
      <c r="P1469" s="61">
        <f t="shared" si="139"/>
        <v>1</v>
      </c>
      <c r="R1469" s="272"/>
      <c r="S1469" s="272"/>
      <c r="T1469" s="273" t="str">
        <f t="shared" si="140"/>
        <v>-</v>
      </c>
    </row>
    <row r="1470" spans="1:20">
      <c r="A1470" s="269"/>
      <c r="B1470" s="277"/>
      <c r="C1470" s="55"/>
      <c r="D1470" s="55"/>
      <c r="E1470" s="55"/>
      <c r="F1470" s="55"/>
      <c r="G1470" s="275"/>
      <c r="H1470" s="276"/>
      <c r="I1470" s="213"/>
      <c r="J1470" s="213"/>
      <c r="K1470" s="269"/>
      <c r="L1470" s="272">
        <f t="shared" si="136"/>
        <v>1900</v>
      </c>
      <c r="M1470" s="272">
        <f t="shared" si="137"/>
        <v>1</v>
      </c>
      <c r="N1470" s="273"/>
      <c r="O1470" s="61">
        <f t="shared" si="138"/>
        <v>1900</v>
      </c>
      <c r="P1470" s="61">
        <f t="shared" si="139"/>
        <v>1</v>
      </c>
      <c r="R1470" s="272"/>
      <c r="S1470" s="272"/>
      <c r="T1470" s="273" t="str">
        <f t="shared" si="140"/>
        <v>-</v>
      </c>
    </row>
    <row r="1471" spans="1:20">
      <c r="A1471" s="269"/>
      <c r="B1471" s="277"/>
      <c r="C1471" s="55"/>
      <c r="D1471" s="55"/>
      <c r="E1471" s="55"/>
      <c r="F1471" s="55"/>
      <c r="G1471" s="275"/>
      <c r="H1471" s="276"/>
      <c r="I1471" s="213"/>
      <c r="J1471" s="213"/>
      <c r="K1471" s="269"/>
      <c r="L1471" s="272">
        <f t="shared" si="136"/>
        <v>1900</v>
      </c>
      <c r="M1471" s="272">
        <f t="shared" si="137"/>
        <v>1</v>
      </c>
      <c r="N1471" s="273"/>
      <c r="O1471" s="61">
        <f t="shared" si="138"/>
        <v>1900</v>
      </c>
      <c r="P1471" s="61">
        <f t="shared" si="139"/>
        <v>1</v>
      </c>
      <c r="R1471" s="272"/>
      <c r="S1471" s="272"/>
      <c r="T1471" s="273" t="str">
        <f t="shared" si="140"/>
        <v>-</v>
      </c>
    </row>
    <row r="1472" spans="1:20">
      <c r="A1472" s="269"/>
      <c r="B1472" s="277"/>
      <c r="C1472" s="55"/>
      <c r="D1472" s="55"/>
      <c r="E1472" s="55"/>
      <c r="F1472" s="55"/>
      <c r="G1472" s="275"/>
      <c r="H1472" s="276"/>
      <c r="I1472" s="213"/>
      <c r="J1472" s="213"/>
      <c r="K1472" s="269"/>
      <c r="L1472" s="272">
        <f t="shared" si="136"/>
        <v>1900</v>
      </c>
      <c r="M1472" s="272">
        <f t="shared" si="137"/>
        <v>1</v>
      </c>
      <c r="N1472" s="273"/>
      <c r="O1472" s="61">
        <f t="shared" si="138"/>
        <v>1900</v>
      </c>
      <c r="P1472" s="61">
        <f t="shared" si="139"/>
        <v>1</v>
      </c>
      <c r="R1472" s="272"/>
      <c r="S1472" s="272"/>
      <c r="T1472" s="273" t="str">
        <f t="shared" si="140"/>
        <v>-</v>
      </c>
    </row>
    <row r="1473" spans="1:20">
      <c r="A1473" s="269"/>
      <c r="B1473" s="277"/>
      <c r="C1473" s="55"/>
      <c r="D1473" s="55"/>
      <c r="E1473" s="55"/>
      <c r="F1473" s="55"/>
      <c r="G1473" s="275"/>
      <c r="H1473" s="276"/>
      <c r="I1473" s="213"/>
      <c r="J1473" s="213"/>
      <c r="K1473" s="269"/>
      <c r="L1473" s="272">
        <f t="shared" si="136"/>
        <v>1900</v>
      </c>
      <c r="M1473" s="272">
        <f t="shared" si="137"/>
        <v>1</v>
      </c>
      <c r="N1473" s="273"/>
      <c r="O1473" s="61">
        <f t="shared" si="138"/>
        <v>1900</v>
      </c>
      <c r="P1473" s="61">
        <f t="shared" si="139"/>
        <v>1</v>
      </c>
      <c r="R1473" s="272"/>
      <c r="S1473" s="272"/>
      <c r="T1473" s="273" t="str">
        <f t="shared" si="140"/>
        <v>-</v>
      </c>
    </row>
    <row r="1474" spans="1:20">
      <c r="A1474" s="269"/>
      <c r="B1474" s="277"/>
      <c r="C1474" s="55"/>
      <c r="D1474" s="55"/>
      <c r="E1474" s="55"/>
      <c r="F1474" s="55"/>
      <c r="G1474" s="275"/>
      <c r="H1474" s="276"/>
      <c r="I1474" s="213"/>
      <c r="J1474" s="213"/>
      <c r="K1474" s="269"/>
      <c r="L1474" s="272">
        <f t="shared" si="136"/>
        <v>1900</v>
      </c>
      <c r="M1474" s="272">
        <f t="shared" si="137"/>
        <v>1</v>
      </c>
      <c r="N1474" s="273"/>
      <c r="O1474" s="61">
        <f t="shared" si="138"/>
        <v>1900</v>
      </c>
      <c r="P1474" s="61">
        <f t="shared" si="139"/>
        <v>1</v>
      </c>
      <c r="R1474" s="272"/>
      <c r="S1474" s="272"/>
      <c r="T1474" s="273" t="str">
        <f t="shared" si="140"/>
        <v>-</v>
      </c>
    </row>
    <row r="1475" spans="1:20">
      <c r="A1475" s="269"/>
      <c r="B1475" s="277"/>
      <c r="C1475" s="55"/>
      <c r="D1475" s="55"/>
      <c r="E1475" s="55"/>
      <c r="F1475" s="55"/>
      <c r="G1475" s="275"/>
      <c r="H1475" s="276"/>
      <c r="I1475" s="213"/>
      <c r="J1475" s="213"/>
      <c r="K1475" s="269"/>
      <c r="L1475" s="272">
        <f t="shared" si="136"/>
        <v>1900</v>
      </c>
      <c r="M1475" s="272">
        <f t="shared" si="137"/>
        <v>1</v>
      </c>
      <c r="N1475" s="273"/>
      <c r="O1475" s="61">
        <f t="shared" si="138"/>
        <v>1900</v>
      </c>
      <c r="P1475" s="61">
        <f t="shared" si="139"/>
        <v>1</v>
      </c>
      <c r="R1475" s="272"/>
      <c r="S1475" s="272"/>
      <c r="T1475" s="273" t="str">
        <f t="shared" si="140"/>
        <v>-</v>
      </c>
    </row>
    <row r="1476" spans="1:20">
      <c r="A1476" s="269"/>
      <c r="B1476" s="277"/>
      <c r="C1476" s="55"/>
      <c r="D1476" s="55"/>
      <c r="E1476" s="55"/>
      <c r="F1476" s="55"/>
      <c r="G1476" s="275"/>
      <c r="H1476" s="276"/>
      <c r="I1476" s="213"/>
      <c r="J1476" s="213"/>
      <c r="K1476" s="269"/>
      <c r="L1476" s="272">
        <f t="shared" si="136"/>
        <v>1900</v>
      </c>
      <c r="M1476" s="272">
        <f t="shared" si="137"/>
        <v>1</v>
      </c>
      <c r="N1476" s="273"/>
      <c r="O1476" s="61">
        <f t="shared" si="138"/>
        <v>1900</v>
      </c>
      <c r="P1476" s="61">
        <f t="shared" si="139"/>
        <v>1</v>
      </c>
      <c r="R1476" s="272"/>
      <c r="S1476" s="272"/>
      <c r="T1476" s="273" t="str">
        <f t="shared" si="140"/>
        <v>-</v>
      </c>
    </row>
    <row r="1477" spans="1:20">
      <c r="A1477" s="269"/>
      <c r="B1477" s="277"/>
      <c r="C1477" s="55"/>
      <c r="D1477" s="55"/>
      <c r="E1477" s="55"/>
      <c r="F1477" s="55"/>
      <c r="G1477" s="275"/>
      <c r="H1477" s="276"/>
      <c r="I1477" s="213"/>
      <c r="J1477" s="213"/>
      <c r="K1477" s="269"/>
      <c r="L1477" s="272">
        <f t="shared" si="136"/>
        <v>1900</v>
      </c>
      <c r="M1477" s="272">
        <f t="shared" si="137"/>
        <v>1</v>
      </c>
      <c r="N1477" s="273"/>
      <c r="O1477" s="61">
        <f t="shared" si="138"/>
        <v>1900</v>
      </c>
      <c r="P1477" s="61">
        <f t="shared" si="139"/>
        <v>1</v>
      </c>
      <c r="R1477" s="272"/>
      <c r="S1477" s="272"/>
      <c r="T1477" s="273" t="str">
        <f t="shared" si="140"/>
        <v>-</v>
      </c>
    </row>
    <row r="1478" spans="1:20">
      <c r="A1478" s="269"/>
      <c r="B1478" s="277"/>
      <c r="C1478" s="55"/>
      <c r="D1478" s="55"/>
      <c r="E1478" s="55"/>
      <c r="F1478" s="55"/>
      <c r="G1478" s="275"/>
      <c r="H1478" s="276"/>
      <c r="I1478" s="213"/>
      <c r="J1478" s="213"/>
      <c r="K1478" s="269"/>
      <c r="L1478" s="272">
        <f t="shared" si="136"/>
        <v>1900</v>
      </c>
      <c r="M1478" s="272">
        <f t="shared" si="137"/>
        <v>1</v>
      </c>
      <c r="N1478" s="273"/>
      <c r="O1478" s="61">
        <f t="shared" si="138"/>
        <v>1900</v>
      </c>
      <c r="P1478" s="61">
        <f t="shared" si="139"/>
        <v>1</v>
      </c>
      <c r="R1478" s="272"/>
      <c r="S1478" s="272"/>
      <c r="T1478" s="273" t="str">
        <f t="shared" si="140"/>
        <v>-</v>
      </c>
    </row>
    <row r="1479" spans="1:20">
      <c r="A1479" s="269"/>
      <c r="B1479" s="277"/>
      <c r="C1479" s="55"/>
      <c r="D1479" s="55"/>
      <c r="E1479" s="55"/>
      <c r="F1479" s="55"/>
      <c r="G1479" s="275"/>
      <c r="H1479" s="276"/>
      <c r="I1479" s="213"/>
      <c r="J1479" s="213"/>
      <c r="K1479" s="269"/>
      <c r="L1479" s="272">
        <f t="shared" si="136"/>
        <v>1900</v>
      </c>
      <c r="M1479" s="272">
        <f t="shared" si="137"/>
        <v>1</v>
      </c>
      <c r="N1479" s="273"/>
      <c r="O1479" s="61">
        <f t="shared" si="138"/>
        <v>1900</v>
      </c>
      <c r="P1479" s="61">
        <f t="shared" si="139"/>
        <v>1</v>
      </c>
      <c r="R1479" s="272"/>
      <c r="S1479" s="272"/>
      <c r="T1479" s="273" t="str">
        <f t="shared" si="140"/>
        <v>-</v>
      </c>
    </row>
    <row r="1480" spans="1:20">
      <c r="A1480" s="269"/>
      <c r="B1480" s="277"/>
      <c r="C1480" s="55"/>
      <c r="D1480" s="55"/>
      <c r="E1480" s="55"/>
      <c r="F1480" s="55"/>
      <c r="G1480" s="275"/>
      <c r="H1480" s="276"/>
      <c r="I1480" s="213"/>
      <c r="J1480" s="213"/>
      <c r="K1480" s="269"/>
      <c r="L1480" s="272">
        <f t="shared" si="136"/>
        <v>1900</v>
      </c>
      <c r="M1480" s="272">
        <f t="shared" si="137"/>
        <v>1</v>
      </c>
      <c r="N1480" s="273"/>
      <c r="O1480" s="61">
        <f t="shared" si="138"/>
        <v>1900</v>
      </c>
      <c r="P1480" s="61">
        <f t="shared" si="139"/>
        <v>1</v>
      </c>
      <c r="R1480" s="272"/>
      <c r="S1480" s="272"/>
      <c r="T1480" s="273" t="str">
        <f t="shared" si="140"/>
        <v>-</v>
      </c>
    </row>
    <row r="1481" spans="1:20">
      <c r="A1481" s="269"/>
      <c r="B1481" s="277"/>
      <c r="C1481" s="55"/>
      <c r="D1481" s="55"/>
      <c r="E1481" s="55"/>
      <c r="F1481" s="55"/>
      <c r="G1481" s="275"/>
      <c r="H1481" s="276"/>
      <c r="I1481" s="213"/>
      <c r="J1481" s="213"/>
      <c r="K1481" s="269"/>
      <c r="L1481" s="272">
        <f t="shared" si="136"/>
        <v>1900</v>
      </c>
      <c r="M1481" s="272">
        <f t="shared" si="137"/>
        <v>1</v>
      </c>
      <c r="N1481" s="273"/>
      <c r="O1481" s="61">
        <f t="shared" si="138"/>
        <v>1900</v>
      </c>
      <c r="P1481" s="61">
        <f t="shared" si="139"/>
        <v>1</v>
      </c>
      <c r="R1481" s="272"/>
      <c r="S1481" s="272"/>
      <c r="T1481" s="273" t="str">
        <f t="shared" si="140"/>
        <v>-</v>
      </c>
    </row>
    <row r="1482" spans="1:20">
      <c r="A1482" s="269"/>
      <c r="B1482" s="277"/>
      <c r="C1482" s="55"/>
      <c r="D1482" s="55"/>
      <c r="E1482" s="55"/>
      <c r="F1482" s="55"/>
      <c r="G1482" s="275"/>
      <c r="H1482" s="276"/>
      <c r="I1482" s="213"/>
      <c r="J1482" s="213"/>
      <c r="K1482" s="269"/>
      <c r="L1482" s="272">
        <f t="shared" si="136"/>
        <v>1900</v>
      </c>
      <c r="M1482" s="272">
        <f t="shared" si="137"/>
        <v>1</v>
      </c>
      <c r="N1482" s="273"/>
      <c r="O1482" s="61">
        <f t="shared" si="138"/>
        <v>1900</v>
      </c>
      <c r="P1482" s="61">
        <f t="shared" si="139"/>
        <v>1</v>
      </c>
      <c r="R1482" s="272"/>
      <c r="S1482" s="272"/>
      <c r="T1482" s="273" t="str">
        <f t="shared" si="140"/>
        <v>-</v>
      </c>
    </row>
    <row r="1483" spans="1:20">
      <c r="A1483" s="269"/>
      <c r="B1483" s="277"/>
      <c r="C1483" s="55"/>
      <c r="D1483" s="55"/>
      <c r="E1483" s="55"/>
      <c r="F1483" s="55"/>
      <c r="G1483" s="275"/>
      <c r="H1483" s="276"/>
      <c r="I1483" s="213"/>
      <c r="J1483" s="213"/>
      <c r="K1483" s="269"/>
      <c r="L1483" s="272">
        <f t="shared" si="136"/>
        <v>1900</v>
      </c>
      <c r="M1483" s="272">
        <f t="shared" si="137"/>
        <v>1</v>
      </c>
      <c r="N1483" s="273"/>
      <c r="O1483" s="61">
        <f t="shared" si="138"/>
        <v>1900</v>
      </c>
      <c r="P1483" s="61">
        <f t="shared" si="139"/>
        <v>1</v>
      </c>
      <c r="R1483" s="272"/>
      <c r="S1483" s="272"/>
      <c r="T1483" s="273" t="str">
        <f t="shared" si="140"/>
        <v>-</v>
      </c>
    </row>
    <row r="1484" spans="1:20">
      <c r="A1484" s="269"/>
      <c r="B1484" s="277"/>
      <c r="C1484" s="55"/>
      <c r="D1484" s="55"/>
      <c r="E1484" s="55"/>
      <c r="F1484" s="55"/>
      <c r="G1484" s="275"/>
      <c r="H1484" s="276"/>
      <c r="I1484" s="213"/>
      <c r="J1484" s="213"/>
      <c r="K1484" s="269"/>
      <c r="L1484" s="272">
        <f t="shared" si="136"/>
        <v>1900</v>
      </c>
      <c r="M1484" s="272">
        <f t="shared" si="137"/>
        <v>1</v>
      </c>
      <c r="N1484" s="273"/>
      <c r="O1484" s="61">
        <f t="shared" si="138"/>
        <v>1900</v>
      </c>
      <c r="P1484" s="61">
        <f t="shared" si="139"/>
        <v>1</v>
      </c>
      <c r="R1484" s="272"/>
      <c r="S1484" s="272"/>
      <c r="T1484" s="273" t="str">
        <f t="shared" si="140"/>
        <v>-</v>
      </c>
    </row>
    <row r="1485" spans="1:20">
      <c r="A1485" s="269"/>
      <c r="B1485" s="277"/>
      <c r="C1485" s="55"/>
      <c r="D1485" s="55"/>
      <c r="E1485" s="55"/>
      <c r="F1485" s="55"/>
      <c r="G1485" s="275"/>
      <c r="H1485" s="276"/>
      <c r="I1485" s="213"/>
      <c r="J1485" s="213"/>
      <c r="K1485" s="269"/>
      <c r="L1485" s="272">
        <f t="shared" si="136"/>
        <v>1900</v>
      </c>
      <c r="M1485" s="272">
        <f t="shared" si="137"/>
        <v>1</v>
      </c>
      <c r="N1485" s="273"/>
      <c r="O1485" s="61">
        <f t="shared" si="138"/>
        <v>1900</v>
      </c>
      <c r="P1485" s="61">
        <f t="shared" si="139"/>
        <v>1</v>
      </c>
      <c r="R1485" s="272"/>
      <c r="S1485" s="272"/>
      <c r="T1485" s="273" t="str">
        <f t="shared" si="140"/>
        <v>-</v>
      </c>
    </row>
    <row r="1486" spans="1:20">
      <c r="A1486" s="269"/>
      <c r="B1486" s="277"/>
      <c r="C1486" s="55"/>
      <c r="D1486" s="55"/>
      <c r="E1486" s="55"/>
      <c r="F1486" s="55"/>
      <c r="G1486" s="275"/>
      <c r="H1486" s="276"/>
      <c r="I1486" s="213"/>
      <c r="J1486" s="213"/>
      <c r="K1486" s="269"/>
      <c r="L1486" s="272">
        <f t="shared" si="136"/>
        <v>1900</v>
      </c>
      <c r="M1486" s="272">
        <f t="shared" si="137"/>
        <v>1</v>
      </c>
      <c r="N1486" s="273"/>
      <c r="O1486" s="61">
        <f t="shared" si="138"/>
        <v>1900</v>
      </c>
      <c r="P1486" s="61">
        <f t="shared" si="139"/>
        <v>1</v>
      </c>
      <c r="R1486" s="272"/>
      <c r="S1486" s="272"/>
      <c r="T1486" s="273" t="str">
        <f t="shared" si="140"/>
        <v>-</v>
      </c>
    </row>
    <row r="1487" spans="1:20">
      <c r="A1487" s="269"/>
      <c r="B1487" s="277"/>
      <c r="C1487" s="55"/>
      <c r="D1487" s="55"/>
      <c r="E1487" s="55"/>
      <c r="F1487" s="55"/>
      <c r="G1487" s="275"/>
      <c r="H1487" s="276"/>
      <c r="I1487" s="213"/>
      <c r="J1487" s="213"/>
      <c r="K1487" s="269"/>
      <c r="L1487" s="272">
        <f t="shared" si="136"/>
        <v>1900</v>
      </c>
      <c r="M1487" s="272">
        <f t="shared" si="137"/>
        <v>1</v>
      </c>
      <c r="N1487" s="273"/>
      <c r="O1487" s="61">
        <f t="shared" si="138"/>
        <v>1900</v>
      </c>
      <c r="P1487" s="61">
        <f t="shared" si="139"/>
        <v>1</v>
      </c>
      <c r="R1487" s="272"/>
      <c r="S1487" s="272"/>
      <c r="T1487" s="273" t="str">
        <f t="shared" si="140"/>
        <v>-</v>
      </c>
    </row>
    <row r="1488" spans="1:20">
      <c r="A1488" s="269"/>
      <c r="B1488" s="277"/>
      <c r="C1488" s="55"/>
      <c r="D1488" s="55"/>
      <c r="E1488" s="55"/>
      <c r="F1488" s="55"/>
      <c r="G1488" s="275"/>
      <c r="H1488" s="276"/>
      <c r="I1488" s="213"/>
      <c r="J1488" s="213"/>
      <c r="K1488" s="269"/>
      <c r="L1488" s="272">
        <f t="shared" ref="L1488:L1551" si="141">YEAR(B1488)</f>
        <v>1900</v>
      </c>
      <c r="M1488" s="272">
        <f t="shared" ref="M1488:M1551" si="142">MONTH(B1488)</f>
        <v>1</v>
      </c>
      <c r="N1488" s="273"/>
      <c r="O1488" s="61">
        <f t="shared" ref="O1488:O1551" si="143">YEAR(B1488)</f>
        <v>1900</v>
      </c>
      <c r="P1488" s="61">
        <f t="shared" ref="P1488:P1551" si="144">MONTH(B1488)</f>
        <v>1</v>
      </c>
      <c r="R1488" s="272"/>
      <c r="S1488" s="272"/>
      <c r="T1488" s="273" t="str">
        <f t="shared" ref="T1488:T1551" si="145">IF($E1488&gt;0,IF((R1488+S1488)=$E1488,"OK","Error"),"-")</f>
        <v>-</v>
      </c>
    </row>
    <row r="1489" spans="1:20">
      <c r="A1489" s="269"/>
      <c r="B1489" s="277"/>
      <c r="C1489" s="55"/>
      <c r="D1489" s="55"/>
      <c r="E1489" s="55"/>
      <c r="F1489" s="55"/>
      <c r="G1489" s="275"/>
      <c r="H1489" s="276"/>
      <c r="I1489" s="213"/>
      <c r="J1489" s="213"/>
      <c r="K1489" s="269"/>
      <c r="L1489" s="272">
        <f t="shared" si="141"/>
        <v>1900</v>
      </c>
      <c r="M1489" s="272">
        <f t="shared" si="142"/>
        <v>1</v>
      </c>
      <c r="N1489" s="273"/>
      <c r="O1489" s="61">
        <f t="shared" si="143"/>
        <v>1900</v>
      </c>
      <c r="P1489" s="61">
        <f t="shared" si="144"/>
        <v>1</v>
      </c>
      <c r="R1489" s="272"/>
      <c r="S1489" s="272"/>
      <c r="T1489" s="273" t="str">
        <f t="shared" si="145"/>
        <v>-</v>
      </c>
    </row>
    <row r="1490" spans="1:20">
      <c r="A1490" s="269"/>
      <c r="B1490" s="277"/>
      <c r="C1490" s="55"/>
      <c r="D1490" s="55"/>
      <c r="E1490" s="55"/>
      <c r="F1490" s="55"/>
      <c r="G1490" s="275"/>
      <c r="H1490" s="276"/>
      <c r="I1490" s="213"/>
      <c r="J1490" s="213"/>
      <c r="K1490" s="269"/>
      <c r="L1490" s="272">
        <f t="shared" si="141"/>
        <v>1900</v>
      </c>
      <c r="M1490" s="272">
        <f t="shared" si="142"/>
        <v>1</v>
      </c>
      <c r="N1490" s="273"/>
      <c r="O1490" s="61">
        <f t="shared" si="143"/>
        <v>1900</v>
      </c>
      <c r="P1490" s="61">
        <f t="shared" si="144"/>
        <v>1</v>
      </c>
      <c r="R1490" s="272"/>
      <c r="S1490" s="272"/>
      <c r="T1490" s="273" t="str">
        <f t="shared" si="145"/>
        <v>-</v>
      </c>
    </row>
    <row r="1491" spans="1:20">
      <c r="A1491" s="269"/>
      <c r="B1491" s="277"/>
      <c r="C1491" s="55"/>
      <c r="D1491" s="55"/>
      <c r="E1491" s="55"/>
      <c r="F1491" s="55"/>
      <c r="G1491" s="275"/>
      <c r="H1491" s="276"/>
      <c r="I1491" s="213"/>
      <c r="J1491" s="213"/>
      <c r="K1491" s="269"/>
      <c r="L1491" s="272">
        <f t="shared" si="141"/>
        <v>1900</v>
      </c>
      <c r="M1491" s="272">
        <f t="shared" si="142"/>
        <v>1</v>
      </c>
      <c r="N1491" s="273"/>
      <c r="O1491" s="61">
        <f t="shared" si="143"/>
        <v>1900</v>
      </c>
      <c r="P1491" s="61">
        <f t="shared" si="144"/>
        <v>1</v>
      </c>
      <c r="R1491" s="272"/>
      <c r="S1491" s="272"/>
      <c r="T1491" s="273" t="str">
        <f t="shared" si="145"/>
        <v>-</v>
      </c>
    </row>
    <row r="1492" spans="1:20">
      <c r="A1492" s="269"/>
      <c r="B1492" s="277"/>
      <c r="C1492" s="55"/>
      <c r="D1492" s="55"/>
      <c r="E1492" s="55"/>
      <c r="F1492" s="55"/>
      <c r="G1492" s="275"/>
      <c r="H1492" s="276"/>
      <c r="I1492" s="213"/>
      <c r="J1492" s="213"/>
      <c r="K1492" s="269"/>
      <c r="L1492" s="272">
        <f t="shared" si="141"/>
        <v>1900</v>
      </c>
      <c r="M1492" s="272">
        <f t="shared" si="142"/>
        <v>1</v>
      </c>
      <c r="N1492" s="273"/>
      <c r="O1492" s="61">
        <f t="shared" si="143"/>
        <v>1900</v>
      </c>
      <c r="P1492" s="61">
        <f t="shared" si="144"/>
        <v>1</v>
      </c>
      <c r="R1492" s="272"/>
      <c r="S1492" s="272"/>
      <c r="T1492" s="273" t="str">
        <f t="shared" si="145"/>
        <v>-</v>
      </c>
    </row>
    <row r="1493" spans="1:20">
      <c r="A1493" s="269"/>
      <c r="B1493" s="277"/>
      <c r="C1493" s="55"/>
      <c r="D1493" s="55"/>
      <c r="E1493" s="55"/>
      <c r="F1493" s="55"/>
      <c r="G1493" s="275"/>
      <c r="H1493" s="276"/>
      <c r="I1493" s="213"/>
      <c r="J1493" s="213"/>
      <c r="K1493" s="269"/>
      <c r="L1493" s="272">
        <f t="shared" si="141"/>
        <v>1900</v>
      </c>
      <c r="M1493" s="272">
        <f t="shared" si="142"/>
        <v>1</v>
      </c>
      <c r="N1493" s="273"/>
      <c r="O1493" s="61">
        <f t="shared" si="143"/>
        <v>1900</v>
      </c>
      <c r="P1493" s="61">
        <f t="shared" si="144"/>
        <v>1</v>
      </c>
      <c r="R1493" s="272"/>
      <c r="S1493" s="272"/>
      <c r="T1493" s="273" t="str">
        <f t="shared" si="145"/>
        <v>-</v>
      </c>
    </row>
    <row r="1494" spans="1:20">
      <c r="A1494" s="269"/>
      <c r="B1494" s="277"/>
      <c r="C1494" s="55"/>
      <c r="D1494" s="55"/>
      <c r="E1494" s="55"/>
      <c r="F1494" s="55"/>
      <c r="G1494" s="275"/>
      <c r="H1494" s="276"/>
      <c r="I1494" s="213"/>
      <c r="J1494" s="213"/>
      <c r="K1494" s="269"/>
      <c r="L1494" s="272">
        <f t="shared" si="141"/>
        <v>1900</v>
      </c>
      <c r="M1494" s="272">
        <f t="shared" si="142"/>
        <v>1</v>
      </c>
      <c r="N1494" s="273"/>
      <c r="O1494" s="61">
        <f t="shared" si="143"/>
        <v>1900</v>
      </c>
      <c r="P1494" s="61">
        <f t="shared" si="144"/>
        <v>1</v>
      </c>
      <c r="R1494" s="272"/>
      <c r="S1494" s="272"/>
      <c r="T1494" s="273" t="str">
        <f t="shared" si="145"/>
        <v>-</v>
      </c>
    </row>
    <row r="1495" spans="1:20">
      <c r="A1495" s="269"/>
      <c r="B1495" s="277"/>
      <c r="C1495" s="55"/>
      <c r="D1495" s="55"/>
      <c r="E1495" s="55"/>
      <c r="F1495" s="55"/>
      <c r="G1495" s="275"/>
      <c r="H1495" s="276"/>
      <c r="I1495" s="213"/>
      <c r="J1495" s="213"/>
      <c r="K1495" s="269"/>
      <c r="L1495" s="272">
        <f t="shared" si="141"/>
        <v>1900</v>
      </c>
      <c r="M1495" s="272">
        <f t="shared" si="142"/>
        <v>1</v>
      </c>
      <c r="N1495" s="273"/>
      <c r="O1495" s="61">
        <f t="shared" si="143"/>
        <v>1900</v>
      </c>
      <c r="P1495" s="61">
        <f t="shared" si="144"/>
        <v>1</v>
      </c>
      <c r="R1495" s="272"/>
      <c r="S1495" s="272"/>
      <c r="T1495" s="273" t="str">
        <f t="shared" si="145"/>
        <v>-</v>
      </c>
    </row>
    <row r="1496" spans="1:20">
      <c r="A1496" s="269"/>
      <c r="B1496" s="277"/>
      <c r="C1496" s="55"/>
      <c r="D1496" s="55"/>
      <c r="E1496" s="55"/>
      <c r="F1496" s="55"/>
      <c r="G1496" s="275"/>
      <c r="H1496" s="276"/>
      <c r="I1496" s="213"/>
      <c r="J1496" s="213"/>
      <c r="K1496" s="269"/>
      <c r="L1496" s="272">
        <f t="shared" si="141"/>
        <v>1900</v>
      </c>
      <c r="M1496" s="272">
        <f t="shared" si="142"/>
        <v>1</v>
      </c>
      <c r="N1496" s="273"/>
      <c r="O1496" s="61">
        <f t="shared" si="143"/>
        <v>1900</v>
      </c>
      <c r="P1496" s="61">
        <f t="shared" si="144"/>
        <v>1</v>
      </c>
      <c r="R1496" s="272"/>
      <c r="S1496" s="272"/>
      <c r="T1496" s="273" t="str">
        <f t="shared" si="145"/>
        <v>-</v>
      </c>
    </row>
    <row r="1497" spans="1:20">
      <c r="A1497" s="269"/>
      <c r="B1497" s="277"/>
      <c r="C1497" s="55"/>
      <c r="D1497" s="55"/>
      <c r="E1497" s="55"/>
      <c r="F1497" s="55"/>
      <c r="G1497" s="275"/>
      <c r="H1497" s="276"/>
      <c r="I1497" s="213"/>
      <c r="J1497" s="213"/>
      <c r="K1497" s="269"/>
      <c r="L1497" s="272">
        <f t="shared" si="141"/>
        <v>1900</v>
      </c>
      <c r="M1497" s="272">
        <f t="shared" si="142"/>
        <v>1</v>
      </c>
      <c r="N1497" s="273"/>
      <c r="O1497" s="61">
        <f t="shared" si="143"/>
        <v>1900</v>
      </c>
      <c r="P1497" s="61">
        <f t="shared" si="144"/>
        <v>1</v>
      </c>
      <c r="R1497" s="272"/>
      <c r="S1497" s="272"/>
      <c r="T1497" s="273" t="str">
        <f t="shared" si="145"/>
        <v>-</v>
      </c>
    </row>
    <row r="1498" spans="1:20">
      <c r="A1498" s="269"/>
      <c r="B1498" s="277"/>
      <c r="C1498" s="55"/>
      <c r="D1498" s="55"/>
      <c r="E1498" s="55"/>
      <c r="F1498" s="55"/>
      <c r="G1498" s="275"/>
      <c r="H1498" s="276"/>
      <c r="I1498" s="213"/>
      <c r="J1498" s="213"/>
      <c r="K1498" s="269"/>
      <c r="L1498" s="272">
        <f t="shared" si="141"/>
        <v>1900</v>
      </c>
      <c r="M1498" s="272">
        <f t="shared" si="142"/>
        <v>1</v>
      </c>
      <c r="N1498" s="273"/>
      <c r="O1498" s="61">
        <f t="shared" si="143"/>
        <v>1900</v>
      </c>
      <c r="P1498" s="61">
        <f t="shared" si="144"/>
        <v>1</v>
      </c>
      <c r="R1498" s="272"/>
      <c r="S1498" s="272"/>
      <c r="T1498" s="273" t="str">
        <f t="shared" si="145"/>
        <v>-</v>
      </c>
    </row>
    <row r="1499" spans="1:20">
      <c r="A1499" s="269"/>
      <c r="B1499" s="277"/>
      <c r="C1499" s="55"/>
      <c r="D1499" s="55"/>
      <c r="E1499" s="55"/>
      <c r="F1499" s="55"/>
      <c r="G1499" s="275"/>
      <c r="H1499" s="276"/>
      <c r="I1499" s="213"/>
      <c r="J1499" s="213"/>
      <c r="K1499" s="269"/>
      <c r="L1499" s="272">
        <f t="shared" si="141"/>
        <v>1900</v>
      </c>
      <c r="M1499" s="272">
        <f t="shared" si="142"/>
        <v>1</v>
      </c>
      <c r="N1499" s="273"/>
      <c r="O1499" s="61">
        <f t="shared" si="143"/>
        <v>1900</v>
      </c>
      <c r="P1499" s="61">
        <f t="shared" si="144"/>
        <v>1</v>
      </c>
      <c r="R1499" s="272"/>
      <c r="S1499" s="272"/>
      <c r="T1499" s="273" t="str">
        <f t="shared" si="145"/>
        <v>-</v>
      </c>
    </row>
    <row r="1500" spans="1:20">
      <c r="A1500" s="269"/>
      <c r="B1500" s="277"/>
      <c r="C1500" s="55"/>
      <c r="D1500" s="55"/>
      <c r="E1500" s="55"/>
      <c r="F1500" s="55"/>
      <c r="G1500" s="275"/>
      <c r="H1500" s="276"/>
      <c r="I1500" s="213"/>
      <c r="J1500" s="213"/>
      <c r="K1500" s="269"/>
      <c r="L1500" s="272">
        <f t="shared" si="141"/>
        <v>1900</v>
      </c>
      <c r="M1500" s="272">
        <f t="shared" si="142"/>
        <v>1</v>
      </c>
      <c r="N1500" s="273"/>
      <c r="O1500" s="61">
        <f t="shared" si="143"/>
        <v>1900</v>
      </c>
      <c r="P1500" s="61">
        <f t="shared" si="144"/>
        <v>1</v>
      </c>
      <c r="R1500" s="272"/>
      <c r="S1500" s="272"/>
      <c r="T1500" s="273" t="str">
        <f t="shared" si="145"/>
        <v>-</v>
      </c>
    </row>
    <row r="1501" spans="1:20">
      <c r="A1501" s="269"/>
      <c r="B1501" s="277"/>
      <c r="C1501" s="55"/>
      <c r="D1501" s="55"/>
      <c r="E1501" s="55"/>
      <c r="F1501" s="55"/>
      <c r="G1501" s="275"/>
      <c r="H1501" s="276"/>
      <c r="I1501" s="213"/>
      <c r="J1501" s="213"/>
      <c r="K1501" s="269"/>
      <c r="L1501" s="272">
        <f t="shared" si="141"/>
        <v>1900</v>
      </c>
      <c r="M1501" s="272">
        <f t="shared" si="142"/>
        <v>1</v>
      </c>
      <c r="N1501" s="273"/>
      <c r="O1501" s="61">
        <f t="shared" si="143"/>
        <v>1900</v>
      </c>
      <c r="P1501" s="61">
        <f t="shared" si="144"/>
        <v>1</v>
      </c>
      <c r="R1501" s="272"/>
      <c r="S1501" s="272"/>
      <c r="T1501" s="273" t="str">
        <f t="shared" si="145"/>
        <v>-</v>
      </c>
    </row>
    <row r="1502" spans="1:20">
      <c r="A1502" s="269"/>
      <c r="B1502" s="277"/>
      <c r="C1502" s="55"/>
      <c r="D1502" s="55"/>
      <c r="E1502" s="55"/>
      <c r="F1502" s="55"/>
      <c r="G1502" s="275"/>
      <c r="H1502" s="276"/>
      <c r="I1502" s="213"/>
      <c r="J1502" s="213"/>
      <c r="K1502" s="269"/>
      <c r="L1502" s="272">
        <f t="shared" si="141"/>
        <v>1900</v>
      </c>
      <c r="M1502" s="272">
        <f t="shared" si="142"/>
        <v>1</v>
      </c>
      <c r="N1502" s="273"/>
      <c r="O1502" s="61">
        <f t="shared" si="143"/>
        <v>1900</v>
      </c>
      <c r="P1502" s="61">
        <f t="shared" si="144"/>
        <v>1</v>
      </c>
      <c r="R1502" s="272"/>
      <c r="S1502" s="272"/>
      <c r="T1502" s="273" t="str">
        <f t="shared" si="145"/>
        <v>-</v>
      </c>
    </row>
    <row r="1503" spans="1:20">
      <c r="A1503" s="269"/>
      <c r="B1503" s="277"/>
      <c r="C1503" s="55"/>
      <c r="D1503" s="55"/>
      <c r="E1503" s="55"/>
      <c r="F1503" s="55"/>
      <c r="G1503" s="275"/>
      <c r="H1503" s="276"/>
      <c r="I1503" s="213"/>
      <c r="J1503" s="213"/>
      <c r="K1503" s="269"/>
      <c r="L1503" s="272">
        <f t="shared" si="141"/>
        <v>1900</v>
      </c>
      <c r="M1503" s="272">
        <f t="shared" si="142"/>
        <v>1</v>
      </c>
      <c r="N1503" s="273"/>
      <c r="O1503" s="61">
        <f t="shared" si="143"/>
        <v>1900</v>
      </c>
      <c r="P1503" s="61">
        <f t="shared" si="144"/>
        <v>1</v>
      </c>
      <c r="R1503" s="272"/>
      <c r="S1503" s="272"/>
      <c r="T1503" s="273" t="str">
        <f t="shared" si="145"/>
        <v>-</v>
      </c>
    </row>
    <row r="1504" spans="1:20">
      <c r="A1504" s="269"/>
      <c r="B1504" s="277"/>
      <c r="C1504" s="55"/>
      <c r="D1504" s="55"/>
      <c r="E1504" s="55"/>
      <c r="F1504" s="55"/>
      <c r="G1504" s="275"/>
      <c r="H1504" s="276"/>
      <c r="I1504" s="213"/>
      <c r="J1504" s="213"/>
      <c r="K1504" s="269"/>
      <c r="L1504" s="272">
        <f t="shared" si="141"/>
        <v>1900</v>
      </c>
      <c r="M1504" s="272">
        <f t="shared" si="142"/>
        <v>1</v>
      </c>
      <c r="N1504" s="273"/>
      <c r="O1504" s="61">
        <f t="shared" si="143"/>
        <v>1900</v>
      </c>
      <c r="P1504" s="61">
        <f t="shared" si="144"/>
        <v>1</v>
      </c>
      <c r="R1504" s="272"/>
      <c r="S1504" s="272"/>
      <c r="T1504" s="273" t="str">
        <f t="shared" si="145"/>
        <v>-</v>
      </c>
    </row>
    <row r="1505" spans="1:20">
      <c r="A1505" s="269"/>
      <c r="B1505" s="277"/>
      <c r="C1505" s="55"/>
      <c r="D1505" s="55"/>
      <c r="E1505" s="55"/>
      <c r="F1505" s="55"/>
      <c r="G1505" s="275"/>
      <c r="H1505" s="276"/>
      <c r="I1505" s="213"/>
      <c r="J1505" s="213"/>
      <c r="K1505" s="269"/>
      <c r="L1505" s="272">
        <f t="shared" si="141"/>
        <v>1900</v>
      </c>
      <c r="M1505" s="272">
        <f t="shared" si="142"/>
        <v>1</v>
      </c>
      <c r="N1505" s="273"/>
      <c r="O1505" s="61">
        <f t="shared" si="143"/>
        <v>1900</v>
      </c>
      <c r="P1505" s="61">
        <f t="shared" si="144"/>
        <v>1</v>
      </c>
      <c r="R1505" s="272"/>
      <c r="S1505" s="272"/>
      <c r="T1505" s="273" t="str">
        <f t="shared" si="145"/>
        <v>-</v>
      </c>
    </row>
    <row r="1506" spans="1:20">
      <c r="A1506" s="269"/>
      <c r="B1506" s="277"/>
      <c r="C1506" s="55"/>
      <c r="D1506" s="55"/>
      <c r="E1506" s="55"/>
      <c r="F1506" s="55"/>
      <c r="G1506" s="275"/>
      <c r="H1506" s="276"/>
      <c r="I1506" s="213"/>
      <c r="J1506" s="213"/>
      <c r="K1506" s="269"/>
      <c r="L1506" s="272">
        <f t="shared" si="141"/>
        <v>1900</v>
      </c>
      <c r="M1506" s="272">
        <f t="shared" si="142"/>
        <v>1</v>
      </c>
      <c r="N1506" s="273"/>
      <c r="O1506" s="61">
        <f t="shared" si="143"/>
        <v>1900</v>
      </c>
      <c r="P1506" s="61">
        <f t="shared" si="144"/>
        <v>1</v>
      </c>
      <c r="R1506" s="272"/>
      <c r="S1506" s="272"/>
      <c r="T1506" s="273" t="str">
        <f t="shared" si="145"/>
        <v>-</v>
      </c>
    </row>
    <row r="1507" spans="1:20">
      <c r="A1507" s="269"/>
      <c r="B1507" s="277"/>
      <c r="C1507" s="55"/>
      <c r="D1507" s="55"/>
      <c r="E1507" s="55"/>
      <c r="F1507" s="55"/>
      <c r="G1507" s="275"/>
      <c r="H1507" s="276"/>
      <c r="I1507" s="213"/>
      <c r="J1507" s="213"/>
      <c r="K1507" s="269"/>
      <c r="L1507" s="272">
        <f t="shared" si="141"/>
        <v>1900</v>
      </c>
      <c r="M1507" s="272">
        <f t="shared" si="142"/>
        <v>1</v>
      </c>
      <c r="N1507" s="273"/>
      <c r="O1507" s="61">
        <f t="shared" si="143"/>
        <v>1900</v>
      </c>
      <c r="P1507" s="61">
        <f t="shared" si="144"/>
        <v>1</v>
      </c>
      <c r="R1507" s="272"/>
      <c r="S1507" s="272"/>
      <c r="T1507" s="273" t="str">
        <f t="shared" si="145"/>
        <v>-</v>
      </c>
    </row>
    <row r="1508" spans="1:20">
      <c r="A1508" s="269"/>
      <c r="B1508" s="277"/>
      <c r="C1508" s="55"/>
      <c r="D1508" s="55"/>
      <c r="E1508" s="55"/>
      <c r="F1508" s="55"/>
      <c r="G1508" s="275"/>
      <c r="H1508" s="276"/>
      <c r="I1508" s="213"/>
      <c r="J1508" s="213"/>
      <c r="K1508" s="269"/>
      <c r="L1508" s="272">
        <f t="shared" si="141"/>
        <v>1900</v>
      </c>
      <c r="M1508" s="272">
        <f t="shared" si="142"/>
        <v>1</v>
      </c>
      <c r="N1508" s="273"/>
      <c r="O1508" s="61">
        <f t="shared" si="143"/>
        <v>1900</v>
      </c>
      <c r="P1508" s="61">
        <f t="shared" si="144"/>
        <v>1</v>
      </c>
      <c r="R1508" s="272"/>
      <c r="S1508" s="272"/>
      <c r="T1508" s="273" t="str">
        <f t="shared" si="145"/>
        <v>-</v>
      </c>
    </row>
    <row r="1509" spans="1:20">
      <c r="A1509" s="269"/>
      <c r="B1509" s="277"/>
      <c r="C1509" s="55"/>
      <c r="D1509" s="55"/>
      <c r="E1509" s="55"/>
      <c r="F1509" s="55"/>
      <c r="G1509" s="275"/>
      <c r="H1509" s="276"/>
      <c r="I1509" s="213"/>
      <c r="J1509" s="213"/>
      <c r="K1509" s="269"/>
      <c r="L1509" s="272">
        <f t="shared" si="141"/>
        <v>1900</v>
      </c>
      <c r="M1509" s="272">
        <f t="shared" si="142"/>
        <v>1</v>
      </c>
      <c r="N1509" s="273"/>
      <c r="O1509" s="61">
        <f t="shared" si="143"/>
        <v>1900</v>
      </c>
      <c r="P1509" s="61">
        <f t="shared" si="144"/>
        <v>1</v>
      </c>
      <c r="R1509" s="272"/>
      <c r="S1509" s="272"/>
      <c r="T1509" s="273" t="str">
        <f t="shared" si="145"/>
        <v>-</v>
      </c>
    </row>
    <row r="1510" spans="1:20">
      <c r="A1510" s="269"/>
      <c r="B1510" s="277"/>
      <c r="C1510" s="55"/>
      <c r="D1510" s="55"/>
      <c r="E1510" s="55"/>
      <c r="F1510" s="55"/>
      <c r="G1510" s="275"/>
      <c r="H1510" s="276"/>
      <c r="I1510" s="213"/>
      <c r="J1510" s="213"/>
      <c r="K1510" s="269"/>
      <c r="L1510" s="272">
        <f t="shared" si="141"/>
        <v>1900</v>
      </c>
      <c r="M1510" s="272">
        <f t="shared" si="142"/>
        <v>1</v>
      </c>
      <c r="N1510" s="273"/>
      <c r="O1510" s="61">
        <f t="shared" si="143"/>
        <v>1900</v>
      </c>
      <c r="P1510" s="61">
        <f t="shared" si="144"/>
        <v>1</v>
      </c>
      <c r="R1510" s="272"/>
      <c r="S1510" s="272"/>
      <c r="T1510" s="273" t="str">
        <f t="shared" si="145"/>
        <v>-</v>
      </c>
    </row>
    <row r="1511" spans="1:20">
      <c r="A1511" s="269"/>
      <c r="B1511" s="277"/>
      <c r="C1511" s="55"/>
      <c r="D1511" s="55"/>
      <c r="E1511" s="55"/>
      <c r="F1511" s="55"/>
      <c r="G1511" s="275"/>
      <c r="H1511" s="276"/>
      <c r="I1511" s="213"/>
      <c r="J1511" s="213"/>
      <c r="K1511" s="269"/>
      <c r="L1511" s="272">
        <f t="shared" si="141"/>
        <v>1900</v>
      </c>
      <c r="M1511" s="272">
        <f t="shared" si="142"/>
        <v>1</v>
      </c>
      <c r="N1511" s="273"/>
      <c r="O1511" s="61">
        <f t="shared" si="143"/>
        <v>1900</v>
      </c>
      <c r="P1511" s="61">
        <f t="shared" si="144"/>
        <v>1</v>
      </c>
      <c r="R1511" s="272"/>
      <c r="S1511" s="272"/>
      <c r="T1511" s="273" t="str">
        <f t="shared" si="145"/>
        <v>-</v>
      </c>
    </row>
    <row r="1512" spans="1:20">
      <c r="A1512" s="269"/>
      <c r="B1512" s="277"/>
      <c r="C1512" s="55"/>
      <c r="D1512" s="55"/>
      <c r="E1512" s="55"/>
      <c r="F1512" s="55"/>
      <c r="G1512" s="275"/>
      <c r="H1512" s="276"/>
      <c r="I1512" s="213"/>
      <c r="J1512" s="213"/>
      <c r="K1512" s="269"/>
      <c r="L1512" s="272">
        <f t="shared" si="141"/>
        <v>1900</v>
      </c>
      <c r="M1512" s="272">
        <f t="shared" si="142"/>
        <v>1</v>
      </c>
      <c r="N1512" s="273"/>
      <c r="O1512" s="61">
        <f t="shared" si="143"/>
        <v>1900</v>
      </c>
      <c r="P1512" s="61">
        <f t="shared" si="144"/>
        <v>1</v>
      </c>
      <c r="R1512" s="272"/>
      <c r="S1512" s="272"/>
      <c r="T1512" s="273" t="str">
        <f t="shared" si="145"/>
        <v>-</v>
      </c>
    </row>
    <row r="1513" spans="1:20">
      <c r="A1513" s="269"/>
      <c r="B1513" s="277"/>
      <c r="C1513" s="55"/>
      <c r="D1513" s="55"/>
      <c r="E1513" s="55"/>
      <c r="F1513" s="55"/>
      <c r="G1513" s="275"/>
      <c r="H1513" s="276"/>
      <c r="I1513" s="213"/>
      <c r="J1513" s="213"/>
      <c r="K1513" s="269"/>
      <c r="L1513" s="272">
        <f t="shared" si="141"/>
        <v>1900</v>
      </c>
      <c r="M1513" s="272">
        <f t="shared" si="142"/>
        <v>1</v>
      </c>
      <c r="N1513" s="273"/>
      <c r="O1513" s="61">
        <f t="shared" si="143"/>
        <v>1900</v>
      </c>
      <c r="P1513" s="61">
        <f t="shared" si="144"/>
        <v>1</v>
      </c>
      <c r="R1513" s="272"/>
      <c r="S1513" s="272"/>
      <c r="T1513" s="273" t="str">
        <f t="shared" si="145"/>
        <v>-</v>
      </c>
    </row>
    <row r="1514" spans="1:20">
      <c r="A1514" s="269"/>
      <c r="B1514" s="277"/>
      <c r="C1514" s="55"/>
      <c r="D1514" s="55"/>
      <c r="E1514" s="55"/>
      <c r="F1514" s="55"/>
      <c r="G1514" s="275"/>
      <c r="H1514" s="276"/>
      <c r="I1514" s="213"/>
      <c r="J1514" s="213"/>
      <c r="K1514" s="269"/>
      <c r="L1514" s="272">
        <f t="shared" si="141"/>
        <v>1900</v>
      </c>
      <c r="M1514" s="272">
        <f t="shared" si="142"/>
        <v>1</v>
      </c>
      <c r="N1514" s="273"/>
      <c r="O1514" s="61">
        <f t="shared" si="143"/>
        <v>1900</v>
      </c>
      <c r="P1514" s="61">
        <f t="shared" si="144"/>
        <v>1</v>
      </c>
      <c r="R1514" s="272"/>
      <c r="S1514" s="272"/>
      <c r="T1514" s="273" t="str">
        <f t="shared" si="145"/>
        <v>-</v>
      </c>
    </row>
    <row r="1515" spans="1:20">
      <c r="A1515" s="269"/>
      <c r="B1515" s="277"/>
      <c r="C1515" s="55"/>
      <c r="D1515" s="55"/>
      <c r="E1515" s="55"/>
      <c r="F1515" s="55"/>
      <c r="G1515" s="275"/>
      <c r="H1515" s="276"/>
      <c r="I1515" s="213"/>
      <c r="J1515" s="213"/>
      <c r="K1515" s="269"/>
      <c r="L1515" s="272">
        <f t="shared" si="141"/>
        <v>1900</v>
      </c>
      <c r="M1515" s="272">
        <f t="shared" si="142"/>
        <v>1</v>
      </c>
      <c r="N1515" s="273"/>
      <c r="O1515" s="61">
        <f t="shared" si="143"/>
        <v>1900</v>
      </c>
      <c r="P1515" s="61">
        <f t="shared" si="144"/>
        <v>1</v>
      </c>
      <c r="R1515" s="272"/>
      <c r="S1515" s="272"/>
      <c r="T1515" s="273" t="str">
        <f t="shared" si="145"/>
        <v>-</v>
      </c>
    </row>
    <row r="1516" spans="1:20">
      <c r="A1516" s="269"/>
      <c r="B1516" s="277"/>
      <c r="C1516" s="55"/>
      <c r="D1516" s="55"/>
      <c r="E1516" s="55"/>
      <c r="F1516" s="55"/>
      <c r="G1516" s="275"/>
      <c r="H1516" s="276"/>
      <c r="I1516" s="213"/>
      <c r="J1516" s="213"/>
      <c r="K1516" s="269"/>
      <c r="L1516" s="272">
        <f t="shared" si="141"/>
        <v>1900</v>
      </c>
      <c r="M1516" s="272">
        <f t="shared" si="142"/>
        <v>1</v>
      </c>
      <c r="N1516" s="273"/>
      <c r="O1516" s="61">
        <f t="shared" si="143"/>
        <v>1900</v>
      </c>
      <c r="P1516" s="61">
        <f t="shared" si="144"/>
        <v>1</v>
      </c>
      <c r="R1516" s="272"/>
      <c r="S1516" s="272"/>
      <c r="T1516" s="273" t="str">
        <f t="shared" si="145"/>
        <v>-</v>
      </c>
    </row>
    <row r="1517" spans="1:20">
      <c r="A1517" s="269"/>
      <c r="B1517" s="277"/>
      <c r="C1517" s="55"/>
      <c r="D1517" s="55"/>
      <c r="E1517" s="55"/>
      <c r="F1517" s="55"/>
      <c r="G1517" s="275"/>
      <c r="H1517" s="276"/>
      <c r="I1517" s="213"/>
      <c r="J1517" s="213"/>
      <c r="K1517" s="269"/>
      <c r="L1517" s="272">
        <f t="shared" si="141"/>
        <v>1900</v>
      </c>
      <c r="M1517" s="272">
        <f t="shared" si="142"/>
        <v>1</v>
      </c>
      <c r="N1517" s="273"/>
      <c r="O1517" s="61">
        <f t="shared" si="143"/>
        <v>1900</v>
      </c>
      <c r="P1517" s="61">
        <f t="shared" si="144"/>
        <v>1</v>
      </c>
      <c r="R1517" s="272"/>
      <c r="S1517" s="272"/>
      <c r="T1517" s="273" t="str">
        <f t="shared" si="145"/>
        <v>-</v>
      </c>
    </row>
    <row r="1518" spans="1:20">
      <c r="A1518" s="269"/>
      <c r="B1518" s="277"/>
      <c r="C1518" s="55"/>
      <c r="D1518" s="55"/>
      <c r="E1518" s="55"/>
      <c r="F1518" s="55"/>
      <c r="G1518" s="275"/>
      <c r="H1518" s="276"/>
      <c r="I1518" s="213"/>
      <c r="J1518" s="213"/>
      <c r="K1518" s="269"/>
      <c r="L1518" s="272">
        <f t="shared" si="141"/>
        <v>1900</v>
      </c>
      <c r="M1518" s="272">
        <f t="shared" si="142"/>
        <v>1</v>
      </c>
      <c r="N1518" s="273"/>
      <c r="O1518" s="61">
        <f t="shared" si="143"/>
        <v>1900</v>
      </c>
      <c r="P1518" s="61">
        <f t="shared" si="144"/>
        <v>1</v>
      </c>
      <c r="R1518" s="272"/>
      <c r="S1518" s="272"/>
      <c r="T1518" s="273" t="str">
        <f t="shared" si="145"/>
        <v>-</v>
      </c>
    </row>
    <row r="1519" spans="1:20">
      <c r="A1519" s="269"/>
      <c r="B1519" s="277"/>
      <c r="C1519" s="55"/>
      <c r="D1519" s="55"/>
      <c r="E1519" s="55"/>
      <c r="F1519" s="55"/>
      <c r="G1519" s="275"/>
      <c r="H1519" s="276"/>
      <c r="I1519" s="213"/>
      <c r="J1519" s="213"/>
      <c r="K1519" s="269"/>
      <c r="L1519" s="272">
        <f t="shared" si="141"/>
        <v>1900</v>
      </c>
      <c r="M1519" s="272">
        <f t="shared" si="142"/>
        <v>1</v>
      </c>
      <c r="N1519" s="273"/>
      <c r="O1519" s="61">
        <f t="shared" si="143"/>
        <v>1900</v>
      </c>
      <c r="P1519" s="61">
        <f t="shared" si="144"/>
        <v>1</v>
      </c>
      <c r="R1519" s="272"/>
      <c r="S1519" s="272"/>
      <c r="T1519" s="273" t="str">
        <f t="shared" si="145"/>
        <v>-</v>
      </c>
    </row>
    <row r="1520" spans="1:20">
      <c r="A1520" s="269"/>
      <c r="B1520" s="277"/>
      <c r="C1520" s="55"/>
      <c r="D1520" s="55"/>
      <c r="E1520" s="55"/>
      <c r="F1520" s="55"/>
      <c r="G1520" s="275"/>
      <c r="H1520" s="276"/>
      <c r="I1520" s="213"/>
      <c r="J1520" s="213"/>
      <c r="K1520" s="269"/>
      <c r="L1520" s="272">
        <f t="shared" si="141"/>
        <v>1900</v>
      </c>
      <c r="M1520" s="272">
        <f t="shared" si="142"/>
        <v>1</v>
      </c>
      <c r="N1520" s="273"/>
      <c r="O1520" s="61">
        <f t="shared" si="143"/>
        <v>1900</v>
      </c>
      <c r="P1520" s="61">
        <f t="shared" si="144"/>
        <v>1</v>
      </c>
      <c r="R1520" s="272"/>
      <c r="S1520" s="272"/>
      <c r="T1520" s="273" t="str">
        <f t="shared" si="145"/>
        <v>-</v>
      </c>
    </row>
    <row r="1521" spans="1:20">
      <c r="A1521" s="269"/>
      <c r="B1521" s="277"/>
      <c r="C1521" s="55"/>
      <c r="D1521" s="55"/>
      <c r="E1521" s="55"/>
      <c r="F1521" s="55"/>
      <c r="G1521" s="275"/>
      <c r="H1521" s="276"/>
      <c r="I1521" s="213"/>
      <c r="J1521" s="213"/>
      <c r="K1521" s="269"/>
      <c r="L1521" s="272">
        <f t="shared" si="141"/>
        <v>1900</v>
      </c>
      <c r="M1521" s="272">
        <f t="shared" si="142"/>
        <v>1</v>
      </c>
      <c r="N1521" s="273"/>
      <c r="O1521" s="61">
        <f t="shared" si="143"/>
        <v>1900</v>
      </c>
      <c r="P1521" s="61">
        <f t="shared" si="144"/>
        <v>1</v>
      </c>
      <c r="R1521" s="272"/>
      <c r="S1521" s="272"/>
      <c r="T1521" s="273" t="str">
        <f t="shared" si="145"/>
        <v>-</v>
      </c>
    </row>
    <row r="1522" spans="1:20">
      <c r="A1522" s="269"/>
      <c r="B1522" s="277"/>
      <c r="C1522" s="55"/>
      <c r="D1522" s="55"/>
      <c r="E1522" s="55"/>
      <c r="F1522" s="55"/>
      <c r="G1522" s="275"/>
      <c r="H1522" s="276"/>
      <c r="I1522" s="213"/>
      <c r="J1522" s="213"/>
      <c r="K1522" s="269"/>
      <c r="L1522" s="272">
        <f t="shared" si="141"/>
        <v>1900</v>
      </c>
      <c r="M1522" s="272">
        <f t="shared" si="142"/>
        <v>1</v>
      </c>
      <c r="N1522" s="273"/>
      <c r="O1522" s="61">
        <f t="shared" si="143"/>
        <v>1900</v>
      </c>
      <c r="P1522" s="61">
        <f t="shared" si="144"/>
        <v>1</v>
      </c>
      <c r="R1522" s="272"/>
      <c r="S1522" s="272"/>
      <c r="T1522" s="273" t="str">
        <f t="shared" si="145"/>
        <v>-</v>
      </c>
    </row>
    <row r="1523" spans="1:20">
      <c r="A1523" s="269"/>
      <c r="B1523" s="277"/>
      <c r="C1523" s="55"/>
      <c r="D1523" s="55"/>
      <c r="E1523" s="55"/>
      <c r="F1523" s="55"/>
      <c r="G1523" s="275"/>
      <c r="H1523" s="276"/>
      <c r="I1523" s="213"/>
      <c r="J1523" s="213"/>
      <c r="K1523" s="269"/>
      <c r="L1523" s="272">
        <f t="shared" si="141"/>
        <v>1900</v>
      </c>
      <c r="M1523" s="272">
        <f t="shared" si="142"/>
        <v>1</v>
      </c>
      <c r="N1523" s="273"/>
      <c r="O1523" s="61">
        <f t="shared" si="143"/>
        <v>1900</v>
      </c>
      <c r="P1523" s="61">
        <f t="shared" si="144"/>
        <v>1</v>
      </c>
      <c r="R1523" s="272"/>
      <c r="S1523" s="272"/>
      <c r="T1523" s="273" t="str">
        <f t="shared" si="145"/>
        <v>-</v>
      </c>
    </row>
    <row r="1524" spans="1:20">
      <c r="A1524" s="269"/>
      <c r="B1524" s="277"/>
      <c r="C1524" s="55"/>
      <c r="D1524" s="55"/>
      <c r="E1524" s="55"/>
      <c r="F1524" s="55"/>
      <c r="G1524" s="275"/>
      <c r="H1524" s="276"/>
      <c r="I1524" s="213"/>
      <c r="J1524" s="213"/>
      <c r="K1524" s="269"/>
      <c r="L1524" s="272">
        <f t="shared" si="141"/>
        <v>1900</v>
      </c>
      <c r="M1524" s="272">
        <f t="shared" si="142"/>
        <v>1</v>
      </c>
      <c r="N1524" s="273"/>
      <c r="O1524" s="61">
        <f t="shared" si="143"/>
        <v>1900</v>
      </c>
      <c r="P1524" s="61">
        <f t="shared" si="144"/>
        <v>1</v>
      </c>
      <c r="R1524" s="272"/>
      <c r="S1524" s="272"/>
      <c r="T1524" s="273" t="str">
        <f t="shared" si="145"/>
        <v>-</v>
      </c>
    </row>
    <row r="1525" spans="1:20">
      <c r="A1525" s="269"/>
      <c r="B1525" s="277"/>
      <c r="C1525" s="55"/>
      <c r="D1525" s="55"/>
      <c r="E1525" s="55"/>
      <c r="F1525" s="55"/>
      <c r="G1525" s="275"/>
      <c r="H1525" s="276"/>
      <c r="I1525" s="213"/>
      <c r="J1525" s="213"/>
      <c r="K1525" s="269"/>
      <c r="L1525" s="272">
        <f t="shared" si="141"/>
        <v>1900</v>
      </c>
      <c r="M1525" s="272">
        <f t="shared" si="142"/>
        <v>1</v>
      </c>
      <c r="N1525" s="273"/>
      <c r="O1525" s="61">
        <f t="shared" si="143"/>
        <v>1900</v>
      </c>
      <c r="P1525" s="61">
        <f t="shared" si="144"/>
        <v>1</v>
      </c>
      <c r="R1525" s="272"/>
      <c r="S1525" s="272"/>
      <c r="T1525" s="273" t="str">
        <f t="shared" si="145"/>
        <v>-</v>
      </c>
    </row>
    <row r="1526" spans="1:20">
      <c r="A1526" s="269"/>
      <c r="B1526" s="277"/>
      <c r="C1526" s="55"/>
      <c r="D1526" s="55"/>
      <c r="E1526" s="55"/>
      <c r="F1526" s="55"/>
      <c r="G1526" s="275"/>
      <c r="H1526" s="276"/>
      <c r="I1526" s="213"/>
      <c r="J1526" s="213"/>
      <c r="K1526" s="269"/>
      <c r="L1526" s="272">
        <f t="shared" si="141"/>
        <v>1900</v>
      </c>
      <c r="M1526" s="272">
        <f t="shared" si="142"/>
        <v>1</v>
      </c>
      <c r="N1526" s="273"/>
      <c r="O1526" s="61">
        <f t="shared" si="143"/>
        <v>1900</v>
      </c>
      <c r="P1526" s="61">
        <f t="shared" si="144"/>
        <v>1</v>
      </c>
      <c r="R1526" s="272"/>
      <c r="S1526" s="272"/>
      <c r="T1526" s="273" t="str">
        <f t="shared" si="145"/>
        <v>-</v>
      </c>
    </row>
    <row r="1527" spans="1:20">
      <c r="A1527" s="269"/>
      <c r="B1527" s="277"/>
      <c r="C1527" s="55"/>
      <c r="D1527" s="55"/>
      <c r="E1527" s="55"/>
      <c r="F1527" s="55"/>
      <c r="G1527" s="275"/>
      <c r="H1527" s="276"/>
      <c r="I1527" s="213"/>
      <c r="J1527" s="213"/>
      <c r="K1527" s="269"/>
      <c r="L1527" s="272">
        <f t="shared" si="141"/>
        <v>1900</v>
      </c>
      <c r="M1527" s="272">
        <f t="shared" si="142"/>
        <v>1</v>
      </c>
      <c r="N1527" s="273"/>
      <c r="O1527" s="61">
        <f t="shared" si="143"/>
        <v>1900</v>
      </c>
      <c r="P1527" s="61">
        <f t="shared" si="144"/>
        <v>1</v>
      </c>
      <c r="R1527" s="272"/>
      <c r="S1527" s="272"/>
      <c r="T1527" s="273" t="str">
        <f t="shared" si="145"/>
        <v>-</v>
      </c>
    </row>
    <row r="1528" spans="1:20">
      <c r="A1528" s="269"/>
      <c r="B1528" s="277"/>
      <c r="C1528" s="55"/>
      <c r="D1528" s="55"/>
      <c r="E1528" s="55"/>
      <c r="F1528" s="55"/>
      <c r="G1528" s="275"/>
      <c r="H1528" s="276"/>
      <c r="I1528" s="213"/>
      <c r="J1528" s="213"/>
      <c r="K1528" s="269"/>
      <c r="L1528" s="272">
        <f t="shared" si="141"/>
        <v>1900</v>
      </c>
      <c r="M1528" s="272">
        <f t="shared" si="142"/>
        <v>1</v>
      </c>
      <c r="N1528" s="273"/>
      <c r="O1528" s="61">
        <f t="shared" si="143"/>
        <v>1900</v>
      </c>
      <c r="P1528" s="61">
        <f t="shared" si="144"/>
        <v>1</v>
      </c>
      <c r="R1528" s="272"/>
      <c r="S1528" s="272"/>
      <c r="T1528" s="273" t="str">
        <f t="shared" si="145"/>
        <v>-</v>
      </c>
    </row>
    <row r="1529" spans="1:20">
      <c r="A1529" s="269"/>
      <c r="B1529" s="277"/>
      <c r="C1529" s="55"/>
      <c r="D1529" s="55"/>
      <c r="E1529" s="55"/>
      <c r="F1529" s="55"/>
      <c r="G1529" s="275"/>
      <c r="H1529" s="276"/>
      <c r="I1529" s="213"/>
      <c r="J1529" s="213"/>
      <c r="K1529" s="269"/>
      <c r="L1529" s="272">
        <f t="shared" si="141"/>
        <v>1900</v>
      </c>
      <c r="M1529" s="272">
        <f t="shared" si="142"/>
        <v>1</v>
      </c>
      <c r="N1529" s="273"/>
      <c r="O1529" s="61">
        <f t="shared" si="143"/>
        <v>1900</v>
      </c>
      <c r="P1529" s="61">
        <f t="shared" si="144"/>
        <v>1</v>
      </c>
      <c r="R1529" s="272"/>
      <c r="S1529" s="272"/>
      <c r="T1529" s="273" t="str">
        <f t="shared" si="145"/>
        <v>-</v>
      </c>
    </row>
    <row r="1530" spans="1:20">
      <c r="A1530" s="269"/>
      <c r="B1530" s="277"/>
      <c r="C1530" s="55"/>
      <c r="D1530" s="55"/>
      <c r="E1530" s="55"/>
      <c r="F1530" s="55"/>
      <c r="G1530" s="275"/>
      <c r="H1530" s="276"/>
      <c r="I1530" s="213"/>
      <c r="J1530" s="213"/>
      <c r="K1530" s="269"/>
      <c r="L1530" s="272">
        <f t="shared" si="141"/>
        <v>1900</v>
      </c>
      <c r="M1530" s="272">
        <f t="shared" si="142"/>
        <v>1</v>
      </c>
      <c r="N1530" s="273"/>
      <c r="O1530" s="61">
        <f t="shared" si="143"/>
        <v>1900</v>
      </c>
      <c r="P1530" s="61">
        <f t="shared" si="144"/>
        <v>1</v>
      </c>
      <c r="R1530" s="272"/>
      <c r="S1530" s="272"/>
      <c r="T1530" s="273" t="str">
        <f t="shared" si="145"/>
        <v>-</v>
      </c>
    </row>
    <row r="1531" spans="1:20">
      <c r="A1531" s="269"/>
      <c r="B1531" s="277"/>
      <c r="C1531" s="55"/>
      <c r="D1531" s="55"/>
      <c r="E1531" s="55"/>
      <c r="F1531" s="55"/>
      <c r="G1531" s="275"/>
      <c r="H1531" s="276"/>
      <c r="I1531" s="213"/>
      <c r="J1531" s="213"/>
      <c r="K1531" s="269"/>
      <c r="L1531" s="272">
        <f t="shared" si="141"/>
        <v>1900</v>
      </c>
      <c r="M1531" s="272">
        <f t="shared" si="142"/>
        <v>1</v>
      </c>
      <c r="N1531" s="273"/>
      <c r="O1531" s="61">
        <f t="shared" si="143"/>
        <v>1900</v>
      </c>
      <c r="P1531" s="61">
        <f t="shared" si="144"/>
        <v>1</v>
      </c>
      <c r="R1531" s="272"/>
      <c r="S1531" s="272"/>
      <c r="T1531" s="273" t="str">
        <f t="shared" si="145"/>
        <v>-</v>
      </c>
    </row>
    <row r="1532" spans="1:20">
      <c r="A1532" s="269"/>
      <c r="B1532" s="277"/>
      <c r="C1532" s="55"/>
      <c r="D1532" s="55"/>
      <c r="E1532" s="55"/>
      <c r="F1532" s="55"/>
      <c r="G1532" s="275"/>
      <c r="H1532" s="276"/>
      <c r="I1532" s="213"/>
      <c r="J1532" s="213"/>
      <c r="K1532" s="269"/>
      <c r="L1532" s="272">
        <f t="shared" si="141"/>
        <v>1900</v>
      </c>
      <c r="M1532" s="272">
        <f t="shared" si="142"/>
        <v>1</v>
      </c>
      <c r="N1532" s="273"/>
      <c r="O1532" s="61">
        <f t="shared" si="143"/>
        <v>1900</v>
      </c>
      <c r="P1532" s="61">
        <f t="shared" si="144"/>
        <v>1</v>
      </c>
      <c r="R1532" s="272"/>
      <c r="S1532" s="272"/>
      <c r="T1532" s="273" t="str">
        <f t="shared" si="145"/>
        <v>-</v>
      </c>
    </row>
    <row r="1533" spans="1:20">
      <c r="A1533" s="269"/>
      <c r="B1533" s="277"/>
      <c r="C1533" s="55"/>
      <c r="D1533" s="55"/>
      <c r="E1533" s="55"/>
      <c r="F1533" s="55"/>
      <c r="G1533" s="275"/>
      <c r="H1533" s="276"/>
      <c r="I1533" s="213"/>
      <c r="J1533" s="213"/>
      <c r="K1533" s="269"/>
      <c r="L1533" s="272">
        <f t="shared" si="141"/>
        <v>1900</v>
      </c>
      <c r="M1533" s="272">
        <f t="shared" si="142"/>
        <v>1</v>
      </c>
      <c r="N1533" s="273"/>
      <c r="O1533" s="61">
        <f t="shared" si="143"/>
        <v>1900</v>
      </c>
      <c r="P1533" s="61">
        <f t="shared" si="144"/>
        <v>1</v>
      </c>
      <c r="R1533" s="272"/>
      <c r="S1533" s="272"/>
      <c r="T1533" s="273" t="str">
        <f t="shared" si="145"/>
        <v>-</v>
      </c>
    </row>
    <row r="1534" spans="1:20">
      <c r="A1534" s="269"/>
      <c r="B1534" s="277"/>
      <c r="C1534" s="55"/>
      <c r="D1534" s="55"/>
      <c r="E1534" s="55"/>
      <c r="F1534" s="55"/>
      <c r="G1534" s="275"/>
      <c r="H1534" s="276"/>
      <c r="I1534" s="213"/>
      <c r="J1534" s="213"/>
      <c r="K1534" s="269"/>
      <c r="L1534" s="272">
        <f t="shared" si="141"/>
        <v>1900</v>
      </c>
      <c r="M1534" s="272">
        <f t="shared" si="142"/>
        <v>1</v>
      </c>
      <c r="N1534" s="273"/>
      <c r="O1534" s="61">
        <f t="shared" si="143"/>
        <v>1900</v>
      </c>
      <c r="P1534" s="61">
        <f t="shared" si="144"/>
        <v>1</v>
      </c>
      <c r="R1534" s="272"/>
      <c r="S1534" s="272"/>
      <c r="T1534" s="273" t="str">
        <f t="shared" si="145"/>
        <v>-</v>
      </c>
    </row>
    <row r="1535" spans="1:20">
      <c r="A1535" s="269"/>
      <c r="B1535" s="277"/>
      <c r="C1535" s="55"/>
      <c r="D1535" s="55"/>
      <c r="E1535" s="55"/>
      <c r="F1535" s="55"/>
      <c r="G1535" s="275"/>
      <c r="H1535" s="276"/>
      <c r="I1535" s="213"/>
      <c r="J1535" s="213"/>
      <c r="K1535" s="269"/>
      <c r="L1535" s="272">
        <f t="shared" si="141"/>
        <v>1900</v>
      </c>
      <c r="M1535" s="272">
        <f t="shared" si="142"/>
        <v>1</v>
      </c>
      <c r="N1535" s="273"/>
      <c r="O1535" s="61">
        <f t="shared" si="143"/>
        <v>1900</v>
      </c>
      <c r="P1535" s="61">
        <f t="shared" si="144"/>
        <v>1</v>
      </c>
      <c r="R1535" s="272"/>
      <c r="S1535" s="272"/>
      <c r="T1535" s="273" t="str">
        <f t="shared" si="145"/>
        <v>-</v>
      </c>
    </row>
    <row r="1536" spans="1:20">
      <c r="A1536" s="269"/>
      <c r="B1536" s="277"/>
      <c r="C1536" s="55"/>
      <c r="D1536" s="55"/>
      <c r="E1536" s="55"/>
      <c r="F1536" s="55"/>
      <c r="G1536" s="275"/>
      <c r="H1536" s="276"/>
      <c r="I1536" s="213"/>
      <c r="J1536" s="213"/>
      <c r="K1536" s="269"/>
      <c r="L1536" s="272">
        <f t="shared" si="141"/>
        <v>1900</v>
      </c>
      <c r="M1536" s="272">
        <f t="shared" si="142"/>
        <v>1</v>
      </c>
      <c r="N1536" s="273"/>
      <c r="O1536" s="61">
        <f t="shared" si="143"/>
        <v>1900</v>
      </c>
      <c r="P1536" s="61">
        <f t="shared" si="144"/>
        <v>1</v>
      </c>
      <c r="R1536" s="272"/>
      <c r="S1536" s="272"/>
      <c r="T1536" s="273" t="str">
        <f t="shared" si="145"/>
        <v>-</v>
      </c>
    </row>
    <row r="1537" spans="1:20">
      <c r="A1537" s="269"/>
      <c r="B1537" s="277"/>
      <c r="C1537" s="55"/>
      <c r="D1537" s="55"/>
      <c r="E1537" s="55"/>
      <c r="F1537" s="55"/>
      <c r="G1537" s="275"/>
      <c r="H1537" s="276"/>
      <c r="I1537" s="213"/>
      <c r="J1537" s="213"/>
      <c r="K1537" s="269"/>
      <c r="L1537" s="272">
        <f t="shared" si="141"/>
        <v>1900</v>
      </c>
      <c r="M1537" s="272">
        <f t="shared" si="142"/>
        <v>1</v>
      </c>
      <c r="N1537" s="273"/>
      <c r="O1537" s="61">
        <f t="shared" si="143"/>
        <v>1900</v>
      </c>
      <c r="P1537" s="61">
        <f t="shared" si="144"/>
        <v>1</v>
      </c>
      <c r="R1537" s="272"/>
      <c r="S1537" s="272"/>
      <c r="T1537" s="273" t="str">
        <f t="shared" si="145"/>
        <v>-</v>
      </c>
    </row>
    <row r="1538" spans="1:20">
      <c r="A1538" s="269"/>
      <c r="B1538" s="277"/>
      <c r="C1538" s="55"/>
      <c r="D1538" s="55"/>
      <c r="E1538" s="55"/>
      <c r="F1538" s="55"/>
      <c r="G1538" s="275"/>
      <c r="H1538" s="276"/>
      <c r="I1538" s="213"/>
      <c r="J1538" s="213"/>
      <c r="K1538" s="269"/>
      <c r="L1538" s="272">
        <f t="shared" si="141"/>
        <v>1900</v>
      </c>
      <c r="M1538" s="272">
        <f t="shared" si="142"/>
        <v>1</v>
      </c>
      <c r="N1538" s="273"/>
      <c r="O1538" s="61">
        <f t="shared" si="143"/>
        <v>1900</v>
      </c>
      <c r="P1538" s="61">
        <f t="shared" si="144"/>
        <v>1</v>
      </c>
      <c r="R1538" s="272"/>
      <c r="S1538" s="272"/>
      <c r="T1538" s="273" t="str">
        <f t="shared" si="145"/>
        <v>-</v>
      </c>
    </row>
    <row r="1539" spans="1:20">
      <c r="A1539" s="269"/>
      <c r="B1539" s="277"/>
      <c r="C1539" s="55"/>
      <c r="D1539" s="55"/>
      <c r="E1539" s="55"/>
      <c r="F1539" s="55"/>
      <c r="G1539" s="275"/>
      <c r="H1539" s="276"/>
      <c r="I1539" s="213"/>
      <c r="J1539" s="213"/>
      <c r="K1539" s="269"/>
      <c r="L1539" s="272">
        <f t="shared" si="141"/>
        <v>1900</v>
      </c>
      <c r="M1539" s="272">
        <f t="shared" si="142"/>
        <v>1</v>
      </c>
      <c r="N1539" s="273"/>
      <c r="O1539" s="61">
        <f t="shared" si="143"/>
        <v>1900</v>
      </c>
      <c r="P1539" s="61">
        <f t="shared" si="144"/>
        <v>1</v>
      </c>
      <c r="R1539" s="272"/>
      <c r="S1539" s="272"/>
      <c r="T1539" s="273" t="str">
        <f t="shared" si="145"/>
        <v>-</v>
      </c>
    </row>
    <row r="1540" spans="1:20">
      <c r="A1540" s="269"/>
      <c r="B1540" s="277"/>
      <c r="C1540" s="55"/>
      <c r="D1540" s="55"/>
      <c r="E1540" s="55"/>
      <c r="F1540" s="55"/>
      <c r="G1540" s="275"/>
      <c r="H1540" s="276"/>
      <c r="I1540" s="213"/>
      <c r="J1540" s="213"/>
      <c r="K1540" s="269"/>
      <c r="L1540" s="272">
        <f t="shared" si="141"/>
        <v>1900</v>
      </c>
      <c r="M1540" s="272">
        <f t="shared" si="142"/>
        <v>1</v>
      </c>
      <c r="N1540" s="273"/>
      <c r="O1540" s="61">
        <f t="shared" si="143"/>
        <v>1900</v>
      </c>
      <c r="P1540" s="61">
        <f t="shared" si="144"/>
        <v>1</v>
      </c>
      <c r="R1540" s="272"/>
      <c r="S1540" s="272"/>
      <c r="T1540" s="273" t="str">
        <f t="shared" si="145"/>
        <v>-</v>
      </c>
    </row>
    <row r="1541" spans="1:20">
      <c r="A1541" s="269"/>
      <c r="B1541" s="277"/>
      <c r="C1541" s="55"/>
      <c r="D1541" s="55"/>
      <c r="E1541" s="55"/>
      <c r="F1541" s="55"/>
      <c r="G1541" s="275"/>
      <c r="H1541" s="276"/>
      <c r="I1541" s="213"/>
      <c r="J1541" s="213"/>
      <c r="K1541" s="269"/>
      <c r="L1541" s="272">
        <f t="shared" si="141"/>
        <v>1900</v>
      </c>
      <c r="M1541" s="272">
        <f t="shared" si="142"/>
        <v>1</v>
      </c>
      <c r="N1541" s="273"/>
      <c r="O1541" s="61">
        <f t="shared" si="143"/>
        <v>1900</v>
      </c>
      <c r="P1541" s="61">
        <f t="shared" si="144"/>
        <v>1</v>
      </c>
      <c r="R1541" s="272"/>
      <c r="S1541" s="272"/>
      <c r="T1541" s="273" t="str">
        <f t="shared" si="145"/>
        <v>-</v>
      </c>
    </row>
    <row r="1542" spans="1:20">
      <c r="A1542" s="269"/>
      <c r="B1542" s="277"/>
      <c r="C1542" s="55"/>
      <c r="D1542" s="55"/>
      <c r="E1542" s="55"/>
      <c r="F1542" s="55"/>
      <c r="G1542" s="275"/>
      <c r="H1542" s="276"/>
      <c r="I1542" s="213"/>
      <c r="J1542" s="213"/>
      <c r="K1542" s="269"/>
      <c r="L1542" s="272">
        <f t="shared" si="141"/>
        <v>1900</v>
      </c>
      <c r="M1542" s="272">
        <f t="shared" si="142"/>
        <v>1</v>
      </c>
      <c r="N1542" s="273"/>
      <c r="O1542" s="61">
        <f t="shared" si="143"/>
        <v>1900</v>
      </c>
      <c r="P1542" s="61">
        <f t="shared" si="144"/>
        <v>1</v>
      </c>
      <c r="R1542" s="272"/>
      <c r="S1542" s="272"/>
      <c r="T1542" s="273" t="str">
        <f t="shared" si="145"/>
        <v>-</v>
      </c>
    </row>
    <row r="1543" spans="1:20">
      <c r="A1543" s="269"/>
      <c r="B1543" s="277"/>
      <c r="C1543" s="55"/>
      <c r="D1543" s="55"/>
      <c r="E1543" s="55"/>
      <c r="F1543" s="55"/>
      <c r="G1543" s="275"/>
      <c r="H1543" s="276"/>
      <c r="I1543" s="213"/>
      <c r="J1543" s="213"/>
      <c r="K1543" s="269"/>
      <c r="L1543" s="272">
        <f t="shared" si="141"/>
        <v>1900</v>
      </c>
      <c r="M1543" s="272">
        <f t="shared" si="142"/>
        <v>1</v>
      </c>
      <c r="N1543" s="273"/>
      <c r="O1543" s="61">
        <f t="shared" si="143"/>
        <v>1900</v>
      </c>
      <c r="P1543" s="61">
        <f t="shared" si="144"/>
        <v>1</v>
      </c>
      <c r="R1543" s="272"/>
      <c r="S1543" s="272"/>
      <c r="T1543" s="273" t="str">
        <f t="shared" si="145"/>
        <v>-</v>
      </c>
    </row>
    <row r="1544" spans="1:20">
      <c r="A1544" s="269"/>
      <c r="B1544" s="277"/>
      <c r="C1544" s="55"/>
      <c r="D1544" s="55"/>
      <c r="E1544" s="55"/>
      <c r="F1544" s="55"/>
      <c r="G1544" s="275"/>
      <c r="H1544" s="276"/>
      <c r="I1544" s="213"/>
      <c r="J1544" s="213"/>
      <c r="K1544" s="269"/>
      <c r="L1544" s="272">
        <f t="shared" si="141"/>
        <v>1900</v>
      </c>
      <c r="M1544" s="272">
        <f t="shared" si="142"/>
        <v>1</v>
      </c>
      <c r="N1544" s="273"/>
      <c r="O1544" s="61">
        <f t="shared" si="143"/>
        <v>1900</v>
      </c>
      <c r="P1544" s="61">
        <f t="shared" si="144"/>
        <v>1</v>
      </c>
      <c r="R1544" s="272"/>
      <c r="S1544" s="272"/>
      <c r="T1544" s="273" t="str">
        <f t="shared" si="145"/>
        <v>-</v>
      </c>
    </row>
    <row r="1545" spans="1:20">
      <c r="A1545" s="269"/>
      <c r="B1545" s="277"/>
      <c r="C1545" s="55"/>
      <c r="D1545" s="55"/>
      <c r="E1545" s="55"/>
      <c r="F1545" s="55"/>
      <c r="G1545" s="275"/>
      <c r="H1545" s="276"/>
      <c r="I1545" s="213"/>
      <c r="J1545" s="213"/>
      <c r="K1545" s="269"/>
      <c r="L1545" s="272">
        <f t="shared" si="141"/>
        <v>1900</v>
      </c>
      <c r="M1545" s="272">
        <f t="shared" si="142"/>
        <v>1</v>
      </c>
      <c r="N1545" s="273"/>
      <c r="O1545" s="61">
        <f t="shared" si="143"/>
        <v>1900</v>
      </c>
      <c r="P1545" s="61">
        <f t="shared" si="144"/>
        <v>1</v>
      </c>
      <c r="R1545" s="272"/>
      <c r="S1545" s="272"/>
      <c r="T1545" s="273" t="str">
        <f t="shared" si="145"/>
        <v>-</v>
      </c>
    </row>
    <row r="1546" spans="1:20">
      <c r="A1546" s="269"/>
      <c r="B1546" s="277"/>
      <c r="C1546" s="55"/>
      <c r="D1546" s="55"/>
      <c r="E1546" s="55"/>
      <c r="F1546" s="55"/>
      <c r="G1546" s="275"/>
      <c r="H1546" s="276"/>
      <c r="I1546" s="213"/>
      <c r="J1546" s="213"/>
      <c r="K1546" s="269"/>
      <c r="L1546" s="272">
        <f t="shared" si="141"/>
        <v>1900</v>
      </c>
      <c r="M1546" s="272">
        <f t="shared" si="142"/>
        <v>1</v>
      </c>
      <c r="N1546" s="273"/>
      <c r="O1546" s="61">
        <f t="shared" si="143"/>
        <v>1900</v>
      </c>
      <c r="P1546" s="61">
        <f t="shared" si="144"/>
        <v>1</v>
      </c>
      <c r="R1546" s="272"/>
      <c r="S1546" s="272"/>
      <c r="T1546" s="273" t="str">
        <f t="shared" si="145"/>
        <v>-</v>
      </c>
    </row>
    <row r="1547" spans="1:20">
      <c r="A1547" s="269"/>
      <c r="B1547" s="277"/>
      <c r="C1547" s="55"/>
      <c r="D1547" s="55"/>
      <c r="E1547" s="55"/>
      <c r="F1547" s="55"/>
      <c r="G1547" s="275"/>
      <c r="H1547" s="276"/>
      <c r="I1547" s="213"/>
      <c r="J1547" s="213"/>
      <c r="K1547" s="269"/>
      <c r="L1547" s="272">
        <f t="shared" si="141"/>
        <v>1900</v>
      </c>
      <c r="M1547" s="272">
        <f t="shared" si="142"/>
        <v>1</v>
      </c>
      <c r="N1547" s="273"/>
      <c r="O1547" s="61">
        <f t="shared" si="143"/>
        <v>1900</v>
      </c>
      <c r="P1547" s="61">
        <f t="shared" si="144"/>
        <v>1</v>
      </c>
      <c r="R1547" s="272"/>
      <c r="S1547" s="272"/>
      <c r="T1547" s="273" t="str">
        <f t="shared" si="145"/>
        <v>-</v>
      </c>
    </row>
    <row r="1548" spans="1:20">
      <c r="A1548" s="269"/>
      <c r="B1548" s="277"/>
      <c r="C1548" s="55"/>
      <c r="D1548" s="55"/>
      <c r="E1548" s="55"/>
      <c r="F1548" s="55"/>
      <c r="G1548" s="275"/>
      <c r="H1548" s="276"/>
      <c r="I1548" s="213"/>
      <c r="J1548" s="213"/>
      <c r="K1548" s="269"/>
      <c r="L1548" s="272">
        <f t="shared" si="141"/>
        <v>1900</v>
      </c>
      <c r="M1548" s="272">
        <f t="shared" si="142"/>
        <v>1</v>
      </c>
      <c r="N1548" s="273"/>
      <c r="O1548" s="61">
        <f t="shared" si="143"/>
        <v>1900</v>
      </c>
      <c r="P1548" s="61">
        <f t="shared" si="144"/>
        <v>1</v>
      </c>
      <c r="R1548" s="272"/>
      <c r="S1548" s="272"/>
      <c r="T1548" s="273" t="str">
        <f t="shared" si="145"/>
        <v>-</v>
      </c>
    </row>
    <row r="1549" spans="1:20">
      <c r="A1549" s="269"/>
      <c r="B1549" s="277"/>
      <c r="C1549" s="55"/>
      <c r="D1549" s="55"/>
      <c r="E1549" s="55"/>
      <c r="F1549" s="55"/>
      <c r="G1549" s="275"/>
      <c r="H1549" s="276"/>
      <c r="I1549" s="213"/>
      <c r="J1549" s="213"/>
      <c r="K1549" s="269"/>
      <c r="L1549" s="272">
        <f t="shared" si="141"/>
        <v>1900</v>
      </c>
      <c r="M1549" s="272">
        <f t="shared" si="142"/>
        <v>1</v>
      </c>
      <c r="N1549" s="273"/>
      <c r="O1549" s="61">
        <f t="shared" si="143"/>
        <v>1900</v>
      </c>
      <c r="P1549" s="61">
        <f t="shared" si="144"/>
        <v>1</v>
      </c>
      <c r="R1549" s="272"/>
      <c r="S1549" s="272"/>
      <c r="T1549" s="273" t="str">
        <f t="shared" si="145"/>
        <v>-</v>
      </c>
    </row>
    <row r="1550" spans="1:20">
      <c r="A1550" s="269"/>
      <c r="B1550" s="277"/>
      <c r="C1550" s="55"/>
      <c r="D1550" s="55"/>
      <c r="E1550" s="55"/>
      <c r="F1550" s="55"/>
      <c r="G1550" s="275"/>
      <c r="H1550" s="276"/>
      <c r="I1550" s="213"/>
      <c r="J1550" s="213"/>
      <c r="K1550" s="269"/>
      <c r="L1550" s="272">
        <f t="shared" si="141"/>
        <v>1900</v>
      </c>
      <c r="M1550" s="272">
        <f t="shared" si="142"/>
        <v>1</v>
      </c>
      <c r="N1550" s="273"/>
      <c r="O1550" s="61">
        <f t="shared" si="143"/>
        <v>1900</v>
      </c>
      <c r="P1550" s="61">
        <f t="shared" si="144"/>
        <v>1</v>
      </c>
      <c r="R1550" s="272"/>
      <c r="S1550" s="272"/>
      <c r="T1550" s="273" t="str">
        <f t="shared" si="145"/>
        <v>-</v>
      </c>
    </row>
    <row r="1551" spans="1:20">
      <c r="A1551" s="269"/>
      <c r="B1551" s="277"/>
      <c r="C1551" s="55"/>
      <c r="D1551" s="55"/>
      <c r="E1551" s="55"/>
      <c r="F1551" s="55"/>
      <c r="G1551" s="275"/>
      <c r="H1551" s="276"/>
      <c r="I1551" s="213"/>
      <c r="J1551" s="213"/>
      <c r="K1551" s="269"/>
      <c r="L1551" s="272">
        <f t="shared" si="141"/>
        <v>1900</v>
      </c>
      <c r="M1551" s="272">
        <f t="shared" si="142"/>
        <v>1</v>
      </c>
      <c r="N1551" s="273"/>
      <c r="O1551" s="61">
        <f t="shared" si="143"/>
        <v>1900</v>
      </c>
      <c r="P1551" s="61">
        <f t="shared" si="144"/>
        <v>1</v>
      </c>
      <c r="R1551" s="272"/>
      <c r="S1551" s="272"/>
      <c r="T1551" s="273" t="str">
        <f t="shared" si="145"/>
        <v>-</v>
      </c>
    </row>
    <row r="1552" spans="1:20">
      <c r="A1552" s="269"/>
      <c r="B1552" s="277"/>
      <c r="C1552" s="55"/>
      <c r="D1552" s="55"/>
      <c r="E1552" s="55"/>
      <c r="F1552" s="55"/>
      <c r="G1552" s="275"/>
      <c r="H1552" s="276"/>
      <c r="I1552" s="213"/>
      <c r="J1552" s="213"/>
      <c r="K1552" s="269"/>
      <c r="L1552" s="272">
        <f t="shared" ref="L1552:L1615" si="146">YEAR(B1552)</f>
        <v>1900</v>
      </c>
      <c r="M1552" s="272">
        <f t="shared" ref="M1552:M1615" si="147">MONTH(B1552)</f>
        <v>1</v>
      </c>
      <c r="N1552" s="273"/>
      <c r="O1552" s="61">
        <f t="shared" ref="O1552:O1615" si="148">YEAR(B1552)</f>
        <v>1900</v>
      </c>
      <c r="P1552" s="61">
        <f t="shared" ref="P1552:P1615" si="149">MONTH(B1552)</f>
        <v>1</v>
      </c>
      <c r="R1552" s="272"/>
      <c r="S1552" s="272"/>
      <c r="T1552" s="273" t="str">
        <f t="shared" ref="T1552:T1615" si="150">IF($E1552&gt;0,IF((R1552+S1552)=$E1552,"OK","Error"),"-")</f>
        <v>-</v>
      </c>
    </row>
    <row r="1553" spans="1:20">
      <c r="A1553" s="269"/>
      <c r="B1553" s="277"/>
      <c r="C1553" s="55"/>
      <c r="D1553" s="55"/>
      <c r="E1553" s="55"/>
      <c r="F1553" s="55"/>
      <c r="G1553" s="275"/>
      <c r="H1553" s="276"/>
      <c r="I1553" s="213"/>
      <c r="J1553" s="213"/>
      <c r="K1553" s="269"/>
      <c r="L1553" s="272">
        <f t="shared" si="146"/>
        <v>1900</v>
      </c>
      <c r="M1553" s="272">
        <f t="shared" si="147"/>
        <v>1</v>
      </c>
      <c r="N1553" s="273"/>
      <c r="O1553" s="61">
        <f t="shared" si="148"/>
        <v>1900</v>
      </c>
      <c r="P1553" s="61">
        <f t="shared" si="149"/>
        <v>1</v>
      </c>
      <c r="R1553" s="272"/>
      <c r="S1553" s="272"/>
      <c r="T1553" s="273" t="str">
        <f t="shared" si="150"/>
        <v>-</v>
      </c>
    </row>
    <row r="1554" spans="1:20">
      <c r="A1554" s="269"/>
      <c r="B1554" s="277"/>
      <c r="C1554" s="55"/>
      <c r="D1554" s="55"/>
      <c r="E1554" s="55"/>
      <c r="F1554" s="55"/>
      <c r="G1554" s="275"/>
      <c r="H1554" s="276"/>
      <c r="I1554" s="213"/>
      <c r="J1554" s="213"/>
      <c r="K1554" s="269"/>
      <c r="L1554" s="272">
        <f t="shared" si="146"/>
        <v>1900</v>
      </c>
      <c r="M1554" s="272">
        <f t="shared" si="147"/>
        <v>1</v>
      </c>
      <c r="N1554" s="273"/>
      <c r="O1554" s="61">
        <f t="shared" si="148"/>
        <v>1900</v>
      </c>
      <c r="P1554" s="61">
        <f t="shared" si="149"/>
        <v>1</v>
      </c>
      <c r="R1554" s="272"/>
      <c r="S1554" s="272"/>
      <c r="T1554" s="273" t="str">
        <f t="shared" si="150"/>
        <v>-</v>
      </c>
    </row>
    <row r="1555" spans="1:20">
      <c r="A1555" s="269"/>
      <c r="B1555" s="277"/>
      <c r="C1555" s="55"/>
      <c r="D1555" s="55"/>
      <c r="E1555" s="55"/>
      <c r="F1555" s="55"/>
      <c r="G1555" s="275"/>
      <c r="H1555" s="276"/>
      <c r="I1555" s="213"/>
      <c r="J1555" s="213"/>
      <c r="K1555" s="269"/>
      <c r="L1555" s="272">
        <f t="shared" si="146"/>
        <v>1900</v>
      </c>
      <c r="M1555" s="272">
        <f t="shared" si="147"/>
        <v>1</v>
      </c>
      <c r="N1555" s="273"/>
      <c r="O1555" s="61">
        <f t="shared" si="148"/>
        <v>1900</v>
      </c>
      <c r="P1555" s="61">
        <f t="shared" si="149"/>
        <v>1</v>
      </c>
      <c r="R1555" s="272"/>
      <c r="S1555" s="272"/>
      <c r="T1555" s="273" t="str">
        <f t="shared" si="150"/>
        <v>-</v>
      </c>
    </row>
    <row r="1556" spans="1:20">
      <c r="A1556" s="269"/>
      <c r="B1556" s="277"/>
      <c r="C1556" s="55"/>
      <c r="D1556" s="55"/>
      <c r="E1556" s="55"/>
      <c r="F1556" s="55"/>
      <c r="G1556" s="275"/>
      <c r="H1556" s="276"/>
      <c r="I1556" s="213"/>
      <c r="J1556" s="213"/>
      <c r="K1556" s="269"/>
      <c r="L1556" s="272">
        <f t="shared" si="146"/>
        <v>1900</v>
      </c>
      <c r="M1556" s="272">
        <f t="shared" si="147"/>
        <v>1</v>
      </c>
      <c r="N1556" s="273"/>
      <c r="O1556" s="61">
        <f t="shared" si="148"/>
        <v>1900</v>
      </c>
      <c r="P1556" s="61">
        <f t="shared" si="149"/>
        <v>1</v>
      </c>
      <c r="R1556" s="272"/>
      <c r="S1556" s="272"/>
      <c r="T1556" s="273" t="str">
        <f t="shared" si="150"/>
        <v>-</v>
      </c>
    </row>
    <row r="1557" spans="1:20">
      <c r="A1557" s="269"/>
      <c r="B1557" s="277"/>
      <c r="C1557" s="55"/>
      <c r="D1557" s="55"/>
      <c r="E1557" s="55"/>
      <c r="F1557" s="55"/>
      <c r="G1557" s="275"/>
      <c r="H1557" s="276"/>
      <c r="I1557" s="213"/>
      <c r="J1557" s="213"/>
      <c r="K1557" s="269"/>
      <c r="L1557" s="272">
        <f t="shared" si="146"/>
        <v>1900</v>
      </c>
      <c r="M1557" s="272">
        <f t="shared" si="147"/>
        <v>1</v>
      </c>
      <c r="N1557" s="273"/>
      <c r="O1557" s="61">
        <f t="shared" si="148"/>
        <v>1900</v>
      </c>
      <c r="P1557" s="61">
        <f t="shared" si="149"/>
        <v>1</v>
      </c>
      <c r="R1557" s="272"/>
      <c r="S1557" s="272"/>
      <c r="T1557" s="273" t="str">
        <f t="shared" si="150"/>
        <v>-</v>
      </c>
    </row>
    <row r="1558" spans="1:20">
      <c r="A1558" s="269"/>
      <c r="B1558" s="277"/>
      <c r="C1558" s="55"/>
      <c r="D1558" s="55"/>
      <c r="E1558" s="55"/>
      <c r="F1558" s="55"/>
      <c r="G1558" s="275"/>
      <c r="H1558" s="276"/>
      <c r="I1558" s="213"/>
      <c r="J1558" s="213"/>
      <c r="K1558" s="269"/>
      <c r="L1558" s="272">
        <f t="shared" si="146"/>
        <v>1900</v>
      </c>
      <c r="M1558" s="272">
        <f t="shared" si="147"/>
        <v>1</v>
      </c>
      <c r="N1558" s="273"/>
      <c r="O1558" s="61">
        <f t="shared" si="148"/>
        <v>1900</v>
      </c>
      <c r="P1558" s="61">
        <f t="shared" si="149"/>
        <v>1</v>
      </c>
      <c r="R1558" s="272"/>
      <c r="S1558" s="272"/>
      <c r="T1558" s="273" t="str">
        <f t="shared" si="150"/>
        <v>-</v>
      </c>
    </row>
    <row r="1559" spans="1:20">
      <c r="A1559" s="269"/>
      <c r="B1559" s="277"/>
      <c r="C1559" s="55"/>
      <c r="D1559" s="55"/>
      <c r="E1559" s="55"/>
      <c r="F1559" s="55"/>
      <c r="G1559" s="275"/>
      <c r="H1559" s="276"/>
      <c r="I1559" s="213"/>
      <c r="J1559" s="213"/>
      <c r="K1559" s="269"/>
      <c r="L1559" s="272">
        <f t="shared" si="146"/>
        <v>1900</v>
      </c>
      <c r="M1559" s="272">
        <f t="shared" si="147"/>
        <v>1</v>
      </c>
      <c r="N1559" s="273"/>
      <c r="O1559" s="61">
        <f t="shared" si="148"/>
        <v>1900</v>
      </c>
      <c r="P1559" s="61">
        <f t="shared" si="149"/>
        <v>1</v>
      </c>
      <c r="R1559" s="272"/>
      <c r="S1559" s="272"/>
      <c r="T1559" s="273" t="str">
        <f t="shared" si="150"/>
        <v>-</v>
      </c>
    </row>
    <row r="1560" spans="1:20">
      <c r="A1560" s="269"/>
      <c r="B1560" s="277"/>
      <c r="C1560" s="55"/>
      <c r="D1560" s="55"/>
      <c r="E1560" s="55"/>
      <c r="F1560" s="55"/>
      <c r="G1560" s="275"/>
      <c r="H1560" s="276"/>
      <c r="I1560" s="213"/>
      <c r="J1560" s="213"/>
      <c r="K1560" s="269"/>
      <c r="L1560" s="272">
        <f t="shared" si="146"/>
        <v>1900</v>
      </c>
      <c r="M1560" s="272">
        <f t="shared" si="147"/>
        <v>1</v>
      </c>
      <c r="N1560" s="273"/>
      <c r="O1560" s="61">
        <f t="shared" si="148"/>
        <v>1900</v>
      </c>
      <c r="P1560" s="61">
        <f t="shared" si="149"/>
        <v>1</v>
      </c>
      <c r="R1560" s="272"/>
      <c r="S1560" s="272"/>
      <c r="T1560" s="273" t="str">
        <f t="shared" si="150"/>
        <v>-</v>
      </c>
    </row>
    <row r="1561" spans="1:20">
      <c r="A1561" s="269"/>
      <c r="B1561" s="277"/>
      <c r="C1561" s="55"/>
      <c r="D1561" s="55"/>
      <c r="E1561" s="55"/>
      <c r="F1561" s="55"/>
      <c r="G1561" s="275"/>
      <c r="H1561" s="276"/>
      <c r="I1561" s="213"/>
      <c r="J1561" s="213"/>
      <c r="K1561" s="269"/>
      <c r="L1561" s="272">
        <f t="shared" si="146"/>
        <v>1900</v>
      </c>
      <c r="M1561" s="272">
        <f t="shared" si="147"/>
        <v>1</v>
      </c>
      <c r="N1561" s="273"/>
      <c r="O1561" s="61">
        <f t="shared" si="148"/>
        <v>1900</v>
      </c>
      <c r="P1561" s="61">
        <f t="shared" si="149"/>
        <v>1</v>
      </c>
      <c r="R1561" s="272"/>
      <c r="S1561" s="272"/>
      <c r="T1561" s="273" t="str">
        <f t="shared" si="150"/>
        <v>-</v>
      </c>
    </row>
    <row r="1562" spans="1:20">
      <c r="A1562" s="269"/>
      <c r="B1562" s="277"/>
      <c r="C1562" s="55"/>
      <c r="D1562" s="55"/>
      <c r="E1562" s="55"/>
      <c r="F1562" s="55"/>
      <c r="G1562" s="275"/>
      <c r="H1562" s="276"/>
      <c r="I1562" s="213"/>
      <c r="J1562" s="213"/>
      <c r="K1562" s="269"/>
      <c r="L1562" s="272">
        <f t="shared" si="146"/>
        <v>1900</v>
      </c>
      <c r="M1562" s="272">
        <f t="shared" si="147"/>
        <v>1</v>
      </c>
      <c r="N1562" s="273"/>
      <c r="O1562" s="61">
        <f t="shared" si="148"/>
        <v>1900</v>
      </c>
      <c r="P1562" s="61">
        <f t="shared" si="149"/>
        <v>1</v>
      </c>
      <c r="R1562" s="272"/>
      <c r="S1562" s="272"/>
      <c r="T1562" s="273" t="str">
        <f t="shared" si="150"/>
        <v>-</v>
      </c>
    </row>
    <row r="1563" spans="1:20">
      <c r="A1563" s="269"/>
      <c r="B1563" s="277"/>
      <c r="C1563" s="55"/>
      <c r="D1563" s="55"/>
      <c r="E1563" s="55"/>
      <c r="F1563" s="55"/>
      <c r="G1563" s="275"/>
      <c r="H1563" s="276"/>
      <c r="I1563" s="213"/>
      <c r="J1563" s="213"/>
      <c r="K1563" s="269"/>
      <c r="L1563" s="272">
        <f t="shared" si="146"/>
        <v>1900</v>
      </c>
      <c r="M1563" s="272">
        <f t="shared" si="147"/>
        <v>1</v>
      </c>
      <c r="N1563" s="273"/>
      <c r="O1563" s="61">
        <f t="shared" si="148"/>
        <v>1900</v>
      </c>
      <c r="P1563" s="61">
        <f t="shared" si="149"/>
        <v>1</v>
      </c>
      <c r="R1563" s="272"/>
      <c r="S1563" s="272"/>
      <c r="T1563" s="273" t="str">
        <f t="shared" si="150"/>
        <v>-</v>
      </c>
    </row>
    <row r="1564" spans="1:20">
      <c r="A1564" s="269"/>
      <c r="B1564" s="277"/>
      <c r="C1564" s="55"/>
      <c r="D1564" s="55"/>
      <c r="E1564" s="55"/>
      <c r="F1564" s="55"/>
      <c r="G1564" s="275"/>
      <c r="H1564" s="276"/>
      <c r="I1564" s="213"/>
      <c r="J1564" s="213"/>
      <c r="K1564" s="269"/>
      <c r="L1564" s="272">
        <f t="shared" si="146"/>
        <v>1900</v>
      </c>
      <c r="M1564" s="272">
        <f t="shared" si="147"/>
        <v>1</v>
      </c>
      <c r="N1564" s="273"/>
      <c r="O1564" s="61">
        <f t="shared" si="148"/>
        <v>1900</v>
      </c>
      <c r="P1564" s="61">
        <f t="shared" si="149"/>
        <v>1</v>
      </c>
      <c r="R1564" s="272"/>
      <c r="S1564" s="272"/>
      <c r="T1564" s="273" t="str">
        <f t="shared" si="150"/>
        <v>-</v>
      </c>
    </row>
    <row r="1565" spans="1:20">
      <c r="A1565" s="269"/>
      <c r="B1565" s="277"/>
      <c r="C1565" s="55"/>
      <c r="D1565" s="55"/>
      <c r="E1565" s="55"/>
      <c r="F1565" s="55"/>
      <c r="G1565" s="275"/>
      <c r="H1565" s="276"/>
      <c r="I1565" s="213"/>
      <c r="J1565" s="213"/>
      <c r="K1565" s="269"/>
      <c r="L1565" s="272">
        <f t="shared" si="146"/>
        <v>1900</v>
      </c>
      <c r="M1565" s="272">
        <f t="shared" si="147"/>
        <v>1</v>
      </c>
      <c r="N1565" s="273"/>
      <c r="O1565" s="61">
        <f t="shared" si="148"/>
        <v>1900</v>
      </c>
      <c r="P1565" s="61">
        <f t="shared" si="149"/>
        <v>1</v>
      </c>
      <c r="R1565" s="272"/>
      <c r="S1565" s="272"/>
      <c r="T1565" s="273" t="str">
        <f t="shared" si="150"/>
        <v>-</v>
      </c>
    </row>
    <row r="1566" spans="1:20">
      <c r="A1566" s="269"/>
      <c r="B1566" s="277"/>
      <c r="C1566" s="55"/>
      <c r="D1566" s="55"/>
      <c r="E1566" s="55"/>
      <c r="F1566" s="55"/>
      <c r="G1566" s="275"/>
      <c r="H1566" s="276"/>
      <c r="I1566" s="213"/>
      <c r="J1566" s="213"/>
      <c r="K1566" s="269"/>
      <c r="L1566" s="272">
        <f t="shared" si="146"/>
        <v>1900</v>
      </c>
      <c r="M1566" s="272">
        <f t="shared" si="147"/>
        <v>1</v>
      </c>
      <c r="N1566" s="273"/>
      <c r="O1566" s="61">
        <f t="shared" si="148"/>
        <v>1900</v>
      </c>
      <c r="P1566" s="61">
        <f t="shared" si="149"/>
        <v>1</v>
      </c>
      <c r="R1566" s="272"/>
      <c r="S1566" s="272"/>
      <c r="T1566" s="273" t="str">
        <f t="shared" si="150"/>
        <v>-</v>
      </c>
    </row>
    <row r="1567" spans="1:20">
      <c r="A1567" s="269"/>
      <c r="B1567" s="277"/>
      <c r="C1567" s="55"/>
      <c r="D1567" s="55"/>
      <c r="E1567" s="55"/>
      <c r="F1567" s="55"/>
      <c r="G1567" s="275"/>
      <c r="H1567" s="276"/>
      <c r="I1567" s="213"/>
      <c r="J1567" s="213"/>
      <c r="K1567" s="269"/>
      <c r="L1567" s="272">
        <f t="shared" si="146"/>
        <v>1900</v>
      </c>
      <c r="M1567" s="272">
        <f t="shared" si="147"/>
        <v>1</v>
      </c>
      <c r="N1567" s="273"/>
      <c r="O1567" s="61">
        <f t="shared" si="148"/>
        <v>1900</v>
      </c>
      <c r="P1567" s="61">
        <f t="shared" si="149"/>
        <v>1</v>
      </c>
      <c r="R1567" s="272"/>
      <c r="S1567" s="272"/>
      <c r="T1567" s="273" t="str">
        <f t="shared" si="150"/>
        <v>-</v>
      </c>
    </row>
    <row r="1568" spans="1:20">
      <c r="A1568" s="269"/>
      <c r="B1568" s="277"/>
      <c r="C1568" s="55"/>
      <c r="D1568" s="55"/>
      <c r="E1568" s="55"/>
      <c r="F1568" s="55"/>
      <c r="G1568" s="275"/>
      <c r="H1568" s="276"/>
      <c r="I1568" s="213"/>
      <c r="J1568" s="213"/>
      <c r="K1568" s="269"/>
      <c r="L1568" s="272">
        <f t="shared" si="146"/>
        <v>1900</v>
      </c>
      <c r="M1568" s="272">
        <f t="shared" si="147"/>
        <v>1</v>
      </c>
      <c r="N1568" s="273"/>
      <c r="O1568" s="61">
        <f t="shared" si="148"/>
        <v>1900</v>
      </c>
      <c r="P1568" s="61">
        <f t="shared" si="149"/>
        <v>1</v>
      </c>
      <c r="R1568" s="272"/>
      <c r="S1568" s="272"/>
      <c r="T1568" s="273" t="str">
        <f t="shared" si="150"/>
        <v>-</v>
      </c>
    </row>
    <row r="1569" spans="1:20">
      <c r="A1569" s="269"/>
      <c r="B1569" s="277"/>
      <c r="C1569" s="55"/>
      <c r="D1569" s="55"/>
      <c r="E1569" s="55"/>
      <c r="F1569" s="55"/>
      <c r="G1569" s="275"/>
      <c r="H1569" s="276"/>
      <c r="I1569" s="213"/>
      <c r="J1569" s="213"/>
      <c r="K1569" s="269"/>
      <c r="L1569" s="272">
        <f t="shared" si="146"/>
        <v>1900</v>
      </c>
      <c r="M1569" s="272">
        <f t="shared" si="147"/>
        <v>1</v>
      </c>
      <c r="N1569" s="273"/>
      <c r="O1569" s="61">
        <f t="shared" si="148"/>
        <v>1900</v>
      </c>
      <c r="P1569" s="61">
        <f t="shared" si="149"/>
        <v>1</v>
      </c>
      <c r="R1569" s="272"/>
      <c r="S1569" s="272"/>
      <c r="T1569" s="273" t="str">
        <f t="shared" si="150"/>
        <v>-</v>
      </c>
    </row>
    <row r="1570" spans="1:20">
      <c r="A1570" s="269"/>
      <c r="B1570" s="277"/>
      <c r="C1570" s="55"/>
      <c r="D1570" s="55"/>
      <c r="E1570" s="55"/>
      <c r="F1570" s="55"/>
      <c r="G1570" s="275"/>
      <c r="H1570" s="276"/>
      <c r="I1570" s="213"/>
      <c r="J1570" s="213"/>
      <c r="K1570" s="269"/>
      <c r="L1570" s="272">
        <f t="shared" si="146"/>
        <v>1900</v>
      </c>
      <c r="M1570" s="272">
        <f t="shared" si="147"/>
        <v>1</v>
      </c>
      <c r="N1570" s="273"/>
      <c r="O1570" s="61">
        <f t="shared" si="148"/>
        <v>1900</v>
      </c>
      <c r="P1570" s="61">
        <f t="shared" si="149"/>
        <v>1</v>
      </c>
      <c r="R1570" s="272"/>
      <c r="S1570" s="272"/>
      <c r="T1570" s="273" t="str">
        <f t="shared" si="150"/>
        <v>-</v>
      </c>
    </row>
    <row r="1571" spans="1:20">
      <c r="A1571" s="269"/>
      <c r="B1571" s="277"/>
      <c r="C1571" s="55"/>
      <c r="D1571" s="55"/>
      <c r="E1571" s="55"/>
      <c r="F1571" s="55"/>
      <c r="G1571" s="275"/>
      <c r="H1571" s="276"/>
      <c r="I1571" s="213"/>
      <c r="J1571" s="213"/>
      <c r="K1571" s="269"/>
      <c r="L1571" s="272">
        <f t="shared" si="146"/>
        <v>1900</v>
      </c>
      <c r="M1571" s="272">
        <f t="shared" si="147"/>
        <v>1</v>
      </c>
      <c r="N1571" s="273"/>
      <c r="O1571" s="61">
        <f t="shared" si="148"/>
        <v>1900</v>
      </c>
      <c r="P1571" s="61">
        <f t="shared" si="149"/>
        <v>1</v>
      </c>
      <c r="R1571" s="272"/>
      <c r="S1571" s="272"/>
      <c r="T1571" s="273" t="str">
        <f t="shared" si="150"/>
        <v>-</v>
      </c>
    </row>
    <row r="1572" spans="1:20">
      <c r="A1572" s="269"/>
      <c r="B1572" s="277"/>
      <c r="C1572" s="55"/>
      <c r="D1572" s="55"/>
      <c r="E1572" s="55"/>
      <c r="F1572" s="55"/>
      <c r="G1572" s="275"/>
      <c r="H1572" s="276"/>
      <c r="I1572" s="213"/>
      <c r="J1572" s="213"/>
      <c r="K1572" s="269"/>
      <c r="L1572" s="272">
        <f t="shared" si="146"/>
        <v>1900</v>
      </c>
      <c r="M1572" s="272">
        <f t="shared" si="147"/>
        <v>1</v>
      </c>
      <c r="N1572" s="273"/>
      <c r="O1572" s="61">
        <f t="shared" si="148"/>
        <v>1900</v>
      </c>
      <c r="P1572" s="61">
        <f t="shared" si="149"/>
        <v>1</v>
      </c>
      <c r="R1572" s="272"/>
      <c r="S1572" s="272"/>
      <c r="T1572" s="273" t="str">
        <f t="shared" si="150"/>
        <v>-</v>
      </c>
    </row>
    <row r="1573" spans="1:20">
      <c r="A1573" s="269"/>
      <c r="B1573" s="277"/>
      <c r="C1573" s="55"/>
      <c r="D1573" s="55"/>
      <c r="E1573" s="55"/>
      <c r="F1573" s="55"/>
      <c r="G1573" s="275"/>
      <c r="H1573" s="276"/>
      <c r="I1573" s="213"/>
      <c r="J1573" s="213"/>
      <c r="K1573" s="269"/>
      <c r="L1573" s="272">
        <f t="shared" si="146"/>
        <v>1900</v>
      </c>
      <c r="M1573" s="272">
        <f t="shared" si="147"/>
        <v>1</v>
      </c>
      <c r="N1573" s="273"/>
      <c r="O1573" s="61">
        <f t="shared" si="148"/>
        <v>1900</v>
      </c>
      <c r="P1573" s="61">
        <f t="shared" si="149"/>
        <v>1</v>
      </c>
      <c r="R1573" s="272"/>
      <c r="S1573" s="272"/>
      <c r="T1573" s="273" t="str">
        <f t="shared" si="150"/>
        <v>-</v>
      </c>
    </row>
    <row r="1574" spans="1:20">
      <c r="A1574" s="269"/>
      <c r="B1574" s="277"/>
      <c r="C1574" s="55"/>
      <c r="D1574" s="55"/>
      <c r="E1574" s="55"/>
      <c r="F1574" s="55"/>
      <c r="G1574" s="275"/>
      <c r="H1574" s="276"/>
      <c r="I1574" s="213"/>
      <c r="J1574" s="213"/>
      <c r="K1574" s="269"/>
      <c r="L1574" s="272">
        <f t="shared" si="146"/>
        <v>1900</v>
      </c>
      <c r="M1574" s="272">
        <f t="shared" si="147"/>
        <v>1</v>
      </c>
      <c r="N1574" s="273"/>
      <c r="O1574" s="61">
        <f t="shared" si="148"/>
        <v>1900</v>
      </c>
      <c r="P1574" s="61">
        <f t="shared" si="149"/>
        <v>1</v>
      </c>
      <c r="R1574" s="272"/>
      <c r="S1574" s="272"/>
      <c r="T1574" s="273" t="str">
        <f t="shared" si="150"/>
        <v>-</v>
      </c>
    </row>
    <row r="1575" spans="1:20">
      <c r="A1575" s="269"/>
      <c r="B1575" s="277"/>
      <c r="C1575" s="55"/>
      <c r="D1575" s="55"/>
      <c r="E1575" s="55"/>
      <c r="F1575" s="55"/>
      <c r="G1575" s="275"/>
      <c r="H1575" s="276"/>
      <c r="I1575" s="213"/>
      <c r="J1575" s="213"/>
      <c r="K1575" s="269"/>
      <c r="L1575" s="272">
        <f t="shared" si="146"/>
        <v>1900</v>
      </c>
      <c r="M1575" s="272">
        <f t="shared" si="147"/>
        <v>1</v>
      </c>
      <c r="N1575" s="273"/>
      <c r="O1575" s="61">
        <f t="shared" si="148"/>
        <v>1900</v>
      </c>
      <c r="P1575" s="61">
        <f t="shared" si="149"/>
        <v>1</v>
      </c>
      <c r="R1575" s="272"/>
      <c r="S1575" s="272"/>
      <c r="T1575" s="273" t="str">
        <f t="shared" si="150"/>
        <v>-</v>
      </c>
    </row>
    <row r="1576" spans="1:20">
      <c r="A1576" s="269"/>
      <c r="B1576" s="277"/>
      <c r="C1576" s="55"/>
      <c r="D1576" s="55"/>
      <c r="E1576" s="55"/>
      <c r="F1576" s="55"/>
      <c r="G1576" s="275"/>
      <c r="H1576" s="276"/>
      <c r="I1576" s="213"/>
      <c r="J1576" s="213"/>
      <c r="K1576" s="269"/>
      <c r="L1576" s="272">
        <f t="shared" si="146"/>
        <v>1900</v>
      </c>
      <c r="M1576" s="272">
        <f t="shared" si="147"/>
        <v>1</v>
      </c>
      <c r="N1576" s="273"/>
      <c r="O1576" s="61">
        <f t="shared" si="148"/>
        <v>1900</v>
      </c>
      <c r="P1576" s="61">
        <f t="shared" si="149"/>
        <v>1</v>
      </c>
      <c r="R1576" s="272"/>
      <c r="S1576" s="272"/>
      <c r="T1576" s="273" t="str">
        <f t="shared" si="150"/>
        <v>-</v>
      </c>
    </row>
    <row r="1577" spans="1:20">
      <c r="A1577" s="269"/>
      <c r="B1577" s="277"/>
      <c r="C1577" s="55"/>
      <c r="D1577" s="55"/>
      <c r="E1577" s="55"/>
      <c r="F1577" s="55"/>
      <c r="G1577" s="275"/>
      <c r="H1577" s="276"/>
      <c r="I1577" s="213"/>
      <c r="J1577" s="213"/>
      <c r="K1577" s="269"/>
      <c r="L1577" s="272">
        <f t="shared" si="146"/>
        <v>1900</v>
      </c>
      <c r="M1577" s="272">
        <f t="shared" si="147"/>
        <v>1</v>
      </c>
      <c r="N1577" s="273"/>
      <c r="O1577" s="61">
        <f t="shared" si="148"/>
        <v>1900</v>
      </c>
      <c r="P1577" s="61">
        <f t="shared" si="149"/>
        <v>1</v>
      </c>
      <c r="R1577" s="272"/>
      <c r="S1577" s="272"/>
      <c r="T1577" s="273" t="str">
        <f t="shared" si="150"/>
        <v>-</v>
      </c>
    </row>
    <row r="1578" spans="1:20">
      <c r="A1578" s="269"/>
      <c r="B1578" s="277"/>
      <c r="C1578" s="55"/>
      <c r="D1578" s="55"/>
      <c r="E1578" s="55"/>
      <c r="F1578" s="55"/>
      <c r="G1578" s="275"/>
      <c r="H1578" s="276"/>
      <c r="I1578" s="213"/>
      <c r="J1578" s="213"/>
      <c r="K1578" s="269"/>
      <c r="L1578" s="272">
        <f t="shared" si="146"/>
        <v>1900</v>
      </c>
      <c r="M1578" s="272">
        <f t="shared" si="147"/>
        <v>1</v>
      </c>
      <c r="N1578" s="273"/>
      <c r="O1578" s="61">
        <f t="shared" si="148"/>
        <v>1900</v>
      </c>
      <c r="P1578" s="61">
        <f t="shared" si="149"/>
        <v>1</v>
      </c>
      <c r="R1578" s="272"/>
      <c r="S1578" s="272"/>
      <c r="T1578" s="273" t="str">
        <f t="shared" si="150"/>
        <v>-</v>
      </c>
    </row>
    <row r="1579" spans="1:20">
      <c r="A1579" s="269"/>
      <c r="B1579" s="277"/>
      <c r="C1579" s="55"/>
      <c r="D1579" s="55"/>
      <c r="E1579" s="55"/>
      <c r="F1579" s="55"/>
      <c r="G1579" s="275"/>
      <c r="H1579" s="276"/>
      <c r="I1579" s="213"/>
      <c r="J1579" s="213"/>
      <c r="K1579" s="269"/>
      <c r="L1579" s="272">
        <f t="shared" si="146"/>
        <v>1900</v>
      </c>
      <c r="M1579" s="272">
        <f t="shared" si="147"/>
        <v>1</v>
      </c>
      <c r="N1579" s="273"/>
      <c r="O1579" s="61">
        <f t="shared" si="148"/>
        <v>1900</v>
      </c>
      <c r="P1579" s="61">
        <f t="shared" si="149"/>
        <v>1</v>
      </c>
      <c r="R1579" s="272"/>
      <c r="S1579" s="272"/>
      <c r="T1579" s="273" t="str">
        <f t="shared" si="150"/>
        <v>-</v>
      </c>
    </row>
    <row r="1580" spans="1:20">
      <c r="A1580" s="269"/>
      <c r="B1580" s="277"/>
      <c r="C1580" s="55"/>
      <c r="D1580" s="55"/>
      <c r="E1580" s="55"/>
      <c r="F1580" s="55"/>
      <c r="G1580" s="275"/>
      <c r="H1580" s="276"/>
      <c r="I1580" s="213"/>
      <c r="J1580" s="213"/>
      <c r="K1580" s="269"/>
      <c r="L1580" s="272">
        <f t="shared" si="146"/>
        <v>1900</v>
      </c>
      <c r="M1580" s="272">
        <f t="shared" si="147"/>
        <v>1</v>
      </c>
      <c r="N1580" s="273"/>
      <c r="O1580" s="61">
        <f t="shared" si="148"/>
        <v>1900</v>
      </c>
      <c r="P1580" s="61">
        <f t="shared" si="149"/>
        <v>1</v>
      </c>
      <c r="R1580" s="272"/>
      <c r="S1580" s="272"/>
      <c r="T1580" s="273" t="str">
        <f t="shared" si="150"/>
        <v>-</v>
      </c>
    </row>
    <row r="1581" spans="1:20">
      <c r="A1581" s="269"/>
      <c r="B1581" s="277"/>
      <c r="C1581" s="55"/>
      <c r="D1581" s="55"/>
      <c r="E1581" s="55"/>
      <c r="F1581" s="55"/>
      <c r="G1581" s="275"/>
      <c r="H1581" s="276"/>
      <c r="I1581" s="213"/>
      <c r="J1581" s="213"/>
      <c r="K1581" s="269"/>
      <c r="L1581" s="272">
        <f t="shared" si="146"/>
        <v>1900</v>
      </c>
      <c r="M1581" s="272">
        <f t="shared" si="147"/>
        <v>1</v>
      </c>
      <c r="N1581" s="273"/>
      <c r="O1581" s="61">
        <f t="shared" si="148"/>
        <v>1900</v>
      </c>
      <c r="P1581" s="61">
        <f t="shared" si="149"/>
        <v>1</v>
      </c>
      <c r="R1581" s="272"/>
      <c r="S1581" s="272"/>
      <c r="T1581" s="273" t="str">
        <f t="shared" si="150"/>
        <v>-</v>
      </c>
    </row>
    <row r="1582" spans="1:20">
      <c r="A1582" s="269"/>
      <c r="B1582" s="277"/>
      <c r="C1582" s="55"/>
      <c r="D1582" s="55"/>
      <c r="E1582" s="55"/>
      <c r="F1582" s="55"/>
      <c r="G1582" s="275"/>
      <c r="H1582" s="276"/>
      <c r="I1582" s="213"/>
      <c r="J1582" s="213"/>
      <c r="K1582" s="269"/>
      <c r="L1582" s="272">
        <f t="shared" si="146"/>
        <v>1900</v>
      </c>
      <c r="M1582" s="272">
        <f t="shared" si="147"/>
        <v>1</v>
      </c>
      <c r="N1582" s="273"/>
      <c r="O1582" s="61">
        <f t="shared" si="148"/>
        <v>1900</v>
      </c>
      <c r="P1582" s="61">
        <f t="shared" si="149"/>
        <v>1</v>
      </c>
      <c r="R1582" s="272"/>
      <c r="S1582" s="272"/>
      <c r="T1582" s="273" t="str">
        <f t="shared" si="150"/>
        <v>-</v>
      </c>
    </row>
    <row r="1583" spans="1:20">
      <c r="A1583" s="269"/>
      <c r="B1583" s="277"/>
      <c r="C1583" s="55"/>
      <c r="D1583" s="55"/>
      <c r="E1583" s="55"/>
      <c r="F1583" s="55"/>
      <c r="G1583" s="275"/>
      <c r="H1583" s="276"/>
      <c r="I1583" s="213"/>
      <c r="J1583" s="213"/>
      <c r="K1583" s="269"/>
      <c r="L1583" s="272">
        <f t="shared" si="146"/>
        <v>1900</v>
      </c>
      <c r="M1583" s="272">
        <f t="shared" si="147"/>
        <v>1</v>
      </c>
      <c r="N1583" s="273"/>
      <c r="O1583" s="61">
        <f t="shared" si="148"/>
        <v>1900</v>
      </c>
      <c r="P1583" s="61">
        <f t="shared" si="149"/>
        <v>1</v>
      </c>
      <c r="R1583" s="272"/>
      <c r="S1583" s="272"/>
      <c r="T1583" s="273" t="str">
        <f t="shared" si="150"/>
        <v>-</v>
      </c>
    </row>
    <row r="1584" spans="1:20">
      <c r="A1584" s="269"/>
      <c r="B1584" s="277"/>
      <c r="C1584" s="55"/>
      <c r="D1584" s="55"/>
      <c r="E1584" s="55"/>
      <c r="F1584" s="55"/>
      <c r="G1584" s="275"/>
      <c r="H1584" s="276"/>
      <c r="I1584" s="213"/>
      <c r="J1584" s="213"/>
      <c r="K1584" s="269"/>
      <c r="L1584" s="272">
        <f t="shared" si="146"/>
        <v>1900</v>
      </c>
      <c r="M1584" s="272">
        <f t="shared" si="147"/>
        <v>1</v>
      </c>
      <c r="N1584" s="273"/>
      <c r="O1584" s="61">
        <f t="shared" si="148"/>
        <v>1900</v>
      </c>
      <c r="P1584" s="61">
        <f t="shared" si="149"/>
        <v>1</v>
      </c>
      <c r="R1584" s="272"/>
      <c r="S1584" s="272"/>
      <c r="T1584" s="273" t="str">
        <f t="shared" si="150"/>
        <v>-</v>
      </c>
    </row>
    <row r="1585" spans="1:20">
      <c r="A1585" s="269"/>
      <c r="B1585" s="277"/>
      <c r="C1585" s="55"/>
      <c r="D1585" s="55"/>
      <c r="E1585" s="55"/>
      <c r="F1585" s="55"/>
      <c r="G1585" s="275"/>
      <c r="H1585" s="276"/>
      <c r="I1585" s="213"/>
      <c r="J1585" s="213"/>
      <c r="K1585" s="269"/>
      <c r="L1585" s="272">
        <f t="shared" si="146"/>
        <v>1900</v>
      </c>
      <c r="M1585" s="272">
        <f t="shared" si="147"/>
        <v>1</v>
      </c>
      <c r="N1585" s="273"/>
      <c r="O1585" s="61">
        <f t="shared" si="148"/>
        <v>1900</v>
      </c>
      <c r="P1585" s="61">
        <f t="shared" si="149"/>
        <v>1</v>
      </c>
      <c r="R1585" s="272"/>
      <c r="S1585" s="272"/>
      <c r="T1585" s="273" t="str">
        <f t="shared" si="150"/>
        <v>-</v>
      </c>
    </row>
    <row r="1586" spans="1:20">
      <c r="A1586" s="269"/>
      <c r="B1586" s="277"/>
      <c r="C1586" s="55"/>
      <c r="D1586" s="55"/>
      <c r="E1586" s="55"/>
      <c r="F1586" s="55"/>
      <c r="G1586" s="275"/>
      <c r="H1586" s="276"/>
      <c r="I1586" s="213"/>
      <c r="J1586" s="213"/>
      <c r="K1586" s="269"/>
      <c r="L1586" s="272">
        <f t="shared" si="146"/>
        <v>1900</v>
      </c>
      <c r="M1586" s="272">
        <f t="shared" si="147"/>
        <v>1</v>
      </c>
      <c r="N1586" s="273"/>
      <c r="O1586" s="61">
        <f t="shared" si="148"/>
        <v>1900</v>
      </c>
      <c r="P1586" s="61">
        <f t="shared" si="149"/>
        <v>1</v>
      </c>
      <c r="R1586" s="272"/>
      <c r="S1586" s="272"/>
      <c r="T1586" s="273" t="str">
        <f t="shared" si="150"/>
        <v>-</v>
      </c>
    </row>
    <row r="1587" spans="1:20">
      <c r="A1587" s="269"/>
      <c r="B1587" s="277"/>
      <c r="C1587" s="55"/>
      <c r="D1587" s="55"/>
      <c r="E1587" s="55"/>
      <c r="F1587" s="55"/>
      <c r="G1587" s="275"/>
      <c r="H1587" s="276"/>
      <c r="I1587" s="213"/>
      <c r="J1587" s="213"/>
      <c r="K1587" s="269"/>
      <c r="L1587" s="272">
        <f t="shared" si="146"/>
        <v>1900</v>
      </c>
      <c r="M1587" s="272">
        <f t="shared" si="147"/>
        <v>1</v>
      </c>
      <c r="N1587" s="273"/>
      <c r="O1587" s="61">
        <f t="shared" si="148"/>
        <v>1900</v>
      </c>
      <c r="P1587" s="61">
        <f t="shared" si="149"/>
        <v>1</v>
      </c>
      <c r="R1587" s="272"/>
      <c r="S1587" s="272"/>
      <c r="T1587" s="273" t="str">
        <f t="shared" si="150"/>
        <v>-</v>
      </c>
    </row>
    <row r="1588" spans="1:20">
      <c r="A1588" s="269"/>
      <c r="B1588" s="277"/>
      <c r="C1588" s="55"/>
      <c r="D1588" s="55"/>
      <c r="E1588" s="55"/>
      <c r="F1588" s="55"/>
      <c r="G1588" s="275"/>
      <c r="H1588" s="276"/>
      <c r="I1588" s="213"/>
      <c r="J1588" s="213"/>
      <c r="K1588" s="269"/>
      <c r="L1588" s="272">
        <f t="shared" si="146"/>
        <v>1900</v>
      </c>
      <c r="M1588" s="272">
        <f t="shared" si="147"/>
        <v>1</v>
      </c>
      <c r="N1588" s="273"/>
      <c r="O1588" s="61">
        <f t="shared" si="148"/>
        <v>1900</v>
      </c>
      <c r="P1588" s="61">
        <f t="shared" si="149"/>
        <v>1</v>
      </c>
      <c r="R1588" s="272"/>
      <c r="S1588" s="272"/>
      <c r="T1588" s="273" t="str">
        <f t="shared" si="150"/>
        <v>-</v>
      </c>
    </row>
    <row r="1589" spans="1:20">
      <c r="A1589" s="269"/>
      <c r="B1589" s="277"/>
      <c r="C1589" s="55"/>
      <c r="D1589" s="55"/>
      <c r="E1589" s="55"/>
      <c r="F1589" s="55"/>
      <c r="G1589" s="275"/>
      <c r="H1589" s="276"/>
      <c r="I1589" s="213"/>
      <c r="J1589" s="213"/>
      <c r="K1589" s="269"/>
      <c r="L1589" s="272">
        <f t="shared" si="146"/>
        <v>1900</v>
      </c>
      <c r="M1589" s="272">
        <f t="shared" si="147"/>
        <v>1</v>
      </c>
      <c r="N1589" s="273"/>
      <c r="O1589" s="61">
        <f t="shared" si="148"/>
        <v>1900</v>
      </c>
      <c r="P1589" s="61">
        <f t="shared" si="149"/>
        <v>1</v>
      </c>
      <c r="R1589" s="272"/>
      <c r="S1589" s="272"/>
      <c r="T1589" s="273" t="str">
        <f t="shared" si="150"/>
        <v>-</v>
      </c>
    </row>
    <row r="1590" spans="1:20">
      <c r="A1590" s="269"/>
      <c r="B1590" s="277"/>
      <c r="C1590" s="55"/>
      <c r="D1590" s="55"/>
      <c r="E1590" s="55"/>
      <c r="F1590" s="55"/>
      <c r="G1590" s="275"/>
      <c r="H1590" s="276"/>
      <c r="I1590" s="213"/>
      <c r="J1590" s="213"/>
      <c r="K1590" s="269"/>
      <c r="L1590" s="272">
        <f t="shared" si="146"/>
        <v>1900</v>
      </c>
      <c r="M1590" s="272">
        <f t="shared" si="147"/>
        <v>1</v>
      </c>
      <c r="N1590" s="273"/>
      <c r="O1590" s="61">
        <f t="shared" si="148"/>
        <v>1900</v>
      </c>
      <c r="P1590" s="61">
        <f t="shared" si="149"/>
        <v>1</v>
      </c>
      <c r="R1590" s="272"/>
      <c r="S1590" s="272"/>
      <c r="T1590" s="273" t="str">
        <f t="shared" si="150"/>
        <v>-</v>
      </c>
    </row>
    <row r="1591" spans="1:20">
      <c r="A1591" s="269"/>
      <c r="B1591" s="277"/>
      <c r="C1591" s="55"/>
      <c r="D1591" s="55"/>
      <c r="E1591" s="55"/>
      <c r="F1591" s="55"/>
      <c r="G1591" s="275"/>
      <c r="H1591" s="276"/>
      <c r="I1591" s="213"/>
      <c r="J1591" s="213"/>
      <c r="K1591" s="269"/>
      <c r="L1591" s="272">
        <f t="shared" si="146"/>
        <v>1900</v>
      </c>
      <c r="M1591" s="272">
        <f t="shared" si="147"/>
        <v>1</v>
      </c>
      <c r="N1591" s="273"/>
      <c r="O1591" s="61">
        <f t="shared" si="148"/>
        <v>1900</v>
      </c>
      <c r="P1591" s="61">
        <f t="shared" si="149"/>
        <v>1</v>
      </c>
      <c r="R1591" s="272"/>
      <c r="S1591" s="272"/>
      <c r="T1591" s="273" t="str">
        <f t="shared" si="150"/>
        <v>-</v>
      </c>
    </row>
    <row r="1592" spans="1:20">
      <c r="A1592" s="269"/>
      <c r="B1592" s="277"/>
      <c r="C1592" s="55"/>
      <c r="D1592" s="55"/>
      <c r="E1592" s="55"/>
      <c r="F1592" s="55"/>
      <c r="G1592" s="275"/>
      <c r="H1592" s="276"/>
      <c r="I1592" s="213"/>
      <c r="J1592" s="213"/>
      <c r="K1592" s="269"/>
      <c r="L1592" s="272">
        <f t="shared" si="146"/>
        <v>1900</v>
      </c>
      <c r="M1592" s="272">
        <f t="shared" si="147"/>
        <v>1</v>
      </c>
      <c r="N1592" s="273"/>
      <c r="O1592" s="61">
        <f t="shared" si="148"/>
        <v>1900</v>
      </c>
      <c r="P1592" s="61">
        <f t="shared" si="149"/>
        <v>1</v>
      </c>
      <c r="R1592" s="272"/>
      <c r="S1592" s="272"/>
      <c r="T1592" s="273" t="str">
        <f t="shared" si="150"/>
        <v>-</v>
      </c>
    </row>
    <row r="1593" spans="1:20">
      <c r="A1593" s="269"/>
      <c r="B1593" s="277"/>
      <c r="C1593" s="55"/>
      <c r="D1593" s="55"/>
      <c r="E1593" s="55"/>
      <c r="F1593" s="55"/>
      <c r="G1593" s="275"/>
      <c r="H1593" s="276"/>
      <c r="I1593" s="213"/>
      <c r="J1593" s="213"/>
      <c r="K1593" s="269"/>
      <c r="L1593" s="272">
        <f t="shared" si="146"/>
        <v>1900</v>
      </c>
      <c r="M1593" s="272">
        <f t="shared" si="147"/>
        <v>1</v>
      </c>
      <c r="N1593" s="273"/>
      <c r="O1593" s="61">
        <f t="shared" si="148"/>
        <v>1900</v>
      </c>
      <c r="P1593" s="61">
        <f t="shared" si="149"/>
        <v>1</v>
      </c>
      <c r="R1593" s="272"/>
      <c r="S1593" s="272"/>
      <c r="T1593" s="273" t="str">
        <f t="shared" si="150"/>
        <v>-</v>
      </c>
    </row>
    <row r="1594" spans="1:20">
      <c r="A1594" s="269"/>
      <c r="B1594" s="277"/>
      <c r="C1594" s="55"/>
      <c r="D1594" s="55"/>
      <c r="E1594" s="55"/>
      <c r="F1594" s="55"/>
      <c r="G1594" s="275"/>
      <c r="H1594" s="276"/>
      <c r="I1594" s="213"/>
      <c r="J1594" s="213"/>
      <c r="K1594" s="269"/>
      <c r="L1594" s="272">
        <f t="shared" si="146"/>
        <v>1900</v>
      </c>
      <c r="M1594" s="272">
        <f t="shared" si="147"/>
        <v>1</v>
      </c>
      <c r="N1594" s="273"/>
      <c r="O1594" s="61">
        <f t="shared" si="148"/>
        <v>1900</v>
      </c>
      <c r="P1594" s="61">
        <f t="shared" si="149"/>
        <v>1</v>
      </c>
      <c r="R1594" s="272"/>
      <c r="S1594" s="272"/>
      <c r="T1594" s="273" t="str">
        <f t="shared" si="150"/>
        <v>-</v>
      </c>
    </row>
    <row r="1595" spans="1:20">
      <c r="A1595" s="269"/>
      <c r="B1595" s="277"/>
      <c r="C1595" s="55"/>
      <c r="D1595" s="55"/>
      <c r="E1595" s="55"/>
      <c r="F1595" s="55"/>
      <c r="G1595" s="275"/>
      <c r="H1595" s="276"/>
      <c r="I1595" s="213"/>
      <c r="J1595" s="213"/>
      <c r="K1595" s="269"/>
      <c r="L1595" s="272">
        <f t="shared" si="146"/>
        <v>1900</v>
      </c>
      <c r="M1595" s="272">
        <f t="shared" si="147"/>
        <v>1</v>
      </c>
      <c r="N1595" s="273"/>
      <c r="O1595" s="61">
        <f t="shared" si="148"/>
        <v>1900</v>
      </c>
      <c r="P1595" s="61">
        <f t="shared" si="149"/>
        <v>1</v>
      </c>
      <c r="R1595" s="272"/>
      <c r="S1595" s="272"/>
      <c r="T1595" s="273" t="str">
        <f t="shared" si="150"/>
        <v>-</v>
      </c>
    </row>
    <row r="1596" spans="1:20">
      <c r="A1596" s="269"/>
      <c r="B1596" s="277"/>
      <c r="C1596" s="55"/>
      <c r="D1596" s="55"/>
      <c r="E1596" s="55"/>
      <c r="F1596" s="55"/>
      <c r="G1596" s="275"/>
      <c r="H1596" s="276"/>
      <c r="I1596" s="213"/>
      <c r="J1596" s="213"/>
      <c r="K1596" s="269"/>
      <c r="L1596" s="272">
        <f t="shared" si="146"/>
        <v>1900</v>
      </c>
      <c r="M1596" s="272">
        <f t="shared" si="147"/>
        <v>1</v>
      </c>
      <c r="N1596" s="273"/>
      <c r="O1596" s="61">
        <f t="shared" si="148"/>
        <v>1900</v>
      </c>
      <c r="P1596" s="61">
        <f t="shared" si="149"/>
        <v>1</v>
      </c>
      <c r="R1596" s="272"/>
      <c r="S1596" s="272"/>
      <c r="T1596" s="273" t="str">
        <f t="shared" si="150"/>
        <v>-</v>
      </c>
    </row>
    <row r="1597" spans="1:20">
      <c r="A1597" s="269"/>
      <c r="B1597" s="277"/>
      <c r="C1597" s="55"/>
      <c r="D1597" s="55"/>
      <c r="E1597" s="55"/>
      <c r="F1597" s="55"/>
      <c r="G1597" s="275"/>
      <c r="H1597" s="276"/>
      <c r="I1597" s="213"/>
      <c r="J1597" s="213"/>
      <c r="K1597" s="269"/>
      <c r="L1597" s="272">
        <f t="shared" si="146"/>
        <v>1900</v>
      </c>
      <c r="M1597" s="272">
        <f t="shared" si="147"/>
        <v>1</v>
      </c>
      <c r="N1597" s="273"/>
      <c r="O1597" s="61">
        <f t="shared" si="148"/>
        <v>1900</v>
      </c>
      <c r="P1597" s="61">
        <f t="shared" si="149"/>
        <v>1</v>
      </c>
      <c r="R1597" s="272"/>
      <c r="S1597" s="272"/>
      <c r="T1597" s="273" t="str">
        <f t="shared" si="150"/>
        <v>-</v>
      </c>
    </row>
    <row r="1598" spans="1:20">
      <c r="A1598" s="269"/>
      <c r="B1598" s="277"/>
      <c r="C1598" s="55"/>
      <c r="D1598" s="55"/>
      <c r="E1598" s="55"/>
      <c r="F1598" s="55"/>
      <c r="G1598" s="275"/>
      <c r="H1598" s="276"/>
      <c r="I1598" s="213"/>
      <c r="J1598" s="213"/>
      <c r="K1598" s="269"/>
      <c r="L1598" s="272">
        <f t="shared" si="146"/>
        <v>1900</v>
      </c>
      <c r="M1598" s="272">
        <f t="shared" si="147"/>
        <v>1</v>
      </c>
      <c r="N1598" s="273"/>
      <c r="O1598" s="61">
        <f t="shared" si="148"/>
        <v>1900</v>
      </c>
      <c r="P1598" s="61">
        <f t="shared" si="149"/>
        <v>1</v>
      </c>
      <c r="R1598" s="272"/>
      <c r="S1598" s="272"/>
      <c r="T1598" s="273" t="str">
        <f t="shared" si="150"/>
        <v>-</v>
      </c>
    </row>
    <row r="1599" spans="1:20">
      <c r="A1599" s="269"/>
      <c r="B1599" s="277"/>
      <c r="C1599" s="55"/>
      <c r="D1599" s="55"/>
      <c r="E1599" s="55"/>
      <c r="F1599" s="55"/>
      <c r="G1599" s="275"/>
      <c r="H1599" s="276"/>
      <c r="I1599" s="213"/>
      <c r="J1599" s="213"/>
      <c r="K1599" s="269"/>
      <c r="L1599" s="272">
        <f t="shared" si="146"/>
        <v>1900</v>
      </c>
      <c r="M1599" s="272">
        <f t="shared" si="147"/>
        <v>1</v>
      </c>
      <c r="N1599" s="273"/>
      <c r="O1599" s="61">
        <f t="shared" si="148"/>
        <v>1900</v>
      </c>
      <c r="P1599" s="61">
        <f t="shared" si="149"/>
        <v>1</v>
      </c>
      <c r="R1599" s="272"/>
      <c r="S1599" s="272"/>
      <c r="T1599" s="273" t="str">
        <f t="shared" si="150"/>
        <v>-</v>
      </c>
    </row>
    <row r="1600" spans="1:20">
      <c r="A1600" s="269"/>
      <c r="B1600" s="277"/>
      <c r="C1600" s="55"/>
      <c r="D1600" s="55"/>
      <c r="E1600" s="55"/>
      <c r="F1600" s="55"/>
      <c r="G1600" s="275"/>
      <c r="H1600" s="276"/>
      <c r="I1600" s="213"/>
      <c r="J1600" s="213"/>
      <c r="K1600" s="269"/>
      <c r="L1600" s="272">
        <f t="shared" si="146"/>
        <v>1900</v>
      </c>
      <c r="M1600" s="272">
        <f t="shared" si="147"/>
        <v>1</v>
      </c>
      <c r="N1600" s="273"/>
      <c r="O1600" s="61">
        <f t="shared" si="148"/>
        <v>1900</v>
      </c>
      <c r="P1600" s="61">
        <f t="shared" si="149"/>
        <v>1</v>
      </c>
      <c r="R1600" s="272"/>
      <c r="S1600" s="272"/>
      <c r="T1600" s="273" t="str">
        <f t="shared" si="150"/>
        <v>-</v>
      </c>
    </row>
    <row r="1601" spans="1:20">
      <c r="A1601" s="269"/>
      <c r="B1601" s="277"/>
      <c r="C1601" s="55"/>
      <c r="D1601" s="55"/>
      <c r="E1601" s="55"/>
      <c r="F1601" s="55"/>
      <c r="G1601" s="275"/>
      <c r="H1601" s="276"/>
      <c r="I1601" s="213"/>
      <c r="J1601" s="213"/>
      <c r="K1601" s="269"/>
      <c r="L1601" s="272">
        <f t="shared" si="146"/>
        <v>1900</v>
      </c>
      <c r="M1601" s="272">
        <f t="shared" si="147"/>
        <v>1</v>
      </c>
      <c r="N1601" s="273"/>
      <c r="O1601" s="61">
        <f t="shared" si="148"/>
        <v>1900</v>
      </c>
      <c r="P1601" s="61">
        <f t="shared" si="149"/>
        <v>1</v>
      </c>
      <c r="R1601" s="272"/>
      <c r="S1601" s="272"/>
      <c r="T1601" s="273" t="str">
        <f t="shared" si="150"/>
        <v>-</v>
      </c>
    </row>
    <row r="1602" spans="1:20">
      <c r="A1602" s="269"/>
      <c r="B1602" s="277"/>
      <c r="C1602" s="55"/>
      <c r="D1602" s="55"/>
      <c r="E1602" s="55"/>
      <c r="F1602" s="55"/>
      <c r="G1602" s="275"/>
      <c r="H1602" s="276"/>
      <c r="I1602" s="213"/>
      <c r="J1602" s="213"/>
      <c r="K1602" s="269"/>
      <c r="L1602" s="272">
        <f t="shared" si="146"/>
        <v>1900</v>
      </c>
      <c r="M1602" s="272">
        <f t="shared" si="147"/>
        <v>1</v>
      </c>
      <c r="N1602" s="273"/>
      <c r="O1602" s="61">
        <f t="shared" si="148"/>
        <v>1900</v>
      </c>
      <c r="P1602" s="61">
        <f t="shared" si="149"/>
        <v>1</v>
      </c>
      <c r="R1602" s="272"/>
      <c r="S1602" s="272"/>
      <c r="T1602" s="273" t="str">
        <f t="shared" si="150"/>
        <v>-</v>
      </c>
    </row>
    <row r="1603" spans="1:20">
      <c r="A1603" s="269"/>
      <c r="B1603" s="277"/>
      <c r="C1603" s="55"/>
      <c r="D1603" s="55"/>
      <c r="E1603" s="55"/>
      <c r="F1603" s="55"/>
      <c r="G1603" s="275"/>
      <c r="H1603" s="276"/>
      <c r="I1603" s="213"/>
      <c r="J1603" s="213"/>
      <c r="K1603" s="269"/>
      <c r="L1603" s="272">
        <f t="shared" si="146"/>
        <v>1900</v>
      </c>
      <c r="M1603" s="272">
        <f t="shared" si="147"/>
        <v>1</v>
      </c>
      <c r="N1603" s="273"/>
      <c r="O1603" s="61">
        <f t="shared" si="148"/>
        <v>1900</v>
      </c>
      <c r="P1603" s="61">
        <f t="shared" si="149"/>
        <v>1</v>
      </c>
      <c r="R1603" s="272"/>
      <c r="S1603" s="272"/>
      <c r="T1603" s="273" t="str">
        <f t="shared" si="150"/>
        <v>-</v>
      </c>
    </row>
    <row r="1604" spans="1:20">
      <c r="A1604" s="269"/>
      <c r="B1604" s="277"/>
      <c r="C1604" s="55"/>
      <c r="D1604" s="55"/>
      <c r="E1604" s="55"/>
      <c r="F1604" s="55"/>
      <c r="G1604" s="275"/>
      <c r="H1604" s="276"/>
      <c r="I1604" s="213"/>
      <c r="J1604" s="213"/>
      <c r="K1604" s="269"/>
      <c r="L1604" s="272">
        <f t="shared" si="146"/>
        <v>1900</v>
      </c>
      <c r="M1604" s="272">
        <f t="shared" si="147"/>
        <v>1</v>
      </c>
      <c r="N1604" s="273"/>
      <c r="O1604" s="61">
        <f t="shared" si="148"/>
        <v>1900</v>
      </c>
      <c r="P1604" s="61">
        <f t="shared" si="149"/>
        <v>1</v>
      </c>
      <c r="R1604" s="272"/>
      <c r="S1604" s="272"/>
      <c r="T1604" s="273" t="str">
        <f t="shared" si="150"/>
        <v>-</v>
      </c>
    </row>
    <row r="1605" spans="1:20">
      <c r="A1605" s="269"/>
      <c r="B1605" s="277"/>
      <c r="C1605" s="55"/>
      <c r="D1605" s="55"/>
      <c r="E1605" s="55"/>
      <c r="F1605" s="55"/>
      <c r="G1605" s="275"/>
      <c r="H1605" s="276"/>
      <c r="I1605" s="213"/>
      <c r="J1605" s="213"/>
      <c r="K1605" s="269"/>
      <c r="L1605" s="272">
        <f t="shared" si="146"/>
        <v>1900</v>
      </c>
      <c r="M1605" s="272">
        <f t="shared" si="147"/>
        <v>1</v>
      </c>
      <c r="N1605" s="273"/>
      <c r="O1605" s="61">
        <f t="shared" si="148"/>
        <v>1900</v>
      </c>
      <c r="P1605" s="61">
        <f t="shared" si="149"/>
        <v>1</v>
      </c>
      <c r="R1605" s="272"/>
      <c r="S1605" s="272"/>
      <c r="T1605" s="273" t="str">
        <f t="shared" si="150"/>
        <v>-</v>
      </c>
    </row>
    <row r="1606" spans="1:20">
      <c r="A1606" s="269"/>
      <c r="B1606" s="277"/>
      <c r="C1606" s="55"/>
      <c r="D1606" s="55"/>
      <c r="E1606" s="55"/>
      <c r="F1606" s="55"/>
      <c r="G1606" s="275"/>
      <c r="H1606" s="276"/>
      <c r="I1606" s="213"/>
      <c r="J1606" s="213"/>
      <c r="K1606" s="269"/>
      <c r="L1606" s="272">
        <f t="shared" si="146"/>
        <v>1900</v>
      </c>
      <c r="M1606" s="272">
        <f t="shared" si="147"/>
        <v>1</v>
      </c>
      <c r="N1606" s="273"/>
      <c r="O1606" s="61">
        <f t="shared" si="148"/>
        <v>1900</v>
      </c>
      <c r="P1606" s="61">
        <f t="shared" si="149"/>
        <v>1</v>
      </c>
      <c r="R1606" s="272"/>
      <c r="S1606" s="272"/>
      <c r="T1606" s="273" t="str">
        <f t="shared" si="150"/>
        <v>-</v>
      </c>
    </row>
    <row r="1607" spans="1:20">
      <c r="A1607" s="269"/>
      <c r="B1607" s="277"/>
      <c r="C1607" s="55"/>
      <c r="D1607" s="55"/>
      <c r="E1607" s="55"/>
      <c r="F1607" s="55"/>
      <c r="G1607" s="275"/>
      <c r="H1607" s="276"/>
      <c r="I1607" s="213"/>
      <c r="J1607" s="213"/>
      <c r="K1607" s="269"/>
      <c r="L1607" s="272">
        <f t="shared" si="146"/>
        <v>1900</v>
      </c>
      <c r="M1607" s="272">
        <f t="shared" si="147"/>
        <v>1</v>
      </c>
      <c r="N1607" s="273"/>
      <c r="O1607" s="61">
        <f t="shared" si="148"/>
        <v>1900</v>
      </c>
      <c r="P1607" s="61">
        <f t="shared" si="149"/>
        <v>1</v>
      </c>
      <c r="R1607" s="272"/>
      <c r="S1607" s="272"/>
      <c r="T1607" s="273" t="str">
        <f t="shared" si="150"/>
        <v>-</v>
      </c>
    </row>
    <row r="1608" spans="1:20">
      <c r="A1608" s="269"/>
      <c r="B1608" s="277"/>
      <c r="C1608" s="55"/>
      <c r="D1608" s="55"/>
      <c r="E1608" s="55"/>
      <c r="F1608" s="55"/>
      <c r="G1608" s="275"/>
      <c r="H1608" s="276"/>
      <c r="I1608" s="213"/>
      <c r="J1608" s="213"/>
      <c r="K1608" s="269"/>
      <c r="L1608" s="272">
        <f t="shared" si="146"/>
        <v>1900</v>
      </c>
      <c r="M1608" s="272">
        <f t="shared" si="147"/>
        <v>1</v>
      </c>
      <c r="N1608" s="273"/>
      <c r="O1608" s="61">
        <f t="shared" si="148"/>
        <v>1900</v>
      </c>
      <c r="P1608" s="61">
        <f t="shared" si="149"/>
        <v>1</v>
      </c>
      <c r="R1608" s="272"/>
      <c r="S1608" s="272"/>
      <c r="T1608" s="273" t="str">
        <f t="shared" si="150"/>
        <v>-</v>
      </c>
    </row>
    <row r="1609" spans="1:20">
      <c r="A1609" s="269"/>
      <c r="B1609" s="277"/>
      <c r="C1609" s="55"/>
      <c r="D1609" s="55"/>
      <c r="E1609" s="55"/>
      <c r="F1609" s="55"/>
      <c r="G1609" s="275"/>
      <c r="H1609" s="276"/>
      <c r="I1609" s="213"/>
      <c r="J1609" s="213"/>
      <c r="K1609" s="269"/>
      <c r="L1609" s="272">
        <f t="shared" si="146"/>
        <v>1900</v>
      </c>
      <c r="M1609" s="272">
        <f t="shared" si="147"/>
        <v>1</v>
      </c>
      <c r="N1609" s="273"/>
      <c r="O1609" s="61">
        <f t="shared" si="148"/>
        <v>1900</v>
      </c>
      <c r="P1609" s="61">
        <f t="shared" si="149"/>
        <v>1</v>
      </c>
      <c r="R1609" s="272"/>
      <c r="S1609" s="272"/>
      <c r="T1609" s="273" t="str">
        <f t="shared" si="150"/>
        <v>-</v>
      </c>
    </row>
    <row r="1610" spans="1:20">
      <c r="A1610" s="269"/>
      <c r="B1610" s="277"/>
      <c r="C1610" s="55"/>
      <c r="D1610" s="55"/>
      <c r="E1610" s="55"/>
      <c r="F1610" s="55"/>
      <c r="G1610" s="275"/>
      <c r="H1610" s="276"/>
      <c r="I1610" s="213"/>
      <c r="J1610" s="213"/>
      <c r="K1610" s="269"/>
      <c r="L1610" s="272">
        <f t="shared" si="146"/>
        <v>1900</v>
      </c>
      <c r="M1610" s="272">
        <f t="shared" si="147"/>
        <v>1</v>
      </c>
      <c r="N1610" s="273"/>
      <c r="O1610" s="61">
        <f t="shared" si="148"/>
        <v>1900</v>
      </c>
      <c r="P1610" s="61">
        <f t="shared" si="149"/>
        <v>1</v>
      </c>
      <c r="R1610" s="272"/>
      <c r="S1610" s="272"/>
      <c r="T1610" s="273" t="str">
        <f t="shared" si="150"/>
        <v>-</v>
      </c>
    </row>
    <row r="1611" spans="1:20">
      <c r="A1611" s="269"/>
      <c r="B1611" s="277"/>
      <c r="C1611" s="55"/>
      <c r="D1611" s="55"/>
      <c r="E1611" s="55"/>
      <c r="F1611" s="55"/>
      <c r="G1611" s="275"/>
      <c r="H1611" s="276"/>
      <c r="I1611" s="213"/>
      <c r="J1611" s="213"/>
      <c r="K1611" s="269"/>
      <c r="L1611" s="272">
        <f t="shared" si="146"/>
        <v>1900</v>
      </c>
      <c r="M1611" s="272">
        <f t="shared" si="147"/>
        <v>1</v>
      </c>
      <c r="N1611" s="273"/>
      <c r="O1611" s="61">
        <f t="shared" si="148"/>
        <v>1900</v>
      </c>
      <c r="P1611" s="61">
        <f t="shared" si="149"/>
        <v>1</v>
      </c>
      <c r="R1611" s="272"/>
      <c r="S1611" s="272"/>
      <c r="T1611" s="273" t="str">
        <f t="shared" si="150"/>
        <v>-</v>
      </c>
    </row>
    <row r="1612" spans="1:20">
      <c r="A1612" s="269"/>
      <c r="B1612" s="277"/>
      <c r="C1612" s="55"/>
      <c r="D1612" s="55"/>
      <c r="E1612" s="55"/>
      <c r="F1612" s="55"/>
      <c r="G1612" s="275"/>
      <c r="H1612" s="276"/>
      <c r="I1612" s="213"/>
      <c r="J1612" s="213"/>
      <c r="K1612" s="269"/>
      <c r="L1612" s="272">
        <f t="shared" si="146"/>
        <v>1900</v>
      </c>
      <c r="M1612" s="272">
        <f t="shared" si="147"/>
        <v>1</v>
      </c>
      <c r="N1612" s="273"/>
      <c r="O1612" s="61">
        <f t="shared" si="148"/>
        <v>1900</v>
      </c>
      <c r="P1612" s="61">
        <f t="shared" si="149"/>
        <v>1</v>
      </c>
      <c r="R1612" s="272"/>
      <c r="S1612" s="272"/>
      <c r="T1612" s="273" t="str">
        <f t="shared" si="150"/>
        <v>-</v>
      </c>
    </row>
    <row r="1613" spans="1:20">
      <c r="A1613" s="269"/>
      <c r="B1613" s="277"/>
      <c r="C1613" s="55"/>
      <c r="D1613" s="55"/>
      <c r="E1613" s="55"/>
      <c r="F1613" s="55"/>
      <c r="G1613" s="275"/>
      <c r="H1613" s="276"/>
      <c r="I1613" s="213"/>
      <c r="J1613" s="213"/>
      <c r="K1613" s="269"/>
      <c r="L1613" s="272">
        <f t="shared" si="146"/>
        <v>1900</v>
      </c>
      <c r="M1613" s="272">
        <f t="shared" si="147"/>
        <v>1</v>
      </c>
      <c r="N1613" s="273"/>
      <c r="O1613" s="61">
        <f t="shared" si="148"/>
        <v>1900</v>
      </c>
      <c r="P1613" s="61">
        <f t="shared" si="149"/>
        <v>1</v>
      </c>
      <c r="R1613" s="272"/>
      <c r="S1613" s="272"/>
      <c r="T1613" s="273" t="str">
        <f t="shared" si="150"/>
        <v>-</v>
      </c>
    </row>
    <row r="1614" spans="1:20">
      <c r="A1614" s="269"/>
      <c r="B1614" s="277"/>
      <c r="C1614" s="55"/>
      <c r="D1614" s="55"/>
      <c r="E1614" s="55"/>
      <c r="F1614" s="55"/>
      <c r="G1614" s="275"/>
      <c r="H1614" s="276"/>
      <c r="I1614" s="213"/>
      <c r="J1614" s="213"/>
      <c r="K1614" s="269"/>
      <c r="L1614" s="272">
        <f t="shared" si="146"/>
        <v>1900</v>
      </c>
      <c r="M1614" s="272">
        <f t="shared" si="147"/>
        <v>1</v>
      </c>
      <c r="N1614" s="273"/>
      <c r="O1614" s="61">
        <f t="shared" si="148"/>
        <v>1900</v>
      </c>
      <c r="P1614" s="61">
        <f t="shared" si="149"/>
        <v>1</v>
      </c>
      <c r="R1614" s="272"/>
      <c r="S1614" s="272"/>
      <c r="T1614" s="273" t="str">
        <f t="shared" si="150"/>
        <v>-</v>
      </c>
    </row>
    <row r="1615" spans="1:20">
      <c r="A1615" s="269"/>
      <c r="B1615" s="277"/>
      <c r="C1615" s="55"/>
      <c r="D1615" s="55"/>
      <c r="E1615" s="55"/>
      <c r="F1615" s="55"/>
      <c r="G1615" s="275"/>
      <c r="H1615" s="276"/>
      <c r="I1615" s="213"/>
      <c r="J1615" s="213"/>
      <c r="K1615" s="269"/>
      <c r="L1615" s="272">
        <f t="shared" si="146"/>
        <v>1900</v>
      </c>
      <c r="M1615" s="272">
        <f t="shared" si="147"/>
        <v>1</v>
      </c>
      <c r="N1615" s="273"/>
      <c r="O1615" s="61">
        <f t="shared" si="148"/>
        <v>1900</v>
      </c>
      <c r="P1615" s="61">
        <f t="shared" si="149"/>
        <v>1</v>
      </c>
      <c r="R1615" s="272"/>
      <c r="S1615" s="272"/>
      <c r="T1615" s="273" t="str">
        <f t="shared" si="150"/>
        <v>-</v>
      </c>
    </row>
    <row r="1616" spans="1:20">
      <c r="A1616" s="269"/>
      <c r="B1616" s="277"/>
      <c r="C1616" s="55"/>
      <c r="D1616" s="55"/>
      <c r="E1616" s="55"/>
      <c r="F1616" s="55"/>
      <c r="G1616" s="275"/>
      <c r="H1616" s="276"/>
      <c r="I1616" s="213"/>
      <c r="J1616" s="213"/>
      <c r="K1616" s="269"/>
      <c r="L1616" s="272">
        <f t="shared" ref="L1616:L1679" si="151">YEAR(B1616)</f>
        <v>1900</v>
      </c>
      <c r="M1616" s="272">
        <f t="shared" ref="M1616:M1679" si="152">MONTH(B1616)</f>
        <v>1</v>
      </c>
      <c r="N1616" s="273"/>
      <c r="O1616" s="61">
        <f t="shared" ref="O1616:O1679" si="153">YEAR(B1616)</f>
        <v>1900</v>
      </c>
      <c r="P1616" s="61">
        <f t="shared" ref="P1616:P1679" si="154">MONTH(B1616)</f>
        <v>1</v>
      </c>
      <c r="R1616" s="272"/>
      <c r="S1616" s="272"/>
      <c r="T1616" s="273" t="str">
        <f t="shared" ref="T1616:T1679" si="155">IF($E1616&gt;0,IF((R1616+S1616)=$E1616,"OK","Error"),"-")</f>
        <v>-</v>
      </c>
    </row>
    <row r="1617" spans="1:20">
      <c r="A1617" s="269"/>
      <c r="B1617" s="277"/>
      <c r="C1617" s="55"/>
      <c r="D1617" s="55"/>
      <c r="E1617" s="55"/>
      <c r="F1617" s="55"/>
      <c r="G1617" s="275"/>
      <c r="H1617" s="276"/>
      <c r="I1617" s="213"/>
      <c r="J1617" s="213"/>
      <c r="K1617" s="269"/>
      <c r="L1617" s="272">
        <f t="shared" si="151"/>
        <v>1900</v>
      </c>
      <c r="M1617" s="272">
        <f t="shared" si="152"/>
        <v>1</v>
      </c>
      <c r="N1617" s="273"/>
      <c r="O1617" s="61">
        <f t="shared" si="153"/>
        <v>1900</v>
      </c>
      <c r="P1617" s="61">
        <f t="shared" si="154"/>
        <v>1</v>
      </c>
      <c r="R1617" s="272"/>
      <c r="S1617" s="272"/>
      <c r="T1617" s="273" t="str">
        <f t="shared" si="155"/>
        <v>-</v>
      </c>
    </row>
    <row r="1618" spans="1:20">
      <c r="A1618" s="269"/>
      <c r="B1618" s="277"/>
      <c r="C1618" s="55"/>
      <c r="D1618" s="55"/>
      <c r="E1618" s="55"/>
      <c r="F1618" s="55"/>
      <c r="G1618" s="275"/>
      <c r="H1618" s="276"/>
      <c r="I1618" s="213"/>
      <c r="J1618" s="213"/>
      <c r="K1618" s="269"/>
      <c r="L1618" s="272">
        <f t="shared" si="151"/>
        <v>1900</v>
      </c>
      <c r="M1618" s="272">
        <f t="shared" si="152"/>
        <v>1</v>
      </c>
      <c r="N1618" s="273"/>
      <c r="O1618" s="61">
        <f t="shared" si="153"/>
        <v>1900</v>
      </c>
      <c r="P1618" s="61">
        <f t="shared" si="154"/>
        <v>1</v>
      </c>
      <c r="R1618" s="272"/>
      <c r="S1618" s="272"/>
      <c r="T1618" s="273" t="str">
        <f t="shared" si="155"/>
        <v>-</v>
      </c>
    </row>
    <row r="1619" spans="1:20">
      <c r="A1619" s="269"/>
      <c r="B1619" s="277"/>
      <c r="C1619" s="55"/>
      <c r="D1619" s="55"/>
      <c r="E1619" s="55"/>
      <c r="F1619" s="55"/>
      <c r="G1619" s="275"/>
      <c r="H1619" s="276"/>
      <c r="I1619" s="213"/>
      <c r="J1619" s="213"/>
      <c r="K1619" s="269"/>
      <c r="L1619" s="272">
        <f t="shared" si="151"/>
        <v>1900</v>
      </c>
      <c r="M1619" s="272">
        <f t="shared" si="152"/>
        <v>1</v>
      </c>
      <c r="N1619" s="273"/>
      <c r="O1619" s="61">
        <f t="shared" si="153"/>
        <v>1900</v>
      </c>
      <c r="P1619" s="61">
        <f t="shared" si="154"/>
        <v>1</v>
      </c>
      <c r="R1619" s="272"/>
      <c r="S1619" s="272"/>
      <c r="T1619" s="273" t="str">
        <f t="shared" si="155"/>
        <v>-</v>
      </c>
    </row>
    <row r="1620" spans="1:20">
      <c r="A1620" s="269"/>
      <c r="B1620" s="277"/>
      <c r="C1620" s="55"/>
      <c r="D1620" s="55"/>
      <c r="E1620" s="55"/>
      <c r="F1620" s="55"/>
      <c r="G1620" s="275"/>
      <c r="H1620" s="276"/>
      <c r="I1620" s="213"/>
      <c r="J1620" s="213"/>
      <c r="K1620" s="269"/>
      <c r="L1620" s="272">
        <f t="shared" si="151"/>
        <v>1900</v>
      </c>
      <c r="M1620" s="272">
        <f t="shared" si="152"/>
        <v>1</v>
      </c>
      <c r="N1620" s="273"/>
      <c r="O1620" s="61">
        <f t="shared" si="153"/>
        <v>1900</v>
      </c>
      <c r="P1620" s="61">
        <f t="shared" si="154"/>
        <v>1</v>
      </c>
      <c r="R1620" s="272"/>
      <c r="S1620" s="272"/>
      <c r="T1620" s="273" t="str">
        <f t="shared" si="155"/>
        <v>-</v>
      </c>
    </row>
    <row r="1621" spans="1:20">
      <c r="A1621" s="269"/>
      <c r="B1621" s="277"/>
      <c r="C1621" s="55"/>
      <c r="D1621" s="55"/>
      <c r="E1621" s="55"/>
      <c r="F1621" s="55"/>
      <c r="G1621" s="275"/>
      <c r="H1621" s="276"/>
      <c r="I1621" s="213"/>
      <c r="J1621" s="213"/>
      <c r="K1621" s="269"/>
      <c r="L1621" s="272">
        <f t="shared" si="151"/>
        <v>1900</v>
      </c>
      <c r="M1621" s="272">
        <f t="shared" si="152"/>
        <v>1</v>
      </c>
      <c r="N1621" s="273"/>
      <c r="O1621" s="61">
        <f t="shared" si="153"/>
        <v>1900</v>
      </c>
      <c r="P1621" s="61">
        <f t="shared" si="154"/>
        <v>1</v>
      </c>
      <c r="R1621" s="272"/>
      <c r="S1621" s="272"/>
      <c r="T1621" s="273" t="str">
        <f t="shared" si="155"/>
        <v>-</v>
      </c>
    </row>
    <row r="1622" spans="1:20">
      <c r="A1622" s="269"/>
      <c r="B1622" s="277"/>
      <c r="C1622" s="55"/>
      <c r="D1622" s="55"/>
      <c r="E1622" s="55"/>
      <c r="F1622" s="55"/>
      <c r="G1622" s="275"/>
      <c r="H1622" s="276"/>
      <c r="I1622" s="213"/>
      <c r="J1622" s="213"/>
      <c r="K1622" s="269"/>
      <c r="L1622" s="272">
        <f t="shared" si="151"/>
        <v>1900</v>
      </c>
      <c r="M1622" s="272">
        <f t="shared" si="152"/>
        <v>1</v>
      </c>
      <c r="N1622" s="273"/>
      <c r="O1622" s="61">
        <f t="shared" si="153"/>
        <v>1900</v>
      </c>
      <c r="P1622" s="61">
        <f t="shared" si="154"/>
        <v>1</v>
      </c>
      <c r="R1622" s="272"/>
      <c r="S1622" s="272"/>
      <c r="T1622" s="273" t="str">
        <f t="shared" si="155"/>
        <v>-</v>
      </c>
    </row>
    <row r="1623" spans="1:20">
      <c r="A1623" s="269"/>
      <c r="B1623" s="277"/>
      <c r="C1623" s="55"/>
      <c r="D1623" s="55"/>
      <c r="E1623" s="55"/>
      <c r="F1623" s="55"/>
      <c r="G1623" s="275"/>
      <c r="H1623" s="276"/>
      <c r="I1623" s="213"/>
      <c r="J1623" s="213"/>
      <c r="K1623" s="269"/>
      <c r="L1623" s="272">
        <f t="shared" si="151"/>
        <v>1900</v>
      </c>
      <c r="M1623" s="272">
        <f t="shared" si="152"/>
        <v>1</v>
      </c>
      <c r="N1623" s="273"/>
      <c r="O1623" s="61">
        <f t="shared" si="153"/>
        <v>1900</v>
      </c>
      <c r="P1623" s="61">
        <f t="shared" si="154"/>
        <v>1</v>
      </c>
      <c r="R1623" s="272"/>
      <c r="S1623" s="272"/>
      <c r="T1623" s="273" t="str">
        <f t="shared" si="155"/>
        <v>-</v>
      </c>
    </row>
    <row r="1624" spans="1:20">
      <c r="A1624" s="269"/>
      <c r="B1624" s="277"/>
      <c r="C1624" s="55"/>
      <c r="D1624" s="55"/>
      <c r="E1624" s="55"/>
      <c r="F1624" s="55"/>
      <c r="G1624" s="275"/>
      <c r="H1624" s="276"/>
      <c r="I1624" s="213"/>
      <c r="J1624" s="213"/>
      <c r="K1624" s="269"/>
      <c r="L1624" s="272">
        <f t="shared" si="151"/>
        <v>1900</v>
      </c>
      <c r="M1624" s="272">
        <f t="shared" si="152"/>
        <v>1</v>
      </c>
      <c r="N1624" s="273"/>
      <c r="O1624" s="61">
        <f t="shared" si="153"/>
        <v>1900</v>
      </c>
      <c r="P1624" s="61">
        <f t="shared" si="154"/>
        <v>1</v>
      </c>
      <c r="R1624" s="272"/>
      <c r="S1624" s="272"/>
      <c r="T1624" s="273" t="str">
        <f t="shared" si="155"/>
        <v>-</v>
      </c>
    </row>
    <row r="1625" spans="1:20">
      <c r="A1625" s="269"/>
      <c r="B1625" s="277"/>
      <c r="C1625" s="55"/>
      <c r="D1625" s="55"/>
      <c r="E1625" s="55"/>
      <c r="F1625" s="55"/>
      <c r="G1625" s="275"/>
      <c r="H1625" s="276"/>
      <c r="I1625" s="213"/>
      <c r="J1625" s="213"/>
      <c r="K1625" s="269"/>
      <c r="L1625" s="272">
        <f t="shared" si="151"/>
        <v>1900</v>
      </c>
      <c r="M1625" s="272">
        <f t="shared" si="152"/>
        <v>1</v>
      </c>
      <c r="N1625" s="273"/>
      <c r="O1625" s="61">
        <f t="shared" si="153"/>
        <v>1900</v>
      </c>
      <c r="P1625" s="61">
        <f t="shared" si="154"/>
        <v>1</v>
      </c>
      <c r="R1625" s="272"/>
      <c r="S1625" s="272"/>
      <c r="T1625" s="273" t="str">
        <f t="shared" si="155"/>
        <v>-</v>
      </c>
    </row>
    <row r="1626" spans="1:20">
      <c r="A1626" s="269"/>
      <c r="B1626" s="277"/>
      <c r="C1626" s="55"/>
      <c r="D1626" s="55"/>
      <c r="E1626" s="55"/>
      <c r="F1626" s="55"/>
      <c r="G1626" s="275"/>
      <c r="H1626" s="276"/>
      <c r="I1626" s="213"/>
      <c r="J1626" s="213"/>
      <c r="K1626" s="269"/>
      <c r="L1626" s="272">
        <f t="shared" si="151"/>
        <v>1900</v>
      </c>
      <c r="M1626" s="272">
        <f t="shared" si="152"/>
        <v>1</v>
      </c>
      <c r="N1626" s="273"/>
      <c r="O1626" s="61">
        <f t="shared" si="153"/>
        <v>1900</v>
      </c>
      <c r="P1626" s="61">
        <f t="shared" si="154"/>
        <v>1</v>
      </c>
      <c r="R1626" s="272"/>
      <c r="S1626" s="272"/>
      <c r="T1626" s="273" t="str">
        <f t="shared" si="155"/>
        <v>-</v>
      </c>
    </row>
    <row r="1627" spans="1:20">
      <c r="A1627" s="269"/>
      <c r="B1627" s="277"/>
      <c r="C1627" s="55"/>
      <c r="D1627" s="55"/>
      <c r="E1627" s="55"/>
      <c r="F1627" s="55"/>
      <c r="G1627" s="275"/>
      <c r="H1627" s="276"/>
      <c r="I1627" s="213"/>
      <c r="J1627" s="213"/>
      <c r="K1627" s="269"/>
      <c r="L1627" s="272">
        <f t="shared" si="151"/>
        <v>1900</v>
      </c>
      <c r="M1627" s="272">
        <f t="shared" si="152"/>
        <v>1</v>
      </c>
      <c r="N1627" s="273"/>
      <c r="O1627" s="61">
        <f t="shared" si="153"/>
        <v>1900</v>
      </c>
      <c r="P1627" s="61">
        <f t="shared" si="154"/>
        <v>1</v>
      </c>
      <c r="R1627" s="272"/>
      <c r="S1627" s="272"/>
      <c r="T1627" s="273" t="str">
        <f t="shared" si="155"/>
        <v>-</v>
      </c>
    </row>
    <row r="1628" spans="1:20">
      <c r="A1628" s="269"/>
      <c r="B1628" s="277"/>
      <c r="C1628" s="55"/>
      <c r="D1628" s="55"/>
      <c r="E1628" s="55"/>
      <c r="F1628" s="55"/>
      <c r="G1628" s="275"/>
      <c r="H1628" s="276"/>
      <c r="I1628" s="213"/>
      <c r="J1628" s="213"/>
      <c r="K1628" s="269"/>
      <c r="L1628" s="272">
        <f t="shared" si="151"/>
        <v>1900</v>
      </c>
      <c r="M1628" s="272">
        <f t="shared" si="152"/>
        <v>1</v>
      </c>
      <c r="N1628" s="273"/>
      <c r="O1628" s="61">
        <f t="shared" si="153"/>
        <v>1900</v>
      </c>
      <c r="P1628" s="61">
        <f t="shared" si="154"/>
        <v>1</v>
      </c>
      <c r="R1628" s="272"/>
      <c r="S1628" s="272"/>
      <c r="T1628" s="273" t="str">
        <f t="shared" si="155"/>
        <v>-</v>
      </c>
    </row>
    <row r="1629" spans="1:20">
      <c r="A1629" s="269"/>
      <c r="B1629" s="277"/>
      <c r="C1629" s="55"/>
      <c r="D1629" s="55"/>
      <c r="E1629" s="55"/>
      <c r="F1629" s="55"/>
      <c r="G1629" s="275"/>
      <c r="H1629" s="276"/>
      <c r="I1629" s="213"/>
      <c r="J1629" s="213"/>
      <c r="K1629" s="269"/>
      <c r="L1629" s="272">
        <f t="shared" si="151"/>
        <v>1900</v>
      </c>
      <c r="M1629" s="272">
        <f t="shared" si="152"/>
        <v>1</v>
      </c>
      <c r="N1629" s="273"/>
      <c r="O1629" s="61">
        <f t="shared" si="153"/>
        <v>1900</v>
      </c>
      <c r="P1629" s="61">
        <f t="shared" si="154"/>
        <v>1</v>
      </c>
      <c r="R1629" s="272"/>
      <c r="S1629" s="272"/>
      <c r="T1629" s="273" t="str">
        <f t="shared" si="155"/>
        <v>-</v>
      </c>
    </row>
    <row r="1630" spans="1:20">
      <c r="A1630" s="269"/>
      <c r="B1630" s="277"/>
      <c r="C1630" s="55"/>
      <c r="D1630" s="55"/>
      <c r="E1630" s="55"/>
      <c r="F1630" s="55"/>
      <c r="G1630" s="275"/>
      <c r="H1630" s="276"/>
      <c r="I1630" s="213"/>
      <c r="J1630" s="213"/>
      <c r="K1630" s="269"/>
      <c r="L1630" s="272">
        <f t="shared" si="151"/>
        <v>1900</v>
      </c>
      <c r="M1630" s="272">
        <f t="shared" si="152"/>
        <v>1</v>
      </c>
      <c r="N1630" s="273"/>
      <c r="O1630" s="61">
        <f t="shared" si="153"/>
        <v>1900</v>
      </c>
      <c r="P1630" s="61">
        <f t="shared" si="154"/>
        <v>1</v>
      </c>
      <c r="R1630" s="272"/>
      <c r="S1630" s="272"/>
      <c r="T1630" s="273" t="str">
        <f t="shared" si="155"/>
        <v>-</v>
      </c>
    </row>
    <row r="1631" spans="1:20">
      <c r="A1631" s="269"/>
      <c r="B1631" s="277"/>
      <c r="C1631" s="55"/>
      <c r="D1631" s="55"/>
      <c r="E1631" s="55"/>
      <c r="F1631" s="55"/>
      <c r="G1631" s="275"/>
      <c r="H1631" s="276"/>
      <c r="I1631" s="213"/>
      <c r="J1631" s="213"/>
      <c r="K1631" s="269"/>
      <c r="L1631" s="272">
        <f t="shared" si="151"/>
        <v>1900</v>
      </c>
      <c r="M1631" s="272">
        <f t="shared" si="152"/>
        <v>1</v>
      </c>
      <c r="N1631" s="273"/>
      <c r="O1631" s="61">
        <f t="shared" si="153"/>
        <v>1900</v>
      </c>
      <c r="P1631" s="61">
        <f t="shared" si="154"/>
        <v>1</v>
      </c>
      <c r="R1631" s="272"/>
      <c r="S1631" s="272"/>
      <c r="T1631" s="273" t="str">
        <f t="shared" si="155"/>
        <v>-</v>
      </c>
    </row>
    <row r="1632" spans="1:20">
      <c r="A1632" s="269"/>
      <c r="B1632" s="277"/>
      <c r="C1632" s="55"/>
      <c r="D1632" s="55"/>
      <c r="E1632" s="55"/>
      <c r="F1632" s="55"/>
      <c r="G1632" s="275"/>
      <c r="H1632" s="276"/>
      <c r="I1632" s="213"/>
      <c r="J1632" s="213"/>
      <c r="K1632" s="269"/>
      <c r="L1632" s="272">
        <f t="shared" si="151"/>
        <v>1900</v>
      </c>
      <c r="M1632" s="272">
        <f t="shared" si="152"/>
        <v>1</v>
      </c>
      <c r="N1632" s="273"/>
      <c r="O1632" s="61">
        <f t="shared" si="153"/>
        <v>1900</v>
      </c>
      <c r="P1632" s="61">
        <f t="shared" si="154"/>
        <v>1</v>
      </c>
      <c r="R1632" s="272"/>
      <c r="S1632" s="272"/>
      <c r="T1632" s="273" t="str">
        <f t="shared" si="155"/>
        <v>-</v>
      </c>
    </row>
    <row r="1633" spans="1:20">
      <c r="A1633" s="269"/>
      <c r="B1633" s="277"/>
      <c r="C1633" s="55"/>
      <c r="D1633" s="55"/>
      <c r="E1633" s="55"/>
      <c r="F1633" s="55"/>
      <c r="G1633" s="275"/>
      <c r="H1633" s="276"/>
      <c r="I1633" s="213"/>
      <c r="J1633" s="213"/>
      <c r="K1633" s="269"/>
      <c r="L1633" s="272">
        <f t="shared" si="151"/>
        <v>1900</v>
      </c>
      <c r="M1633" s="272">
        <f t="shared" si="152"/>
        <v>1</v>
      </c>
      <c r="N1633" s="273"/>
      <c r="O1633" s="61">
        <f t="shared" si="153"/>
        <v>1900</v>
      </c>
      <c r="P1633" s="61">
        <f t="shared" si="154"/>
        <v>1</v>
      </c>
      <c r="R1633" s="272"/>
      <c r="S1633" s="272"/>
      <c r="T1633" s="273" t="str">
        <f t="shared" si="155"/>
        <v>-</v>
      </c>
    </row>
    <row r="1634" spans="1:20">
      <c r="A1634" s="269"/>
      <c r="B1634" s="277"/>
      <c r="C1634" s="55"/>
      <c r="D1634" s="55"/>
      <c r="E1634" s="55"/>
      <c r="F1634" s="55"/>
      <c r="G1634" s="275"/>
      <c r="H1634" s="276"/>
      <c r="I1634" s="213"/>
      <c r="J1634" s="213"/>
      <c r="K1634" s="269"/>
      <c r="L1634" s="272">
        <f t="shared" si="151"/>
        <v>1900</v>
      </c>
      <c r="M1634" s="272">
        <f t="shared" si="152"/>
        <v>1</v>
      </c>
      <c r="N1634" s="273"/>
      <c r="O1634" s="61">
        <f t="shared" si="153"/>
        <v>1900</v>
      </c>
      <c r="P1634" s="61">
        <f t="shared" si="154"/>
        <v>1</v>
      </c>
      <c r="R1634" s="272"/>
      <c r="S1634" s="272"/>
      <c r="T1634" s="273" t="str">
        <f t="shared" si="155"/>
        <v>-</v>
      </c>
    </row>
    <row r="1635" spans="1:20">
      <c r="A1635" s="269"/>
      <c r="B1635" s="277"/>
      <c r="C1635" s="55"/>
      <c r="D1635" s="55"/>
      <c r="E1635" s="55"/>
      <c r="F1635" s="55"/>
      <c r="G1635" s="275"/>
      <c r="H1635" s="276"/>
      <c r="I1635" s="213"/>
      <c r="J1635" s="213"/>
      <c r="K1635" s="269"/>
      <c r="L1635" s="272">
        <f t="shared" si="151"/>
        <v>1900</v>
      </c>
      <c r="M1635" s="272">
        <f t="shared" si="152"/>
        <v>1</v>
      </c>
      <c r="N1635" s="273"/>
      <c r="O1635" s="61">
        <f t="shared" si="153"/>
        <v>1900</v>
      </c>
      <c r="P1635" s="61">
        <f t="shared" si="154"/>
        <v>1</v>
      </c>
      <c r="R1635" s="272"/>
      <c r="S1635" s="272"/>
      <c r="T1635" s="273" t="str">
        <f t="shared" si="155"/>
        <v>-</v>
      </c>
    </row>
    <row r="1636" spans="1:20">
      <c r="A1636" s="269"/>
      <c r="B1636" s="277"/>
      <c r="C1636" s="55"/>
      <c r="D1636" s="55"/>
      <c r="E1636" s="55"/>
      <c r="F1636" s="55"/>
      <c r="G1636" s="275"/>
      <c r="H1636" s="276"/>
      <c r="I1636" s="213"/>
      <c r="J1636" s="213"/>
      <c r="K1636" s="269"/>
      <c r="L1636" s="272">
        <f t="shared" si="151"/>
        <v>1900</v>
      </c>
      <c r="M1636" s="272">
        <f t="shared" si="152"/>
        <v>1</v>
      </c>
      <c r="N1636" s="273"/>
      <c r="O1636" s="61">
        <f t="shared" si="153"/>
        <v>1900</v>
      </c>
      <c r="P1636" s="61">
        <f t="shared" si="154"/>
        <v>1</v>
      </c>
      <c r="R1636" s="272"/>
      <c r="S1636" s="272"/>
      <c r="T1636" s="273" t="str">
        <f t="shared" si="155"/>
        <v>-</v>
      </c>
    </row>
    <row r="1637" spans="1:20">
      <c r="A1637" s="269"/>
      <c r="B1637" s="277"/>
      <c r="C1637" s="55"/>
      <c r="D1637" s="55"/>
      <c r="E1637" s="55"/>
      <c r="F1637" s="55"/>
      <c r="G1637" s="275"/>
      <c r="H1637" s="276"/>
      <c r="I1637" s="213"/>
      <c r="J1637" s="213"/>
      <c r="K1637" s="269"/>
      <c r="L1637" s="272">
        <f t="shared" si="151"/>
        <v>1900</v>
      </c>
      <c r="M1637" s="272">
        <f t="shared" si="152"/>
        <v>1</v>
      </c>
      <c r="N1637" s="273"/>
      <c r="O1637" s="61">
        <f t="shared" si="153"/>
        <v>1900</v>
      </c>
      <c r="P1637" s="61">
        <f t="shared" si="154"/>
        <v>1</v>
      </c>
      <c r="R1637" s="272"/>
      <c r="S1637" s="272"/>
      <c r="T1637" s="273" t="str">
        <f t="shared" si="155"/>
        <v>-</v>
      </c>
    </row>
    <row r="1638" spans="1:20">
      <c r="A1638" s="269"/>
      <c r="B1638" s="277"/>
      <c r="C1638" s="55"/>
      <c r="D1638" s="55"/>
      <c r="E1638" s="55"/>
      <c r="F1638" s="55"/>
      <c r="G1638" s="275"/>
      <c r="H1638" s="276"/>
      <c r="I1638" s="213"/>
      <c r="J1638" s="213"/>
      <c r="K1638" s="269"/>
      <c r="L1638" s="272">
        <f t="shared" si="151"/>
        <v>1900</v>
      </c>
      <c r="M1638" s="272">
        <f t="shared" si="152"/>
        <v>1</v>
      </c>
      <c r="N1638" s="273"/>
      <c r="O1638" s="61">
        <f t="shared" si="153"/>
        <v>1900</v>
      </c>
      <c r="P1638" s="61">
        <f t="shared" si="154"/>
        <v>1</v>
      </c>
      <c r="R1638" s="272"/>
      <c r="S1638" s="272"/>
      <c r="T1638" s="273" t="str">
        <f t="shared" si="155"/>
        <v>-</v>
      </c>
    </row>
    <row r="1639" spans="1:20">
      <c r="A1639" s="269"/>
      <c r="B1639" s="277"/>
      <c r="C1639" s="55"/>
      <c r="D1639" s="55"/>
      <c r="E1639" s="55"/>
      <c r="F1639" s="55"/>
      <c r="G1639" s="275"/>
      <c r="H1639" s="276"/>
      <c r="I1639" s="213"/>
      <c r="J1639" s="213"/>
      <c r="K1639" s="269"/>
      <c r="L1639" s="272">
        <f t="shared" si="151"/>
        <v>1900</v>
      </c>
      <c r="M1639" s="272">
        <f t="shared" si="152"/>
        <v>1</v>
      </c>
      <c r="N1639" s="273"/>
      <c r="O1639" s="61">
        <f t="shared" si="153"/>
        <v>1900</v>
      </c>
      <c r="P1639" s="61">
        <f t="shared" si="154"/>
        <v>1</v>
      </c>
      <c r="R1639" s="272"/>
      <c r="S1639" s="272"/>
      <c r="T1639" s="273" t="str">
        <f t="shared" si="155"/>
        <v>-</v>
      </c>
    </row>
    <row r="1640" spans="1:20">
      <c r="A1640" s="269"/>
      <c r="B1640" s="277"/>
      <c r="C1640" s="55"/>
      <c r="D1640" s="55"/>
      <c r="E1640" s="55"/>
      <c r="F1640" s="55"/>
      <c r="G1640" s="275"/>
      <c r="H1640" s="276"/>
      <c r="I1640" s="213"/>
      <c r="J1640" s="213"/>
      <c r="K1640" s="269"/>
      <c r="L1640" s="272">
        <f t="shared" si="151"/>
        <v>1900</v>
      </c>
      <c r="M1640" s="272">
        <f t="shared" si="152"/>
        <v>1</v>
      </c>
      <c r="N1640" s="273"/>
      <c r="O1640" s="61">
        <f t="shared" si="153"/>
        <v>1900</v>
      </c>
      <c r="P1640" s="61">
        <f t="shared" si="154"/>
        <v>1</v>
      </c>
      <c r="R1640" s="272"/>
      <c r="S1640" s="272"/>
      <c r="T1640" s="273" t="str">
        <f t="shared" si="155"/>
        <v>-</v>
      </c>
    </row>
    <row r="1641" spans="1:20">
      <c r="A1641" s="269"/>
      <c r="B1641" s="277"/>
      <c r="C1641" s="55"/>
      <c r="D1641" s="55"/>
      <c r="E1641" s="55"/>
      <c r="F1641" s="55"/>
      <c r="G1641" s="275"/>
      <c r="H1641" s="276"/>
      <c r="I1641" s="213"/>
      <c r="J1641" s="213"/>
      <c r="K1641" s="269"/>
      <c r="L1641" s="272">
        <f t="shared" si="151"/>
        <v>1900</v>
      </c>
      <c r="M1641" s="272">
        <f t="shared" si="152"/>
        <v>1</v>
      </c>
      <c r="N1641" s="273"/>
      <c r="O1641" s="61">
        <f t="shared" si="153"/>
        <v>1900</v>
      </c>
      <c r="P1641" s="61">
        <f t="shared" si="154"/>
        <v>1</v>
      </c>
      <c r="R1641" s="272"/>
      <c r="S1641" s="272"/>
      <c r="T1641" s="273" t="str">
        <f t="shared" si="155"/>
        <v>-</v>
      </c>
    </row>
    <row r="1642" spans="1:20">
      <c r="A1642" s="269"/>
      <c r="B1642" s="277"/>
      <c r="C1642" s="55"/>
      <c r="D1642" s="55"/>
      <c r="E1642" s="55"/>
      <c r="F1642" s="55"/>
      <c r="G1642" s="275"/>
      <c r="H1642" s="276"/>
      <c r="I1642" s="213"/>
      <c r="J1642" s="213"/>
      <c r="K1642" s="269"/>
      <c r="L1642" s="272">
        <f t="shared" si="151"/>
        <v>1900</v>
      </c>
      <c r="M1642" s="272">
        <f t="shared" si="152"/>
        <v>1</v>
      </c>
      <c r="N1642" s="273"/>
      <c r="O1642" s="61">
        <f t="shared" si="153"/>
        <v>1900</v>
      </c>
      <c r="P1642" s="61">
        <f t="shared" si="154"/>
        <v>1</v>
      </c>
      <c r="R1642" s="272"/>
      <c r="S1642" s="272"/>
      <c r="T1642" s="273" t="str">
        <f t="shared" si="155"/>
        <v>-</v>
      </c>
    </row>
    <row r="1643" spans="1:20">
      <c r="A1643" s="269"/>
      <c r="B1643" s="277"/>
      <c r="C1643" s="55"/>
      <c r="D1643" s="55"/>
      <c r="E1643" s="55"/>
      <c r="F1643" s="55"/>
      <c r="G1643" s="275"/>
      <c r="H1643" s="276"/>
      <c r="I1643" s="213"/>
      <c r="J1643" s="213"/>
      <c r="K1643" s="269"/>
      <c r="L1643" s="272">
        <f t="shared" si="151"/>
        <v>1900</v>
      </c>
      <c r="M1643" s="272">
        <f t="shared" si="152"/>
        <v>1</v>
      </c>
      <c r="N1643" s="273"/>
      <c r="O1643" s="61">
        <f t="shared" si="153"/>
        <v>1900</v>
      </c>
      <c r="P1643" s="61">
        <f t="shared" si="154"/>
        <v>1</v>
      </c>
      <c r="R1643" s="272"/>
      <c r="S1643" s="272"/>
      <c r="T1643" s="273" t="str">
        <f t="shared" si="155"/>
        <v>-</v>
      </c>
    </row>
    <row r="1644" spans="1:20">
      <c r="A1644" s="269"/>
      <c r="B1644" s="277"/>
      <c r="C1644" s="55"/>
      <c r="D1644" s="55"/>
      <c r="E1644" s="55"/>
      <c r="F1644" s="55"/>
      <c r="G1644" s="275"/>
      <c r="H1644" s="276"/>
      <c r="I1644" s="213"/>
      <c r="J1644" s="213"/>
      <c r="K1644" s="269"/>
      <c r="L1644" s="272">
        <f t="shared" si="151"/>
        <v>1900</v>
      </c>
      <c r="M1644" s="272">
        <f t="shared" si="152"/>
        <v>1</v>
      </c>
      <c r="N1644" s="273"/>
      <c r="O1644" s="61">
        <f t="shared" si="153"/>
        <v>1900</v>
      </c>
      <c r="P1644" s="61">
        <f t="shared" si="154"/>
        <v>1</v>
      </c>
      <c r="R1644" s="272"/>
      <c r="S1644" s="272"/>
      <c r="T1644" s="273" t="str">
        <f t="shared" si="155"/>
        <v>-</v>
      </c>
    </row>
    <row r="1645" spans="1:20">
      <c r="A1645" s="269"/>
      <c r="B1645" s="277"/>
      <c r="C1645" s="55"/>
      <c r="D1645" s="55"/>
      <c r="E1645" s="55"/>
      <c r="F1645" s="55"/>
      <c r="G1645" s="275"/>
      <c r="H1645" s="276"/>
      <c r="I1645" s="213"/>
      <c r="J1645" s="213"/>
      <c r="K1645" s="269"/>
      <c r="L1645" s="272">
        <f t="shared" si="151"/>
        <v>1900</v>
      </c>
      <c r="M1645" s="272">
        <f t="shared" si="152"/>
        <v>1</v>
      </c>
      <c r="N1645" s="273"/>
      <c r="O1645" s="61">
        <f t="shared" si="153"/>
        <v>1900</v>
      </c>
      <c r="P1645" s="61">
        <f t="shared" si="154"/>
        <v>1</v>
      </c>
      <c r="R1645" s="272"/>
      <c r="S1645" s="272"/>
      <c r="T1645" s="273" t="str">
        <f t="shared" si="155"/>
        <v>-</v>
      </c>
    </row>
    <row r="1646" spans="1:20">
      <c r="A1646" s="269"/>
      <c r="B1646" s="277"/>
      <c r="C1646" s="55"/>
      <c r="D1646" s="55"/>
      <c r="E1646" s="55"/>
      <c r="F1646" s="55"/>
      <c r="G1646" s="275"/>
      <c r="H1646" s="276"/>
      <c r="I1646" s="213"/>
      <c r="J1646" s="213"/>
      <c r="K1646" s="269"/>
      <c r="L1646" s="272">
        <f t="shared" si="151"/>
        <v>1900</v>
      </c>
      <c r="M1646" s="272">
        <f t="shared" si="152"/>
        <v>1</v>
      </c>
      <c r="N1646" s="273"/>
      <c r="O1646" s="61">
        <f t="shared" si="153"/>
        <v>1900</v>
      </c>
      <c r="P1646" s="61">
        <f t="shared" si="154"/>
        <v>1</v>
      </c>
      <c r="R1646" s="272"/>
      <c r="S1646" s="272"/>
      <c r="T1646" s="273" t="str">
        <f t="shared" si="155"/>
        <v>-</v>
      </c>
    </row>
    <row r="1647" spans="1:20">
      <c r="A1647" s="269"/>
      <c r="B1647" s="277"/>
      <c r="C1647" s="55"/>
      <c r="D1647" s="55"/>
      <c r="E1647" s="55"/>
      <c r="F1647" s="55"/>
      <c r="G1647" s="275"/>
      <c r="H1647" s="276"/>
      <c r="I1647" s="213"/>
      <c r="J1647" s="213"/>
      <c r="K1647" s="269"/>
      <c r="L1647" s="272">
        <f t="shared" si="151"/>
        <v>1900</v>
      </c>
      <c r="M1647" s="272">
        <f t="shared" si="152"/>
        <v>1</v>
      </c>
      <c r="N1647" s="273"/>
      <c r="O1647" s="61">
        <f t="shared" si="153"/>
        <v>1900</v>
      </c>
      <c r="P1647" s="61">
        <f t="shared" si="154"/>
        <v>1</v>
      </c>
      <c r="R1647" s="272"/>
      <c r="S1647" s="272"/>
      <c r="T1647" s="273" t="str">
        <f t="shared" si="155"/>
        <v>-</v>
      </c>
    </row>
    <row r="1648" spans="1:20">
      <c r="A1648" s="269"/>
      <c r="B1648" s="277"/>
      <c r="C1648" s="55"/>
      <c r="D1648" s="55"/>
      <c r="E1648" s="55"/>
      <c r="F1648" s="55"/>
      <c r="G1648" s="275"/>
      <c r="H1648" s="276"/>
      <c r="I1648" s="213"/>
      <c r="J1648" s="213"/>
      <c r="K1648" s="269"/>
      <c r="L1648" s="272">
        <f t="shared" si="151"/>
        <v>1900</v>
      </c>
      <c r="M1648" s="272">
        <f t="shared" si="152"/>
        <v>1</v>
      </c>
      <c r="N1648" s="273"/>
      <c r="O1648" s="61">
        <f t="shared" si="153"/>
        <v>1900</v>
      </c>
      <c r="P1648" s="61">
        <f t="shared" si="154"/>
        <v>1</v>
      </c>
      <c r="R1648" s="272"/>
      <c r="S1648" s="272"/>
      <c r="T1648" s="273" t="str">
        <f t="shared" si="155"/>
        <v>-</v>
      </c>
    </row>
    <row r="1649" spans="1:20">
      <c r="A1649" s="269"/>
      <c r="B1649" s="277"/>
      <c r="C1649" s="55"/>
      <c r="D1649" s="55"/>
      <c r="E1649" s="55"/>
      <c r="F1649" s="55"/>
      <c r="G1649" s="275"/>
      <c r="H1649" s="276"/>
      <c r="I1649" s="213"/>
      <c r="J1649" s="213"/>
      <c r="K1649" s="269"/>
      <c r="L1649" s="272">
        <f t="shared" si="151"/>
        <v>1900</v>
      </c>
      <c r="M1649" s="272">
        <f t="shared" si="152"/>
        <v>1</v>
      </c>
      <c r="N1649" s="273"/>
      <c r="O1649" s="61">
        <f t="shared" si="153"/>
        <v>1900</v>
      </c>
      <c r="P1649" s="61">
        <f t="shared" si="154"/>
        <v>1</v>
      </c>
      <c r="R1649" s="272"/>
      <c r="S1649" s="272"/>
      <c r="T1649" s="273" t="str">
        <f t="shared" si="155"/>
        <v>-</v>
      </c>
    </row>
    <row r="1650" spans="1:20">
      <c r="A1650" s="269"/>
      <c r="B1650" s="277"/>
      <c r="C1650" s="55"/>
      <c r="D1650" s="55"/>
      <c r="E1650" s="55"/>
      <c r="F1650" s="55"/>
      <c r="G1650" s="275"/>
      <c r="H1650" s="276"/>
      <c r="I1650" s="213"/>
      <c r="J1650" s="213"/>
      <c r="K1650" s="269"/>
      <c r="L1650" s="272">
        <f t="shared" si="151"/>
        <v>1900</v>
      </c>
      <c r="M1650" s="272">
        <f t="shared" si="152"/>
        <v>1</v>
      </c>
      <c r="N1650" s="273"/>
      <c r="O1650" s="61">
        <f t="shared" si="153"/>
        <v>1900</v>
      </c>
      <c r="P1650" s="61">
        <f t="shared" si="154"/>
        <v>1</v>
      </c>
      <c r="R1650" s="272"/>
      <c r="S1650" s="272"/>
      <c r="T1650" s="273" t="str">
        <f t="shared" si="155"/>
        <v>-</v>
      </c>
    </row>
    <row r="1651" spans="1:20">
      <c r="A1651" s="269"/>
      <c r="B1651" s="277"/>
      <c r="C1651" s="55"/>
      <c r="D1651" s="55"/>
      <c r="E1651" s="55"/>
      <c r="F1651" s="55"/>
      <c r="G1651" s="275"/>
      <c r="H1651" s="276"/>
      <c r="I1651" s="213"/>
      <c r="J1651" s="213"/>
      <c r="K1651" s="269"/>
      <c r="L1651" s="272">
        <f t="shared" si="151"/>
        <v>1900</v>
      </c>
      <c r="M1651" s="272">
        <f t="shared" si="152"/>
        <v>1</v>
      </c>
      <c r="N1651" s="273"/>
      <c r="O1651" s="61">
        <f t="shared" si="153"/>
        <v>1900</v>
      </c>
      <c r="P1651" s="61">
        <f t="shared" si="154"/>
        <v>1</v>
      </c>
      <c r="R1651" s="272"/>
      <c r="S1651" s="272"/>
      <c r="T1651" s="273" t="str">
        <f t="shared" si="155"/>
        <v>-</v>
      </c>
    </row>
    <row r="1652" spans="1:20">
      <c r="A1652" s="269"/>
      <c r="B1652" s="277"/>
      <c r="C1652" s="55"/>
      <c r="D1652" s="55"/>
      <c r="E1652" s="55"/>
      <c r="F1652" s="55"/>
      <c r="G1652" s="275"/>
      <c r="H1652" s="276"/>
      <c r="I1652" s="213"/>
      <c r="J1652" s="213"/>
      <c r="K1652" s="269"/>
      <c r="L1652" s="272">
        <f t="shared" si="151"/>
        <v>1900</v>
      </c>
      <c r="M1652" s="272">
        <f t="shared" si="152"/>
        <v>1</v>
      </c>
      <c r="N1652" s="273"/>
      <c r="O1652" s="61">
        <f t="shared" si="153"/>
        <v>1900</v>
      </c>
      <c r="P1652" s="61">
        <f t="shared" si="154"/>
        <v>1</v>
      </c>
      <c r="R1652" s="272"/>
      <c r="S1652" s="272"/>
      <c r="T1652" s="273" t="str">
        <f t="shared" si="155"/>
        <v>-</v>
      </c>
    </row>
    <row r="1653" spans="1:20">
      <c r="A1653" s="269"/>
      <c r="B1653" s="277"/>
      <c r="C1653" s="55"/>
      <c r="D1653" s="55"/>
      <c r="E1653" s="55"/>
      <c r="F1653" s="55"/>
      <c r="G1653" s="275"/>
      <c r="H1653" s="276"/>
      <c r="I1653" s="213"/>
      <c r="J1653" s="213"/>
      <c r="K1653" s="269"/>
      <c r="L1653" s="272">
        <f t="shared" si="151"/>
        <v>1900</v>
      </c>
      <c r="M1653" s="272">
        <f t="shared" si="152"/>
        <v>1</v>
      </c>
      <c r="N1653" s="273"/>
      <c r="O1653" s="61">
        <f t="shared" si="153"/>
        <v>1900</v>
      </c>
      <c r="P1653" s="61">
        <f t="shared" si="154"/>
        <v>1</v>
      </c>
      <c r="R1653" s="272"/>
      <c r="S1653" s="272"/>
      <c r="T1653" s="273" t="str">
        <f t="shared" si="155"/>
        <v>-</v>
      </c>
    </row>
    <row r="1654" spans="1:20">
      <c r="A1654" s="269"/>
      <c r="B1654" s="277"/>
      <c r="C1654" s="55"/>
      <c r="D1654" s="55"/>
      <c r="E1654" s="55"/>
      <c r="F1654" s="55"/>
      <c r="G1654" s="275"/>
      <c r="H1654" s="276"/>
      <c r="I1654" s="213"/>
      <c r="J1654" s="213"/>
      <c r="K1654" s="269"/>
      <c r="L1654" s="272">
        <f t="shared" si="151"/>
        <v>1900</v>
      </c>
      <c r="M1654" s="272">
        <f t="shared" si="152"/>
        <v>1</v>
      </c>
      <c r="N1654" s="273"/>
      <c r="O1654" s="61">
        <f t="shared" si="153"/>
        <v>1900</v>
      </c>
      <c r="P1654" s="61">
        <f t="shared" si="154"/>
        <v>1</v>
      </c>
      <c r="R1654" s="272"/>
      <c r="S1654" s="272"/>
      <c r="T1654" s="273" t="str">
        <f t="shared" si="155"/>
        <v>-</v>
      </c>
    </row>
    <row r="1655" spans="1:20">
      <c r="A1655" s="269"/>
      <c r="B1655" s="277"/>
      <c r="C1655" s="55"/>
      <c r="D1655" s="55"/>
      <c r="E1655" s="55"/>
      <c r="F1655" s="55"/>
      <c r="G1655" s="275"/>
      <c r="H1655" s="276"/>
      <c r="I1655" s="213"/>
      <c r="J1655" s="213"/>
      <c r="K1655" s="269"/>
      <c r="L1655" s="272">
        <f t="shared" si="151"/>
        <v>1900</v>
      </c>
      <c r="M1655" s="272">
        <f t="shared" si="152"/>
        <v>1</v>
      </c>
      <c r="N1655" s="273"/>
      <c r="O1655" s="61">
        <f t="shared" si="153"/>
        <v>1900</v>
      </c>
      <c r="P1655" s="61">
        <f t="shared" si="154"/>
        <v>1</v>
      </c>
      <c r="R1655" s="272"/>
      <c r="S1655" s="272"/>
      <c r="T1655" s="273" t="str">
        <f t="shared" si="155"/>
        <v>-</v>
      </c>
    </row>
    <row r="1656" spans="1:20">
      <c r="A1656" s="269"/>
      <c r="B1656" s="277"/>
      <c r="C1656" s="55"/>
      <c r="D1656" s="55"/>
      <c r="E1656" s="55"/>
      <c r="F1656" s="55"/>
      <c r="G1656" s="275"/>
      <c r="H1656" s="276"/>
      <c r="I1656" s="213"/>
      <c r="J1656" s="213"/>
      <c r="K1656" s="269"/>
      <c r="L1656" s="272">
        <f t="shared" si="151"/>
        <v>1900</v>
      </c>
      <c r="M1656" s="272">
        <f t="shared" si="152"/>
        <v>1</v>
      </c>
      <c r="N1656" s="273"/>
      <c r="O1656" s="61">
        <f t="shared" si="153"/>
        <v>1900</v>
      </c>
      <c r="P1656" s="61">
        <f t="shared" si="154"/>
        <v>1</v>
      </c>
      <c r="R1656" s="272"/>
      <c r="S1656" s="272"/>
      <c r="T1656" s="273" t="str">
        <f t="shared" si="155"/>
        <v>-</v>
      </c>
    </row>
    <row r="1657" spans="1:20">
      <c r="A1657" s="269"/>
      <c r="B1657" s="277"/>
      <c r="C1657" s="55"/>
      <c r="D1657" s="55"/>
      <c r="E1657" s="55"/>
      <c r="F1657" s="55"/>
      <c r="G1657" s="275"/>
      <c r="H1657" s="276"/>
      <c r="I1657" s="213"/>
      <c r="J1657" s="213"/>
      <c r="K1657" s="269"/>
      <c r="L1657" s="272">
        <f t="shared" si="151"/>
        <v>1900</v>
      </c>
      <c r="M1657" s="272">
        <f t="shared" si="152"/>
        <v>1</v>
      </c>
      <c r="N1657" s="273"/>
      <c r="O1657" s="61">
        <f t="shared" si="153"/>
        <v>1900</v>
      </c>
      <c r="P1657" s="61">
        <f t="shared" si="154"/>
        <v>1</v>
      </c>
      <c r="R1657" s="272"/>
      <c r="S1657" s="272"/>
      <c r="T1657" s="273" t="str">
        <f t="shared" si="155"/>
        <v>-</v>
      </c>
    </row>
    <row r="1658" spans="1:20">
      <c r="A1658" s="269"/>
      <c r="B1658" s="277"/>
      <c r="C1658" s="55"/>
      <c r="D1658" s="55"/>
      <c r="E1658" s="55"/>
      <c r="F1658" s="55"/>
      <c r="G1658" s="275"/>
      <c r="H1658" s="276"/>
      <c r="I1658" s="213"/>
      <c r="J1658" s="213"/>
      <c r="K1658" s="269"/>
      <c r="L1658" s="272">
        <f t="shared" si="151"/>
        <v>1900</v>
      </c>
      <c r="M1658" s="272">
        <f t="shared" si="152"/>
        <v>1</v>
      </c>
      <c r="N1658" s="273"/>
      <c r="O1658" s="61">
        <f t="shared" si="153"/>
        <v>1900</v>
      </c>
      <c r="P1658" s="61">
        <f t="shared" si="154"/>
        <v>1</v>
      </c>
      <c r="R1658" s="272"/>
      <c r="S1658" s="272"/>
      <c r="T1658" s="273" t="str">
        <f t="shared" si="155"/>
        <v>-</v>
      </c>
    </row>
    <row r="1659" spans="1:20">
      <c r="A1659" s="269"/>
      <c r="B1659" s="277"/>
      <c r="C1659" s="55"/>
      <c r="D1659" s="55"/>
      <c r="E1659" s="55"/>
      <c r="F1659" s="55"/>
      <c r="G1659" s="275"/>
      <c r="H1659" s="276"/>
      <c r="I1659" s="213"/>
      <c r="J1659" s="213"/>
      <c r="K1659" s="269"/>
      <c r="L1659" s="272">
        <f t="shared" si="151"/>
        <v>1900</v>
      </c>
      <c r="M1659" s="272">
        <f t="shared" si="152"/>
        <v>1</v>
      </c>
      <c r="N1659" s="273"/>
      <c r="O1659" s="61">
        <f t="shared" si="153"/>
        <v>1900</v>
      </c>
      <c r="P1659" s="61">
        <f t="shared" si="154"/>
        <v>1</v>
      </c>
      <c r="R1659" s="272"/>
      <c r="S1659" s="272"/>
      <c r="T1659" s="273" t="str">
        <f t="shared" si="155"/>
        <v>-</v>
      </c>
    </row>
    <row r="1660" spans="1:20">
      <c r="A1660" s="269"/>
      <c r="B1660" s="277"/>
      <c r="C1660" s="55"/>
      <c r="D1660" s="55"/>
      <c r="E1660" s="55"/>
      <c r="F1660" s="55"/>
      <c r="G1660" s="275"/>
      <c r="H1660" s="276"/>
      <c r="I1660" s="213"/>
      <c r="J1660" s="213"/>
      <c r="K1660" s="269"/>
      <c r="L1660" s="272">
        <f t="shared" si="151"/>
        <v>1900</v>
      </c>
      <c r="M1660" s="272">
        <f t="shared" si="152"/>
        <v>1</v>
      </c>
      <c r="N1660" s="273"/>
      <c r="O1660" s="61">
        <f t="shared" si="153"/>
        <v>1900</v>
      </c>
      <c r="P1660" s="61">
        <f t="shared" si="154"/>
        <v>1</v>
      </c>
      <c r="R1660" s="272"/>
      <c r="S1660" s="272"/>
      <c r="T1660" s="273" t="str">
        <f t="shared" si="155"/>
        <v>-</v>
      </c>
    </row>
    <row r="1661" spans="1:20">
      <c r="A1661" s="269"/>
      <c r="B1661" s="277"/>
      <c r="C1661" s="55"/>
      <c r="D1661" s="55"/>
      <c r="E1661" s="55"/>
      <c r="F1661" s="55"/>
      <c r="G1661" s="275"/>
      <c r="H1661" s="276"/>
      <c r="I1661" s="213"/>
      <c r="J1661" s="213"/>
      <c r="K1661" s="269"/>
      <c r="L1661" s="272">
        <f t="shared" si="151"/>
        <v>1900</v>
      </c>
      <c r="M1661" s="272">
        <f t="shared" si="152"/>
        <v>1</v>
      </c>
      <c r="N1661" s="273"/>
      <c r="O1661" s="61">
        <f t="shared" si="153"/>
        <v>1900</v>
      </c>
      <c r="P1661" s="61">
        <f t="shared" si="154"/>
        <v>1</v>
      </c>
      <c r="R1661" s="272"/>
      <c r="S1661" s="272"/>
      <c r="T1661" s="273" t="str">
        <f t="shared" si="155"/>
        <v>-</v>
      </c>
    </row>
    <row r="1662" spans="1:20">
      <c r="A1662" s="269"/>
      <c r="B1662" s="277"/>
      <c r="C1662" s="55"/>
      <c r="D1662" s="55"/>
      <c r="E1662" s="55"/>
      <c r="F1662" s="55"/>
      <c r="G1662" s="275"/>
      <c r="H1662" s="276"/>
      <c r="I1662" s="213"/>
      <c r="J1662" s="213"/>
      <c r="K1662" s="269"/>
      <c r="L1662" s="272">
        <f t="shared" si="151"/>
        <v>1900</v>
      </c>
      <c r="M1662" s="272">
        <f t="shared" si="152"/>
        <v>1</v>
      </c>
      <c r="N1662" s="273"/>
      <c r="O1662" s="61">
        <f t="shared" si="153"/>
        <v>1900</v>
      </c>
      <c r="P1662" s="61">
        <f t="shared" si="154"/>
        <v>1</v>
      </c>
      <c r="R1662" s="272"/>
      <c r="S1662" s="272"/>
      <c r="T1662" s="273" t="str">
        <f t="shared" si="155"/>
        <v>-</v>
      </c>
    </row>
    <row r="1663" spans="1:20">
      <c r="A1663" s="269"/>
      <c r="B1663" s="277"/>
      <c r="C1663" s="55"/>
      <c r="D1663" s="55"/>
      <c r="E1663" s="55"/>
      <c r="F1663" s="55"/>
      <c r="G1663" s="275"/>
      <c r="H1663" s="276"/>
      <c r="I1663" s="213"/>
      <c r="J1663" s="213"/>
      <c r="K1663" s="269"/>
      <c r="L1663" s="272">
        <f t="shared" si="151"/>
        <v>1900</v>
      </c>
      <c r="M1663" s="272">
        <f t="shared" si="152"/>
        <v>1</v>
      </c>
      <c r="N1663" s="273"/>
      <c r="O1663" s="61">
        <f t="shared" si="153"/>
        <v>1900</v>
      </c>
      <c r="P1663" s="61">
        <f t="shared" si="154"/>
        <v>1</v>
      </c>
      <c r="R1663" s="272"/>
      <c r="S1663" s="272"/>
      <c r="T1663" s="273" t="str">
        <f t="shared" si="155"/>
        <v>-</v>
      </c>
    </row>
    <row r="1664" spans="1:20">
      <c r="A1664" s="269"/>
      <c r="B1664" s="277"/>
      <c r="C1664" s="55"/>
      <c r="D1664" s="55"/>
      <c r="E1664" s="55"/>
      <c r="F1664" s="55"/>
      <c r="G1664" s="275"/>
      <c r="H1664" s="276"/>
      <c r="I1664" s="213"/>
      <c r="J1664" s="213"/>
      <c r="K1664" s="269"/>
      <c r="L1664" s="272">
        <f t="shared" si="151"/>
        <v>1900</v>
      </c>
      <c r="M1664" s="272">
        <f t="shared" si="152"/>
        <v>1</v>
      </c>
      <c r="N1664" s="273"/>
      <c r="O1664" s="61">
        <f t="shared" si="153"/>
        <v>1900</v>
      </c>
      <c r="P1664" s="61">
        <f t="shared" si="154"/>
        <v>1</v>
      </c>
      <c r="R1664" s="272"/>
      <c r="S1664" s="272"/>
      <c r="T1664" s="273" t="str">
        <f t="shared" si="155"/>
        <v>-</v>
      </c>
    </row>
    <row r="1665" spans="1:20">
      <c r="A1665" s="269"/>
      <c r="B1665" s="277"/>
      <c r="C1665" s="55"/>
      <c r="D1665" s="55"/>
      <c r="E1665" s="55"/>
      <c r="F1665" s="55"/>
      <c r="G1665" s="275"/>
      <c r="H1665" s="276"/>
      <c r="I1665" s="213"/>
      <c r="J1665" s="213"/>
      <c r="K1665" s="269"/>
      <c r="L1665" s="272">
        <f t="shared" si="151"/>
        <v>1900</v>
      </c>
      <c r="M1665" s="272">
        <f t="shared" si="152"/>
        <v>1</v>
      </c>
      <c r="N1665" s="273"/>
      <c r="O1665" s="61">
        <f t="shared" si="153"/>
        <v>1900</v>
      </c>
      <c r="P1665" s="61">
        <f t="shared" si="154"/>
        <v>1</v>
      </c>
      <c r="R1665" s="272"/>
      <c r="S1665" s="272"/>
      <c r="T1665" s="273" t="str">
        <f t="shared" si="155"/>
        <v>-</v>
      </c>
    </row>
    <row r="1666" spans="1:20">
      <c r="A1666" s="269"/>
      <c r="B1666" s="277"/>
      <c r="C1666" s="55"/>
      <c r="D1666" s="55"/>
      <c r="E1666" s="55"/>
      <c r="F1666" s="55"/>
      <c r="G1666" s="275"/>
      <c r="H1666" s="276"/>
      <c r="I1666" s="213"/>
      <c r="J1666" s="213"/>
      <c r="K1666" s="269"/>
      <c r="L1666" s="272">
        <f t="shared" si="151"/>
        <v>1900</v>
      </c>
      <c r="M1666" s="272">
        <f t="shared" si="152"/>
        <v>1</v>
      </c>
      <c r="N1666" s="273"/>
      <c r="O1666" s="61">
        <f t="shared" si="153"/>
        <v>1900</v>
      </c>
      <c r="P1666" s="61">
        <f t="shared" si="154"/>
        <v>1</v>
      </c>
      <c r="R1666" s="272"/>
      <c r="S1666" s="272"/>
      <c r="T1666" s="273" t="str">
        <f t="shared" si="155"/>
        <v>-</v>
      </c>
    </row>
    <row r="1667" spans="1:20">
      <c r="A1667" s="269"/>
      <c r="B1667" s="277"/>
      <c r="C1667" s="55"/>
      <c r="D1667" s="55"/>
      <c r="E1667" s="55"/>
      <c r="F1667" s="55"/>
      <c r="G1667" s="275"/>
      <c r="H1667" s="276"/>
      <c r="I1667" s="213"/>
      <c r="J1667" s="213"/>
      <c r="K1667" s="269"/>
      <c r="L1667" s="272">
        <f t="shared" si="151"/>
        <v>1900</v>
      </c>
      <c r="M1667" s="272">
        <f t="shared" si="152"/>
        <v>1</v>
      </c>
      <c r="N1667" s="273"/>
      <c r="O1667" s="61">
        <f t="shared" si="153"/>
        <v>1900</v>
      </c>
      <c r="P1667" s="61">
        <f t="shared" si="154"/>
        <v>1</v>
      </c>
      <c r="R1667" s="272"/>
      <c r="S1667" s="272"/>
      <c r="T1667" s="273" t="str">
        <f t="shared" si="155"/>
        <v>-</v>
      </c>
    </row>
    <row r="1668" spans="1:20">
      <c r="A1668" s="269"/>
      <c r="B1668" s="277"/>
      <c r="C1668" s="55"/>
      <c r="D1668" s="55"/>
      <c r="E1668" s="55"/>
      <c r="F1668" s="55"/>
      <c r="G1668" s="275"/>
      <c r="H1668" s="276"/>
      <c r="I1668" s="213"/>
      <c r="J1668" s="213"/>
      <c r="K1668" s="269"/>
      <c r="L1668" s="272">
        <f t="shared" si="151"/>
        <v>1900</v>
      </c>
      <c r="M1668" s="272">
        <f t="shared" si="152"/>
        <v>1</v>
      </c>
      <c r="N1668" s="273"/>
      <c r="O1668" s="61">
        <f t="shared" si="153"/>
        <v>1900</v>
      </c>
      <c r="P1668" s="61">
        <f t="shared" si="154"/>
        <v>1</v>
      </c>
      <c r="R1668" s="272"/>
      <c r="S1668" s="272"/>
      <c r="T1668" s="273" t="str">
        <f t="shared" si="155"/>
        <v>-</v>
      </c>
    </row>
    <row r="1669" spans="1:20">
      <c r="A1669" s="269"/>
      <c r="B1669" s="277"/>
      <c r="C1669" s="55"/>
      <c r="D1669" s="55"/>
      <c r="E1669" s="55"/>
      <c r="F1669" s="55"/>
      <c r="G1669" s="275"/>
      <c r="H1669" s="276"/>
      <c r="I1669" s="213"/>
      <c r="J1669" s="213"/>
      <c r="K1669" s="269"/>
      <c r="L1669" s="272">
        <f t="shared" si="151"/>
        <v>1900</v>
      </c>
      <c r="M1669" s="272">
        <f t="shared" si="152"/>
        <v>1</v>
      </c>
      <c r="N1669" s="273"/>
      <c r="O1669" s="61">
        <f t="shared" si="153"/>
        <v>1900</v>
      </c>
      <c r="P1669" s="61">
        <f t="shared" si="154"/>
        <v>1</v>
      </c>
      <c r="R1669" s="272"/>
      <c r="S1669" s="272"/>
      <c r="T1669" s="273" t="str">
        <f t="shared" si="155"/>
        <v>-</v>
      </c>
    </row>
    <row r="1670" spans="1:20">
      <c r="A1670" s="269"/>
      <c r="B1670" s="277"/>
      <c r="C1670" s="55"/>
      <c r="D1670" s="55"/>
      <c r="E1670" s="55"/>
      <c r="F1670" s="55"/>
      <c r="G1670" s="275"/>
      <c r="H1670" s="276"/>
      <c r="I1670" s="213"/>
      <c r="J1670" s="213"/>
      <c r="K1670" s="269"/>
      <c r="L1670" s="272">
        <f t="shared" si="151"/>
        <v>1900</v>
      </c>
      <c r="M1670" s="272">
        <f t="shared" si="152"/>
        <v>1</v>
      </c>
      <c r="N1670" s="273"/>
      <c r="O1670" s="61">
        <f t="shared" si="153"/>
        <v>1900</v>
      </c>
      <c r="P1670" s="61">
        <f t="shared" si="154"/>
        <v>1</v>
      </c>
      <c r="R1670" s="272"/>
      <c r="S1670" s="272"/>
      <c r="T1670" s="273" t="str">
        <f t="shared" si="155"/>
        <v>-</v>
      </c>
    </row>
    <row r="1671" spans="1:20">
      <c r="A1671" s="269"/>
      <c r="B1671" s="277"/>
      <c r="C1671" s="55"/>
      <c r="D1671" s="55"/>
      <c r="E1671" s="55"/>
      <c r="F1671" s="55"/>
      <c r="G1671" s="275"/>
      <c r="H1671" s="276"/>
      <c r="I1671" s="213"/>
      <c r="J1671" s="213"/>
      <c r="K1671" s="269"/>
      <c r="L1671" s="272">
        <f t="shared" si="151"/>
        <v>1900</v>
      </c>
      <c r="M1671" s="272">
        <f t="shared" si="152"/>
        <v>1</v>
      </c>
      <c r="N1671" s="273"/>
      <c r="O1671" s="61">
        <f t="shared" si="153"/>
        <v>1900</v>
      </c>
      <c r="P1671" s="61">
        <f t="shared" si="154"/>
        <v>1</v>
      </c>
      <c r="R1671" s="272"/>
      <c r="S1671" s="272"/>
      <c r="T1671" s="273" t="str">
        <f t="shared" si="155"/>
        <v>-</v>
      </c>
    </row>
    <row r="1672" spans="1:20">
      <c r="A1672" s="269"/>
      <c r="B1672" s="277"/>
      <c r="C1672" s="55"/>
      <c r="D1672" s="55"/>
      <c r="E1672" s="55"/>
      <c r="F1672" s="55"/>
      <c r="G1672" s="275"/>
      <c r="H1672" s="276"/>
      <c r="I1672" s="213"/>
      <c r="J1672" s="213"/>
      <c r="K1672" s="269"/>
      <c r="L1672" s="272">
        <f t="shared" si="151"/>
        <v>1900</v>
      </c>
      <c r="M1672" s="272">
        <f t="shared" si="152"/>
        <v>1</v>
      </c>
      <c r="N1672" s="273"/>
      <c r="O1672" s="61">
        <f t="shared" si="153"/>
        <v>1900</v>
      </c>
      <c r="P1672" s="61">
        <f t="shared" si="154"/>
        <v>1</v>
      </c>
      <c r="R1672" s="272"/>
      <c r="S1672" s="272"/>
      <c r="T1672" s="273" t="str">
        <f t="shared" si="155"/>
        <v>-</v>
      </c>
    </row>
    <row r="1673" spans="1:20">
      <c r="A1673" s="269"/>
      <c r="B1673" s="277"/>
      <c r="C1673" s="55"/>
      <c r="D1673" s="55"/>
      <c r="E1673" s="55"/>
      <c r="F1673" s="55"/>
      <c r="G1673" s="275"/>
      <c r="H1673" s="276"/>
      <c r="I1673" s="213"/>
      <c r="J1673" s="213"/>
      <c r="K1673" s="269"/>
      <c r="L1673" s="272">
        <f t="shared" si="151"/>
        <v>1900</v>
      </c>
      <c r="M1673" s="272">
        <f t="shared" si="152"/>
        <v>1</v>
      </c>
      <c r="N1673" s="273"/>
      <c r="O1673" s="61">
        <f t="shared" si="153"/>
        <v>1900</v>
      </c>
      <c r="P1673" s="61">
        <f t="shared" si="154"/>
        <v>1</v>
      </c>
      <c r="R1673" s="272"/>
      <c r="S1673" s="272"/>
      <c r="T1673" s="273" t="str">
        <f t="shared" si="155"/>
        <v>-</v>
      </c>
    </row>
    <row r="1674" spans="1:20">
      <c r="A1674" s="269"/>
      <c r="B1674" s="277"/>
      <c r="C1674" s="55"/>
      <c r="D1674" s="55"/>
      <c r="E1674" s="55"/>
      <c r="F1674" s="55"/>
      <c r="G1674" s="275"/>
      <c r="H1674" s="276"/>
      <c r="I1674" s="213"/>
      <c r="J1674" s="213"/>
      <c r="K1674" s="269"/>
      <c r="L1674" s="272">
        <f t="shared" si="151"/>
        <v>1900</v>
      </c>
      <c r="M1674" s="272">
        <f t="shared" si="152"/>
        <v>1</v>
      </c>
      <c r="N1674" s="273"/>
      <c r="O1674" s="61">
        <f t="shared" si="153"/>
        <v>1900</v>
      </c>
      <c r="P1674" s="61">
        <f t="shared" si="154"/>
        <v>1</v>
      </c>
      <c r="R1674" s="272"/>
      <c r="S1674" s="272"/>
      <c r="T1674" s="273" t="str">
        <f t="shared" si="155"/>
        <v>-</v>
      </c>
    </row>
    <row r="1675" spans="1:20">
      <c r="A1675" s="269"/>
      <c r="B1675" s="277"/>
      <c r="C1675" s="55"/>
      <c r="D1675" s="55"/>
      <c r="E1675" s="55"/>
      <c r="F1675" s="55"/>
      <c r="G1675" s="275"/>
      <c r="H1675" s="276"/>
      <c r="I1675" s="213"/>
      <c r="J1675" s="213"/>
      <c r="K1675" s="269"/>
      <c r="L1675" s="272">
        <f t="shared" si="151"/>
        <v>1900</v>
      </c>
      <c r="M1675" s="272">
        <f t="shared" si="152"/>
        <v>1</v>
      </c>
      <c r="N1675" s="273"/>
      <c r="O1675" s="61">
        <f t="shared" si="153"/>
        <v>1900</v>
      </c>
      <c r="P1675" s="61">
        <f t="shared" si="154"/>
        <v>1</v>
      </c>
      <c r="R1675" s="272"/>
      <c r="S1675" s="272"/>
      <c r="T1675" s="273" t="str">
        <f t="shared" si="155"/>
        <v>-</v>
      </c>
    </row>
    <row r="1676" spans="1:20">
      <c r="A1676" s="269"/>
      <c r="B1676" s="277"/>
      <c r="C1676" s="55"/>
      <c r="D1676" s="55"/>
      <c r="E1676" s="55"/>
      <c r="F1676" s="55"/>
      <c r="G1676" s="275"/>
      <c r="H1676" s="276"/>
      <c r="I1676" s="213"/>
      <c r="J1676" s="213"/>
      <c r="K1676" s="269"/>
      <c r="L1676" s="272">
        <f t="shared" si="151"/>
        <v>1900</v>
      </c>
      <c r="M1676" s="272">
        <f t="shared" si="152"/>
        <v>1</v>
      </c>
      <c r="N1676" s="273"/>
      <c r="O1676" s="61">
        <f t="shared" si="153"/>
        <v>1900</v>
      </c>
      <c r="P1676" s="61">
        <f t="shared" si="154"/>
        <v>1</v>
      </c>
      <c r="R1676" s="272"/>
      <c r="S1676" s="272"/>
      <c r="T1676" s="273" t="str">
        <f t="shared" si="155"/>
        <v>-</v>
      </c>
    </row>
    <row r="1677" spans="1:20">
      <c r="A1677" s="269"/>
      <c r="B1677" s="277"/>
      <c r="C1677" s="55"/>
      <c r="D1677" s="55"/>
      <c r="E1677" s="55"/>
      <c r="F1677" s="55"/>
      <c r="G1677" s="275"/>
      <c r="H1677" s="276"/>
      <c r="I1677" s="213"/>
      <c r="J1677" s="213"/>
      <c r="K1677" s="269"/>
      <c r="L1677" s="272">
        <f t="shared" si="151"/>
        <v>1900</v>
      </c>
      <c r="M1677" s="272">
        <f t="shared" si="152"/>
        <v>1</v>
      </c>
      <c r="N1677" s="273"/>
      <c r="O1677" s="61">
        <f t="shared" si="153"/>
        <v>1900</v>
      </c>
      <c r="P1677" s="61">
        <f t="shared" si="154"/>
        <v>1</v>
      </c>
      <c r="R1677" s="272"/>
      <c r="S1677" s="272"/>
      <c r="T1677" s="273" t="str">
        <f t="shared" si="155"/>
        <v>-</v>
      </c>
    </row>
    <row r="1678" spans="1:20">
      <c r="A1678" s="269"/>
      <c r="B1678" s="277"/>
      <c r="C1678" s="55"/>
      <c r="D1678" s="55"/>
      <c r="E1678" s="55"/>
      <c r="F1678" s="55"/>
      <c r="G1678" s="275"/>
      <c r="H1678" s="276"/>
      <c r="I1678" s="213"/>
      <c r="J1678" s="213"/>
      <c r="K1678" s="269"/>
      <c r="L1678" s="272">
        <f t="shared" si="151"/>
        <v>1900</v>
      </c>
      <c r="M1678" s="272">
        <f t="shared" si="152"/>
        <v>1</v>
      </c>
      <c r="N1678" s="273"/>
      <c r="O1678" s="61">
        <f t="shared" si="153"/>
        <v>1900</v>
      </c>
      <c r="P1678" s="61">
        <f t="shared" si="154"/>
        <v>1</v>
      </c>
      <c r="R1678" s="272"/>
      <c r="S1678" s="272"/>
      <c r="T1678" s="273" t="str">
        <f t="shared" si="155"/>
        <v>-</v>
      </c>
    </row>
    <row r="1679" spans="1:20">
      <c r="A1679" s="269"/>
      <c r="B1679" s="277"/>
      <c r="C1679" s="55"/>
      <c r="D1679" s="55"/>
      <c r="E1679" s="55"/>
      <c r="F1679" s="55"/>
      <c r="G1679" s="275"/>
      <c r="H1679" s="276"/>
      <c r="I1679" s="213"/>
      <c r="J1679" s="213"/>
      <c r="K1679" s="269"/>
      <c r="L1679" s="272">
        <f t="shared" si="151"/>
        <v>1900</v>
      </c>
      <c r="M1679" s="272">
        <f t="shared" si="152"/>
        <v>1</v>
      </c>
      <c r="N1679" s="273"/>
      <c r="O1679" s="61">
        <f t="shared" si="153"/>
        <v>1900</v>
      </c>
      <c r="P1679" s="61">
        <f t="shared" si="154"/>
        <v>1</v>
      </c>
      <c r="R1679" s="272"/>
      <c r="S1679" s="272"/>
      <c r="T1679" s="273" t="str">
        <f t="shared" si="155"/>
        <v>-</v>
      </c>
    </row>
    <row r="1680" spans="1:20">
      <c r="A1680" s="269"/>
      <c r="B1680" s="277"/>
      <c r="C1680" s="55"/>
      <c r="D1680" s="55"/>
      <c r="E1680" s="55"/>
      <c r="F1680" s="55"/>
      <c r="G1680" s="275"/>
      <c r="H1680" s="276"/>
      <c r="I1680" s="213"/>
      <c r="J1680" s="213"/>
      <c r="K1680" s="269"/>
      <c r="L1680" s="272">
        <f t="shared" ref="L1680:L1743" si="156">YEAR(B1680)</f>
        <v>1900</v>
      </c>
      <c r="M1680" s="272">
        <f t="shared" ref="M1680:M1743" si="157">MONTH(B1680)</f>
        <v>1</v>
      </c>
      <c r="N1680" s="273"/>
      <c r="O1680" s="61">
        <f t="shared" ref="O1680:O1743" si="158">YEAR(B1680)</f>
        <v>1900</v>
      </c>
      <c r="P1680" s="61">
        <f t="shared" ref="P1680:P1743" si="159">MONTH(B1680)</f>
        <v>1</v>
      </c>
      <c r="R1680" s="272"/>
      <c r="S1680" s="272"/>
      <c r="T1680" s="273" t="str">
        <f t="shared" ref="T1680:T1743" si="160">IF($E1680&gt;0,IF((R1680+S1680)=$E1680,"OK","Error"),"-")</f>
        <v>-</v>
      </c>
    </row>
    <row r="1681" spans="1:20">
      <c r="A1681" s="269"/>
      <c r="B1681" s="277"/>
      <c r="C1681" s="55"/>
      <c r="D1681" s="55"/>
      <c r="E1681" s="55"/>
      <c r="F1681" s="55"/>
      <c r="G1681" s="275"/>
      <c r="H1681" s="276"/>
      <c r="I1681" s="213"/>
      <c r="J1681" s="213"/>
      <c r="K1681" s="269"/>
      <c r="L1681" s="272">
        <f t="shared" si="156"/>
        <v>1900</v>
      </c>
      <c r="M1681" s="272">
        <f t="shared" si="157"/>
        <v>1</v>
      </c>
      <c r="N1681" s="273"/>
      <c r="O1681" s="61">
        <f t="shared" si="158"/>
        <v>1900</v>
      </c>
      <c r="P1681" s="61">
        <f t="shared" si="159"/>
        <v>1</v>
      </c>
      <c r="R1681" s="272"/>
      <c r="S1681" s="272"/>
      <c r="T1681" s="273" t="str">
        <f t="shared" si="160"/>
        <v>-</v>
      </c>
    </row>
    <row r="1682" spans="1:20">
      <c r="A1682" s="269"/>
      <c r="B1682" s="277"/>
      <c r="C1682" s="55"/>
      <c r="D1682" s="55"/>
      <c r="E1682" s="55"/>
      <c r="F1682" s="55"/>
      <c r="G1682" s="275"/>
      <c r="H1682" s="276"/>
      <c r="I1682" s="213"/>
      <c r="J1682" s="213"/>
      <c r="K1682" s="269"/>
      <c r="L1682" s="272">
        <f t="shared" si="156"/>
        <v>1900</v>
      </c>
      <c r="M1682" s="272">
        <f t="shared" si="157"/>
        <v>1</v>
      </c>
      <c r="N1682" s="273"/>
      <c r="O1682" s="61">
        <f t="shared" si="158"/>
        <v>1900</v>
      </c>
      <c r="P1682" s="61">
        <f t="shared" si="159"/>
        <v>1</v>
      </c>
      <c r="R1682" s="272"/>
      <c r="S1682" s="272"/>
      <c r="T1682" s="273" t="str">
        <f t="shared" si="160"/>
        <v>-</v>
      </c>
    </row>
    <row r="1683" spans="1:20">
      <c r="A1683" s="269"/>
      <c r="B1683" s="277"/>
      <c r="C1683" s="55"/>
      <c r="D1683" s="55"/>
      <c r="E1683" s="55"/>
      <c r="F1683" s="55"/>
      <c r="G1683" s="275"/>
      <c r="H1683" s="276"/>
      <c r="I1683" s="213"/>
      <c r="J1683" s="213"/>
      <c r="K1683" s="269"/>
      <c r="L1683" s="272">
        <f t="shared" si="156"/>
        <v>1900</v>
      </c>
      <c r="M1683" s="272">
        <f t="shared" si="157"/>
        <v>1</v>
      </c>
      <c r="N1683" s="273"/>
      <c r="O1683" s="61">
        <f t="shared" si="158"/>
        <v>1900</v>
      </c>
      <c r="P1683" s="61">
        <f t="shared" si="159"/>
        <v>1</v>
      </c>
      <c r="R1683" s="272"/>
      <c r="S1683" s="272"/>
      <c r="T1683" s="273" t="str">
        <f t="shared" si="160"/>
        <v>-</v>
      </c>
    </row>
    <row r="1684" spans="1:20">
      <c r="A1684" s="269"/>
      <c r="B1684" s="277"/>
      <c r="C1684" s="55"/>
      <c r="D1684" s="55"/>
      <c r="E1684" s="55"/>
      <c r="F1684" s="55"/>
      <c r="G1684" s="275"/>
      <c r="H1684" s="276"/>
      <c r="I1684" s="213"/>
      <c r="J1684" s="213"/>
      <c r="K1684" s="269"/>
      <c r="L1684" s="272">
        <f t="shared" si="156"/>
        <v>1900</v>
      </c>
      <c r="M1684" s="272">
        <f t="shared" si="157"/>
        <v>1</v>
      </c>
      <c r="N1684" s="273"/>
      <c r="O1684" s="61">
        <f t="shared" si="158"/>
        <v>1900</v>
      </c>
      <c r="P1684" s="61">
        <f t="shared" si="159"/>
        <v>1</v>
      </c>
      <c r="R1684" s="272"/>
      <c r="S1684" s="272"/>
      <c r="T1684" s="273" t="str">
        <f t="shared" si="160"/>
        <v>-</v>
      </c>
    </row>
    <row r="1685" spans="1:20">
      <c r="A1685" s="269"/>
      <c r="B1685" s="277"/>
      <c r="C1685" s="55"/>
      <c r="D1685" s="55"/>
      <c r="E1685" s="55"/>
      <c r="F1685" s="55"/>
      <c r="G1685" s="275"/>
      <c r="H1685" s="276"/>
      <c r="I1685" s="213"/>
      <c r="J1685" s="213"/>
      <c r="K1685" s="269"/>
      <c r="L1685" s="272">
        <f t="shared" si="156"/>
        <v>1900</v>
      </c>
      <c r="M1685" s="272">
        <f t="shared" si="157"/>
        <v>1</v>
      </c>
      <c r="N1685" s="273"/>
      <c r="O1685" s="61">
        <f t="shared" si="158"/>
        <v>1900</v>
      </c>
      <c r="P1685" s="61">
        <f t="shared" si="159"/>
        <v>1</v>
      </c>
      <c r="R1685" s="272"/>
      <c r="S1685" s="272"/>
      <c r="T1685" s="273" t="str">
        <f t="shared" si="160"/>
        <v>-</v>
      </c>
    </row>
    <row r="1686" spans="1:20">
      <c r="A1686" s="269"/>
      <c r="B1686" s="277"/>
      <c r="C1686" s="55"/>
      <c r="D1686" s="55"/>
      <c r="E1686" s="55"/>
      <c r="F1686" s="55"/>
      <c r="G1686" s="275"/>
      <c r="H1686" s="276"/>
      <c r="I1686" s="213"/>
      <c r="J1686" s="213"/>
      <c r="K1686" s="269"/>
      <c r="L1686" s="272">
        <f t="shared" si="156"/>
        <v>1900</v>
      </c>
      <c r="M1686" s="272">
        <f t="shared" si="157"/>
        <v>1</v>
      </c>
      <c r="N1686" s="273"/>
      <c r="O1686" s="61">
        <f t="shared" si="158"/>
        <v>1900</v>
      </c>
      <c r="P1686" s="61">
        <f t="shared" si="159"/>
        <v>1</v>
      </c>
      <c r="R1686" s="272"/>
      <c r="S1686" s="272"/>
      <c r="T1686" s="273" t="str">
        <f t="shared" si="160"/>
        <v>-</v>
      </c>
    </row>
    <row r="1687" spans="1:20">
      <c r="A1687" s="269"/>
      <c r="B1687" s="277"/>
      <c r="C1687" s="55"/>
      <c r="D1687" s="55"/>
      <c r="E1687" s="55"/>
      <c r="F1687" s="55"/>
      <c r="G1687" s="275"/>
      <c r="H1687" s="276"/>
      <c r="I1687" s="213"/>
      <c r="J1687" s="213"/>
      <c r="K1687" s="269"/>
      <c r="L1687" s="272">
        <f t="shared" si="156"/>
        <v>1900</v>
      </c>
      <c r="M1687" s="272">
        <f t="shared" si="157"/>
        <v>1</v>
      </c>
      <c r="N1687" s="273"/>
      <c r="O1687" s="61">
        <f t="shared" si="158"/>
        <v>1900</v>
      </c>
      <c r="P1687" s="61">
        <f t="shared" si="159"/>
        <v>1</v>
      </c>
      <c r="R1687" s="272"/>
      <c r="S1687" s="272"/>
      <c r="T1687" s="273" t="str">
        <f t="shared" si="160"/>
        <v>-</v>
      </c>
    </row>
    <row r="1688" spans="1:20">
      <c r="A1688" s="269"/>
      <c r="B1688" s="277"/>
      <c r="C1688" s="55"/>
      <c r="D1688" s="55"/>
      <c r="E1688" s="55"/>
      <c r="F1688" s="55"/>
      <c r="G1688" s="275"/>
      <c r="H1688" s="276"/>
      <c r="I1688" s="213"/>
      <c r="J1688" s="213"/>
      <c r="K1688" s="269"/>
      <c r="L1688" s="272">
        <f t="shared" si="156"/>
        <v>1900</v>
      </c>
      <c r="M1688" s="272">
        <f t="shared" si="157"/>
        <v>1</v>
      </c>
      <c r="N1688" s="273"/>
      <c r="O1688" s="61">
        <f t="shared" si="158"/>
        <v>1900</v>
      </c>
      <c r="P1688" s="61">
        <f t="shared" si="159"/>
        <v>1</v>
      </c>
      <c r="R1688" s="272"/>
      <c r="S1688" s="272"/>
      <c r="T1688" s="273" t="str">
        <f t="shared" si="160"/>
        <v>-</v>
      </c>
    </row>
    <row r="1689" spans="1:20">
      <c r="A1689" s="269"/>
      <c r="B1689" s="277"/>
      <c r="C1689" s="55"/>
      <c r="D1689" s="55"/>
      <c r="E1689" s="55"/>
      <c r="F1689" s="55"/>
      <c r="G1689" s="275"/>
      <c r="H1689" s="276"/>
      <c r="I1689" s="213"/>
      <c r="J1689" s="213"/>
      <c r="K1689" s="269"/>
      <c r="L1689" s="272">
        <f t="shared" si="156"/>
        <v>1900</v>
      </c>
      <c r="M1689" s="272">
        <f t="shared" si="157"/>
        <v>1</v>
      </c>
      <c r="N1689" s="273"/>
      <c r="O1689" s="61">
        <f t="shared" si="158"/>
        <v>1900</v>
      </c>
      <c r="P1689" s="61">
        <f t="shared" si="159"/>
        <v>1</v>
      </c>
      <c r="R1689" s="272"/>
      <c r="S1689" s="272"/>
      <c r="T1689" s="273" t="str">
        <f t="shared" si="160"/>
        <v>-</v>
      </c>
    </row>
    <row r="1690" spans="1:20">
      <c r="A1690" s="269"/>
      <c r="B1690" s="277"/>
      <c r="C1690" s="55"/>
      <c r="D1690" s="55"/>
      <c r="E1690" s="55"/>
      <c r="F1690" s="55"/>
      <c r="G1690" s="275"/>
      <c r="H1690" s="276"/>
      <c r="I1690" s="213"/>
      <c r="J1690" s="213"/>
      <c r="K1690" s="269"/>
      <c r="L1690" s="272">
        <f t="shared" si="156"/>
        <v>1900</v>
      </c>
      <c r="M1690" s="272">
        <f t="shared" si="157"/>
        <v>1</v>
      </c>
      <c r="N1690" s="273"/>
      <c r="O1690" s="61">
        <f t="shared" si="158"/>
        <v>1900</v>
      </c>
      <c r="P1690" s="61">
        <f t="shared" si="159"/>
        <v>1</v>
      </c>
      <c r="R1690" s="272"/>
      <c r="S1690" s="272"/>
      <c r="T1690" s="273" t="str">
        <f t="shared" si="160"/>
        <v>-</v>
      </c>
    </row>
    <row r="1691" spans="1:20">
      <c r="A1691" s="269"/>
      <c r="B1691" s="277"/>
      <c r="C1691" s="55"/>
      <c r="D1691" s="55"/>
      <c r="E1691" s="55"/>
      <c r="F1691" s="55"/>
      <c r="G1691" s="275"/>
      <c r="H1691" s="276"/>
      <c r="I1691" s="213"/>
      <c r="J1691" s="213"/>
      <c r="K1691" s="269"/>
      <c r="L1691" s="272">
        <f t="shared" si="156"/>
        <v>1900</v>
      </c>
      <c r="M1691" s="272">
        <f t="shared" si="157"/>
        <v>1</v>
      </c>
      <c r="N1691" s="273"/>
      <c r="O1691" s="61">
        <f t="shared" si="158"/>
        <v>1900</v>
      </c>
      <c r="P1691" s="61">
        <f t="shared" si="159"/>
        <v>1</v>
      </c>
      <c r="R1691" s="272"/>
      <c r="S1691" s="272"/>
      <c r="T1691" s="273" t="str">
        <f t="shared" si="160"/>
        <v>-</v>
      </c>
    </row>
    <row r="1692" spans="1:20">
      <c r="A1692" s="269"/>
      <c r="B1692" s="277"/>
      <c r="C1692" s="55"/>
      <c r="D1692" s="55"/>
      <c r="E1692" s="55"/>
      <c r="F1692" s="55"/>
      <c r="G1692" s="275"/>
      <c r="H1692" s="276"/>
      <c r="I1692" s="213"/>
      <c r="J1692" s="213"/>
      <c r="K1692" s="269"/>
      <c r="L1692" s="272">
        <f t="shared" si="156"/>
        <v>1900</v>
      </c>
      <c r="M1692" s="272">
        <f t="shared" si="157"/>
        <v>1</v>
      </c>
      <c r="N1692" s="273"/>
      <c r="O1692" s="61">
        <f t="shared" si="158"/>
        <v>1900</v>
      </c>
      <c r="P1692" s="61">
        <f t="shared" si="159"/>
        <v>1</v>
      </c>
      <c r="R1692" s="272"/>
      <c r="S1692" s="272"/>
      <c r="T1692" s="273" t="str">
        <f t="shared" si="160"/>
        <v>-</v>
      </c>
    </row>
    <row r="1693" spans="1:20">
      <c r="A1693" s="269"/>
      <c r="B1693" s="277"/>
      <c r="C1693" s="55"/>
      <c r="D1693" s="55"/>
      <c r="E1693" s="55"/>
      <c r="F1693" s="55"/>
      <c r="G1693" s="275"/>
      <c r="H1693" s="276"/>
      <c r="I1693" s="213"/>
      <c r="J1693" s="213"/>
      <c r="K1693" s="269"/>
      <c r="L1693" s="272">
        <f t="shared" si="156"/>
        <v>1900</v>
      </c>
      <c r="M1693" s="272">
        <f t="shared" si="157"/>
        <v>1</v>
      </c>
      <c r="N1693" s="273"/>
      <c r="O1693" s="61">
        <f t="shared" si="158"/>
        <v>1900</v>
      </c>
      <c r="P1693" s="61">
        <f t="shared" si="159"/>
        <v>1</v>
      </c>
      <c r="R1693" s="272"/>
      <c r="S1693" s="272"/>
      <c r="T1693" s="273" t="str">
        <f t="shared" si="160"/>
        <v>-</v>
      </c>
    </row>
    <row r="1694" spans="1:20">
      <c r="A1694" s="269"/>
      <c r="B1694" s="277"/>
      <c r="C1694" s="55"/>
      <c r="D1694" s="55"/>
      <c r="E1694" s="55"/>
      <c r="F1694" s="55"/>
      <c r="G1694" s="275"/>
      <c r="H1694" s="276"/>
      <c r="I1694" s="213"/>
      <c r="J1694" s="213"/>
      <c r="K1694" s="269"/>
      <c r="L1694" s="272">
        <f t="shared" si="156"/>
        <v>1900</v>
      </c>
      <c r="M1694" s="272">
        <f t="shared" si="157"/>
        <v>1</v>
      </c>
      <c r="N1694" s="273"/>
      <c r="O1694" s="61">
        <f t="shared" si="158"/>
        <v>1900</v>
      </c>
      <c r="P1694" s="61">
        <f t="shared" si="159"/>
        <v>1</v>
      </c>
      <c r="R1694" s="272"/>
      <c r="S1694" s="272"/>
      <c r="T1694" s="273" t="str">
        <f t="shared" si="160"/>
        <v>-</v>
      </c>
    </row>
    <row r="1695" spans="1:20">
      <c r="A1695" s="269"/>
      <c r="B1695" s="277"/>
      <c r="C1695" s="55"/>
      <c r="D1695" s="55"/>
      <c r="E1695" s="55"/>
      <c r="F1695" s="55"/>
      <c r="G1695" s="275"/>
      <c r="H1695" s="276"/>
      <c r="I1695" s="213"/>
      <c r="J1695" s="213"/>
      <c r="K1695" s="269"/>
      <c r="L1695" s="272">
        <f t="shared" si="156"/>
        <v>1900</v>
      </c>
      <c r="M1695" s="272">
        <f t="shared" si="157"/>
        <v>1</v>
      </c>
      <c r="N1695" s="273"/>
      <c r="O1695" s="61">
        <f t="shared" si="158"/>
        <v>1900</v>
      </c>
      <c r="P1695" s="61">
        <f t="shared" si="159"/>
        <v>1</v>
      </c>
      <c r="R1695" s="272"/>
      <c r="S1695" s="272"/>
      <c r="T1695" s="273" t="str">
        <f t="shared" si="160"/>
        <v>-</v>
      </c>
    </row>
    <row r="1696" spans="1:20">
      <c r="A1696" s="269"/>
      <c r="B1696" s="277"/>
      <c r="C1696" s="55"/>
      <c r="D1696" s="55"/>
      <c r="E1696" s="55"/>
      <c r="F1696" s="55"/>
      <c r="G1696" s="275"/>
      <c r="H1696" s="276"/>
      <c r="I1696" s="213"/>
      <c r="J1696" s="213"/>
      <c r="K1696" s="269"/>
      <c r="L1696" s="272">
        <f t="shared" si="156"/>
        <v>1900</v>
      </c>
      <c r="M1696" s="272">
        <f t="shared" si="157"/>
        <v>1</v>
      </c>
      <c r="N1696" s="273"/>
      <c r="O1696" s="61">
        <f t="shared" si="158"/>
        <v>1900</v>
      </c>
      <c r="P1696" s="61">
        <f t="shared" si="159"/>
        <v>1</v>
      </c>
      <c r="R1696" s="272"/>
      <c r="S1696" s="272"/>
      <c r="T1696" s="273" t="str">
        <f t="shared" si="160"/>
        <v>-</v>
      </c>
    </row>
    <row r="1697" spans="1:20">
      <c r="A1697" s="269"/>
      <c r="B1697" s="277"/>
      <c r="C1697" s="55"/>
      <c r="D1697" s="55"/>
      <c r="E1697" s="55"/>
      <c r="F1697" s="55"/>
      <c r="G1697" s="275"/>
      <c r="H1697" s="276"/>
      <c r="I1697" s="213"/>
      <c r="J1697" s="213"/>
      <c r="K1697" s="269"/>
      <c r="L1697" s="272">
        <f t="shared" si="156"/>
        <v>1900</v>
      </c>
      <c r="M1697" s="272">
        <f t="shared" si="157"/>
        <v>1</v>
      </c>
      <c r="N1697" s="273"/>
      <c r="O1697" s="61">
        <f t="shared" si="158"/>
        <v>1900</v>
      </c>
      <c r="P1697" s="61">
        <f t="shared" si="159"/>
        <v>1</v>
      </c>
      <c r="R1697" s="272"/>
      <c r="S1697" s="272"/>
      <c r="T1697" s="273" t="str">
        <f t="shared" si="160"/>
        <v>-</v>
      </c>
    </row>
    <row r="1698" spans="1:20">
      <c r="A1698" s="269"/>
      <c r="B1698" s="277"/>
      <c r="C1698" s="55"/>
      <c r="D1698" s="55"/>
      <c r="E1698" s="55"/>
      <c r="F1698" s="55"/>
      <c r="G1698" s="275"/>
      <c r="H1698" s="276"/>
      <c r="I1698" s="213"/>
      <c r="J1698" s="213"/>
      <c r="K1698" s="269"/>
      <c r="L1698" s="272">
        <f t="shared" si="156"/>
        <v>1900</v>
      </c>
      <c r="M1698" s="272">
        <f t="shared" si="157"/>
        <v>1</v>
      </c>
      <c r="N1698" s="273"/>
      <c r="O1698" s="61">
        <f t="shared" si="158"/>
        <v>1900</v>
      </c>
      <c r="P1698" s="61">
        <f t="shared" si="159"/>
        <v>1</v>
      </c>
      <c r="R1698" s="272"/>
      <c r="S1698" s="272"/>
      <c r="T1698" s="273" t="str">
        <f t="shared" si="160"/>
        <v>-</v>
      </c>
    </row>
    <row r="1699" spans="1:20">
      <c r="A1699" s="269"/>
      <c r="B1699" s="277"/>
      <c r="C1699" s="55"/>
      <c r="D1699" s="55"/>
      <c r="E1699" s="55"/>
      <c r="F1699" s="55"/>
      <c r="G1699" s="275"/>
      <c r="H1699" s="276"/>
      <c r="I1699" s="213"/>
      <c r="J1699" s="213"/>
      <c r="K1699" s="269"/>
      <c r="L1699" s="272">
        <f t="shared" si="156"/>
        <v>1900</v>
      </c>
      <c r="M1699" s="272">
        <f t="shared" si="157"/>
        <v>1</v>
      </c>
      <c r="N1699" s="273"/>
      <c r="O1699" s="61">
        <f t="shared" si="158"/>
        <v>1900</v>
      </c>
      <c r="P1699" s="61">
        <f t="shared" si="159"/>
        <v>1</v>
      </c>
      <c r="R1699" s="272"/>
      <c r="S1699" s="272"/>
      <c r="T1699" s="273" t="str">
        <f t="shared" si="160"/>
        <v>-</v>
      </c>
    </row>
    <row r="1700" spans="1:20">
      <c r="A1700" s="269"/>
      <c r="B1700" s="277"/>
      <c r="C1700" s="55"/>
      <c r="D1700" s="55"/>
      <c r="E1700" s="55"/>
      <c r="F1700" s="55"/>
      <c r="G1700" s="275"/>
      <c r="H1700" s="276"/>
      <c r="I1700" s="213"/>
      <c r="J1700" s="213"/>
      <c r="K1700" s="269"/>
      <c r="L1700" s="272">
        <f t="shared" si="156"/>
        <v>1900</v>
      </c>
      <c r="M1700" s="272">
        <f t="shared" si="157"/>
        <v>1</v>
      </c>
      <c r="N1700" s="273"/>
      <c r="O1700" s="61">
        <f t="shared" si="158"/>
        <v>1900</v>
      </c>
      <c r="P1700" s="61">
        <f t="shared" si="159"/>
        <v>1</v>
      </c>
      <c r="R1700" s="272"/>
      <c r="S1700" s="272"/>
      <c r="T1700" s="273" t="str">
        <f t="shared" si="160"/>
        <v>-</v>
      </c>
    </row>
    <row r="1701" spans="1:20">
      <c r="A1701" s="269"/>
      <c r="B1701" s="277"/>
      <c r="C1701" s="55"/>
      <c r="D1701" s="55"/>
      <c r="E1701" s="55"/>
      <c r="F1701" s="55"/>
      <c r="G1701" s="275"/>
      <c r="H1701" s="276"/>
      <c r="I1701" s="213"/>
      <c r="J1701" s="213"/>
      <c r="K1701" s="269"/>
      <c r="L1701" s="272">
        <f t="shared" si="156"/>
        <v>1900</v>
      </c>
      <c r="M1701" s="272">
        <f t="shared" si="157"/>
        <v>1</v>
      </c>
      <c r="N1701" s="273"/>
      <c r="O1701" s="61">
        <f t="shared" si="158"/>
        <v>1900</v>
      </c>
      <c r="P1701" s="61">
        <f t="shared" si="159"/>
        <v>1</v>
      </c>
      <c r="R1701" s="272"/>
      <c r="S1701" s="272"/>
      <c r="T1701" s="273" t="str">
        <f t="shared" si="160"/>
        <v>-</v>
      </c>
    </row>
    <row r="1702" spans="1:20">
      <c r="A1702" s="269"/>
      <c r="B1702" s="277"/>
      <c r="C1702" s="55"/>
      <c r="D1702" s="55"/>
      <c r="E1702" s="55"/>
      <c r="F1702" s="55"/>
      <c r="G1702" s="275"/>
      <c r="H1702" s="276"/>
      <c r="I1702" s="213"/>
      <c r="J1702" s="213"/>
      <c r="K1702" s="269"/>
      <c r="L1702" s="272">
        <f t="shared" si="156"/>
        <v>1900</v>
      </c>
      <c r="M1702" s="272">
        <f t="shared" si="157"/>
        <v>1</v>
      </c>
      <c r="N1702" s="273"/>
      <c r="O1702" s="61">
        <f t="shared" si="158"/>
        <v>1900</v>
      </c>
      <c r="P1702" s="61">
        <f t="shared" si="159"/>
        <v>1</v>
      </c>
      <c r="R1702" s="272"/>
      <c r="S1702" s="272"/>
      <c r="T1702" s="273" t="str">
        <f t="shared" si="160"/>
        <v>-</v>
      </c>
    </row>
    <row r="1703" spans="1:20">
      <c r="A1703" s="269"/>
      <c r="B1703" s="277"/>
      <c r="C1703" s="55"/>
      <c r="D1703" s="55"/>
      <c r="E1703" s="55"/>
      <c r="F1703" s="55"/>
      <c r="G1703" s="275"/>
      <c r="H1703" s="276"/>
      <c r="I1703" s="213"/>
      <c r="J1703" s="213"/>
      <c r="K1703" s="269"/>
      <c r="L1703" s="272">
        <f t="shared" si="156"/>
        <v>1900</v>
      </c>
      <c r="M1703" s="272">
        <f t="shared" si="157"/>
        <v>1</v>
      </c>
      <c r="N1703" s="273"/>
      <c r="O1703" s="61">
        <f t="shared" si="158"/>
        <v>1900</v>
      </c>
      <c r="P1703" s="61">
        <f t="shared" si="159"/>
        <v>1</v>
      </c>
      <c r="R1703" s="272"/>
      <c r="S1703" s="272"/>
      <c r="T1703" s="273" t="str">
        <f t="shared" si="160"/>
        <v>-</v>
      </c>
    </row>
    <row r="1704" spans="1:20">
      <c r="A1704" s="269"/>
      <c r="B1704" s="277"/>
      <c r="C1704" s="55"/>
      <c r="D1704" s="55"/>
      <c r="E1704" s="55"/>
      <c r="F1704" s="55"/>
      <c r="G1704" s="275"/>
      <c r="H1704" s="276"/>
      <c r="I1704" s="213"/>
      <c r="J1704" s="213"/>
      <c r="K1704" s="269"/>
      <c r="L1704" s="272">
        <f t="shared" si="156"/>
        <v>1900</v>
      </c>
      <c r="M1704" s="272">
        <f t="shared" si="157"/>
        <v>1</v>
      </c>
      <c r="N1704" s="273"/>
      <c r="O1704" s="61">
        <f t="shared" si="158"/>
        <v>1900</v>
      </c>
      <c r="P1704" s="61">
        <f t="shared" si="159"/>
        <v>1</v>
      </c>
      <c r="R1704" s="272"/>
      <c r="S1704" s="272"/>
      <c r="T1704" s="273" t="str">
        <f t="shared" si="160"/>
        <v>-</v>
      </c>
    </row>
    <row r="1705" spans="1:20">
      <c r="A1705" s="269"/>
      <c r="B1705" s="277"/>
      <c r="C1705" s="55"/>
      <c r="D1705" s="55"/>
      <c r="E1705" s="55"/>
      <c r="F1705" s="55"/>
      <c r="G1705" s="275"/>
      <c r="H1705" s="276"/>
      <c r="I1705" s="213"/>
      <c r="J1705" s="213"/>
      <c r="K1705" s="269"/>
      <c r="L1705" s="272">
        <f t="shared" si="156"/>
        <v>1900</v>
      </c>
      <c r="M1705" s="272">
        <f t="shared" si="157"/>
        <v>1</v>
      </c>
      <c r="N1705" s="273"/>
      <c r="O1705" s="61">
        <f t="shared" si="158"/>
        <v>1900</v>
      </c>
      <c r="P1705" s="61">
        <f t="shared" si="159"/>
        <v>1</v>
      </c>
      <c r="R1705" s="272"/>
      <c r="S1705" s="272"/>
      <c r="T1705" s="273" t="str">
        <f t="shared" si="160"/>
        <v>-</v>
      </c>
    </row>
    <row r="1706" spans="1:20">
      <c r="A1706" s="269"/>
      <c r="B1706" s="277"/>
      <c r="C1706" s="55"/>
      <c r="D1706" s="55"/>
      <c r="E1706" s="55"/>
      <c r="F1706" s="55"/>
      <c r="G1706" s="275"/>
      <c r="H1706" s="276"/>
      <c r="I1706" s="213"/>
      <c r="J1706" s="213"/>
      <c r="K1706" s="269"/>
      <c r="L1706" s="272">
        <f t="shared" si="156"/>
        <v>1900</v>
      </c>
      <c r="M1706" s="272">
        <f t="shared" si="157"/>
        <v>1</v>
      </c>
      <c r="N1706" s="273"/>
      <c r="O1706" s="61">
        <f t="shared" si="158"/>
        <v>1900</v>
      </c>
      <c r="P1706" s="61">
        <f t="shared" si="159"/>
        <v>1</v>
      </c>
      <c r="R1706" s="272"/>
      <c r="S1706" s="272"/>
      <c r="T1706" s="273" t="str">
        <f t="shared" si="160"/>
        <v>-</v>
      </c>
    </row>
    <row r="1707" spans="1:20">
      <c r="A1707" s="269"/>
      <c r="B1707" s="277"/>
      <c r="C1707" s="55"/>
      <c r="D1707" s="55"/>
      <c r="E1707" s="55"/>
      <c r="F1707" s="55"/>
      <c r="G1707" s="275"/>
      <c r="H1707" s="276"/>
      <c r="I1707" s="213"/>
      <c r="J1707" s="213"/>
      <c r="K1707" s="269"/>
      <c r="L1707" s="272">
        <f t="shared" si="156"/>
        <v>1900</v>
      </c>
      <c r="M1707" s="272">
        <f t="shared" si="157"/>
        <v>1</v>
      </c>
      <c r="N1707" s="273"/>
      <c r="O1707" s="61">
        <f t="shared" si="158"/>
        <v>1900</v>
      </c>
      <c r="P1707" s="61">
        <f t="shared" si="159"/>
        <v>1</v>
      </c>
      <c r="R1707" s="272"/>
      <c r="S1707" s="272"/>
      <c r="T1707" s="273" t="str">
        <f t="shared" si="160"/>
        <v>-</v>
      </c>
    </row>
    <row r="1708" spans="1:20">
      <c r="A1708" s="269"/>
      <c r="B1708" s="277"/>
      <c r="C1708" s="55"/>
      <c r="D1708" s="55"/>
      <c r="E1708" s="55"/>
      <c r="F1708" s="55"/>
      <c r="G1708" s="275"/>
      <c r="H1708" s="276"/>
      <c r="I1708" s="213"/>
      <c r="J1708" s="213"/>
      <c r="K1708" s="269"/>
      <c r="L1708" s="272">
        <f t="shared" si="156"/>
        <v>1900</v>
      </c>
      <c r="M1708" s="272">
        <f t="shared" si="157"/>
        <v>1</v>
      </c>
      <c r="N1708" s="273"/>
      <c r="O1708" s="61">
        <f t="shared" si="158"/>
        <v>1900</v>
      </c>
      <c r="P1708" s="61">
        <f t="shared" si="159"/>
        <v>1</v>
      </c>
      <c r="R1708" s="272"/>
      <c r="S1708" s="272"/>
      <c r="T1708" s="273" t="str">
        <f t="shared" si="160"/>
        <v>-</v>
      </c>
    </row>
    <row r="1709" spans="1:20">
      <c r="A1709" s="269"/>
      <c r="B1709" s="277"/>
      <c r="C1709" s="55"/>
      <c r="D1709" s="55"/>
      <c r="E1709" s="55"/>
      <c r="F1709" s="55"/>
      <c r="G1709" s="275"/>
      <c r="H1709" s="276"/>
      <c r="I1709" s="213"/>
      <c r="J1709" s="213"/>
      <c r="K1709" s="269"/>
      <c r="L1709" s="272">
        <f t="shared" si="156"/>
        <v>1900</v>
      </c>
      <c r="M1709" s="272">
        <f t="shared" si="157"/>
        <v>1</v>
      </c>
      <c r="N1709" s="273"/>
      <c r="O1709" s="61">
        <f t="shared" si="158"/>
        <v>1900</v>
      </c>
      <c r="P1709" s="61">
        <f t="shared" si="159"/>
        <v>1</v>
      </c>
      <c r="R1709" s="272"/>
      <c r="S1709" s="272"/>
      <c r="T1709" s="273" t="str">
        <f t="shared" si="160"/>
        <v>-</v>
      </c>
    </row>
    <row r="1710" spans="1:20">
      <c r="A1710" s="269"/>
      <c r="B1710" s="277"/>
      <c r="C1710" s="55"/>
      <c r="D1710" s="55"/>
      <c r="E1710" s="55"/>
      <c r="F1710" s="55"/>
      <c r="G1710" s="275"/>
      <c r="H1710" s="276"/>
      <c r="I1710" s="213"/>
      <c r="J1710" s="213"/>
      <c r="K1710" s="269"/>
      <c r="L1710" s="272">
        <f t="shared" si="156"/>
        <v>1900</v>
      </c>
      <c r="M1710" s="272">
        <f t="shared" si="157"/>
        <v>1</v>
      </c>
      <c r="N1710" s="273"/>
      <c r="O1710" s="61">
        <f t="shared" si="158"/>
        <v>1900</v>
      </c>
      <c r="P1710" s="61">
        <f t="shared" si="159"/>
        <v>1</v>
      </c>
      <c r="R1710" s="272"/>
      <c r="S1710" s="272"/>
      <c r="T1710" s="273" t="str">
        <f t="shared" si="160"/>
        <v>-</v>
      </c>
    </row>
    <row r="1711" spans="1:20">
      <c r="A1711" s="269"/>
      <c r="B1711" s="277"/>
      <c r="C1711" s="55"/>
      <c r="D1711" s="55"/>
      <c r="E1711" s="55"/>
      <c r="F1711" s="55"/>
      <c r="G1711" s="275"/>
      <c r="H1711" s="276"/>
      <c r="I1711" s="213"/>
      <c r="J1711" s="213"/>
      <c r="K1711" s="269"/>
      <c r="L1711" s="272">
        <f t="shared" si="156"/>
        <v>1900</v>
      </c>
      <c r="M1711" s="272">
        <f t="shared" si="157"/>
        <v>1</v>
      </c>
      <c r="N1711" s="273"/>
      <c r="O1711" s="61">
        <f t="shared" si="158"/>
        <v>1900</v>
      </c>
      <c r="P1711" s="61">
        <f t="shared" si="159"/>
        <v>1</v>
      </c>
      <c r="R1711" s="272"/>
      <c r="S1711" s="272"/>
      <c r="T1711" s="273" t="str">
        <f t="shared" si="160"/>
        <v>-</v>
      </c>
    </row>
    <row r="1712" spans="1:20">
      <c r="A1712" s="269"/>
      <c r="B1712" s="277"/>
      <c r="C1712" s="55"/>
      <c r="D1712" s="55"/>
      <c r="E1712" s="55"/>
      <c r="F1712" s="55"/>
      <c r="G1712" s="275"/>
      <c r="H1712" s="276"/>
      <c r="I1712" s="213"/>
      <c r="J1712" s="213"/>
      <c r="K1712" s="269"/>
      <c r="L1712" s="272">
        <f t="shared" si="156"/>
        <v>1900</v>
      </c>
      <c r="M1712" s="272">
        <f t="shared" si="157"/>
        <v>1</v>
      </c>
      <c r="N1712" s="273"/>
      <c r="O1712" s="61">
        <f t="shared" si="158"/>
        <v>1900</v>
      </c>
      <c r="P1712" s="61">
        <f t="shared" si="159"/>
        <v>1</v>
      </c>
      <c r="R1712" s="272"/>
      <c r="S1712" s="272"/>
      <c r="T1712" s="273" t="str">
        <f t="shared" si="160"/>
        <v>-</v>
      </c>
    </row>
    <row r="1713" spans="1:20">
      <c r="A1713" s="269"/>
      <c r="B1713" s="277"/>
      <c r="C1713" s="55"/>
      <c r="D1713" s="55"/>
      <c r="E1713" s="55"/>
      <c r="F1713" s="55"/>
      <c r="G1713" s="275"/>
      <c r="H1713" s="276"/>
      <c r="I1713" s="213"/>
      <c r="J1713" s="213"/>
      <c r="K1713" s="269"/>
      <c r="L1713" s="272">
        <f t="shared" si="156"/>
        <v>1900</v>
      </c>
      <c r="M1713" s="272">
        <f t="shared" si="157"/>
        <v>1</v>
      </c>
      <c r="N1713" s="273"/>
      <c r="O1713" s="61">
        <f t="shared" si="158"/>
        <v>1900</v>
      </c>
      <c r="P1713" s="61">
        <f t="shared" si="159"/>
        <v>1</v>
      </c>
      <c r="R1713" s="272"/>
      <c r="S1713" s="272"/>
      <c r="T1713" s="273" t="str">
        <f t="shared" si="160"/>
        <v>-</v>
      </c>
    </row>
    <row r="1714" spans="1:20">
      <c r="A1714" s="269"/>
      <c r="B1714" s="277"/>
      <c r="C1714" s="55"/>
      <c r="D1714" s="55"/>
      <c r="E1714" s="55"/>
      <c r="F1714" s="55"/>
      <c r="G1714" s="275"/>
      <c r="H1714" s="276"/>
      <c r="I1714" s="213"/>
      <c r="J1714" s="213"/>
      <c r="K1714" s="269"/>
      <c r="L1714" s="272">
        <f t="shared" si="156"/>
        <v>1900</v>
      </c>
      <c r="M1714" s="272">
        <f t="shared" si="157"/>
        <v>1</v>
      </c>
      <c r="N1714" s="273"/>
      <c r="O1714" s="61">
        <f t="shared" si="158"/>
        <v>1900</v>
      </c>
      <c r="P1714" s="61">
        <f t="shared" si="159"/>
        <v>1</v>
      </c>
      <c r="R1714" s="272"/>
      <c r="S1714" s="272"/>
      <c r="T1714" s="273" t="str">
        <f t="shared" si="160"/>
        <v>-</v>
      </c>
    </row>
    <row r="1715" spans="1:20">
      <c r="A1715" s="269"/>
      <c r="B1715" s="277"/>
      <c r="C1715" s="55"/>
      <c r="D1715" s="55"/>
      <c r="E1715" s="55"/>
      <c r="F1715" s="55"/>
      <c r="G1715" s="275"/>
      <c r="H1715" s="276"/>
      <c r="I1715" s="213"/>
      <c r="J1715" s="213"/>
      <c r="K1715" s="269"/>
      <c r="L1715" s="272">
        <f t="shared" si="156"/>
        <v>1900</v>
      </c>
      <c r="M1715" s="272">
        <f t="shared" si="157"/>
        <v>1</v>
      </c>
      <c r="N1715" s="273"/>
      <c r="O1715" s="61">
        <f t="shared" si="158"/>
        <v>1900</v>
      </c>
      <c r="P1715" s="61">
        <f t="shared" si="159"/>
        <v>1</v>
      </c>
      <c r="R1715" s="272"/>
      <c r="S1715" s="272"/>
      <c r="T1715" s="273" t="str">
        <f t="shared" si="160"/>
        <v>-</v>
      </c>
    </row>
    <row r="1716" spans="1:20">
      <c r="A1716" s="269"/>
      <c r="B1716" s="277"/>
      <c r="C1716" s="55"/>
      <c r="D1716" s="55"/>
      <c r="E1716" s="55"/>
      <c r="F1716" s="55"/>
      <c r="G1716" s="275"/>
      <c r="H1716" s="276"/>
      <c r="I1716" s="213"/>
      <c r="J1716" s="213"/>
      <c r="K1716" s="269"/>
      <c r="L1716" s="272">
        <f t="shared" si="156"/>
        <v>1900</v>
      </c>
      <c r="M1716" s="272">
        <f t="shared" si="157"/>
        <v>1</v>
      </c>
      <c r="N1716" s="273"/>
      <c r="O1716" s="61">
        <f t="shared" si="158"/>
        <v>1900</v>
      </c>
      <c r="P1716" s="61">
        <f t="shared" si="159"/>
        <v>1</v>
      </c>
      <c r="R1716" s="272"/>
      <c r="S1716" s="272"/>
      <c r="T1716" s="273" t="str">
        <f t="shared" si="160"/>
        <v>-</v>
      </c>
    </row>
    <row r="1717" spans="1:20">
      <c r="A1717" s="269"/>
      <c r="B1717" s="277"/>
      <c r="C1717" s="55"/>
      <c r="D1717" s="55"/>
      <c r="E1717" s="55"/>
      <c r="F1717" s="55"/>
      <c r="G1717" s="275"/>
      <c r="H1717" s="276"/>
      <c r="I1717" s="213"/>
      <c r="J1717" s="213"/>
      <c r="K1717" s="269"/>
      <c r="L1717" s="272">
        <f t="shared" si="156"/>
        <v>1900</v>
      </c>
      <c r="M1717" s="272">
        <f t="shared" si="157"/>
        <v>1</v>
      </c>
      <c r="N1717" s="273"/>
      <c r="O1717" s="61">
        <f t="shared" si="158"/>
        <v>1900</v>
      </c>
      <c r="P1717" s="61">
        <f t="shared" si="159"/>
        <v>1</v>
      </c>
      <c r="R1717" s="272"/>
      <c r="S1717" s="272"/>
      <c r="T1717" s="273" t="str">
        <f t="shared" si="160"/>
        <v>-</v>
      </c>
    </row>
    <row r="1718" spans="1:20">
      <c r="A1718" s="269"/>
      <c r="B1718" s="277"/>
      <c r="C1718" s="55"/>
      <c r="D1718" s="55"/>
      <c r="E1718" s="55"/>
      <c r="F1718" s="55"/>
      <c r="G1718" s="275"/>
      <c r="H1718" s="276"/>
      <c r="I1718" s="213"/>
      <c r="J1718" s="213"/>
      <c r="K1718" s="269"/>
      <c r="L1718" s="272">
        <f t="shared" si="156"/>
        <v>1900</v>
      </c>
      <c r="M1718" s="272">
        <f t="shared" si="157"/>
        <v>1</v>
      </c>
      <c r="N1718" s="273"/>
      <c r="O1718" s="61">
        <f t="shared" si="158"/>
        <v>1900</v>
      </c>
      <c r="P1718" s="61">
        <f t="shared" si="159"/>
        <v>1</v>
      </c>
      <c r="R1718" s="272"/>
      <c r="S1718" s="272"/>
      <c r="T1718" s="273" t="str">
        <f t="shared" si="160"/>
        <v>-</v>
      </c>
    </row>
    <row r="1719" spans="1:20">
      <c r="A1719" s="269"/>
      <c r="B1719" s="277"/>
      <c r="C1719" s="55"/>
      <c r="D1719" s="55"/>
      <c r="E1719" s="55"/>
      <c r="F1719" s="55"/>
      <c r="G1719" s="275"/>
      <c r="H1719" s="276"/>
      <c r="I1719" s="213"/>
      <c r="J1719" s="213"/>
      <c r="K1719" s="269"/>
      <c r="L1719" s="272">
        <f t="shared" si="156"/>
        <v>1900</v>
      </c>
      <c r="M1719" s="272">
        <f t="shared" si="157"/>
        <v>1</v>
      </c>
      <c r="N1719" s="273"/>
      <c r="O1719" s="61">
        <f t="shared" si="158"/>
        <v>1900</v>
      </c>
      <c r="P1719" s="61">
        <f t="shared" si="159"/>
        <v>1</v>
      </c>
      <c r="R1719" s="272"/>
      <c r="S1719" s="272"/>
      <c r="T1719" s="273" t="str">
        <f t="shared" si="160"/>
        <v>-</v>
      </c>
    </row>
    <row r="1720" spans="1:20">
      <c r="A1720" s="269"/>
      <c r="B1720" s="277"/>
      <c r="C1720" s="55"/>
      <c r="D1720" s="55"/>
      <c r="E1720" s="55"/>
      <c r="F1720" s="55"/>
      <c r="G1720" s="275"/>
      <c r="H1720" s="276"/>
      <c r="I1720" s="213"/>
      <c r="J1720" s="213"/>
      <c r="K1720" s="269"/>
      <c r="L1720" s="272">
        <f t="shared" si="156"/>
        <v>1900</v>
      </c>
      <c r="M1720" s="272">
        <f t="shared" si="157"/>
        <v>1</v>
      </c>
      <c r="N1720" s="273"/>
      <c r="O1720" s="61">
        <f t="shared" si="158"/>
        <v>1900</v>
      </c>
      <c r="P1720" s="61">
        <f t="shared" si="159"/>
        <v>1</v>
      </c>
      <c r="R1720" s="272"/>
      <c r="S1720" s="272"/>
      <c r="T1720" s="273" t="str">
        <f t="shared" si="160"/>
        <v>-</v>
      </c>
    </row>
    <row r="1721" spans="1:20">
      <c r="A1721" s="269"/>
      <c r="B1721" s="277"/>
      <c r="C1721" s="55"/>
      <c r="D1721" s="55"/>
      <c r="E1721" s="55"/>
      <c r="F1721" s="55"/>
      <c r="G1721" s="275"/>
      <c r="H1721" s="276"/>
      <c r="I1721" s="213"/>
      <c r="J1721" s="213"/>
      <c r="K1721" s="269"/>
      <c r="L1721" s="272">
        <f t="shared" si="156"/>
        <v>1900</v>
      </c>
      <c r="M1721" s="272">
        <f t="shared" si="157"/>
        <v>1</v>
      </c>
      <c r="N1721" s="273"/>
      <c r="O1721" s="61">
        <f t="shared" si="158"/>
        <v>1900</v>
      </c>
      <c r="P1721" s="61">
        <f t="shared" si="159"/>
        <v>1</v>
      </c>
      <c r="R1721" s="272"/>
      <c r="S1721" s="272"/>
      <c r="T1721" s="273" t="str">
        <f t="shared" si="160"/>
        <v>-</v>
      </c>
    </row>
    <row r="1722" spans="1:20">
      <c r="A1722" s="269"/>
      <c r="B1722" s="277"/>
      <c r="C1722" s="55"/>
      <c r="D1722" s="55"/>
      <c r="E1722" s="55"/>
      <c r="F1722" s="55"/>
      <c r="G1722" s="275"/>
      <c r="H1722" s="276"/>
      <c r="I1722" s="213"/>
      <c r="J1722" s="213"/>
      <c r="K1722" s="269"/>
      <c r="L1722" s="272">
        <f t="shared" si="156"/>
        <v>1900</v>
      </c>
      <c r="M1722" s="272">
        <f t="shared" si="157"/>
        <v>1</v>
      </c>
      <c r="N1722" s="273"/>
      <c r="O1722" s="61">
        <f t="shared" si="158"/>
        <v>1900</v>
      </c>
      <c r="P1722" s="61">
        <f t="shared" si="159"/>
        <v>1</v>
      </c>
      <c r="R1722" s="272"/>
      <c r="S1722" s="272"/>
      <c r="T1722" s="273" t="str">
        <f t="shared" si="160"/>
        <v>-</v>
      </c>
    </row>
    <row r="1723" spans="1:20">
      <c r="A1723" s="269"/>
      <c r="B1723" s="277"/>
      <c r="C1723" s="55"/>
      <c r="D1723" s="55"/>
      <c r="E1723" s="55"/>
      <c r="F1723" s="55"/>
      <c r="G1723" s="275"/>
      <c r="H1723" s="276"/>
      <c r="I1723" s="213"/>
      <c r="J1723" s="213"/>
      <c r="K1723" s="269"/>
      <c r="L1723" s="272">
        <f t="shared" si="156"/>
        <v>1900</v>
      </c>
      <c r="M1723" s="272">
        <f t="shared" si="157"/>
        <v>1</v>
      </c>
      <c r="N1723" s="273"/>
      <c r="O1723" s="61">
        <f t="shared" si="158"/>
        <v>1900</v>
      </c>
      <c r="P1723" s="61">
        <f t="shared" si="159"/>
        <v>1</v>
      </c>
      <c r="R1723" s="272"/>
      <c r="S1723" s="272"/>
      <c r="T1723" s="273" t="str">
        <f t="shared" si="160"/>
        <v>-</v>
      </c>
    </row>
    <row r="1724" spans="1:20">
      <c r="A1724" s="269"/>
      <c r="B1724" s="277"/>
      <c r="C1724" s="55"/>
      <c r="D1724" s="55"/>
      <c r="E1724" s="55"/>
      <c r="F1724" s="55"/>
      <c r="G1724" s="275"/>
      <c r="H1724" s="276"/>
      <c r="I1724" s="213"/>
      <c r="J1724" s="213"/>
      <c r="K1724" s="269"/>
      <c r="L1724" s="272">
        <f t="shared" si="156"/>
        <v>1900</v>
      </c>
      <c r="M1724" s="272">
        <f t="shared" si="157"/>
        <v>1</v>
      </c>
      <c r="N1724" s="273"/>
      <c r="O1724" s="61">
        <f t="shared" si="158"/>
        <v>1900</v>
      </c>
      <c r="P1724" s="61">
        <f t="shared" si="159"/>
        <v>1</v>
      </c>
      <c r="R1724" s="272"/>
      <c r="S1724" s="272"/>
      <c r="T1724" s="273" t="str">
        <f t="shared" si="160"/>
        <v>-</v>
      </c>
    </row>
    <row r="1725" spans="1:20">
      <c r="A1725" s="269"/>
      <c r="B1725" s="277"/>
      <c r="C1725" s="55"/>
      <c r="D1725" s="55"/>
      <c r="E1725" s="55"/>
      <c r="F1725" s="55"/>
      <c r="G1725" s="275"/>
      <c r="H1725" s="276"/>
      <c r="I1725" s="213"/>
      <c r="J1725" s="213"/>
      <c r="K1725" s="269"/>
      <c r="L1725" s="272">
        <f t="shared" si="156"/>
        <v>1900</v>
      </c>
      <c r="M1725" s="272">
        <f t="shared" si="157"/>
        <v>1</v>
      </c>
      <c r="N1725" s="273"/>
      <c r="O1725" s="61">
        <f t="shared" si="158"/>
        <v>1900</v>
      </c>
      <c r="P1725" s="61">
        <f t="shared" si="159"/>
        <v>1</v>
      </c>
      <c r="R1725" s="272"/>
      <c r="S1725" s="272"/>
      <c r="T1725" s="273" t="str">
        <f t="shared" si="160"/>
        <v>-</v>
      </c>
    </row>
    <row r="1726" spans="1:20">
      <c r="A1726" s="269"/>
      <c r="B1726" s="277"/>
      <c r="C1726" s="55"/>
      <c r="D1726" s="55"/>
      <c r="E1726" s="55"/>
      <c r="F1726" s="55"/>
      <c r="G1726" s="275"/>
      <c r="H1726" s="276"/>
      <c r="I1726" s="213"/>
      <c r="J1726" s="213"/>
      <c r="K1726" s="269"/>
      <c r="L1726" s="272">
        <f t="shared" si="156"/>
        <v>1900</v>
      </c>
      <c r="M1726" s="272">
        <f t="shared" si="157"/>
        <v>1</v>
      </c>
      <c r="N1726" s="273"/>
      <c r="O1726" s="61">
        <f t="shared" si="158"/>
        <v>1900</v>
      </c>
      <c r="P1726" s="61">
        <f t="shared" si="159"/>
        <v>1</v>
      </c>
      <c r="R1726" s="272"/>
      <c r="S1726" s="272"/>
      <c r="T1726" s="273" t="str">
        <f t="shared" si="160"/>
        <v>-</v>
      </c>
    </row>
    <row r="1727" spans="1:20">
      <c r="A1727" s="269"/>
      <c r="B1727" s="277"/>
      <c r="C1727" s="55"/>
      <c r="D1727" s="55"/>
      <c r="E1727" s="55"/>
      <c r="F1727" s="55"/>
      <c r="G1727" s="275"/>
      <c r="H1727" s="276"/>
      <c r="I1727" s="213"/>
      <c r="J1727" s="213"/>
      <c r="K1727" s="269"/>
      <c r="L1727" s="272">
        <f t="shared" si="156"/>
        <v>1900</v>
      </c>
      <c r="M1727" s="272">
        <f t="shared" si="157"/>
        <v>1</v>
      </c>
      <c r="N1727" s="273"/>
      <c r="O1727" s="61">
        <f t="shared" si="158"/>
        <v>1900</v>
      </c>
      <c r="P1727" s="61">
        <f t="shared" si="159"/>
        <v>1</v>
      </c>
      <c r="R1727" s="272"/>
      <c r="S1727" s="272"/>
      <c r="T1727" s="273" t="str">
        <f t="shared" si="160"/>
        <v>-</v>
      </c>
    </row>
    <row r="1728" spans="1:20">
      <c r="A1728" s="269"/>
      <c r="B1728" s="277"/>
      <c r="C1728" s="55"/>
      <c r="D1728" s="55"/>
      <c r="E1728" s="55"/>
      <c r="F1728" s="55"/>
      <c r="G1728" s="275"/>
      <c r="H1728" s="276"/>
      <c r="I1728" s="213"/>
      <c r="J1728" s="213"/>
      <c r="K1728" s="269"/>
      <c r="L1728" s="272">
        <f t="shared" si="156"/>
        <v>1900</v>
      </c>
      <c r="M1728" s="272">
        <f t="shared" si="157"/>
        <v>1</v>
      </c>
      <c r="N1728" s="273"/>
      <c r="O1728" s="61">
        <f t="shared" si="158"/>
        <v>1900</v>
      </c>
      <c r="P1728" s="61">
        <f t="shared" si="159"/>
        <v>1</v>
      </c>
      <c r="R1728" s="272"/>
      <c r="S1728" s="272"/>
      <c r="T1728" s="273" t="str">
        <f t="shared" si="160"/>
        <v>-</v>
      </c>
    </row>
    <row r="1729" spans="1:20">
      <c r="A1729" s="269"/>
      <c r="B1729" s="277"/>
      <c r="C1729" s="55"/>
      <c r="D1729" s="55"/>
      <c r="E1729" s="55"/>
      <c r="F1729" s="55"/>
      <c r="G1729" s="275"/>
      <c r="H1729" s="276"/>
      <c r="I1729" s="213"/>
      <c r="J1729" s="213"/>
      <c r="K1729" s="269"/>
      <c r="L1729" s="272">
        <f t="shared" si="156"/>
        <v>1900</v>
      </c>
      <c r="M1729" s="272">
        <f t="shared" si="157"/>
        <v>1</v>
      </c>
      <c r="N1729" s="273"/>
      <c r="O1729" s="61">
        <f t="shared" si="158"/>
        <v>1900</v>
      </c>
      <c r="P1729" s="61">
        <f t="shared" si="159"/>
        <v>1</v>
      </c>
      <c r="R1729" s="272"/>
      <c r="S1729" s="272"/>
      <c r="T1729" s="273" t="str">
        <f t="shared" si="160"/>
        <v>-</v>
      </c>
    </row>
    <row r="1730" spans="1:20">
      <c r="A1730" s="269"/>
      <c r="B1730" s="277"/>
      <c r="C1730" s="55"/>
      <c r="D1730" s="55"/>
      <c r="E1730" s="55"/>
      <c r="F1730" s="55"/>
      <c r="G1730" s="275"/>
      <c r="H1730" s="276"/>
      <c r="I1730" s="213"/>
      <c r="J1730" s="213"/>
      <c r="K1730" s="269"/>
      <c r="L1730" s="272">
        <f t="shared" si="156"/>
        <v>1900</v>
      </c>
      <c r="M1730" s="272">
        <f t="shared" si="157"/>
        <v>1</v>
      </c>
      <c r="N1730" s="273"/>
      <c r="O1730" s="61">
        <f t="shared" si="158"/>
        <v>1900</v>
      </c>
      <c r="P1730" s="61">
        <f t="shared" si="159"/>
        <v>1</v>
      </c>
      <c r="R1730" s="272"/>
      <c r="S1730" s="272"/>
      <c r="T1730" s="273" t="str">
        <f t="shared" si="160"/>
        <v>-</v>
      </c>
    </row>
    <row r="1731" spans="1:20">
      <c r="A1731" s="269"/>
      <c r="B1731" s="277"/>
      <c r="C1731" s="55"/>
      <c r="D1731" s="55"/>
      <c r="E1731" s="55"/>
      <c r="F1731" s="55"/>
      <c r="G1731" s="275"/>
      <c r="H1731" s="276"/>
      <c r="I1731" s="213"/>
      <c r="J1731" s="213"/>
      <c r="K1731" s="269"/>
      <c r="L1731" s="272">
        <f t="shared" si="156"/>
        <v>1900</v>
      </c>
      <c r="M1731" s="272">
        <f t="shared" si="157"/>
        <v>1</v>
      </c>
      <c r="N1731" s="273"/>
      <c r="O1731" s="61">
        <f t="shared" si="158"/>
        <v>1900</v>
      </c>
      <c r="P1731" s="61">
        <f t="shared" si="159"/>
        <v>1</v>
      </c>
      <c r="R1731" s="272"/>
      <c r="S1731" s="272"/>
      <c r="T1731" s="273" t="str">
        <f t="shared" si="160"/>
        <v>-</v>
      </c>
    </row>
    <row r="1732" spans="1:20">
      <c r="A1732" s="269"/>
      <c r="B1732" s="277"/>
      <c r="C1732" s="55"/>
      <c r="D1732" s="55"/>
      <c r="E1732" s="55"/>
      <c r="F1732" s="55"/>
      <c r="G1732" s="275"/>
      <c r="H1732" s="276"/>
      <c r="I1732" s="213"/>
      <c r="J1732" s="213"/>
      <c r="K1732" s="269"/>
      <c r="L1732" s="272">
        <f t="shared" si="156"/>
        <v>1900</v>
      </c>
      <c r="M1732" s="272">
        <f t="shared" si="157"/>
        <v>1</v>
      </c>
      <c r="N1732" s="273"/>
      <c r="O1732" s="61">
        <f t="shared" si="158"/>
        <v>1900</v>
      </c>
      <c r="P1732" s="61">
        <f t="shared" si="159"/>
        <v>1</v>
      </c>
      <c r="R1732" s="272"/>
      <c r="S1732" s="272"/>
      <c r="T1732" s="273" t="str">
        <f t="shared" si="160"/>
        <v>-</v>
      </c>
    </row>
    <row r="1733" spans="1:20">
      <c r="A1733" s="269"/>
      <c r="B1733" s="277"/>
      <c r="C1733" s="55"/>
      <c r="D1733" s="55"/>
      <c r="E1733" s="55"/>
      <c r="F1733" s="55"/>
      <c r="G1733" s="275"/>
      <c r="H1733" s="276"/>
      <c r="I1733" s="213"/>
      <c r="J1733" s="213"/>
      <c r="K1733" s="269"/>
      <c r="L1733" s="272">
        <f t="shared" si="156"/>
        <v>1900</v>
      </c>
      <c r="M1733" s="272">
        <f t="shared" si="157"/>
        <v>1</v>
      </c>
      <c r="N1733" s="273"/>
      <c r="O1733" s="61">
        <f t="shared" si="158"/>
        <v>1900</v>
      </c>
      <c r="P1733" s="61">
        <f t="shared" si="159"/>
        <v>1</v>
      </c>
      <c r="R1733" s="272"/>
      <c r="S1733" s="272"/>
      <c r="T1733" s="273" t="str">
        <f t="shared" si="160"/>
        <v>-</v>
      </c>
    </row>
    <row r="1734" spans="1:20">
      <c r="A1734" s="269"/>
      <c r="B1734" s="277"/>
      <c r="C1734" s="55"/>
      <c r="D1734" s="55"/>
      <c r="E1734" s="55"/>
      <c r="F1734" s="55"/>
      <c r="G1734" s="275"/>
      <c r="H1734" s="276"/>
      <c r="I1734" s="213"/>
      <c r="J1734" s="213"/>
      <c r="K1734" s="269"/>
      <c r="L1734" s="272">
        <f t="shared" si="156"/>
        <v>1900</v>
      </c>
      <c r="M1734" s="272">
        <f t="shared" si="157"/>
        <v>1</v>
      </c>
      <c r="N1734" s="273"/>
      <c r="O1734" s="61">
        <f t="shared" si="158"/>
        <v>1900</v>
      </c>
      <c r="P1734" s="61">
        <f t="shared" si="159"/>
        <v>1</v>
      </c>
      <c r="R1734" s="272"/>
      <c r="S1734" s="272"/>
      <c r="T1734" s="273" t="str">
        <f t="shared" si="160"/>
        <v>-</v>
      </c>
    </row>
    <row r="1735" spans="1:20">
      <c r="A1735" s="269"/>
      <c r="B1735" s="277"/>
      <c r="C1735" s="55"/>
      <c r="D1735" s="55"/>
      <c r="E1735" s="55"/>
      <c r="F1735" s="55"/>
      <c r="G1735" s="275"/>
      <c r="H1735" s="276"/>
      <c r="I1735" s="213"/>
      <c r="J1735" s="213"/>
      <c r="K1735" s="269"/>
      <c r="L1735" s="272">
        <f t="shared" si="156"/>
        <v>1900</v>
      </c>
      <c r="M1735" s="272">
        <f t="shared" si="157"/>
        <v>1</v>
      </c>
      <c r="N1735" s="273"/>
      <c r="O1735" s="61">
        <f t="shared" si="158"/>
        <v>1900</v>
      </c>
      <c r="P1735" s="61">
        <f t="shared" si="159"/>
        <v>1</v>
      </c>
      <c r="R1735" s="272"/>
      <c r="S1735" s="272"/>
      <c r="T1735" s="273" t="str">
        <f t="shared" si="160"/>
        <v>-</v>
      </c>
    </row>
    <row r="1736" spans="1:20">
      <c r="A1736" s="269"/>
      <c r="B1736" s="277"/>
      <c r="C1736" s="55"/>
      <c r="D1736" s="55"/>
      <c r="E1736" s="55"/>
      <c r="F1736" s="55"/>
      <c r="G1736" s="275"/>
      <c r="H1736" s="276"/>
      <c r="I1736" s="213"/>
      <c r="J1736" s="213"/>
      <c r="K1736" s="269"/>
      <c r="L1736" s="272">
        <f t="shared" si="156"/>
        <v>1900</v>
      </c>
      <c r="M1736" s="272">
        <f t="shared" si="157"/>
        <v>1</v>
      </c>
      <c r="N1736" s="273"/>
      <c r="O1736" s="61">
        <f t="shared" si="158"/>
        <v>1900</v>
      </c>
      <c r="P1736" s="61">
        <f t="shared" si="159"/>
        <v>1</v>
      </c>
      <c r="R1736" s="272"/>
      <c r="S1736" s="272"/>
      <c r="T1736" s="273" t="str">
        <f t="shared" si="160"/>
        <v>-</v>
      </c>
    </row>
    <row r="1737" spans="1:20">
      <c r="A1737" s="269"/>
      <c r="B1737" s="277"/>
      <c r="C1737" s="55"/>
      <c r="D1737" s="55"/>
      <c r="E1737" s="55"/>
      <c r="F1737" s="55"/>
      <c r="G1737" s="275"/>
      <c r="H1737" s="276"/>
      <c r="I1737" s="213"/>
      <c r="J1737" s="213"/>
      <c r="K1737" s="269"/>
      <c r="L1737" s="272">
        <f t="shared" si="156"/>
        <v>1900</v>
      </c>
      <c r="M1737" s="272">
        <f t="shared" si="157"/>
        <v>1</v>
      </c>
      <c r="N1737" s="273"/>
      <c r="O1737" s="61">
        <f t="shared" si="158"/>
        <v>1900</v>
      </c>
      <c r="P1737" s="61">
        <f t="shared" si="159"/>
        <v>1</v>
      </c>
      <c r="R1737" s="272"/>
      <c r="S1737" s="272"/>
      <c r="T1737" s="273" t="str">
        <f t="shared" si="160"/>
        <v>-</v>
      </c>
    </row>
    <row r="1738" spans="1:20">
      <c r="A1738" s="269"/>
      <c r="B1738" s="277"/>
      <c r="C1738" s="55"/>
      <c r="D1738" s="55"/>
      <c r="E1738" s="55"/>
      <c r="F1738" s="55"/>
      <c r="G1738" s="275"/>
      <c r="H1738" s="276"/>
      <c r="I1738" s="213"/>
      <c r="J1738" s="213"/>
      <c r="K1738" s="269"/>
      <c r="L1738" s="272">
        <f t="shared" si="156"/>
        <v>1900</v>
      </c>
      <c r="M1738" s="272">
        <f t="shared" si="157"/>
        <v>1</v>
      </c>
      <c r="N1738" s="273"/>
      <c r="O1738" s="61">
        <f t="shared" si="158"/>
        <v>1900</v>
      </c>
      <c r="P1738" s="61">
        <f t="shared" si="159"/>
        <v>1</v>
      </c>
      <c r="R1738" s="272"/>
      <c r="S1738" s="272"/>
      <c r="T1738" s="273" t="str">
        <f t="shared" si="160"/>
        <v>-</v>
      </c>
    </row>
    <row r="1739" spans="1:20">
      <c r="A1739" s="269"/>
      <c r="B1739" s="277"/>
      <c r="C1739" s="55"/>
      <c r="D1739" s="55"/>
      <c r="E1739" s="55"/>
      <c r="F1739" s="55"/>
      <c r="G1739" s="275"/>
      <c r="H1739" s="276"/>
      <c r="I1739" s="213"/>
      <c r="J1739" s="213"/>
      <c r="K1739" s="269"/>
      <c r="L1739" s="272">
        <f t="shared" si="156"/>
        <v>1900</v>
      </c>
      <c r="M1739" s="272">
        <f t="shared" si="157"/>
        <v>1</v>
      </c>
      <c r="N1739" s="273"/>
      <c r="O1739" s="61">
        <f t="shared" si="158"/>
        <v>1900</v>
      </c>
      <c r="P1739" s="61">
        <f t="shared" si="159"/>
        <v>1</v>
      </c>
      <c r="R1739" s="272"/>
      <c r="S1739" s="272"/>
      <c r="T1739" s="273" t="str">
        <f t="shared" si="160"/>
        <v>-</v>
      </c>
    </row>
    <row r="1740" spans="1:20">
      <c r="A1740" s="269"/>
      <c r="B1740" s="277"/>
      <c r="C1740" s="55"/>
      <c r="D1740" s="55"/>
      <c r="E1740" s="55"/>
      <c r="F1740" s="55"/>
      <c r="G1740" s="275"/>
      <c r="H1740" s="276"/>
      <c r="I1740" s="213"/>
      <c r="J1740" s="213"/>
      <c r="K1740" s="269"/>
      <c r="L1740" s="272">
        <f t="shared" si="156"/>
        <v>1900</v>
      </c>
      <c r="M1740" s="272">
        <f t="shared" si="157"/>
        <v>1</v>
      </c>
      <c r="N1740" s="273"/>
      <c r="O1740" s="61">
        <f t="shared" si="158"/>
        <v>1900</v>
      </c>
      <c r="P1740" s="61">
        <f t="shared" si="159"/>
        <v>1</v>
      </c>
      <c r="R1740" s="272"/>
      <c r="S1740" s="272"/>
      <c r="T1740" s="273" t="str">
        <f t="shared" si="160"/>
        <v>-</v>
      </c>
    </row>
    <row r="1741" spans="1:20">
      <c r="A1741" s="269"/>
      <c r="B1741" s="277"/>
      <c r="C1741" s="55"/>
      <c r="D1741" s="55"/>
      <c r="E1741" s="55"/>
      <c r="F1741" s="55"/>
      <c r="G1741" s="275"/>
      <c r="H1741" s="276"/>
      <c r="I1741" s="213"/>
      <c r="J1741" s="213"/>
      <c r="K1741" s="269"/>
      <c r="L1741" s="272">
        <f t="shared" si="156"/>
        <v>1900</v>
      </c>
      <c r="M1741" s="272">
        <f t="shared" si="157"/>
        <v>1</v>
      </c>
      <c r="N1741" s="273"/>
      <c r="O1741" s="61">
        <f t="shared" si="158"/>
        <v>1900</v>
      </c>
      <c r="P1741" s="61">
        <f t="shared" si="159"/>
        <v>1</v>
      </c>
      <c r="R1741" s="272"/>
      <c r="S1741" s="272"/>
      <c r="T1741" s="273" t="str">
        <f t="shared" si="160"/>
        <v>-</v>
      </c>
    </row>
    <row r="1742" spans="1:20">
      <c r="A1742" s="269"/>
      <c r="B1742" s="277"/>
      <c r="C1742" s="55"/>
      <c r="D1742" s="55"/>
      <c r="E1742" s="55"/>
      <c r="F1742" s="55"/>
      <c r="G1742" s="275"/>
      <c r="H1742" s="276"/>
      <c r="I1742" s="213"/>
      <c r="J1742" s="213"/>
      <c r="K1742" s="269"/>
      <c r="L1742" s="272">
        <f t="shared" si="156"/>
        <v>1900</v>
      </c>
      <c r="M1742" s="272">
        <f t="shared" si="157"/>
        <v>1</v>
      </c>
      <c r="N1742" s="273"/>
      <c r="O1742" s="61">
        <f t="shared" si="158"/>
        <v>1900</v>
      </c>
      <c r="P1742" s="61">
        <f t="shared" si="159"/>
        <v>1</v>
      </c>
      <c r="R1742" s="272"/>
      <c r="S1742" s="272"/>
      <c r="T1742" s="273" t="str">
        <f t="shared" si="160"/>
        <v>-</v>
      </c>
    </row>
    <row r="1743" spans="1:20">
      <c r="A1743" s="269"/>
      <c r="B1743" s="277"/>
      <c r="C1743" s="55"/>
      <c r="D1743" s="55"/>
      <c r="E1743" s="55"/>
      <c r="F1743" s="55"/>
      <c r="G1743" s="275"/>
      <c r="H1743" s="276"/>
      <c r="I1743" s="213"/>
      <c r="J1743" s="213"/>
      <c r="K1743" s="269"/>
      <c r="L1743" s="272">
        <f t="shared" si="156"/>
        <v>1900</v>
      </c>
      <c r="M1743" s="272">
        <f t="shared" si="157"/>
        <v>1</v>
      </c>
      <c r="N1743" s="273"/>
      <c r="O1743" s="61">
        <f t="shared" si="158"/>
        <v>1900</v>
      </c>
      <c r="P1743" s="61">
        <f t="shared" si="159"/>
        <v>1</v>
      </c>
      <c r="R1743" s="272"/>
      <c r="S1743" s="272"/>
      <c r="T1743" s="273" t="str">
        <f t="shared" si="160"/>
        <v>-</v>
      </c>
    </row>
    <row r="1744" spans="1:20">
      <c r="A1744" s="269"/>
      <c r="B1744" s="277"/>
      <c r="C1744" s="55"/>
      <c r="D1744" s="55"/>
      <c r="E1744" s="55"/>
      <c r="F1744" s="55"/>
      <c r="G1744" s="275"/>
      <c r="H1744" s="276"/>
      <c r="I1744" s="213"/>
      <c r="J1744" s="213"/>
      <c r="K1744" s="269"/>
      <c r="L1744" s="272">
        <f t="shared" ref="L1744:L1807" si="161">YEAR(B1744)</f>
        <v>1900</v>
      </c>
      <c r="M1744" s="272">
        <f t="shared" ref="M1744:M1807" si="162">MONTH(B1744)</f>
        <v>1</v>
      </c>
      <c r="N1744" s="273"/>
      <c r="O1744" s="61">
        <f t="shared" ref="O1744:O1807" si="163">YEAR(B1744)</f>
        <v>1900</v>
      </c>
      <c r="P1744" s="61">
        <f t="shared" ref="P1744:P1807" si="164">MONTH(B1744)</f>
        <v>1</v>
      </c>
      <c r="R1744" s="272"/>
      <c r="S1744" s="272"/>
      <c r="T1744" s="273" t="str">
        <f t="shared" ref="T1744:T1807" si="165">IF($E1744&gt;0,IF((R1744+S1744)=$E1744,"OK","Error"),"-")</f>
        <v>-</v>
      </c>
    </row>
    <row r="1745" spans="1:20">
      <c r="A1745" s="269"/>
      <c r="B1745" s="277"/>
      <c r="C1745" s="55"/>
      <c r="D1745" s="55"/>
      <c r="E1745" s="55"/>
      <c r="F1745" s="55"/>
      <c r="G1745" s="275"/>
      <c r="H1745" s="276"/>
      <c r="I1745" s="213"/>
      <c r="J1745" s="213"/>
      <c r="K1745" s="269"/>
      <c r="L1745" s="272">
        <f t="shared" si="161"/>
        <v>1900</v>
      </c>
      <c r="M1745" s="272">
        <f t="shared" si="162"/>
        <v>1</v>
      </c>
      <c r="N1745" s="273"/>
      <c r="O1745" s="61">
        <f t="shared" si="163"/>
        <v>1900</v>
      </c>
      <c r="P1745" s="61">
        <f t="shared" si="164"/>
        <v>1</v>
      </c>
      <c r="R1745" s="272"/>
      <c r="S1745" s="272"/>
      <c r="T1745" s="273" t="str">
        <f t="shared" si="165"/>
        <v>-</v>
      </c>
    </row>
    <row r="1746" spans="1:20">
      <c r="A1746" s="269"/>
      <c r="B1746" s="277"/>
      <c r="C1746" s="55"/>
      <c r="D1746" s="55"/>
      <c r="E1746" s="55"/>
      <c r="F1746" s="55"/>
      <c r="G1746" s="275"/>
      <c r="H1746" s="276"/>
      <c r="I1746" s="213"/>
      <c r="J1746" s="213"/>
      <c r="K1746" s="269"/>
      <c r="L1746" s="272">
        <f t="shared" si="161"/>
        <v>1900</v>
      </c>
      <c r="M1746" s="272">
        <f t="shared" si="162"/>
        <v>1</v>
      </c>
      <c r="N1746" s="273"/>
      <c r="O1746" s="61">
        <f t="shared" si="163"/>
        <v>1900</v>
      </c>
      <c r="P1746" s="61">
        <f t="shared" si="164"/>
        <v>1</v>
      </c>
      <c r="R1746" s="272"/>
      <c r="S1746" s="272"/>
      <c r="T1746" s="273" t="str">
        <f t="shared" si="165"/>
        <v>-</v>
      </c>
    </row>
    <row r="1747" spans="1:20">
      <c r="A1747" s="269"/>
      <c r="B1747" s="277"/>
      <c r="C1747" s="55"/>
      <c r="D1747" s="55"/>
      <c r="E1747" s="55"/>
      <c r="F1747" s="55"/>
      <c r="G1747" s="275"/>
      <c r="H1747" s="276"/>
      <c r="I1747" s="213"/>
      <c r="J1747" s="213"/>
      <c r="K1747" s="269"/>
      <c r="L1747" s="272">
        <f t="shared" si="161"/>
        <v>1900</v>
      </c>
      <c r="M1747" s="272">
        <f t="shared" si="162"/>
        <v>1</v>
      </c>
      <c r="N1747" s="273"/>
      <c r="O1747" s="61">
        <f t="shared" si="163"/>
        <v>1900</v>
      </c>
      <c r="P1747" s="61">
        <f t="shared" si="164"/>
        <v>1</v>
      </c>
      <c r="R1747" s="272"/>
      <c r="S1747" s="272"/>
      <c r="T1747" s="273" t="str">
        <f t="shared" si="165"/>
        <v>-</v>
      </c>
    </row>
    <row r="1748" spans="1:20">
      <c r="A1748" s="269"/>
      <c r="B1748" s="277"/>
      <c r="C1748" s="55"/>
      <c r="D1748" s="55"/>
      <c r="E1748" s="55"/>
      <c r="F1748" s="55"/>
      <c r="G1748" s="275"/>
      <c r="H1748" s="276"/>
      <c r="I1748" s="213"/>
      <c r="J1748" s="213"/>
      <c r="K1748" s="269"/>
      <c r="L1748" s="272">
        <f t="shared" si="161"/>
        <v>1900</v>
      </c>
      <c r="M1748" s="272">
        <f t="shared" si="162"/>
        <v>1</v>
      </c>
      <c r="N1748" s="273"/>
      <c r="O1748" s="61">
        <f t="shared" si="163"/>
        <v>1900</v>
      </c>
      <c r="P1748" s="61">
        <f t="shared" si="164"/>
        <v>1</v>
      </c>
      <c r="R1748" s="272"/>
      <c r="S1748" s="272"/>
      <c r="T1748" s="273" t="str">
        <f t="shared" si="165"/>
        <v>-</v>
      </c>
    </row>
    <row r="1749" spans="1:20">
      <c r="A1749" s="269"/>
      <c r="B1749" s="277"/>
      <c r="C1749" s="55"/>
      <c r="D1749" s="55"/>
      <c r="E1749" s="55"/>
      <c r="F1749" s="55"/>
      <c r="G1749" s="275"/>
      <c r="H1749" s="276"/>
      <c r="I1749" s="213"/>
      <c r="J1749" s="213"/>
      <c r="K1749" s="269"/>
      <c r="L1749" s="272">
        <f t="shared" si="161"/>
        <v>1900</v>
      </c>
      <c r="M1749" s="272">
        <f t="shared" si="162"/>
        <v>1</v>
      </c>
      <c r="N1749" s="273"/>
      <c r="O1749" s="61">
        <f t="shared" si="163"/>
        <v>1900</v>
      </c>
      <c r="P1749" s="61">
        <f t="shared" si="164"/>
        <v>1</v>
      </c>
      <c r="R1749" s="272"/>
      <c r="S1749" s="272"/>
      <c r="T1749" s="273" t="str">
        <f t="shared" si="165"/>
        <v>-</v>
      </c>
    </row>
    <row r="1750" spans="1:20">
      <c r="A1750" s="269"/>
      <c r="B1750" s="277"/>
      <c r="C1750" s="55"/>
      <c r="D1750" s="55"/>
      <c r="E1750" s="55"/>
      <c r="F1750" s="55"/>
      <c r="G1750" s="275"/>
      <c r="H1750" s="276"/>
      <c r="I1750" s="213"/>
      <c r="J1750" s="213"/>
      <c r="K1750" s="269"/>
      <c r="L1750" s="272">
        <f t="shared" si="161"/>
        <v>1900</v>
      </c>
      <c r="M1750" s="272">
        <f t="shared" si="162"/>
        <v>1</v>
      </c>
      <c r="N1750" s="273"/>
      <c r="O1750" s="61">
        <f t="shared" si="163"/>
        <v>1900</v>
      </c>
      <c r="P1750" s="61">
        <f t="shared" si="164"/>
        <v>1</v>
      </c>
      <c r="R1750" s="272"/>
      <c r="S1750" s="272"/>
      <c r="T1750" s="273" t="str">
        <f t="shared" si="165"/>
        <v>-</v>
      </c>
    </row>
    <row r="1751" spans="1:20">
      <c r="A1751" s="269"/>
      <c r="B1751" s="277"/>
      <c r="C1751" s="55"/>
      <c r="D1751" s="55"/>
      <c r="E1751" s="55"/>
      <c r="F1751" s="55"/>
      <c r="G1751" s="275"/>
      <c r="H1751" s="276"/>
      <c r="I1751" s="213"/>
      <c r="J1751" s="213"/>
      <c r="K1751" s="269"/>
      <c r="L1751" s="272">
        <f t="shared" si="161"/>
        <v>1900</v>
      </c>
      <c r="M1751" s="272">
        <f t="shared" si="162"/>
        <v>1</v>
      </c>
      <c r="N1751" s="273"/>
      <c r="O1751" s="61">
        <f t="shared" si="163"/>
        <v>1900</v>
      </c>
      <c r="P1751" s="61">
        <f t="shared" si="164"/>
        <v>1</v>
      </c>
      <c r="R1751" s="272"/>
      <c r="S1751" s="272"/>
      <c r="T1751" s="273" t="str">
        <f t="shared" si="165"/>
        <v>-</v>
      </c>
    </row>
    <row r="1752" spans="1:20">
      <c r="A1752" s="269"/>
      <c r="B1752" s="277"/>
      <c r="C1752" s="55"/>
      <c r="D1752" s="55"/>
      <c r="E1752" s="55"/>
      <c r="F1752" s="55"/>
      <c r="G1752" s="275"/>
      <c r="H1752" s="276"/>
      <c r="I1752" s="213"/>
      <c r="J1752" s="213"/>
      <c r="K1752" s="269"/>
      <c r="L1752" s="272">
        <f t="shared" si="161"/>
        <v>1900</v>
      </c>
      <c r="M1752" s="272">
        <f t="shared" si="162"/>
        <v>1</v>
      </c>
      <c r="N1752" s="273"/>
      <c r="O1752" s="61">
        <f t="shared" si="163"/>
        <v>1900</v>
      </c>
      <c r="P1752" s="61">
        <f t="shared" si="164"/>
        <v>1</v>
      </c>
      <c r="R1752" s="272"/>
      <c r="S1752" s="272"/>
      <c r="T1752" s="273" t="str">
        <f t="shared" si="165"/>
        <v>-</v>
      </c>
    </row>
    <row r="1753" spans="1:20">
      <c r="A1753" s="269"/>
      <c r="B1753" s="277"/>
      <c r="C1753" s="55"/>
      <c r="D1753" s="55"/>
      <c r="E1753" s="55"/>
      <c r="F1753" s="55"/>
      <c r="G1753" s="275"/>
      <c r="H1753" s="276"/>
      <c r="I1753" s="213"/>
      <c r="J1753" s="213"/>
      <c r="K1753" s="269"/>
      <c r="L1753" s="272">
        <f t="shared" si="161"/>
        <v>1900</v>
      </c>
      <c r="M1753" s="272">
        <f t="shared" si="162"/>
        <v>1</v>
      </c>
      <c r="N1753" s="273"/>
      <c r="O1753" s="61">
        <f t="shared" si="163"/>
        <v>1900</v>
      </c>
      <c r="P1753" s="61">
        <f t="shared" si="164"/>
        <v>1</v>
      </c>
      <c r="R1753" s="272"/>
      <c r="S1753" s="272"/>
      <c r="T1753" s="273" t="str">
        <f t="shared" si="165"/>
        <v>-</v>
      </c>
    </row>
    <row r="1754" spans="1:20">
      <c r="A1754" s="269"/>
      <c r="B1754" s="277"/>
      <c r="C1754" s="55"/>
      <c r="D1754" s="55"/>
      <c r="E1754" s="55"/>
      <c r="F1754" s="55"/>
      <c r="G1754" s="275"/>
      <c r="H1754" s="276"/>
      <c r="I1754" s="213"/>
      <c r="J1754" s="213"/>
      <c r="K1754" s="269"/>
      <c r="L1754" s="272">
        <f t="shared" si="161"/>
        <v>1900</v>
      </c>
      <c r="M1754" s="272">
        <f t="shared" si="162"/>
        <v>1</v>
      </c>
      <c r="N1754" s="273"/>
      <c r="O1754" s="61">
        <f t="shared" si="163"/>
        <v>1900</v>
      </c>
      <c r="P1754" s="61">
        <f t="shared" si="164"/>
        <v>1</v>
      </c>
      <c r="R1754" s="272"/>
      <c r="S1754" s="272"/>
      <c r="T1754" s="273" t="str">
        <f t="shared" si="165"/>
        <v>-</v>
      </c>
    </row>
    <row r="1755" spans="1:20">
      <c r="A1755" s="269"/>
      <c r="B1755" s="277"/>
      <c r="C1755" s="55"/>
      <c r="D1755" s="55"/>
      <c r="E1755" s="55"/>
      <c r="F1755" s="55"/>
      <c r="G1755" s="275"/>
      <c r="H1755" s="276"/>
      <c r="I1755" s="213"/>
      <c r="J1755" s="213"/>
      <c r="K1755" s="269"/>
      <c r="L1755" s="272">
        <f t="shared" si="161"/>
        <v>1900</v>
      </c>
      <c r="M1755" s="272">
        <f t="shared" si="162"/>
        <v>1</v>
      </c>
      <c r="N1755" s="273"/>
      <c r="O1755" s="61">
        <f t="shared" si="163"/>
        <v>1900</v>
      </c>
      <c r="P1755" s="61">
        <f t="shared" si="164"/>
        <v>1</v>
      </c>
      <c r="R1755" s="272"/>
      <c r="S1755" s="272"/>
      <c r="T1755" s="273" t="str">
        <f t="shared" si="165"/>
        <v>-</v>
      </c>
    </row>
    <row r="1756" spans="1:20">
      <c r="A1756" s="269"/>
      <c r="B1756" s="277"/>
      <c r="C1756" s="55"/>
      <c r="D1756" s="55"/>
      <c r="E1756" s="55"/>
      <c r="F1756" s="55"/>
      <c r="G1756" s="275"/>
      <c r="H1756" s="276"/>
      <c r="I1756" s="213"/>
      <c r="J1756" s="213"/>
      <c r="K1756" s="269"/>
      <c r="L1756" s="272">
        <f t="shared" si="161"/>
        <v>1900</v>
      </c>
      <c r="M1756" s="272">
        <f t="shared" si="162"/>
        <v>1</v>
      </c>
      <c r="N1756" s="273"/>
      <c r="O1756" s="61">
        <f t="shared" si="163"/>
        <v>1900</v>
      </c>
      <c r="P1756" s="61">
        <f t="shared" si="164"/>
        <v>1</v>
      </c>
      <c r="R1756" s="272"/>
      <c r="S1756" s="272"/>
      <c r="T1756" s="273" t="str">
        <f t="shared" si="165"/>
        <v>-</v>
      </c>
    </row>
    <row r="1757" spans="1:20">
      <c r="A1757" s="269"/>
      <c r="B1757" s="277"/>
      <c r="C1757" s="55"/>
      <c r="D1757" s="55"/>
      <c r="E1757" s="55"/>
      <c r="F1757" s="55"/>
      <c r="G1757" s="275"/>
      <c r="H1757" s="276"/>
      <c r="I1757" s="213"/>
      <c r="J1757" s="213"/>
      <c r="K1757" s="269"/>
      <c r="L1757" s="272">
        <f t="shared" si="161"/>
        <v>1900</v>
      </c>
      <c r="M1757" s="272">
        <f t="shared" si="162"/>
        <v>1</v>
      </c>
      <c r="N1757" s="273"/>
      <c r="O1757" s="61">
        <f t="shared" si="163"/>
        <v>1900</v>
      </c>
      <c r="P1757" s="61">
        <f t="shared" si="164"/>
        <v>1</v>
      </c>
      <c r="R1757" s="272"/>
      <c r="S1757" s="272"/>
      <c r="T1757" s="273" t="str">
        <f t="shared" si="165"/>
        <v>-</v>
      </c>
    </row>
    <row r="1758" spans="1:20">
      <c r="A1758" s="269"/>
      <c r="B1758" s="277"/>
      <c r="C1758" s="55"/>
      <c r="D1758" s="55"/>
      <c r="E1758" s="55"/>
      <c r="F1758" s="55"/>
      <c r="G1758" s="275"/>
      <c r="H1758" s="276"/>
      <c r="I1758" s="213"/>
      <c r="J1758" s="213"/>
      <c r="K1758" s="269"/>
      <c r="L1758" s="272">
        <f t="shared" si="161"/>
        <v>1900</v>
      </c>
      <c r="M1758" s="272">
        <f t="shared" si="162"/>
        <v>1</v>
      </c>
      <c r="N1758" s="273"/>
      <c r="O1758" s="61">
        <f t="shared" si="163"/>
        <v>1900</v>
      </c>
      <c r="P1758" s="61">
        <f t="shared" si="164"/>
        <v>1</v>
      </c>
      <c r="R1758" s="272"/>
      <c r="S1758" s="272"/>
      <c r="T1758" s="273" t="str">
        <f t="shared" si="165"/>
        <v>-</v>
      </c>
    </row>
    <row r="1759" spans="1:20">
      <c r="A1759" s="269"/>
      <c r="B1759" s="277"/>
      <c r="C1759" s="55"/>
      <c r="D1759" s="55"/>
      <c r="E1759" s="55"/>
      <c r="F1759" s="55"/>
      <c r="G1759" s="275"/>
      <c r="H1759" s="276"/>
      <c r="I1759" s="213"/>
      <c r="J1759" s="213"/>
      <c r="K1759" s="269"/>
      <c r="L1759" s="272">
        <f t="shared" si="161"/>
        <v>1900</v>
      </c>
      <c r="M1759" s="272">
        <f t="shared" si="162"/>
        <v>1</v>
      </c>
      <c r="N1759" s="273"/>
      <c r="O1759" s="61">
        <f t="shared" si="163"/>
        <v>1900</v>
      </c>
      <c r="P1759" s="61">
        <f t="shared" si="164"/>
        <v>1</v>
      </c>
      <c r="R1759" s="272"/>
      <c r="S1759" s="272"/>
      <c r="T1759" s="273" t="str">
        <f t="shared" si="165"/>
        <v>-</v>
      </c>
    </row>
    <row r="1760" spans="1:20">
      <c r="A1760" s="269"/>
      <c r="B1760" s="277"/>
      <c r="C1760" s="55"/>
      <c r="D1760" s="55"/>
      <c r="E1760" s="55"/>
      <c r="F1760" s="55"/>
      <c r="G1760" s="275"/>
      <c r="H1760" s="276"/>
      <c r="I1760" s="213"/>
      <c r="J1760" s="213"/>
      <c r="K1760" s="269"/>
      <c r="L1760" s="272">
        <f t="shared" si="161"/>
        <v>1900</v>
      </c>
      <c r="M1760" s="272">
        <f t="shared" si="162"/>
        <v>1</v>
      </c>
      <c r="N1760" s="273"/>
      <c r="O1760" s="61">
        <f t="shared" si="163"/>
        <v>1900</v>
      </c>
      <c r="P1760" s="61">
        <f t="shared" si="164"/>
        <v>1</v>
      </c>
      <c r="R1760" s="272"/>
      <c r="S1760" s="272"/>
      <c r="T1760" s="273" t="str">
        <f t="shared" si="165"/>
        <v>-</v>
      </c>
    </row>
    <row r="1761" spans="1:20">
      <c r="A1761" s="269"/>
      <c r="B1761" s="277"/>
      <c r="C1761" s="55"/>
      <c r="D1761" s="55"/>
      <c r="E1761" s="55"/>
      <c r="F1761" s="55"/>
      <c r="G1761" s="275"/>
      <c r="H1761" s="276"/>
      <c r="I1761" s="213"/>
      <c r="J1761" s="213"/>
      <c r="K1761" s="269"/>
      <c r="L1761" s="272">
        <f t="shared" si="161"/>
        <v>1900</v>
      </c>
      <c r="M1761" s="272">
        <f t="shared" si="162"/>
        <v>1</v>
      </c>
      <c r="N1761" s="273"/>
      <c r="O1761" s="61">
        <f t="shared" si="163"/>
        <v>1900</v>
      </c>
      <c r="P1761" s="61">
        <f t="shared" si="164"/>
        <v>1</v>
      </c>
      <c r="R1761" s="272"/>
      <c r="S1761" s="272"/>
      <c r="T1761" s="273" t="str">
        <f t="shared" si="165"/>
        <v>-</v>
      </c>
    </row>
    <row r="1762" spans="1:20">
      <c r="A1762" s="269"/>
      <c r="B1762" s="277"/>
      <c r="C1762" s="55"/>
      <c r="D1762" s="55"/>
      <c r="E1762" s="55"/>
      <c r="F1762" s="55"/>
      <c r="G1762" s="275"/>
      <c r="H1762" s="276"/>
      <c r="I1762" s="213"/>
      <c r="J1762" s="213"/>
      <c r="K1762" s="269"/>
      <c r="L1762" s="272">
        <f t="shared" si="161"/>
        <v>1900</v>
      </c>
      <c r="M1762" s="272">
        <f t="shared" si="162"/>
        <v>1</v>
      </c>
      <c r="N1762" s="273"/>
      <c r="O1762" s="61">
        <f t="shared" si="163"/>
        <v>1900</v>
      </c>
      <c r="P1762" s="61">
        <f t="shared" si="164"/>
        <v>1</v>
      </c>
      <c r="R1762" s="272"/>
      <c r="S1762" s="272"/>
      <c r="T1762" s="273" t="str">
        <f t="shared" si="165"/>
        <v>-</v>
      </c>
    </row>
    <row r="1763" spans="1:20">
      <c r="A1763" s="269"/>
      <c r="B1763" s="277"/>
      <c r="C1763" s="55"/>
      <c r="D1763" s="55"/>
      <c r="E1763" s="55"/>
      <c r="F1763" s="55"/>
      <c r="G1763" s="275"/>
      <c r="H1763" s="276"/>
      <c r="I1763" s="213"/>
      <c r="J1763" s="213"/>
      <c r="K1763" s="269"/>
      <c r="L1763" s="272">
        <f t="shared" si="161"/>
        <v>1900</v>
      </c>
      <c r="M1763" s="272">
        <f t="shared" si="162"/>
        <v>1</v>
      </c>
      <c r="N1763" s="273"/>
      <c r="O1763" s="61">
        <f t="shared" si="163"/>
        <v>1900</v>
      </c>
      <c r="P1763" s="61">
        <f t="shared" si="164"/>
        <v>1</v>
      </c>
      <c r="R1763" s="272"/>
      <c r="S1763" s="272"/>
      <c r="T1763" s="273" t="str">
        <f t="shared" si="165"/>
        <v>-</v>
      </c>
    </row>
    <row r="1764" spans="1:20">
      <c r="A1764" s="269"/>
      <c r="B1764" s="277"/>
      <c r="C1764" s="55"/>
      <c r="D1764" s="55"/>
      <c r="E1764" s="55"/>
      <c r="F1764" s="55"/>
      <c r="G1764" s="275"/>
      <c r="H1764" s="276"/>
      <c r="I1764" s="213"/>
      <c r="J1764" s="213"/>
      <c r="K1764" s="269"/>
      <c r="L1764" s="272">
        <f t="shared" si="161"/>
        <v>1900</v>
      </c>
      <c r="M1764" s="272">
        <f t="shared" si="162"/>
        <v>1</v>
      </c>
      <c r="N1764" s="273"/>
      <c r="O1764" s="61">
        <f t="shared" si="163"/>
        <v>1900</v>
      </c>
      <c r="P1764" s="61">
        <f t="shared" si="164"/>
        <v>1</v>
      </c>
      <c r="R1764" s="272"/>
      <c r="S1764" s="272"/>
      <c r="T1764" s="273" t="str">
        <f t="shared" si="165"/>
        <v>-</v>
      </c>
    </row>
    <row r="1765" spans="1:20">
      <c r="A1765" s="269"/>
      <c r="B1765" s="277"/>
      <c r="C1765" s="55"/>
      <c r="D1765" s="55"/>
      <c r="E1765" s="55"/>
      <c r="F1765" s="55"/>
      <c r="G1765" s="275"/>
      <c r="H1765" s="276"/>
      <c r="I1765" s="213"/>
      <c r="J1765" s="213"/>
      <c r="K1765" s="269"/>
      <c r="L1765" s="272">
        <f t="shared" si="161"/>
        <v>1900</v>
      </c>
      <c r="M1765" s="272">
        <f t="shared" si="162"/>
        <v>1</v>
      </c>
      <c r="N1765" s="273"/>
      <c r="O1765" s="61">
        <f t="shared" si="163"/>
        <v>1900</v>
      </c>
      <c r="P1765" s="61">
        <f t="shared" si="164"/>
        <v>1</v>
      </c>
      <c r="R1765" s="272"/>
      <c r="S1765" s="272"/>
      <c r="T1765" s="273" t="str">
        <f t="shared" si="165"/>
        <v>-</v>
      </c>
    </row>
    <row r="1766" spans="1:20">
      <c r="A1766" s="269"/>
      <c r="B1766" s="277"/>
      <c r="C1766" s="55"/>
      <c r="D1766" s="55"/>
      <c r="E1766" s="55"/>
      <c r="F1766" s="55"/>
      <c r="G1766" s="275"/>
      <c r="H1766" s="276"/>
      <c r="I1766" s="213"/>
      <c r="J1766" s="213"/>
      <c r="K1766" s="269"/>
      <c r="L1766" s="272">
        <f t="shared" si="161"/>
        <v>1900</v>
      </c>
      <c r="M1766" s="272">
        <f t="shared" si="162"/>
        <v>1</v>
      </c>
      <c r="N1766" s="273"/>
      <c r="O1766" s="61">
        <f t="shared" si="163"/>
        <v>1900</v>
      </c>
      <c r="P1766" s="61">
        <f t="shared" si="164"/>
        <v>1</v>
      </c>
      <c r="R1766" s="272"/>
      <c r="S1766" s="272"/>
      <c r="T1766" s="273" t="str">
        <f t="shared" si="165"/>
        <v>-</v>
      </c>
    </row>
    <row r="1767" spans="1:20">
      <c r="A1767" s="269"/>
      <c r="B1767" s="277"/>
      <c r="C1767" s="55"/>
      <c r="D1767" s="55"/>
      <c r="E1767" s="55"/>
      <c r="F1767" s="55"/>
      <c r="G1767" s="275"/>
      <c r="H1767" s="276"/>
      <c r="I1767" s="213"/>
      <c r="J1767" s="213"/>
      <c r="K1767" s="269"/>
      <c r="L1767" s="272">
        <f t="shared" si="161"/>
        <v>1900</v>
      </c>
      <c r="M1767" s="272">
        <f t="shared" si="162"/>
        <v>1</v>
      </c>
      <c r="N1767" s="273"/>
      <c r="O1767" s="61">
        <f t="shared" si="163"/>
        <v>1900</v>
      </c>
      <c r="P1767" s="61">
        <f t="shared" si="164"/>
        <v>1</v>
      </c>
      <c r="R1767" s="272"/>
      <c r="S1767" s="272"/>
      <c r="T1767" s="273" t="str">
        <f t="shared" si="165"/>
        <v>-</v>
      </c>
    </row>
    <row r="1768" spans="1:20">
      <c r="A1768" s="269"/>
      <c r="B1768" s="277"/>
      <c r="C1768" s="55"/>
      <c r="D1768" s="55"/>
      <c r="E1768" s="55"/>
      <c r="F1768" s="55"/>
      <c r="G1768" s="275"/>
      <c r="H1768" s="276"/>
      <c r="I1768" s="213"/>
      <c r="J1768" s="213"/>
      <c r="K1768" s="269"/>
      <c r="L1768" s="272">
        <f t="shared" si="161"/>
        <v>1900</v>
      </c>
      <c r="M1768" s="272">
        <f t="shared" si="162"/>
        <v>1</v>
      </c>
      <c r="N1768" s="273"/>
      <c r="O1768" s="61">
        <f t="shared" si="163"/>
        <v>1900</v>
      </c>
      <c r="P1768" s="61">
        <f t="shared" si="164"/>
        <v>1</v>
      </c>
      <c r="R1768" s="272"/>
      <c r="S1768" s="272"/>
      <c r="T1768" s="273" t="str">
        <f t="shared" si="165"/>
        <v>-</v>
      </c>
    </row>
    <row r="1769" spans="1:20">
      <c r="A1769" s="269"/>
      <c r="B1769" s="277"/>
      <c r="C1769" s="55"/>
      <c r="D1769" s="55"/>
      <c r="E1769" s="55"/>
      <c r="F1769" s="55"/>
      <c r="G1769" s="275"/>
      <c r="H1769" s="276"/>
      <c r="I1769" s="213"/>
      <c r="J1769" s="213"/>
      <c r="K1769" s="269"/>
      <c r="L1769" s="272">
        <f t="shared" si="161"/>
        <v>1900</v>
      </c>
      <c r="M1769" s="272">
        <f t="shared" si="162"/>
        <v>1</v>
      </c>
      <c r="N1769" s="273"/>
      <c r="O1769" s="61">
        <f t="shared" si="163"/>
        <v>1900</v>
      </c>
      <c r="P1769" s="61">
        <f t="shared" si="164"/>
        <v>1</v>
      </c>
      <c r="R1769" s="272"/>
      <c r="S1769" s="272"/>
      <c r="T1769" s="273" t="str">
        <f t="shared" si="165"/>
        <v>-</v>
      </c>
    </row>
    <row r="1770" spans="1:20">
      <c r="A1770" s="269"/>
      <c r="B1770" s="277"/>
      <c r="C1770" s="55"/>
      <c r="D1770" s="55"/>
      <c r="E1770" s="55"/>
      <c r="F1770" s="55"/>
      <c r="G1770" s="275"/>
      <c r="H1770" s="276"/>
      <c r="I1770" s="213"/>
      <c r="J1770" s="213"/>
      <c r="K1770" s="269"/>
      <c r="L1770" s="272">
        <f t="shared" si="161"/>
        <v>1900</v>
      </c>
      <c r="M1770" s="272">
        <f t="shared" si="162"/>
        <v>1</v>
      </c>
      <c r="N1770" s="273"/>
      <c r="O1770" s="61">
        <f t="shared" si="163"/>
        <v>1900</v>
      </c>
      <c r="P1770" s="61">
        <f t="shared" si="164"/>
        <v>1</v>
      </c>
      <c r="R1770" s="272"/>
      <c r="S1770" s="272"/>
      <c r="T1770" s="273" t="str">
        <f t="shared" si="165"/>
        <v>-</v>
      </c>
    </row>
    <row r="1771" spans="1:20">
      <c r="A1771" s="269"/>
      <c r="B1771" s="277"/>
      <c r="C1771" s="55"/>
      <c r="D1771" s="55"/>
      <c r="E1771" s="55"/>
      <c r="F1771" s="55"/>
      <c r="G1771" s="275"/>
      <c r="H1771" s="276"/>
      <c r="I1771" s="213"/>
      <c r="J1771" s="213"/>
      <c r="K1771" s="269"/>
      <c r="L1771" s="272">
        <f t="shared" si="161"/>
        <v>1900</v>
      </c>
      <c r="M1771" s="272">
        <f t="shared" si="162"/>
        <v>1</v>
      </c>
      <c r="N1771" s="273"/>
      <c r="O1771" s="61">
        <f t="shared" si="163"/>
        <v>1900</v>
      </c>
      <c r="P1771" s="61">
        <f t="shared" si="164"/>
        <v>1</v>
      </c>
      <c r="R1771" s="272"/>
      <c r="S1771" s="272"/>
      <c r="T1771" s="273" t="str">
        <f t="shared" si="165"/>
        <v>-</v>
      </c>
    </row>
    <row r="1772" spans="1:20">
      <c r="A1772" s="269"/>
      <c r="B1772" s="277"/>
      <c r="C1772" s="55"/>
      <c r="D1772" s="55"/>
      <c r="E1772" s="55"/>
      <c r="F1772" s="55"/>
      <c r="G1772" s="275"/>
      <c r="H1772" s="276"/>
      <c r="I1772" s="213"/>
      <c r="J1772" s="213"/>
      <c r="K1772" s="269"/>
      <c r="L1772" s="272">
        <f t="shared" si="161"/>
        <v>1900</v>
      </c>
      <c r="M1772" s="272">
        <f t="shared" si="162"/>
        <v>1</v>
      </c>
      <c r="N1772" s="273"/>
      <c r="O1772" s="61">
        <f t="shared" si="163"/>
        <v>1900</v>
      </c>
      <c r="P1772" s="61">
        <f t="shared" si="164"/>
        <v>1</v>
      </c>
      <c r="R1772" s="272"/>
      <c r="S1772" s="272"/>
      <c r="T1772" s="273" t="str">
        <f t="shared" si="165"/>
        <v>-</v>
      </c>
    </row>
    <row r="1773" spans="1:20">
      <c r="A1773" s="269"/>
      <c r="B1773" s="277"/>
      <c r="C1773" s="55"/>
      <c r="D1773" s="55"/>
      <c r="E1773" s="55"/>
      <c r="F1773" s="55"/>
      <c r="G1773" s="275"/>
      <c r="H1773" s="276"/>
      <c r="I1773" s="213"/>
      <c r="J1773" s="213"/>
      <c r="K1773" s="269"/>
      <c r="L1773" s="272">
        <f t="shared" si="161"/>
        <v>1900</v>
      </c>
      <c r="M1773" s="272">
        <f t="shared" si="162"/>
        <v>1</v>
      </c>
      <c r="N1773" s="273"/>
      <c r="O1773" s="61">
        <f t="shared" si="163"/>
        <v>1900</v>
      </c>
      <c r="P1773" s="61">
        <f t="shared" si="164"/>
        <v>1</v>
      </c>
      <c r="R1773" s="272"/>
      <c r="S1773" s="272"/>
      <c r="T1773" s="273" t="str">
        <f t="shared" si="165"/>
        <v>-</v>
      </c>
    </row>
    <row r="1774" spans="1:20">
      <c r="A1774" s="269"/>
      <c r="B1774" s="277"/>
      <c r="C1774" s="55"/>
      <c r="D1774" s="55"/>
      <c r="E1774" s="55"/>
      <c r="F1774" s="55"/>
      <c r="G1774" s="275"/>
      <c r="H1774" s="276"/>
      <c r="I1774" s="213"/>
      <c r="J1774" s="213"/>
      <c r="K1774" s="269"/>
      <c r="L1774" s="272">
        <f t="shared" si="161"/>
        <v>1900</v>
      </c>
      <c r="M1774" s="272">
        <f t="shared" si="162"/>
        <v>1</v>
      </c>
      <c r="N1774" s="273"/>
      <c r="O1774" s="61">
        <f t="shared" si="163"/>
        <v>1900</v>
      </c>
      <c r="P1774" s="61">
        <f t="shared" si="164"/>
        <v>1</v>
      </c>
      <c r="R1774" s="272"/>
      <c r="S1774" s="272"/>
      <c r="T1774" s="273" t="str">
        <f t="shared" si="165"/>
        <v>-</v>
      </c>
    </row>
    <row r="1775" spans="1:20">
      <c r="A1775" s="269"/>
      <c r="B1775" s="277"/>
      <c r="C1775" s="55"/>
      <c r="D1775" s="55"/>
      <c r="E1775" s="55"/>
      <c r="F1775" s="55"/>
      <c r="G1775" s="275"/>
      <c r="H1775" s="276"/>
      <c r="I1775" s="213"/>
      <c r="J1775" s="213"/>
      <c r="K1775" s="269"/>
      <c r="L1775" s="272">
        <f t="shared" si="161"/>
        <v>1900</v>
      </c>
      <c r="M1775" s="272">
        <f t="shared" si="162"/>
        <v>1</v>
      </c>
      <c r="N1775" s="273"/>
      <c r="O1775" s="61">
        <f t="shared" si="163"/>
        <v>1900</v>
      </c>
      <c r="P1775" s="61">
        <f t="shared" si="164"/>
        <v>1</v>
      </c>
      <c r="R1775" s="272"/>
      <c r="S1775" s="272"/>
      <c r="T1775" s="273" t="str">
        <f t="shared" si="165"/>
        <v>-</v>
      </c>
    </row>
    <row r="1776" spans="1:20">
      <c r="A1776" s="269"/>
      <c r="B1776" s="277"/>
      <c r="C1776" s="55"/>
      <c r="D1776" s="55"/>
      <c r="E1776" s="55"/>
      <c r="F1776" s="55"/>
      <c r="G1776" s="275"/>
      <c r="H1776" s="276"/>
      <c r="I1776" s="213"/>
      <c r="J1776" s="213"/>
      <c r="K1776" s="269"/>
      <c r="L1776" s="272">
        <f t="shared" si="161"/>
        <v>1900</v>
      </c>
      <c r="M1776" s="272">
        <f t="shared" si="162"/>
        <v>1</v>
      </c>
      <c r="N1776" s="273"/>
      <c r="O1776" s="61">
        <f t="shared" si="163"/>
        <v>1900</v>
      </c>
      <c r="P1776" s="61">
        <f t="shared" si="164"/>
        <v>1</v>
      </c>
      <c r="R1776" s="272"/>
      <c r="S1776" s="272"/>
      <c r="T1776" s="273" t="str">
        <f t="shared" si="165"/>
        <v>-</v>
      </c>
    </row>
    <row r="1777" spans="1:20">
      <c r="A1777" s="269"/>
      <c r="B1777" s="277"/>
      <c r="C1777" s="55"/>
      <c r="D1777" s="55"/>
      <c r="E1777" s="55"/>
      <c r="F1777" s="55"/>
      <c r="G1777" s="275"/>
      <c r="H1777" s="276"/>
      <c r="I1777" s="213"/>
      <c r="J1777" s="213"/>
      <c r="K1777" s="269"/>
      <c r="L1777" s="272">
        <f t="shared" si="161"/>
        <v>1900</v>
      </c>
      <c r="M1777" s="272">
        <f t="shared" si="162"/>
        <v>1</v>
      </c>
      <c r="N1777" s="273"/>
      <c r="O1777" s="61">
        <f t="shared" si="163"/>
        <v>1900</v>
      </c>
      <c r="P1777" s="61">
        <f t="shared" si="164"/>
        <v>1</v>
      </c>
      <c r="R1777" s="272"/>
      <c r="S1777" s="272"/>
      <c r="T1777" s="273" t="str">
        <f t="shared" si="165"/>
        <v>-</v>
      </c>
    </row>
    <row r="1778" spans="1:20">
      <c r="A1778" s="269"/>
      <c r="B1778" s="277"/>
      <c r="C1778" s="55"/>
      <c r="D1778" s="55"/>
      <c r="E1778" s="55"/>
      <c r="F1778" s="55"/>
      <c r="G1778" s="275"/>
      <c r="H1778" s="276"/>
      <c r="I1778" s="213"/>
      <c r="J1778" s="213"/>
      <c r="K1778" s="269"/>
      <c r="L1778" s="272">
        <f t="shared" si="161"/>
        <v>1900</v>
      </c>
      <c r="M1778" s="272">
        <f t="shared" si="162"/>
        <v>1</v>
      </c>
      <c r="N1778" s="273"/>
      <c r="O1778" s="61">
        <f t="shared" si="163"/>
        <v>1900</v>
      </c>
      <c r="P1778" s="61">
        <f t="shared" si="164"/>
        <v>1</v>
      </c>
      <c r="R1778" s="272"/>
      <c r="S1778" s="272"/>
      <c r="T1778" s="273" t="str">
        <f t="shared" si="165"/>
        <v>-</v>
      </c>
    </row>
    <row r="1779" spans="1:20">
      <c r="A1779" s="269"/>
      <c r="B1779" s="277"/>
      <c r="C1779" s="55"/>
      <c r="D1779" s="55"/>
      <c r="E1779" s="55"/>
      <c r="F1779" s="55"/>
      <c r="G1779" s="275"/>
      <c r="H1779" s="276"/>
      <c r="I1779" s="213"/>
      <c r="J1779" s="213"/>
      <c r="K1779" s="269"/>
      <c r="L1779" s="272">
        <f t="shared" si="161"/>
        <v>1900</v>
      </c>
      <c r="M1779" s="272">
        <f t="shared" si="162"/>
        <v>1</v>
      </c>
      <c r="N1779" s="273"/>
      <c r="O1779" s="61">
        <f t="shared" si="163"/>
        <v>1900</v>
      </c>
      <c r="P1779" s="61">
        <f t="shared" si="164"/>
        <v>1</v>
      </c>
      <c r="R1779" s="272"/>
      <c r="S1779" s="272"/>
      <c r="T1779" s="273" t="str">
        <f t="shared" si="165"/>
        <v>-</v>
      </c>
    </row>
    <row r="1780" spans="1:20">
      <c r="A1780" s="269"/>
      <c r="B1780" s="277"/>
      <c r="C1780" s="55"/>
      <c r="D1780" s="55"/>
      <c r="E1780" s="55"/>
      <c r="F1780" s="55"/>
      <c r="G1780" s="275"/>
      <c r="H1780" s="276"/>
      <c r="I1780" s="213"/>
      <c r="J1780" s="213"/>
      <c r="K1780" s="269"/>
      <c r="L1780" s="272">
        <f t="shared" si="161"/>
        <v>1900</v>
      </c>
      <c r="M1780" s="272">
        <f t="shared" si="162"/>
        <v>1</v>
      </c>
      <c r="N1780" s="273"/>
      <c r="O1780" s="61">
        <f t="shared" si="163"/>
        <v>1900</v>
      </c>
      <c r="P1780" s="61">
        <f t="shared" si="164"/>
        <v>1</v>
      </c>
      <c r="R1780" s="272"/>
      <c r="S1780" s="272"/>
      <c r="T1780" s="273" t="str">
        <f t="shared" si="165"/>
        <v>-</v>
      </c>
    </row>
    <row r="1781" spans="1:20">
      <c r="A1781" s="269"/>
      <c r="B1781" s="277"/>
      <c r="C1781" s="55"/>
      <c r="D1781" s="55"/>
      <c r="E1781" s="55"/>
      <c r="F1781" s="55"/>
      <c r="G1781" s="275"/>
      <c r="H1781" s="276"/>
      <c r="I1781" s="213"/>
      <c r="J1781" s="213"/>
      <c r="K1781" s="269"/>
      <c r="L1781" s="272">
        <f t="shared" si="161"/>
        <v>1900</v>
      </c>
      <c r="M1781" s="272">
        <f t="shared" si="162"/>
        <v>1</v>
      </c>
      <c r="N1781" s="273"/>
      <c r="O1781" s="61">
        <f t="shared" si="163"/>
        <v>1900</v>
      </c>
      <c r="P1781" s="61">
        <f t="shared" si="164"/>
        <v>1</v>
      </c>
      <c r="R1781" s="272"/>
      <c r="S1781" s="272"/>
      <c r="T1781" s="273" t="str">
        <f t="shared" si="165"/>
        <v>-</v>
      </c>
    </row>
    <row r="1782" spans="1:20">
      <c r="A1782" s="269"/>
      <c r="B1782" s="277"/>
      <c r="C1782" s="55"/>
      <c r="D1782" s="55"/>
      <c r="E1782" s="55"/>
      <c r="F1782" s="55"/>
      <c r="G1782" s="275"/>
      <c r="H1782" s="276"/>
      <c r="I1782" s="213"/>
      <c r="J1782" s="213"/>
      <c r="K1782" s="269"/>
      <c r="L1782" s="272">
        <f t="shared" si="161"/>
        <v>1900</v>
      </c>
      <c r="M1782" s="272">
        <f t="shared" si="162"/>
        <v>1</v>
      </c>
      <c r="N1782" s="273"/>
      <c r="O1782" s="61">
        <f t="shared" si="163"/>
        <v>1900</v>
      </c>
      <c r="P1782" s="61">
        <f t="shared" si="164"/>
        <v>1</v>
      </c>
      <c r="R1782" s="272"/>
      <c r="S1782" s="272"/>
      <c r="T1782" s="273" t="str">
        <f t="shared" si="165"/>
        <v>-</v>
      </c>
    </row>
    <row r="1783" spans="1:20">
      <c r="A1783" s="269"/>
      <c r="B1783" s="277"/>
      <c r="C1783" s="55"/>
      <c r="D1783" s="55"/>
      <c r="E1783" s="55"/>
      <c r="F1783" s="55"/>
      <c r="G1783" s="275"/>
      <c r="H1783" s="276"/>
      <c r="I1783" s="213"/>
      <c r="J1783" s="213"/>
      <c r="K1783" s="269"/>
      <c r="L1783" s="272">
        <f t="shared" si="161"/>
        <v>1900</v>
      </c>
      <c r="M1783" s="272">
        <f t="shared" si="162"/>
        <v>1</v>
      </c>
      <c r="N1783" s="273"/>
      <c r="O1783" s="61">
        <f t="shared" si="163"/>
        <v>1900</v>
      </c>
      <c r="P1783" s="61">
        <f t="shared" si="164"/>
        <v>1</v>
      </c>
      <c r="R1783" s="272"/>
      <c r="S1783" s="272"/>
      <c r="T1783" s="273" t="str">
        <f t="shared" si="165"/>
        <v>-</v>
      </c>
    </row>
    <row r="1784" spans="1:20">
      <c r="A1784" s="269"/>
      <c r="B1784" s="277"/>
      <c r="C1784" s="55"/>
      <c r="D1784" s="55"/>
      <c r="E1784" s="55"/>
      <c r="F1784" s="55"/>
      <c r="G1784" s="275"/>
      <c r="H1784" s="276"/>
      <c r="I1784" s="213"/>
      <c r="J1784" s="213"/>
      <c r="K1784" s="269"/>
      <c r="L1784" s="272">
        <f t="shared" si="161"/>
        <v>1900</v>
      </c>
      <c r="M1784" s="272">
        <f t="shared" si="162"/>
        <v>1</v>
      </c>
      <c r="N1784" s="273"/>
      <c r="O1784" s="61">
        <f t="shared" si="163"/>
        <v>1900</v>
      </c>
      <c r="P1784" s="61">
        <f t="shared" si="164"/>
        <v>1</v>
      </c>
      <c r="R1784" s="272"/>
      <c r="S1784" s="272"/>
      <c r="T1784" s="273" t="str">
        <f t="shared" si="165"/>
        <v>-</v>
      </c>
    </row>
    <row r="1785" spans="1:20">
      <c r="A1785" s="269"/>
      <c r="B1785" s="277"/>
      <c r="C1785" s="55"/>
      <c r="D1785" s="55"/>
      <c r="E1785" s="55"/>
      <c r="F1785" s="55"/>
      <c r="G1785" s="275"/>
      <c r="H1785" s="276"/>
      <c r="I1785" s="213"/>
      <c r="J1785" s="213"/>
      <c r="K1785" s="269"/>
      <c r="L1785" s="272">
        <f t="shared" si="161"/>
        <v>1900</v>
      </c>
      <c r="M1785" s="272">
        <f t="shared" si="162"/>
        <v>1</v>
      </c>
      <c r="N1785" s="273"/>
      <c r="O1785" s="61">
        <f t="shared" si="163"/>
        <v>1900</v>
      </c>
      <c r="P1785" s="61">
        <f t="shared" si="164"/>
        <v>1</v>
      </c>
      <c r="R1785" s="272"/>
      <c r="S1785" s="272"/>
      <c r="T1785" s="273" t="str">
        <f t="shared" si="165"/>
        <v>-</v>
      </c>
    </row>
    <row r="1786" spans="1:20">
      <c r="A1786" s="269"/>
      <c r="B1786" s="277"/>
      <c r="C1786" s="55"/>
      <c r="D1786" s="55"/>
      <c r="E1786" s="55"/>
      <c r="F1786" s="55"/>
      <c r="G1786" s="275"/>
      <c r="H1786" s="276"/>
      <c r="I1786" s="213"/>
      <c r="J1786" s="213"/>
      <c r="K1786" s="269"/>
      <c r="L1786" s="272">
        <f t="shared" si="161"/>
        <v>1900</v>
      </c>
      <c r="M1786" s="272">
        <f t="shared" si="162"/>
        <v>1</v>
      </c>
      <c r="N1786" s="273"/>
      <c r="O1786" s="61">
        <f t="shared" si="163"/>
        <v>1900</v>
      </c>
      <c r="P1786" s="61">
        <f t="shared" si="164"/>
        <v>1</v>
      </c>
      <c r="R1786" s="272"/>
      <c r="S1786" s="272"/>
      <c r="T1786" s="273" t="str">
        <f t="shared" si="165"/>
        <v>-</v>
      </c>
    </row>
    <row r="1787" spans="1:20">
      <c r="A1787" s="269"/>
      <c r="B1787" s="277"/>
      <c r="C1787" s="55"/>
      <c r="D1787" s="55"/>
      <c r="E1787" s="55"/>
      <c r="F1787" s="55"/>
      <c r="G1787" s="275"/>
      <c r="H1787" s="276"/>
      <c r="I1787" s="213"/>
      <c r="J1787" s="213"/>
      <c r="K1787" s="269"/>
      <c r="L1787" s="272">
        <f t="shared" si="161"/>
        <v>1900</v>
      </c>
      <c r="M1787" s="272">
        <f t="shared" si="162"/>
        <v>1</v>
      </c>
      <c r="N1787" s="273"/>
      <c r="O1787" s="61">
        <f t="shared" si="163"/>
        <v>1900</v>
      </c>
      <c r="P1787" s="61">
        <f t="shared" si="164"/>
        <v>1</v>
      </c>
      <c r="R1787" s="272"/>
      <c r="S1787" s="272"/>
      <c r="T1787" s="273" t="str">
        <f t="shared" si="165"/>
        <v>-</v>
      </c>
    </row>
    <row r="1788" spans="1:20">
      <c r="A1788" s="269"/>
      <c r="B1788" s="277"/>
      <c r="C1788" s="55"/>
      <c r="D1788" s="55"/>
      <c r="E1788" s="55"/>
      <c r="F1788" s="55"/>
      <c r="G1788" s="275"/>
      <c r="H1788" s="276"/>
      <c r="I1788" s="213"/>
      <c r="J1788" s="213"/>
      <c r="K1788" s="269"/>
      <c r="L1788" s="272">
        <f t="shared" si="161"/>
        <v>1900</v>
      </c>
      <c r="M1788" s="272">
        <f t="shared" si="162"/>
        <v>1</v>
      </c>
      <c r="N1788" s="273"/>
      <c r="O1788" s="61">
        <f t="shared" si="163"/>
        <v>1900</v>
      </c>
      <c r="P1788" s="61">
        <f t="shared" si="164"/>
        <v>1</v>
      </c>
      <c r="R1788" s="272"/>
      <c r="S1788" s="272"/>
      <c r="T1788" s="273" t="str">
        <f t="shared" si="165"/>
        <v>-</v>
      </c>
    </row>
    <row r="1789" spans="1:20">
      <c r="A1789" s="269"/>
      <c r="B1789" s="277"/>
      <c r="C1789" s="55"/>
      <c r="D1789" s="55"/>
      <c r="E1789" s="55"/>
      <c r="F1789" s="55"/>
      <c r="G1789" s="275"/>
      <c r="H1789" s="276"/>
      <c r="I1789" s="213"/>
      <c r="J1789" s="213"/>
      <c r="K1789" s="269"/>
      <c r="L1789" s="272">
        <f t="shared" si="161"/>
        <v>1900</v>
      </c>
      <c r="M1789" s="272">
        <f t="shared" si="162"/>
        <v>1</v>
      </c>
      <c r="N1789" s="273"/>
      <c r="O1789" s="61">
        <f t="shared" si="163"/>
        <v>1900</v>
      </c>
      <c r="P1789" s="61">
        <f t="shared" si="164"/>
        <v>1</v>
      </c>
      <c r="R1789" s="272"/>
      <c r="S1789" s="272"/>
      <c r="T1789" s="273" t="str">
        <f t="shared" si="165"/>
        <v>-</v>
      </c>
    </row>
    <row r="1790" spans="1:20">
      <c r="A1790" s="269"/>
      <c r="B1790" s="277"/>
      <c r="C1790" s="55"/>
      <c r="D1790" s="55"/>
      <c r="E1790" s="55"/>
      <c r="F1790" s="55"/>
      <c r="G1790" s="275"/>
      <c r="H1790" s="276"/>
      <c r="I1790" s="213"/>
      <c r="J1790" s="213"/>
      <c r="K1790" s="269"/>
      <c r="L1790" s="272">
        <f t="shared" si="161"/>
        <v>1900</v>
      </c>
      <c r="M1790" s="272">
        <f t="shared" si="162"/>
        <v>1</v>
      </c>
      <c r="N1790" s="273"/>
      <c r="O1790" s="61">
        <f t="shared" si="163"/>
        <v>1900</v>
      </c>
      <c r="P1790" s="61">
        <f t="shared" si="164"/>
        <v>1</v>
      </c>
      <c r="R1790" s="272"/>
      <c r="S1790" s="272"/>
      <c r="T1790" s="273" t="str">
        <f t="shared" si="165"/>
        <v>-</v>
      </c>
    </row>
    <row r="1791" spans="1:20">
      <c r="A1791" s="269"/>
      <c r="B1791" s="277"/>
      <c r="C1791" s="55"/>
      <c r="D1791" s="55"/>
      <c r="E1791" s="55"/>
      <c r="F1791" s="55"/>
      <c r="G1791" s="275"/>
      <c r="H1791" s="276"/>
      <c r="I1791" s="213"/>
      <c r="J1791" s="213"/>
      <c r="K1791" s="269"/>
      <c r="L1791" s="272">
        <f t="shared" si="161"/>
        <v>1900</v>
      </c>
      <c r="M1791" s="272">
        <f t="shared" si="162"/>
        <v>1</v>
      </c>
      <c r="N1791" s="273"/>
      <c r="O1791" s="61">
        <f t="shared" si="163"/>
        <v>1900</v>
      </c>
      <c r="P1791" s="61">
        <f t="shared" si="164"/>
        <v>1</v>
      </c>
      <c r="R1791" s="272"/>
      <c r="S1791" s="272"/>
      <c r="T1791" s="273" t="str">
        <f t="shared" si="165"/>
        <v>-</v>
      </c>
    </row>
    <row r="1792" spans="1:20">
      <c r="A1792" s="269"/>
      <c r="B1792" s="277"/>
      <c r="C1792" s="55"/>
      <c r="D1792" s="55"/>
      <c r="E1792" s="55"/>
      <c r="F1792" s="55"/>
      <c r="G1792" s="275"/>
      <c r="H1792" s="276"/>
      <c r="I1792" s="213"/>
      <c r="J1792" s="213"/>
      <c r="K1792" s="269"/>
      <c r="L1792" s="272">
        <f t="shared" si="161"/>
        <v>1900</v>
      </c>
      <c r="M1792" s="272">
        <f t="shared" si="162"/>
        <v>1</v>
      </c>
      <c r="N1792" s="273"/>
      <c r="O1792" s="61">
        <f t="shared" si="163"/>
        <v>1900</v>
      </c>
      <c r="P1792" s="61">
        <f t="shared" si="164"/>
        <v>1</v>
      </c>
      <c r="R1792" s="272"/>
      <c r="S1792" s="272"/>
      <c r="T1792" s="273" t="str">
        <f t="shared" si="165"/>
        <v>-</v>
      </c>
    </row>
    <row r="1793" spans="1:20">
      <c r="A1793" s="269"/>
      <c r="B1793" s="277"/>
      <c r="C1793" s="55"/>
      <c r="D1793" s="55"/>
      <c r="E1793" s="55"/>
      <c r="F1793" s="55"/>
      <c r="G1793" s="275"/>
      <c r="H1793" s="276"/>
      <c r="I1793" s="213"/>
      <c r="J1793" s="213"/>
      <c r="K1793" s="269"/>
      <c r="L1793" s="272">
        <f t="shared" si="161"/>
        <v>1900</v>
      </c>
      <c r="M1793" s="272">
        <f t="shared" si="162"/>
        <v>1</v>
      </c>
      <c r="N1793" s="273"/>
      <c r="O1793" s="61">
        <f t="shared" si="163"/>
        <v>1900</v>
      </c>
      <c r="P1793" s="61">
        <f t="shared" si="164"/>
        <v>1</v>
      </c>
      <c r="R1793" s="272"/>
      <c r="S1793" s="272"/>
      <c r="T1793" s="273" t="str">
        <f t="shared" si="165"/>
        <v>-</v>
      </c>
    </row>
    <row r="1794" spans="1:20">
      <c r="A1794" s="269"/>
      <c r="B1794" s="277"/>
      <c r="C1794" s="55"/>
      <c r="D1794" s="55"/>
      <c r="E1794" s="55"/>
      <c r="F1794" s="55"/>
      <c r="G1794" s="275"/>
      <c r="H1794" s="276"/>
      <c r="I1794" s="213"/>
      <c r="J1794" s="213"/>
      <c r="K1794" s="269"/>
      <c r="L1794" s="272">
        <f t="shared" si="161"/>
        <v>1900</v>
      </c>
      <c r="M1794" s="272">
        <f t="shared" si="162"/>
        <v>1</v>
      </c>
      <c r="N1794" s="273"/>
      <c r="O1794" s="61">
        <f t="shared" si="163"/>
        <v>1900</v>
      </c>
      <c r="P1794" s="61">
        <f t="shared" si="164"/>
        <v>1</v>
      </c>
      <c r="R1794" s="272"/>
      <c r="S1794" s="272"/>
      <c r="T1794" s="273" t="str">
        <f t="shared" si="165"/>
        <v>-</v>
      </c>
    </row>
    <row r="1795" spans="1:20">
      <c r="A1795" s="269"/>
      <c r="B1795" s="277"/>
      <c r="C1795" s="55"/>
      <c r="D1795" s="55"/>
      <c r="E1795" s="55"/>
      <c r="F1795" s="55"/>
      <c r="G1795" s="275"/>
      <c r="H1795" s="276"/>
      <c r="I1795" s="213"/>
      <c r="J1795" s="213"/>
      <c r="K1795" s="269"/>
      <c r="L1795" s="272">
        <f t="shared" si="161"/>
        <v>1900</v>
      </c>
      <c r="M1795" s="272">
        <f t="shared" si="162"/>
        <v>1</v>
      </c>
      <c r="N1795" s="273"/>
      <c r="O1795" s="61">
        <f t="shared" si="163"/>
        <v>1900</v>
      </c>
      <c r="P1795" s="61">
        <f t="shared" si="164"/>
        <v>1</v>
      </c>
      <c r="R1795" s="272"/>
      <c r="S1795" s="272"/>
      <c r="T1795" s="273" t="str">
        <f t="shared" si="165"/>
        <v>-</v>
      </c>
    </row>
    <row r="1796" spans="1:20">
      <c r="A1796" s="269"/>
      <c r="B1796" s="277"/>
      <c r="C1796" s="55"/>
      <c r="D1796" s="55"/>
      <c r="E1796" s="55"/>
      <c r="F1796" s="55"/>
      <c r="G1796" s="275"/>
      <c r="H1796" s="276"/>
      <c r="I1796" s="213"/>
      <c r="J1796" s="213"/>
      <c r="K1796" s="269"/>
      <c r="L1796" s="272">
        <f t="shared" si="161"/>
        <v>1900</v>
      </c>
      <c r="M1796" s="272">
        <f t="shared" si="162"/>
        <v>1</v>
      </c>
      <c r="N1796" s="273"/>
      <c r="O1796" s="61">
        <f t="shared" si="163"/>
        <v>1900</v>
      </c>
      <c r="P1796" s="61">
        <f t="shared" si="164"/>
        <v>1</v>
      </c>
      <c r="R1796" s="272"/>
      <c r="S1796" s="272"/>
      <c r="T1796" s="273" t="str">
        <f t="shared" si="165"/>
        <v>-</v>
      </c>
    </row>
    <row r="1797" spans="1:20">
      <c r="A1797" s="269"/>
      <c r="B1797" s="277"/>
      <c r="C1797" s="55"/>
      <c r="D1797" s="55"/>
      <c r="E1797" s="55"/>
      <c r="F1797" s="55"/>
      <c r="G1797" s="275"/>
      <c r="H1797" s="276"/>
      <c r="I1797" s="213"/>
      <c r="J1797" s="213"/>
      <c r="K1797" s="269"/>
      <c r="L1797" s="272">
        <f t="shared" si="161"/>
        <v>1900</v>
      </c>
      <c r="M1797" s="272">
        <f t="shared" si="162"/>
        <v>1</v>
      </c>
      <c r="N1797" s="273"/>
      <c r="O1797" s="61">
        <f t="shared" si="163"/>
        <v>1900</v>
      </c>
      <c r="P1797" s="61">
        <f t="shared" si="164"/>
        <v>1</v>
      </c>
      <c r="R1797" s="272"/>
      <c r="S1797" s="272"/>
      <c r="T1797" s="273" t="str">
        <f t="shared" si="165"/>
        <v>-</v>
      </c>
    </row>
    <row r="1798" spans="1:20">
      <c r="A1798" s="269"/>
      <c r="B1798" s="277"/>
      <c r="C1798" s="55"/>
      <c r="D1798" s="55"/>
      <c r="E1798" s="55"/>
      <c r="F1798" s="55"/>
      <c r="G1798" s="275"/>
      <c r="H1798" s="276"/>
      <c r="I1798" s="213"/>
      <c r="J1798" s="213"/>
      <c r="K1798" s="269"/>
      <c r="L1798" s="272">
        <f t="shared" si="161"/>
        <v>1900</v>
      </c>
      <c r="M1798" s="272">
        <f t="shared" si="162"/>
        <v>1</v>
      </c>
      <c r="N1798" s="273"/>
      <c r="O1798" s="61">
        <f t="shared" si="163"/>
        <v>1900</v>
      </c>
      <c r="P1798" s="61">
        <f t="shared" si="164"/>
        <v>1</v>
      </c>
      <c r="R1798" s="272"/>
      <c r="S1798" s="272"/>
      <c r="T1798" s="273" t="str">
        <f t="shared" si="165"/>
        <v>-</v>
      </c>
    </row>
    <row r="1799" spans="1:20">
      <c r="A1799" s="269"/>
      <c r="B1799" s="277"/>
      <c r="C1799" s="55"/>
      <c r="D1799" s="55"/>
      <c r="E1799" s="55"/>
      <c r="F1799" s="55"/>
      <c r="G1799" s="275"/>
      <c r="H1799" s="276"/>
      <c r="I1799" s="213"/>
      <c r="J1799" s="213"/>
      <c r="K1799" s="269"/>
      <c r="L1799" s="272">
        <f t="shared" si="161"/>
        <v>1900</v>
      </c>
      <c r="M1799" s="272">
        <f t="shared" si="162"/>
        <v>1</v>
      </c>
      <c r="N1799" s="273"/>
      <c r="O1799" s="61">
        <f t="shared" si="163"/>
        <v>1900</v>
      </c>
      <c r="P1799" s="61">
        <f t="shared" si="164"/>
        <v>1</v>
      </c>
      <c r="R1799" s="272"/>
      <c r="S1799" s="272"/>
      <c r="T1799" s="273" t="str">
        <f t="shared" si="165"/>
        <v>-</v>
      </c>
    </row>
    <row r="1800" spans="1:20">
      <c r="A1800" s="269"/>
      <c r="B1800" s="277"/>
      <c r="C1800" s="55"/>
      <c r="D1800" s="55"/>
      <c r="E1800" s="55"/>
      <c r="F1800" s="55"/>
      <c r="G1800" s="275"/>
      <c r="H1800" s="276"/>
      <c r="I1800" s="213"/>
      <c r="J1800" s="213"/>
      <c r="K1800" s="269"/>
      <c r="L1800" s="272">
        <f t="shared" si="161"/>
        <v>1900</v>
      </c>
      <c r="M1800" s="272">
        <f t="shared" si="162"/>
        <v>1</v>
      </c>
      <c r="N1800" s="273"/>
      <c r="O1800" s="61">
        <f t="shared" si="163"/>
        <v>1900</v>
      </c>
      <c r="P1800" s="61">
        <f t="shared" si="164"/>
        <v>1</v>
      </c>
      <c r="R1800" s="272"/>
      <c r="S1800" s="272"/>
      <c r="T1800" s="273" t="str">
        <f t="shared" si="165"/>
        <v>-</v>
      </c>
    </row>
    <row r="1801" spans="1:20">
      <c r="A1801" s="269"/>
      <c r="B1801" s="277"/>
      <c r="C1801" s="55"/>
      <c r="D1801" s="55"/>
      <c r="E1801" s="55"/>
      <c r="F1801" s="55"/>
      <c r="G1801" s="275"/>
      <c r="H1801" s="276"/>
      <c r="I1801" s="213"/>
      <c r="J1801" s="213"/>
      <c r="K1801" s="269"/>
      <c r="L1801" s="272">
        <f t="shared" si="161"/>
        <v>1900</v>
      </c>
      <c r="M1801" s="272">
        <f t="shared" si="162"/>
        <v>1</v>
      </c>
      <c r="N1801" s="273"/>
      <c r="O1801" s="61">
        <f t="shared" si="163"/>
        <v>1900</v>
      </c>
      <c r="P1801" s="61">
        <f t="shared" si="164"/>
        <v>1</v>
      </c>
      <c r="R1801" s="272"/>
      <c r="S1801" s="272"/>
      <c r="T1801" s="273" t="str">
        <f t="shared" si="165"/>
        <v>-</v>
      </c>
    </row>
    <row r="1802" spans="1:20">
      <c r="A1802" s="269"/>
      <c r="B1802" s="277"/>
      <c r="C1802" s="55"/>
      <c r="D1802" s="55"/>
      <c r="E1802" s="55"/>
      <c r="F1802" s="55"/>
      <c r="G1802" s="275"/>
      <c r="H1802" s="276"/>
      <c r="I1802" s="213"/>
      <c r="J1802" s="213"/>
      <c r="K1802" s="269"/>
      <c r="L1802" s="272">
        <f t="shared" si="161"/>
        <v>1900</v>
      </c>
      <c r="M1802" s="272">
        <f t="shared" si="162"/>
        <v>1</v>
      </c>
      <c r="N1802" s="273"/>
      <c r="O1802" s="61">
        <f t="shared" si="163"/>
        <v>1900</v>
      </c>
      <c r="P1802" s="61">
        <f t="shared" si="164"/>
        <v>1</v>
      </c>
      <c r="R1802" s="272"/>
      <c r="S1802" s="272"/>
      <c r="T1802" s="273" t="str">
        <f t="shared" si="165"/>
        <v>-</v>
      </c>
    </row>
    <row r="1803" spans="1:20">
      <c r="A1803" s="269"/>
      <c r="B1803" s="277"/>
      <c r="C1803" s="55"/>
      <c r="D1803" s="55"/>
      <c r="E1803" s="55"/>
      <c r="F1803" s="55"/>
      <c r="G1803" s="275"/>
      <c r="H1803" s="276"/>
      <c r="I1803" s="213"/>
      <c r="J1803" s="213"/>
      <c r="K1803" s="269"/>
      <c r="L1803" s="272">
        <f t="shared" si="161"/>
        <v>1900</v>
      </c>
      <c r="M1803" s="272">
        <f t="shared" si="162"/>
        <v>1</v>
      </c>
      <c r="N1803" s="273"/>
      <c r="O1803" s="61">
        <f t="shared" si="163"/>
        <v>1900</v>
      </c>
      <c r="P1803" s="61">
        <f t="shared" si="164"/>
        <v>1</v>
      </c>
      <c r="R1803" s="272"/>
      <c r="S1803" s="272"/>
      <c r="T1803" s="273" t="str">
        <f t="shared" si="165"/>
        <v>-</v>
      </c>
    </row>
    <row r="1804" spans="1:20">
      <c r="A1804" s="269"/>
      <c r="B1804" s="277"/>
      <c r="C1804" s="55"/>
      <c r="D1804" s="55"/>
      <c r="E1804" s="55"/>
      <c r="F1804" s="55"/>
      <c r="G1804" s="275"/>
      <c r="H1804" s="276"/>
      <c r="I1804" s="213"/>
      <c r="J1804" s="213"/>
      <c r="K1804" s="269"/>
      <c r="L1804" s="272">
        <f t="shared" si="161"/>
        <v>1900</v>
      </c>
      <c r="M1804" s="272">
        <f t="shared" si="162"/>
        <v>1</v>
      </c>
      <c r="N1804" s="273"/>
      <c r="O1804" s="61">
        <f t="shared" si="163"/>
        <v>1900</v>
      </c>
      <c r="P1804" s="61">
        <f t="shared" si="164"/>
        <v>1</v>
      </c>
      <c r="R1804" s="272"/>
      <c r="S1804" s="272"/>
      <c r="T1804" s="273" t="str">
        <f t="shared" si="165"/>
        <v>-</v>
      </c>
    </row>
    <row r="1805" spans="1:20">
      <c r="A1805" s="269"/>
      <c r="B1805" s="277"/>
      <c r="C1805" s="55"/>
      <c r="D1805" s="55"/>
      <c r="E1805" s="55"/>
      <c r="F1805" s="55"/>
      <c r="G1805" s="275"/>
      <c r="H1805" s="276"/>
      <c r="I1805" s="213"/>
      <c r="J1805" s="213"/>
      <c r="K1805" s="269"/>
      <c r="L1805" s="272">
        <f t="shared" si="161"/>
        <v>1900</v>
      </c>
      <c r="M1805" s="272">
        <f t="shared" si="162"/>
        <v>1</v>
      </c>
      <c r="N1805" s="273"/>
      <c r="O1805" s="61">
        <f t="shared" si="163"/>
        <v>1900</v>
      </c>
      <c r="P1805" s="61">
        <f t="shared" si="164"/>
        <v>1</v>
      </c>
      <c r="R1805" s="272"/>
      <c r="S1805" s="272"/>
      <c r="T1805" s="273" t="str">
        <f t="shared" si="165"/>
        <v>-</v>
      </c>
    </row>
    <row r="1806" spans="1:20">
      <c r="A1806" s="269"/>
      <c r="B1806" s="277"/>
      <c r="C1806" s="55"/>
      <c r="D1806" s="55"/>
      <c r="E1806" s="55"/>
      <c r="F1806" s="55"/>
      <c r="G1806" s="275"/>
      <c r="H1806" s="276"/>
      <c r="I1806" s="213"/>
      <c r="J1806" s="213"/>
      <c r="K1806" s="269"/>
      <c r="L1806" s="272">
        <f t="shared" si="161"/>
        <v>1900</v>
      </c>
      <c r="M1806" s="272">
        <f t="shared" si="162"/>
        <v>1</v>
      </c>
      <c r="N1806" s="273"/>
      <c r="O1806" s="61">
        <f t="shared" si="163"/>
        <v>1900</v>
      </c>
      <c r="P1806" s="61">
        <f t="shared" si="164"/>
        <v>1</v>
      </c>
      <c r="R1806" s="272"/>
      <c r="S1806" s="272"/>
      <c r="T1806" s="273" t="str">
        <f t="shared" si="165"/>
        <v>-</v>
      </c>
    </row>
    <row r="1807" spans="1:20">
      <c r="A1807" s="269"/>
      <c r="B1807" s="277"/>
      <c r="C1807" s="55"/>
      <c r="D1807" s="55"/>
      <c r="E1807" s="55"/>
      <c r="F1807" s="55"/>
      <c r="G1807" s="275"/>
      <c r="H1807" s="276"/>
      <c r="I1807" s="213"/>
      <c r="J1807" s="213"/>
      <c r="K1807" s="269"/>
      <c r="L1807" s="272">
        <f t="shared" si="161"/>
        <v>1900</v>
      </c>
      <c r="M1807" s="272">
        <f t="shared" si="162"/>
        <v>1</v>
      </c>
      <c r="N1807" s="273"/>
      <c r="O1807" s="61">
        <f t="shared" si="163"/>
        <v>1900</v>
      </c>
      <c r="P1807" s="61">
        <f t="shared" si="164"/>
        <v>1</v>
      </c>
      <c r="R1807" s="272"/>
      <c r="S1807" s="272"/>
      <c r="T1807" s="273" t="str">
        <f t="shared" si="165"/>
        <v>-</v>
      </c>
    </row>
    <row r="1808" spans="1:20">
      <c r="A1808" s="269"/>
      <c r="B1808" s="277"/>
      <c r="C1808" s="55"/>
      <c r="D1808" s="55"/>
      <c r="E1808" s="55"/>
      <c r="F1808" s="55"/>
      <c r="G1808" s="275"/>
      <c r="H1808" s="276"/>
      <c r="I1808" s="213"/>
      <c r="J1808" s="213"/>
      <c r="K1808" s="269"/>
      <c r="L1808" s="272">
        <f t="shared" ref="L1808:L1871" si="166">YEAR(B1808)</f>
        <v>1900</v>
      </c>
      <c r="M1808" s="272">
        <f t="shared" ref="M1808:M1871" si="167">MONTH(B1808)</f>
        <v>1</v>
      </c>
      <c r="N1808" s="273"/>
      <c r="O1808" s="61">
        <f t="shared" ref="O1808:O1871" si="168">YEAR(B1808)</f>
        <v>1900</v>
      </c>
      <c r="P1808" s="61">
        <f t="shared" ref="P1808:P1871" si="169">MONTH(B1808)</f>
        <v>1</v>
      </c>
      <c r="R1808" s="272"/>
      <c r="S1808" s="272"/>
      <c r="T1808" s="273" t="str">
        <f t="shared" ref="T1808:T1871" si="170">IF($E1808&gt;0,IF((R1808+S1808)=$E1808,"OK","Error"),"-")</f>
        <v>-</v>
      </c>
    </row>
    <row r="1809" spans="1:20">
      <c r="A1809" s="269"/>
      <c r="B1809" s="277"/>
      <c r="C1809" s="55"/>
      <c r="D1809" s="55"/>
      <c r="E1809" s="55"/>
      <c r="F1809" s="55"/>
      <c r="G1809" s="275"/>
      <c r="H1809" s="276"/>
      <c r="I1809" s="213"/>
      <c r="J1809" s="213"/>
      <c r="K1809" s="269"/>
      <c r="L1809" s="272">
        <f t="shared" si="166"/>
        <v>1900</v>
      </c>
      <c r="M1809" s="272">
        <f t="shared" si="167"/>
        <v>1</v>
      </c>
      <c r="N1809" s="273"/>
      <c r="O1809" s="61">
        <f t="shared" si="168"/>
        <v>1900</v>
      </c>
      <c r="P1809" s="61">
        <f t="shared" si="169"/>
        <v>1</v>
      </c>
      <c r="R1809" s="272"/>
      <c r="S1809" s="272"/>
      <c r="T1809" s="273" t="str">
        <f t="shared" si="170"/>
        <v>-</v>
      </c>
    </row>
    <row r="1810" spans="1:20">
      <c r="A1810" s="269"/>
      <c r="B1810" s="277"/>
      <c r="C1810" s="55"/>
      <c r="D1810" s="55"/>
      <c r="E1810" s="55"/>
      <c r="F1810" s="55"/>
      <c r="G1810" s="275"/>
      <c r="H1810" s="276"/>
      <c r="I1810" s="213"/>
      <c r="J1810" s="213"/>
      <c r="K1810" s="269"/>
      <c r="L1810" s="272">
        <f t="shared" si="166"/>
        <v>1900</v>
      </c>
      <c r="M1810" s="272">
        <f t="shared" si="167"/>
        <v>1</v>
      </c>
      <c r="N1810" s="273"/>
      <c r="O1810" s="61">
        <f t="shared" si="168"/>
        <v>1900</v>
      </c>
      <c r="P1810" s="61">
        <f t="shared" si="169"/>
        <v>1</v>
      </c>
      <c r="R1810" s="272"/>
      <c r="S1810" s="272"/>
      <c r="T1810" s="273" t="str">
        <f t="shared" si="170"/>
        <v>-</v>
      </c>
    </row>
    <row r="1811" spans="1:20">
      <c r="A1811" s="269"/>
      <c r="B1811" s="277"/>
      <c r="C1811" s="55"/>
      <c r="D1811" s="55"/>
      <c r="E1811" s="55"/>
      <c r="F1811" s="55"/>
      <c r="G1811" s="275"/>
      <c r="H1811" s="276"/>
      <c r="I1811" s="213"/>
      <c r="J1811" s="213"/>
      <c r="K1811" s="269"/>
      <c r="L1811" s="272">
        <f t="shared" si="166"/>
        <v>1900</v>
      </c>
      <c r="M1811" s="272">
        <f t="shared" si="167"/>
        <v>1</v>
      </c>
      <c r="N1811" s="273"/>
      <c r="O1811" s="61">
        <f t="shared" si="168"/>
        <v>1900</v>
      </c>
      <c r="P1811" s="61">
        <f t="shared" si="169"/>
        <v>1</v>
      </c>
      <c r="R1811" s="272"/>
      <c r="S1811" s="272"/>
      <c r="T1811" s="273" t="str">
        <f t="shared" si="170"/>
        <v>-</v>
      </c>
    </row>
    <row r="1812" spans="1:20">
      <c r="A1812" s="269"/>
      <c r="B1812" s="277"/>
      <c r="C1812" s="55"/>
      <c r="D1812" s="55"/>
      <c r="E1812" s="55"/>
      <c r="F1812" s="55"/>
      <c r="G1812" s="275"/>
      <c r="H1812" s="276"/>
      <c r="I1812" s="213"/>
      <c r="J1812" s="213"/>
      <c r="K1812" s="269"/>
      <c r="L1812" s="272">
        <f t="shared" si="166"/>
        <v>1900</v>
      </c>
      <c r="M1812" s="272">
        <f t="shared" si="167"/>
        <v>1</v>
      </c>
      <c r="N1812" s="273"/>
      <c r="O1812" s="61">
        <f t="shared" si="168"/>
        <v>1900</v>
      </c>
      <c r="P1812" s="61">
        <f t="shared" si="169"/>
        <v>1</v>
      </c>
      <c r="R1812" s="272"/>
      <c r="S1812" s="272"/>
      <c r="T1812" s="273" t="str">
        <f t="shared" si="170"/>
        <v>-</v>
      </c>
    </row>
    <row r="1813" spans="1:20">
      <c r="A1813" s="269"/>
      <c r="B1813" s="277"/>
      <c r="C1813" s="55"/>
      <c r="D1813" s="55"/>
      <c r="E1813" s="55"/>
      <c r="F1813" s="55"/>
      <c r="G1813" s="275"/>
      <c r="H1813" s="276"/>
      <c r="I1813" s="213"/>
      <c r="J1813" s="213"/>
      <c r="K1813" s="269"/>
      <c r="L1813" s="272">
        <f t="shared" si="166"/>
        <v>1900</v>
      </c>
      <c r="M1813" s="272">
        <f t="shared" si="167"/>
        <v>1</v>
      </c>
      <c r="N1813" s="273"/>
      <c r="O1813" s="61">
        <f t="shared" si="168"/>
        <v>1900</v>
      </c>
      <c r="P1813" s="61">
        <f t="shared" si="169"/>
        <v>1</v>
      </c>
      <c r="R1813" s="272"/>
      <c r="S1813" s="272"/>
      <c r="T1813" s="273" t="str">
        <f t="shared" si="170"/>
        <v>-</v>
      </c>
    </row>
    <row r="1814" spans="1:20">
      <c r="A1814" s="269"/>
      <c r="B1814" s="277"/>
      <c r="C1814" s="55"/>
      <c r="D1814" s="55"/>
      <c r="E1814" s="55"/>
      <c r="F1814" s="55"/>
      <c r="G1814" s="275"/>
      <c r="H1814" s="276"/>
      <c r="I1814" s="213"/>
      <c r="J1814" s="213"/>
      <c r="K1814" s="269"/>
      <c r="L1814" s="272">
        <f t="shared" si="166"/>
        <v>1900</v>
      </c>
      <c r="M1814" s="272">
        <f t="shared" si="167"/>
        <v>1</v>
      </c>
      <c r="N1814" s="273"/>
      <c r="O1814" s="61">
        <f t="shared" si="168"/>
        <v>1900</v>
      </c>
      <c r="P1814" s="61">
        <f t="shared" si="169"/>
        <v>1</v>
      </c>
      <c r="R1814" s="272"/>
      <c r="S1814" s="272"/>
      <c r="T1814" s="273" t="str">
        <f t="shared" si="170"/>
        <v>-</v>
      </c>
    </row>
    <row r="1815" spans="1:20">
      <c r="A1815" s="269"/>
      <c r="B1815" s="277"/>
      <c r="C1815" s="55"/>
      <c r="D1815" s="55"/>
      <c r="E1815" s="55"/>
      <c r="F1815" s="55"/>
      <c r="G1815" s="275"/>
      <c r="H1815" s="276"/>
      <c r="I1815" s="213"/>
      <c r="J1815" s="213"/>
      <c r="K1815" s="269"/>
      <c r="L1815" s="272">
        <f t="shared" si="166"/>
        <v>1900</v>
      </c>
      <c r="M1815" s="272">
        <f t="shared" si="167"/>
        <v>1</v>
      </c>
      <c r="N1815" s="273"/>
      <c r="O1815" s="61">
        <f t="shared" si="168"/>
        <v>1900</v>
      </c>
      <c r="P1815" s="61">
        <f t="shared" si="169"/>
        <v>1</v>
      </c>
      <c r="R1815" s="272"/>
      <c r="S1815" s="272"/>
      <c r="T1815" s="273" t="str">
        <f t="shared" si="170"/>
        <v>-</v>
      </c>
    </row>
    <row r="1816" spans="1:20">
      <c r="A1816" s="269"/>
      <c r="B1816" s="277"/>
      <c r="C1816" s="55"/>
      <c r="D1816" s="55"/>
      <c r="E1816" s="55"/>
      <c r="F1816" s="55"/>
      <c r="G1816" s="275"/>
      <c r="H1816" s="276"/>
      <c r="I1816" s="213"/>
      <c r="J1816" s="213"/>
      <c r="K1816" s="269"/>
      <c r="L1816" s="272">
        <f t="shared" si="166"/>
        <v>1900</v>
      </c>
      <c r="M1816" s="272">
        <f t="shared" si="167"/>
        <v>1</v>
      </c>
      <c r="N1816" s="273"/>
      <c r="O1816" s="61">
        <f t="shared" si="168"/>
        <v>1900</v>
      </c>
      <c r="P1816" s="61">
        <f t="shared" si="169"/>
        <v>1</v>
      </c>
      <c r="R1816" s="272"/>
      <c r="S1816" s="272"/>
      <c r="T1816" s="273" t="str">
        <f t="shared" si="170"/>
        <v>-</v>
      </c>
    </row>
    <row r="1817" spans="1:20">
      <c r="A1817" s="269"/>
      <c r="B1817" s="277"/>
      <c r="C1817" s="55"/>
      <c r="D1817" s="55"/>
      <c r="E1817" s="55"/>
      <c r="F1817" s="55"/>
      <c r="G1817" s="275"/>
      <c r="H1817" s="276"/>
      <c r="I1817" s="213"/>
      <c r="J1817" s="213"/>
      <c r="K1817" s="269"/>
      <c r="L1817" s="272">
        <f t="shared" si="166"/>
        <v>1900</v>
      </c>
      <c r="M1817" s="272">
        <f t="shared" si="167"/>
        <v>1</v>
      </c>
      <c r="N1817" s="273"/>
      <c r="O1817" s="61">
        <f t="shared" si="168"/>
        <v>1900</v>
      </c>
      <c r="P1817" s="61">
        <f t="shared" si="169"/>
        <v>1</v>
      </c>
      <c r="R1817" s="272"/>
      <c r="S1817" s="272"/>
      <c r="T1817" s="273" t="str">
        <f t="shared" si="170"/>
        <v>-</v>
      </c>
    </row>
    <row r="1818" spans="1:20">
      <c r="A1818" s="269"/>
      <c r="B1818" s="277"/>
      <c r="C1818" s="55"/>
      <c r="D1818" s="55"/>
      <c r="E1818" s="55"/>
      <c r="F1818" s="55"/>
      <c r="G1818" s="275"/>
      <c r="H1818" s="276"/>
      <c r="I1818" s="213"/>
      <c r="J1818" s="213"/>
      <c r="K1818" s="269"/>
      <c r="L1818" s="272">
        <f t="shared" si="166"/>
        <v>1900</v>
      </c>
      <c r="M1818" s="272">
        <f t="shared" si="167"/>
        <v>1</v>
      </c>
      <c r="N1818" s="273"/>
      <c r="O1818" s="61">
        <f t="shared" si="168"/>
        <v>1900</v>
      </c>
      <c r="P1818" s="61">
        <f t="shared" si="169"/>
        <v>1</v>
      </c>
      <c r="R1818" s="272"/>
      <c r="S1818" s="272"/>
      <c r="T1818" s="273" t="str">
        <f t="shared" si="170"/>
        <v>-</v>
      </c>
    </row>
    <row r="1819" spans="1:20">
      <c r="A1819" s="269"/>
      <c r="B1819" s="277"/>
      <c r="C1819" s="55"/>
      <c r="D1819" s="55"/>
      <c r="E1819" s="55"/>
      <c r="F1819" s="55"/>
      <c r="G1819" s="275"/>
      <c r="H1819" s="276"/>
      <c r="I1819" s="213"/>
      <c r="J1819" s="213"/>
      <c r="K1819" s="269"/>
      <c r="L1819" s="272">
        <f t="shared" si="166"/>
        <v>1900</v>
      </c>
      <c r="M1819" s="272">
        <f t="shared" si="167"/>
        <v>1</v>
      </c>
      <c r="N1819" s="273"/>
      <c r="O1819" s="61">
        <f t="shared" si="168"/>
        <v>1900</v>
      </c>
      <c r="P1819" s="61">
        <f t="shared" si="169"/>
        <v>1</v>
      </c>
      <c r="R1819" s="272"/>
      <c r="S1819" s="272"/>
      <c r="T1819" s="273" t="str">
        <f t="shared" si="170"/>
        <v>-</v>
      </c>
    </row>
    <row r="1820" spans="1:20">
      <c r="A1820" s="269"/>
      <c r="B1820" s="277"/>
      <c r="C1820" s="55"/>
      <c r="D1820" s="55"/>
      <c r="E1820" s="55"/>
      <c r="F1820" s="55"/>
      <c r="G1820" s="275"/>
      <c r="H1820" s="276"/>
      <c r="I1820" s="213"/>
      <c r="J1820" s="213"/>
      <c r="K1820" s="269"/>
      <c r="L1820" s="272">
        <f t="shared" si="166"/>
        <v>1900</v>
      </c>
      <c r="M1820" s="272">
        <f t="shared" si="167"/>
        <v>1</v>
      </c>
      <c r="N1820" s="273"/>
      <c r="O1820" s="61">
        <f t="shared" si="168"/>
        <v>1900</v>
      </c>
      <c r="P1820" s="61">
        <f t="shared" si="169"/>
        <v>1</v>
      </c>
      <c r="R1820" s="272"/>
      <c r="S1820" s="272"/>
      <c r="T1820" s="273" t="str">
        <f t="shared" si="170"/>
        <v>-</v>
      </c>
    </row>
    <row r="1821" spans="1:20">
      <c r="A1821" s="269"/>
      <c r="B1821" s="277"/>
      <c r="C1821" s="55"/>
      <c r="D1821" s="55"/>
      <c r="E1821" s="55"/>
      <c r="F1821" s="55"/>
      <c r="G1821" s="275"/>
      <c r="H1821" s="276"/>
      <c r="I1821" s="213"/>
      <c r="J1821" s="213"/>
      <c r="K1821" s="269"/>
      <c r="L1821" s="272">
        <f t="shared" si="166"/>
        <v>1900</v>
      </c>
      <c r="M1821" s="272">
        <f t="shared" si="167"/>
        <v>1</v>
      </c>
      <c r="N1821" s="273"/>
      <c r="O1821" s="61">
        <f t="shared" si="168"/>
        <v>1900</v>
      </c>
      <c r="P1821" s="61">
        <f t="shared" si="169"/>
        <v>1</v>
      </c>
      <c r="R1821" s="272"/>
      <c r="S1821" s="272"/>
      <c r="T1821" s="273" t="str">
        <f t="shared" si="170"/>
        <v>-</v>
      </c>
    </row>
    <row r="1822" spans="1:20">
      <c r="A1822" s="269"/>
      <c r="B1822" s="277"/>
      <c r="C1822" s="55"/>
      <c r="D1822" s="55"/>
      <c r="E1822" s="55"/>
      <c r="F1822" s="55"/>
      <c r="G1822" s="275"/>
      <c r="H1822" s="276"/>
      <c r="I1822" s="213"/>
      <c r="J1822" s="213"/>
      <c r="K1822" s="269"/>
      <c r="L1822" s="272">
        <f t="shared" si="166"/>
        <v>1900</v>
      </c>
      <c r="M1822" s="272">
        <f t="shared" si="167"/>
        <v>1</v>
      </c>
      <c r="N1822" s="273"/>
      <c r="O1822" s="61">
        <f t="shared" si="168"/>
        <v>1900</v>
      </c>
      <c r="P1822" s="61">
        <f t="shared" si="169"/>
        <v>1</v>
      </c>
      <c r="R1822" s="272"/>
      <c r="S1822" s="272"/>
      <c r="T1822" s="273" t="str">
        <f t="shared" si="170"/>
        <v>-</v>
      </c>
    </row>
    <row r="1823" spans="1:20">
      <c r="A1823" s="269"/>
      <c r="B1823" s="277"/>
      <c r="C1823" s="55"/>
      <c r="D1823" s="55"/>
      <c r="E1823" s="55"/>
      <c r="F1823" s="55"/>
      <c r="G1823" s="275"/>
      <c r="H1823" s="276"/>
      <c r="I1823" s="213"/>
      <c r="J1823" s="213"/>
      <c r="K1823" s="269"/>
      <c r="L1823" s="272">
        <f t="shared" si="166"/>
        <v>1900</v>
      </c>
      <c r="M1823" s="272">
        <f t="shared" si="167"/>
        <v>1</v>
      </c>
      <c r="N1823" s="273"/>
      <c r="O1823" s="61">
        <f t="shared" si="168"/>
        <v>1900</v>
      </c>
      <c r="P1823" s="61">
        <f t="shared" si="169"/>
        <v>1</v>
      </c>
      <c r="R1823" s="272"/>
      <c r="S1823" s="272"/>
      <c r="T1823" s="273" t="str">
        <f t="shared" si="170"/>
        <v>-</v>
      </c>
    </row>
    <row r="1824" spans="1:20">
      <c r="A1824" s="269"/>
      <c r="B1824" s="277"/>
      <c r="C1824" s="55"/>
      <c r="D1824" s="55"/>
      <c r="E1824" s="55"/>
      <c r="F1824" s="55"/>
      <c r="G1824" s="275"/>
      <c r="H1824" s="276"/>
      <c r="I1824" s="213"/>
      <c r="J1824" s="213"/>
      <c r="K1824" s="269"/>
      <c r="L1824" s="272">
        <f t="shared" si="166"/>
        <v>1900</v>
      </c>
      <c r="M1824" s="272">
        <f t="shared" si="167"/>
        <v>1</v>
      </c>
      <c r="N1824" s="273"/>
      <c r="O1824" s="61">
        <f t="shared" si="168"/>
        <v>1900</v>
      </c>
      <c r="P1824" s="61">
        <f t="shared" si="169"/>
        <v>1</v>
      </c>
      <c r="R1824" s="272"/>
      <c r="S1824" s="272"/>
      <c r="T1824" s="273" t="str">
        <f t="shared" si="170"/>
        <v>-</v>
      </c>
    </row>
    <row r="1825" spans="1:20">
      <c r="A1825" s="269"/>
      <c r="B1825" s="277"/>
      <c r="C1825" s="55"/>
      <c r="D1825" s="55"/>
      <c r="E1825" s="55"/>
      <c r="F1825" s="55"/>
      <c r="G1825" s="275"/>
      <c r="H1825" s="276"/>
      <c r="I1825" s="213"/>
      <c r="J1825" s="213"/>
      <c r="K1825" s="269"/>
      <c r="L1825" s="272">
        <f t="shared" si="166"/>
        <v>1900</v>
      </c>
      <c r="M1825" s="272">
        <f t="shared" si="167"/>
        <v>1</v>
      </c>
      <c r="N1825" s="273"/>
      <c r="O1825" s="61">
        <f t="shared" si="168"/>
        <v>1900</v>
      </c>
      <c r="P1825" s="61">
        <f t="shared" si="169"/>
        <v>1</v>
      </c>
      <c r="R1825" s="272"/>
      <c r="S1825" s="272"/>
      <c r="T1825" s="273" t="str">
        <f t="shared" si="170"/>
        <v>-</v>
      </c>
    </row>
    <row r="1826" spans="1:20">
      <c r="A1826" s="269"/>
      <c r="B1826" s="277"/>
      <c r="C1826" s="55"/>
      <c r="D1826" s="55"/>
      <c r="E1826" s="55"/>
      <c r="F1826" s="55"/>
      <c r="G1826" s="275"/>
      <c r="H1826" s="276"/>
      <c r="I1826" s="213"/>
      <c r="J1826" s="213"/>
      <c r="K1826" s="269"/>
      <c r="L1826" s="272">
        <f t="shared" si="166"/>
        <v>1900</v>
      </c>
      <c r="M1826" s="272">
        <f t="shared" si="167"/>
        <v>1</v>
      </c>
      <c r="N1826" s="273"/>
      <c r="O1826" s="61">
        <f t="shared" si="168"/>
        <v>1900</v>
      </c>
      <c r="P1826" s="61">
        <f t="shared" si="169"/>
        <v>1</v>
      </c>
      <c r="R1826" s="272"/>
      <c r="S1826" s="272"/>
      <c r="T1826" s="273" t="str">
        <f t="shared" si="170"/>
        <v>-</v>
      </c>
    </row>
    <row r="1827" spans="1:20">
      <c r="A1827" s="269"/>
      <c r="B1827" s="277"/>
      <c r="C1827" s="55"/>
      <c r="D1827" s="55"/>
      <c r="E1827" s="55"/>
      <c r="F1827" s="55"/>
      <c r="G1827" s="275"/>
      <c r="H1827" s="276"/>
      <c r="I1827" s="213"/>
      <c r="J1827" s="213"/>
      <c r="K1827" s="269"/>
      <c r="L1827" s="272">
        <f t="shared" si="166"/>
        <v>1900</v>
      </c>
      <c r="M1827" s="272">
        <f t="shared" si="167"/>
        <v>1</v>
      </c>
      <c r="N1827" s="273"/>
      <c r="O1827" s="61">
        <f t="shared" si="168"/>
        <v>1900</v>
      </c>
      <c r="P1827" s="61">
        <f t="shared" si="169"/>
        <v>1</v>
      </c>
      <c r="R1827" s="272"/>
      <c r="S1827" s="272"/>
      <c r="T1827" s="273" t="str">
        <f t="shared" si="170"/>
        <v>-</v>
      </c>
    </row>
    <row r="1828" spans="1:20">
      <c r="A1828" s="269"/>
      <c r="B1828" s="277"/>
      <c r="C1828" s="55"/>
      <c r="D1828" s="55"/>
      <c r="E1828" s="55"/>
      <c r="F1828" s="55"/>
      <c r="G1828" s="275"/>
      <c r="H1828" s="276"/>
      <c r="I1828" s="213"/>
      <c r="J1828" s="213"/>
      <c r="K1828" s="269"/>
      <c r="L1828" s="272">
        <f t="shared" si="166"/>
        <v>1900</v>
      </c>
      <c r="M1828" s="272">
        <f t="shared" si="167"/>
        <v>1</v>
      </c>
      <c r="N1828" s="273"/>
      <c r="O1828" s="61">
        <f t="shared" si="168"/>
        <v>1900</v>
      </c>
      <c r="P1828" s="61">
        <f t="shared" si="169"/>
        <v>1</v>
      </c>
      <c r="R1828" s="272"/>
      <c r="S1828" s="272"/>
      <c r="T1828" s="273" t="str">
        <f t="shared" si="170"/>
        <v>-</v>
      </c>
    </row>
    <row r="1829" spans="1:20">
      <c r="A1829" s="269"/>
      <c r="B1829" s="277"/>
      <c r="C1829" s="55"/>
      <c r="D1829" s="55"/>
      <c r="E1829" s="55"/>
      <c r="F1829" s="55"/>
      <c r="G1829" s="275"/>
      <c r="H1829" s="276"/>
      <c r="I1829" s="213"/>
      <c r="J1829" s="213"/>
      <c r="K1829" s="269"/>
      <c r="L1829" s="272">
        <f t="shared" si="166"/>
        <v>1900</v>
      </c>
      <c r="M1829" s="272">
        <f t="shared" si="167"/>
        <v>1</v>
      </c>
      <c r="N1829" s="273"/>
      <c r="O1829" s="61">
        <f t="shared" si="168"/>
        <v>1900</v>
      </c>
      <c r="P1829" s="61">
        <f t="shared" si="169"/>
        <v>1</v>
      </c>
      <c r="R1829" s="272"/>
      <c r="S1829" s="272"/>
      <c r="T1829" s="273" t="str">
        <f t="shared" si="170"/>
        <v>-</v>
      </c>
    </row>
    <row r="1830" spans="1:20">
      <c r="A1830" s="269"/>
      <c r="B1830" s="277"/>
      <c r="C1830" s="55"/>
      <c r="D1830" s="55"/>
      <c r="E1830" s="55"/>
      <c r="F1830" s="55"/>
      <c r="G1830" s="275"/>
      <c r="H1830" s="276"/>
      <c r="I1830" s="213"/>
      <c r="J1830" s="213"/>
      <c r="K1830" s="269"/>
      <c r="L1830" s="272">
        <f t="shared" si="166"/>
        <v>1900</v>
      </c>
      <c r="M1830" s="272">
        <f t="shared" si="167"/>
        <v>1</v>
      </c>
      <c r="N1830" s="273"/>
      <c r="O1830" s="61">
        <f t="shared" si="168"/>
        <v>1900</v>
      </c>
      <c r="P1830" s="61">
        <f t="shared" si="169"/>
        <v>1</v>
      </c>
      <c r="R1830" s="272"/>
      <c r="S1830" s="272"/>
      <c r="T1830" s="273" t="str">
        <f t="shared" si="170"/>
        <v>-</v>
      </c>
    </row>
    <row r="1831" spans="1:20">
      <c r="A1831" s="269"/>
      <c r="B1831" s="277"/>
      <c r="C1831" s="55"/>
      <c r="D1831" s="55"/>
      <c r="E1831" s="55"/>
      <c r="F1831" s="55"/>
      <c r="G1831" s="275"/>
      <c r="H1831" s="276"/>
      <c r="I1831" s="213"/>
      <c r="J1831" s="213"/>
      <c r="K1831" s="269"/>
      <c r="L1831" s="272">
        <f t="shared" si="166"/>
        <v>1900</v>
      </c>
      <c r="M1831" s="272">
        <f t="shared" si="167"/>
        <v>1</v>
      </c>
      <c r="N1831" s="273"/>
      <c r="O1831" s="61">
        <f t="shared" si="168"/>
        <v>1900</v>
      </c>
      <c r="P1831" s="61">
        <f t="shared" si="169"/>
        <v>1</v>
      </c>
      <c r="R1831" s="272"/>
      <c r="S1831" s="272"/>
      <c r="T1831" s="273" t="str">
        <f t="shared" si="170"/>
        <v>-</v>
      </c>
    </row>
    <row r="1832" spans="1:20">
      <c r="A1832" s="269"/>
      <c r="B1832" s="277"/>
      <c r="C1832" s="55"/>
      <c r="D1832" s="55"/>
      <c r="E1832" s="55"/>
      <c r="F1832" s="55"/>
      <c r="G1832" s="275"/>
      <c r="H1832" s="276"/>
      <c r="I1832" s="213"/>
      <c r="J1832" s="213"/>
      <c r="K1832" s="269"/>
      <c r="L1832" s="272">
        <f t="shared" si="166"/>
        <v>1900</v>
      </c>
      <c r="M1832" s="272">
        <f t="shared" si="167"/>
        <v>1</v>
      </c>
      <c r="N1832" s="273"/>
      <c r="O1832" s="61">
        <f t="shared" si="168"/>
        <v>1900</v>
      </c>
      <c r="P1832" s="61">
        <f t="shared" si="169"/>
        <v>1</v>
      </c>
      <c r="R1832" s="272"/>
      <c r="S1832" s="272"/>
      <c r="T1832" s="273" t="str">
        <f t="shared" si="170"/>
        <v>-</v>
      </c>
    </row>
    <row r="1833" spans="1:20">
      <c r="A1833" s="269"/>
      <c r="B1833" s="277"/>
      <c r="C1833" s="55"/>
      <c r="D1833" s="55"/>
      <c r="E1833" s="55"/>
      <c r="F1833" s="55"/>
      <c r="G1833" s="275"/>
      <c r="H1833" s="276"/>
      <c r="I1833" s="213"/>
      <c r="J1833" s="213"/>
      <c r="K1833" s="269"/>
      <c r="L1833" s="272">
        <f t="shared" si="166"/>
        <v>1900</v>
      </c>
      <c r="M1833" s="272">
        <f t="shared" si="167"/>
        <v>1</v>
      </c>
      <c r="N1833" s="273"/>
      <c r="O1833" s="61">
        <f t="shared" si="168"/>
        <v>1900</v>
      </c>
      <c r="P1833" s="61">
        <f t="shared" si="169"/>
        <v>1</v>
      </c>
      <c r="R1833" s="272"/>
      <c r="S1833" s="272"/>
      <c r="T1833" s="273" t="str">
        <f t="shared" si="170"/>
        <v>-</v>
      </c>
    </row>
    <row r="1834" spans="1:20">
      <c r="A1834" s="269"/>
      <c r="B1834" s="277"/>
      <c r="C1834" s="55"/>
      <c r="D1834" s="55"/>
      <c r="E1834" s="55"/>
      <c r="F1834" s="55"/>
      <c r="G1834" s="275"/>
      <c r="H1834" s="276"/>
      <c r="I1834" s="213"/>
      <c r="J1834" s="213"/>
      <c r="K1834" s="269"/>
      <c r="L1834" s="272">
        <f t="shared" si="166"/>
        <v>1900</v>
      </c>
      <c r="M1834" s="272">
        <f t="shared" si="167"/>
        <v>1</v>
      </c>
      <c r="N1834" s="273"/>
      <c r="O1834" s="61">
        <f t="shared" si="168"/>
        <v>1900</v>
      </c>
      <c r="P1834" s="61">
        <f t="shared" si="169"/>
        <v>1</v>
      </c>
      <c r="R1834" s="272"/>
      <c r="S1834" s="272"/>
      <c r="T1834" s="273" t="str">
        <f t="shared" si="170"/>
        <v>-</v>
      </c>
    </row>
    <row r="1835" spans="1:20">
      <c r="A1835" s="269"/>
      <c r="B1835" s="277"/>
      <c r="C1835" s="55"/>
      <c r="D1835" s="55"/>
      <c r="E1835" s="55"/>
      <c r="F1835" s="55"/>
      <c r="G1835" s="275"/>
      <c r="H1835" s="276"/>
      <c r="I1835" s="213"/>
      <c r="J1835" s="213"/>
      <c r="K1835" s="269"/>
      <c r="L1835" s="272">
        <f t="shared" si="166"/>
        <v>1900</v>
      </c>
      <c r="M1835" s="272">
        <f t="shared" si="167"/>
        <v>1</v>
      </c>
      <c r="N1835" s="273"/>
      <c r="O1835" s="61">
        <f t="shared" si="168"/>
        <v>1900</v>
      </c>
      <c r="P1835" s="61">
        <f t="shared" si="169"/>
        <v>1</v>
      </c>
      <c r="R1835" s="272"/>
      <c r="S1835" s="272"/>
      <c r="T1835" s="273" t="str">
        <f t="shared" si="170"/>
        <v>-</v>
      </c>
    </row>
    <row r="1836" spans="1:20">
      <c r="A1836" s="269"/>
      <c r="B1836" s="277"/>
      <c r="C1836" s="55"/>
      <c r="D1836" s="55"/>
      <c r="E1836" s="55"/>
      <c r="F1836" s="55"/>
      <c r="G1836" s="275"/>
      <c r="H1836" s="276"/>
      <c r="I1836" s="213"/>
      <c r="J1836" s="213"/>
      <c r="K1836" s="269"/>
      <c r="L1836" s="272">
        <f t="shared" si="166"/>
        <v>1900</v>
      </c>
      <c r="M1836" s="272">
        <f t="shared" si="167"/>
        <v>1</v>
      </c>
      <c r="N1836" s="273"/>
      <c r="O1836" s="61">
        <f t="shared" si="168"/>
        <v>1900</v>
      </c>
      <c r="P1836" s="61">
        <f t="shared" si="169"/>
        <v>1</v>
      </c>
      <c r="R1836" s="272"/>
      <c r="S1836" s="272"/>
      <c r="T1836" s="273" t="str">
        <f t="shared" si="170"/>
        <v>-</v>
      </c>
    </row>
    <row r="1837" spans="1:20">
      <c r="A1837" s="269"/>
      <c r="B1837" s="277"/>
      <c r="C1837" s="55"/>
      <c r="D1837" s="55"/>
      <c r="E1837" s="55"/>
      <c r="F1837" s="55"/>
      <c r="G1837" s="275"/>
      <c r="H1837" s="276"/>
      <c r="I1837" s="213"/>
      <c r="J1837" s="213"/>
      <c r="K1837" s="269"/>
      <c r="L1837" s="272">
        <f t="shared" si="166"/>
        <v>1900</v>
      </c>
      <c r="M1837" s="272">
        <f t="shared" si="167"/>
        <v>1</v>
      </c>
      <c r="N1837" s="273"/>
      <c r="O1837" s="61">
        <f t="shared" si="168"/>
        <v>1900</v>
      </c>
      <c r="P1837" s="61">
        <f t="shared" si="169"/>
        <v>1</v>
      </c>
      <c r="R1837" s="272"/>
      <c r="S1837" s="272"/>
      <c r="T1837" s="273" t="str">
        <f t="shared" si="170"/>
        <v>-</v>
      </c>
    </row>
    <row r="1838" spans="1:20">
      <c r="A1838" s="269"/>
      <c r="B1838" s="277"/>
      <c r="C1838" s="55"/>
      <c r="D1838" s="55"/>
      <c r="E1838" s="55"/>
      <c r="F1838" s="55"/>
      <c r="G1838" s="275"/>
      <c r="H1838" s="276"/>
      <c r="I1838" s="213"/>
      <c r="J1838" s="213"/>
      <c r="K1838" s="269"/>
      <c r="L1838" s="272">
        <f t="shared" si="166"/>
        <v>1900</v>
      </c>
      <c r="M1838" s="272">
        <f t="shared" si="167"/>
        <v>1</v>
      </c>
      <c r="N1838" s="273"/>
      <c r="O1838" s="61">
        <f t="shared" si="168"/>
        <v>1900</v>
      </c>
      <c r="P1838" s="61">
        <f t="shared" si="169"/>
        <v>1</v>
      </c>
      <c r="R1838" s="272"/>
      <c r="S1838" s="272"/>
      <c r="T1838" s="273" t="str">
        <f t="shared" si="170"/>
        <v>-</v>
      </c>
    </row>
    <row r="1839" spans="1:20">
      <c r="A1839" s="269"/>
      <c r="B1839" s="277"/>
      <c r="C1839" s="55"/>
      <c r="D1839" s="55"/>
      <c r="E1839" s="55"/>
      <c r="F1839" s="55"/>
      <c r="G1839" s="275"/>
      <c r="H1839" s="276"/>
      <c r="I1839" s="213"/>
      <c r="J1839" s="213"/>
      <c r="K1839" s="269"/>
      <c r="L1839" s="272">
        <f t="shared" si="166"/>
        <v>1900</v>
      </c>
      <c r="M1839" s="272">
        <f t="shared" si="167"/>
        <v>1</v>
      </c>
      <c r="N1839" s="273"/>
      <c r="O1839" s="61">
        <f t="shared" si="168"/>
        <v>1900</v>
      </c>
      <c r="P1839" s="61">
        <f t="shared" si="169"/>
        <v>1</v>
      </c>
      <c r="R1839" s="272"/>
      <c r="S1839" s="272"/>
      <c r="T1839" s="273" t="str">
        <f t="shared" si="170"/>
        <v>-</v>
      </c>
    </row>
    <row r="1840" spans="1:20">
      <c r="A1840" s="269"/>
      <c r="B1840" s="277"/>
      <c r="C1840" s="55"/>
      <c r="D1840" s="55"/>
      <c r="E1840" s="55"/>
      <c r="F1840" s="55"/>
      <c r="G1840" s="275"/>
      <c r="H1840" s="276"/>
      <c r="I1840" s="213"/>
      <c r="J1840" s="213"/>
      <c r="K1840" s="269"/>
      <c r="L1840" s="272">
        <f t="shared" si="166"/>
        <v>1900</v>
      </c>
      <c r="M1840" s="272">
        <f t="shared" si="167"/>
        <v>1</v>
      </c>
      <c r="N1840" s="273"/>
      <c r="O1840" s="61">
        <f t="shared" si="168"/>
        <v>1900</v>
      </c>
      <c r="P1840" s="61">
        <f t="shared" si="169"/>
        <v>1</v>
      </c>
      <c r="R1840" s="272"/>
      <c r="S1840" s="272"/>
      <c r="T1840" s="273" t="str">
        <f t="shared" si="170"/>
        <v>-</v>
      </c>
    </row>
    <row r="1841" spans="1:20">
      <c r="A1841" s="269"/>
      <c r="B1841" s="277"/>
      <c r="C1841" s="55"/>
      <c r="D1841" s="55"/>
      <c r="E1841" s="55"/>
      <c r="F1841" s="55"/>
      <c r="G1841" s="275"/>
      <c r="H1841" s="276"/>
      <c r="I1841" s="213"/>
      <c r="J1841" s="213"/>
      <c r="K1841" s="269"/>
      <c r="L1841" s="272">
        <f t="shared" si="166"/>
        <v>1900</v>
      </c>
      <c r="M1841" s="272">
        <f t="shared" si="167"/>
        <v>1</v>
      </c>
      <c r="N1841" s="273"/>
      <c r="O1841" s="61">
        <f t="shared" si="168"/>
        <v>1900</v>
      </c>
      <c r="P1841" s="61">
        <f t="shared" si="169"/>
        <v>1</v>
      </c>
      <c r="R1841" s="272"/>
      <c r="S1841" s="272"/>
      <c r="T1841" s="273" t="str">
        <f t="shared" si="170"/>
        <v>-</v>
      </c>
    </row>
    <row r="1842" spans="1:20">
      <c r="A1842" s="269"/>
      <c r="B1842" s="277"/>
      <c r="C1842" s="55"/>
      <c r="D1842" s="55"/>
      <c r="E1842" s="55"/>
      <c r="F1842" s="55"/>
      <c r="G1842" s="275"/>
      <c r="H1842" s="276"/>
      <c r="I1842" s="213"/>
      <c r="J1842" s="213"/>
      <c r="K1842" s="269"/>
      <c r="L1842" s="272">
        <f t="shared" si="166"/>
        <v>1900</v>
      </c>
      <c r="M1842" s="272">
        <f t="shared" si="167"/>
        <v>1</v>
      </c>
      <c r="N1842" s="273"/>
      <c r="O1842" s="61">
        <f t="shared" si="168"/>
        <v>1900</v>
      </c>
      <c r="P1842" s="61">
        <f t="shared" si="169"/>
        <v>1</v>
      </c>
      <c r="R1842" s="272"/>
      <c r="S1842" s="272"/>
      <c r="T1842" s="273" t="str">
        <f t="shared" si="170"/>
        <v>-</v>
      </c>
    </row>
    <row r="1843" spans="1:20">
      <c r="A1843" s="269"/>
      <c r="B1843" s="277"/>
      <c r="C1843" s="55"/>
      <c r="D1843" s="55"/>
      <c r="E1843" s="55"/>
      <c r="F1843" s="55"/>
      <c r="G1843" s="275"/>
      <c r="H1843" s="276"/>
      <c r="I1843" s="213"/>
      <c r="J1843" s="213"/>
      <c r="K1843" s="269"/>
      <c r="L1843" s="272">
        <f t="shared" si="166"/>
        <v>1900</v>
      </c>
      <c r="M1843" s="272">
        <f t="shared" si="167"/>
        <v>1</v>
      </c>
      <c r="N1843" s="273"/>
      <c r="O1843" s="61">
        <f t="shared" si="168"/>
        <v>1900</v>
      </c>
      <c r="P1843" s="61">
        <f t="shared" si="169"/>
        <v>1</v>
      </c>
      <c r="R1843" s="272"/>
      <c r="S1843" s="272"/>
      <c r="T1843" s="273" t="str">
        <f t="shared" si="170"/>
        <v>-</v>
      </c>
    </row>
    <row r="1844" spans="1:20">
      <c r="A1844" s="269"/>
      <c r="B1844" s="277"/>
      <c r="C1844" s="55"/>
      <c r="D1844" s="55"/>
      <c r="E1844" s="55"/>
      <c r="F1844" s="55"/>
      <c r="G1844" s="275"/>
      <c r="H1844" s="276"/>
      <c r="I1844" s="213"/>
      <c r="J1844" s="213"/>
      <c r="K1844" s="269"/>
      <c r="L1844" s="272">
        <f t="shared" si="166"/>
        <v>1900</v>
      </c>
      <c r="M1844" s="272">
        <f t="shared" si="167"/>
        <v>1</v>
      </c>
      <c r="N1844" s="273"/>
      <c r="O1844" s="61">
        <f t="shared" si="168"/>
        <v>1900</v>
      </c>
      <c r="P1844" s="61">
        <f t="shared" si="169"/>
        <v>1</v>
      </c>
      <c r="R1844" s="272"/>
      <c r="S1844" s="272"/>
      <c r="T1844" s="273" t="str">
        <f t="shared" si="170"/>
        <v>-</v>
      </c>
    </row>
    <row r="1845" spans="1:20">
      <c r="A1845" s="269"/>
      <c r="B1845" s="277"/>
      <c r="C1845" s="55"/>
      <c r="D1845" s="55"/>
      <c r="E1845" s="55"/>
      <c r="F1845" s="55"/>
      <c r="G1845" s="275"/>
      <c r="H1845" s="276"/>
      <c r="I1845" s="213"/>
      <c r="J1845" s="213"/>
      <c r="K1845" s="269"/>
      <c r="L1845" s="272">
        <f t="shared" si="166"/>
        <v>1900</v>
      </c>
      <c r="M1845" s="272">
        <f t="shared" si="167"/>
        <v>1</v>
      </c>
      <c r="N1845" s="273"/>
      <c r="O1845" s="61">
        <f t="shared" si="168"/>
        <v>1900</v>
      </c>
      <c r="P1845" s="61">
        <f t="shared" si="169"/>
        <v>1</v>
      </c>
      <c r="R1845" s="272"/>
      <c r="S1845" s="272"/>
      <c r="T1845" s="273" t="str">
        <f t="shared" si="170"/>
        <v>-</v>
      </c>
    </row>
    <row r="1846" spans="1:20">
      <c r="A1846" s="269"/>
      <c r="B1846" s="277"/>
      <c r="C1846" s="55"/>
      <c r="D1846" s="55"/>
      <c r="E1846" s="55"/>
      <c r="F1846" s="55"/>
      <c r="G1846" s="275"/>
      <c r="H1846" s="276"/>
      <c r="I1846" s="213"/>
      <c r="J1846" s="213"/>
      <c r="K1846" s="269"/>
      <c r="L1846" s="272">
        <f t="shared" si="166"/>
        <v>1900</v>
      </c>
      <c r="M1846" s="272">
        <f t="shared" si="167"/>
        <v>1</v>
      </c>
      <c r="N1846" s="273"/>
      <c r="O1846" s="61">
        <f t="shared" si="168"/>
        <v>1900</v>
      </c>
      <c r="P1846" s="61">
        <f t="shared" si="169"/>
        <v>1</v>
      </c>
      <c r="R1846" s="272"/>
      <c r="S1846" s="272"/>
      <c r="T1846" s="273" t="str">
        <f t="shared" si="170"/>
        <v>-</v>
      </c>
    </row>
    <row r="1847" spans="1:20">
      <c r="A1847" s="269"/>
      <c r="B1847" s="277"/>
      <c r="C1847" s="55"/>
      <c r="D1847" s="55"/>
      <c r="E1847" s="55"/>
      <c r="F1847" s="55"/>
      <c r="G1847" s="275"/>
      <c r="H1847" s="276"/>
      <c r="I1847" s="213"/>
      <c r="J1847" s="213"/>
      <c r="K1847" s="269"/>
      <c r="L1847" s="272">
        <f t="shared" si="166"/>
        <v>1900</v>
      </c>
      <c r="M1847" s="272">
        <f t="shared" si="167"/>
        <v>1</v>
      </c>
      <c r="N1847" s="273"/>
      <c r="O1847" s="61">
        <f t="shared" si="168"/>
        <v>1900</v>
      </c>
      <c r="P1847" s="61">
        <f t="shared" si="169"/>
        <v>1</v>
      </c>
      <c r="R1847" s="272"/>
      <c r="S1847" s="272"/>
      <c r="T1847" s="273" t="str">
        <f t="shared" si="170"/>
        <v>-</v>
      </c>
    </row>
    <row r="1848" spans="1:20">
      <c r="A1848" s="269"/>
      <c r="B1848" s="277"/>
      <c r="C1848" s="55"/>
      <c r="D1848" s="55"/>
      <c r="E1848" s="55"/>
      <c r="F1848" s="55"/>
      <c r="G1848" s="275"/>
      <c r="H1848" s="276"/>
      <c r="I1848" s="213"/>
      <c r="J1848" s="213"/>
      <c r="K1848" s="269"/>
      <c r="L1848" s="272">
        <f t="shared" si="166"/>
        <v>1900</v>
      </c>
      <c r="M1848" s="272">
        <f t="shared" si="167"/>
        <v>1</v>
      </c>
      <c r="N1848" s="273"/>
      <c r="O1848" s="61">
        <f t="shared" si="168"/>
        <v>1900</v>
      </c>
      <c r="P1848" s="61">
        <f t="shared" si="169"/>
        <v>1</v>
      </c>
      <c r="R1848" s="272"/>
      <c r="S1848" s="272"/>
      <c r="T1848" s="273" t="str">
        <f t="shared" si="170"/>
        <v>-</v>
      </c>
    </row>
    <row r="1849" spans="1:20">
      <c r="A1849" s="269"/>
      <c r="B1849" s="277"/>
      <c r="C1849" s="55"/>
      <c r="D1849" s="55"/>
      <c r="E1849" s="55"/>
      <c r="F1849" s="55"/>
      <c r="G1849" s="275"/>
      <c r="H1849" s="276"/>
      <c r="I1849" s="213"/>
      <c r="J1849" s="213"/>
      <c r="K1849" s="269"/>
      <c r="L1849" s="272">
        <f t="shared" si="166"/>
        <v>1900</v>
      </c>
      <c r="M1849" s="272">
        <f t="shared" si="167"/>
        <v>1</v>
      </c>
      <c r="N1849" s="273"/>
      <c r="O1849" s="61">
        <f t="shared" si="168"/>
        <v>1900</v>
      </c>
      <c r="P1849" s="61">
        <f t="shared" si="169"/>
        <v>1</v>
      </c>
      <c r="R1849" s="272"/>
      <c r="S1849" s="272"/>
      <c r="T1849" s="273" t="str">
        <f t="shared" si="170"/>
        <v>-</v>
      </c>
    </row>
    <row r="1850" spans="1:20">
      <c r="A1850" s="269"/>
      <c r="B1850" s="277"/>
      <c r="C1850" s="55"/>
      <c r="D1850" s="55"/>
      <c r="E1850" s="55"/>
      <c r="F1850" s="55"/>
      <c r="G1850" s="275"/>
      <c r="H1850" s="276"/>
      <c r="I1850" s="213"/>
      <c r="J1850" s="213"/>
      <c r="K1850" s="269"/>
      <c r="L1850" s="272">
        <f t="shared" si="166"/>
        <v>1900</v>
      </c>
      <c r="M1850" s="272">
        <f t="shared" si="167"/>
        <v>1</v>
      </c>
      <c r="N1850" s="273"/>
      <c r="O1850" s="61">
        <f t="shared" si="168"/>
        <v>1900</v>
      </c>
      <c r="P1850" s="61">
        <f t="shared" si="169"/>
        <v>1</v>
      </c>
      <c r="R1850" s="272"/>
      <c r="S1850" s="272"/>
      <c r="T1850" s="273" t="str">
        <f t="shared" si="170"/>
        <v>-</v>
      </c>
    </row>
    <row r="1851" spans="1:20">
      <c r="A1851" s="269"/>
      <c r="B1851" s="277"/>
      <c r="C1851" s="55"/>
      <c r="D1851" s="55"/>
      <c r="E1851" s="55"/>
      <c r="F1851" s="55"/>
      <c r="G1851" s="275"/>
      <c r="H1851" s="276"/>
      <c r="I1851" s="213"/>
      <c r="J1851" s="213"/>
      <c r="K1851" s="269"/>
      <c r="L1851" s="272">
        <f t="shared" si="166"/>
        <v>1900</v>
      </c>
      <c r="M1851" s="272">
        <f t="shared" si="167"/>
        <v>1</v>
      </c>
      <c r="N1851" s="273"/>
      <c r="O1851" s="61">
        <f t="shared" si="168"/>
        <v>1900</v>
      </c>
      <c r="P1851" s="61">
        <f t="shared" si="169"/>
        <v>1</v>
      </c>
      <c r="R1851" s="272"/>
      <c r="S1851" s="272"/>
      <c r="T1851" s="273" t="str">
        <f t="shared" si="170"/>
        <v>-</v>
      </c>
    </row>
    <row r="1852" spans="1:20">
      <c r="A1852" s="269"/>
      <c r="B1852" s="277"/>
      <c r="C1852" s="55"/>
      <c r="D1852" s="55"/>
      <c r="E1852" s="55"/>
      <c r="F1852" s="55"/>
      <c r="G1852" s="275"/>
      <c r="H1852" s="276"/>
      <c r="I1852" s="213"/>
      <c r="J1852" s="213"/>
      <c r="K1852" s="269"/>
      <c r="L1852" s="272">
        <f t="shared" si="166"/>
        <v>1900</v>
      </c>
      <c r="M1852" s="272">
        <f t="shared" si="167"/>
        <v>1</v>
      </c>
      <c r="N1852" s="273"/>
      <c r="O1852" s="61">
        <f t="shared" si="168"/>
        <v>1900</v>
      </c>
      <c r="P1852" s="61">
        <f t="shared" si="169"/>
        <v>1</v>
      </c>
      <c r="R1852" s="272"/>
      <c r="S1852" s="272"/>
      <c r="T1852" s="273" t="str">
        <f t="shared" si="170"/>
        <v>-</v>
      </c>
    </row>
    <row r="1853" spans="1:20">
      <c r="A1853" s="269"/>
      <c r="B1853" s="277"/>
      <c r="C1853" s="55"/>
      <c r="D1853" s="55"/>
      <c r="E1853" s="55"/>
      <c r="F1853" s="55"/>
      <c r="G1853" s="275"/>
      <c r="H1853" s="276"/>
      <c r="I1853" s="213"/>
      <c r="J1853" s="213"/>
      <c r="K1853" s="269"/>
      <c r="L1853" s="272">
        <f t="shared" si="166"/>
        <v>1900</v>
      </c>
      <c r="M1853" s="272">
        <f t="shared" si="167"/>
        <v>1</v>
      </c>
      <c r="N1853" s="273"/>
      <c r="O1853" s="61">
        <f t="shared" si="168"/>
        <v>1900</v>
      </c>
      <c r="P1853" s="61">
        <f t="shared" si="169"/>
        <v>1</v>
      </c>
      <c r="R1853" s="272"/>
      <c r="S1853" s="272"/>
      <c r="T1853" s="273" t="str">
        <f t="shared" si="170"/>
        <v>-</v>
      </c>
    </row>
    <row r="1854" spans="1:20">
      <c r="A1854" s="269"/>
      <c r="B1854" s="277"/>
      <c r="C1854" s="55"/>
      <c r="D1854" s="55"/>
      <c r="E1854" s="55"/>
      <c r="F1854" s="55"/>
      <c r="G1854" s="275"/>
      <c r="H1854" s="276"/>
      <c r="I1854" s="213"/>
      <c r="J1854" s="213"/>
      <c r="K1854" s="269"/>
      <c r="L1854" s="272">
        <f t="shared" si="166"/>
        <v>1900</v>
      </c>
      <c r="M1854" s="272">
        <f t="shared" si="167"/>
        <v>1</v>
      </c>
      <c r="N1854" s="273"/>
      <c r="O1854" s="61">
        <f t="shared" si="168"/>
        <v>1900</v>
      </c>
      <c r="P1854" s="61">
        <f t="shared" si="169"/>
        <v>1</v>
      </c>
      <c r="R1854" s="272"/>
      <c r="S1854" s="272"/>
      <c r="T1854" s="273" t="str">
        <f t="shared" si="170"/>
        <v>-</v>
      </c>
    </row>
    <row r="1855" spans="1:20">
      <c r="A1855" s="269"/>
      <c r="B1855" s="277"/>
      <c r="C1855" s="55"/>
      <c r="D1855" s="55"/>
      <c r="E1855" s="55"/>
      <c r="F1855" s="55"/>
      <c r="G1855" s="275"/>
      <c r="H1855" s="276"/>
      <c r="I1855" s="213"/>
      <c r="J1855" s="213"/>
      <c r="K1855" s="269"/>
      <c r="L1855" s="272">
        <f t="shared" si="166"/>
        <v>1900</v>
      </c>
      <c r="M1855" s="272">
        <f t="shared" si="167"/>
        <v>1</v>
      </c>
      <c r="N1855" s="273"/>
      <c r="O1855" s="61">
        <f t="shared" si="168"/>
        <v>1900</v>
      </c>
      <c r="P1855" s="61">
        <f t="shared" si="169"/>
        <v>1</v>
      </c>
      <c r="R1855" s="272"/>
      <c r="S1855" s="272"/>
      <c r="T1855" s="273" t="str">
        <f t="shared" si="170"/>
        <v>-</v>
      </c>
    </row>
    <row r="1856" spans="1:20">
      <c r="A1856" s="269"/>
      <c r="B1856" s="277"/>
      <c r="C1856" s="55"/>
      <c r="D1856" s="55"/>
      <c r="E1856" s="55"/>
      <c r="F1856" s="55"/>
      <c r="G1856" s="275"/>
      <c r="H1856" s="276"/>
      <c r="I1856" s="213"/>
      <c r="J1856" s="213"/>
      <c r="K1856" s="269"/>
      <c r="L1856" s="272">
        <f t="shared" si="166"/>
        <v>1900</v>
      </c>
      <c r="M1856" s="272">
        <f t="shared" si="167"/>
        <v>1</v>
      </c>
      <c r="N1856" s="273"/>
      <c r="O1856" s="61">
        <f t="shared" si="168"/>
        <v>1900</v>
      </c>
      <c r="P1856" s="61">
        <f t="shared" si="169"/>
        <v>1</v>
      </c>
      <c r="R1856" s="272"/>
      <c r="S1856" s="272"/>
      <c r="T1856" s="273" t="str">
        <f t="shared" si="170"/>
        <v>-</v>
      </c>
    </row>
    <row r="1857" spans="1:20">
      <c r="A1857" s="269"/>
      <c r="B1857" s="277"/>
      <c r="C1857" s="55"/>
      <c r="D1857" s="55"/>
      <c r="E1857" s="55"/>
      <c r="F1857" s="55"/>
      <c r="G1857" s="275"/>
      <c r="H1857" s="276"/>
      <c r="I1857" s="213"/>
      <c r="J1857" s="213"/>
      <c r="K1857" s="269"/>
      <c r="L1857" s="272">
        <f t="shared" si="166"/>
        <v>1900</v>
      </c>
      <c r="M1857" s="272">
        <f t="shared" si="167"/>
        <v>1</v>
      </c>
      <c r="N1857" s="273"/>
      <c r="O1857" s="61">
        <f t="shared" si="168"/>
        <v>1900</v>
      </c>
      <c r="P1857" s="61">
        <f t="shared" si="169"/>
        <v>1</v>
      </c>
      <c r="R1857" s="272"/>
      <c r="S1857" s="272"/>
      <c r="T1857" s="273" t="str">
        <f t="shared" si="170"/>
        <v>-</v>
      </c>
    </row>
    <row r="1858" spans="1:20">
      <c r="A1858" s="269"/>
      <c r="B1858" s="277"/>
      <c r="C1858" s="55"/>
      <c r="D1858" s="55"/>
      <c r="E1858" s="55"/>
      <c r="F1858" s="55"/>
      <c r="G1858" s="275"/>
      <c r="H1858" s="276"/>
      <c r="I1858" s="213"/>
      <c r="J1858" s="213"/>
      <c r="K1858" s="269"/>
      <c r="L1858" s="272">
        <f t="shared" si="166"/>
        <v>1900</v>
      </c>
      <c r="M1858" s="272">
        <f t="shared" si="167"/>
        <v>1</v>
      </c>
      <c r="N1858" s="273"/>
      <c r="O1858" s="61">
        <f t="shared" si="168"/>
        <v>1900</v>
      </c>
      <c r="P1858" s="61">
        <f t="shared" si="169"/>
        <v>1</v>
      </c>
      <c r="R1858" s="272"/>
      <c r="S1858" s="272"/>
      <c r="T1858" s="273" t="str">
        <f t="shared" si="170"/>
        <v>-</v>
      </c>
    </row>
    <row r="1859" spans="1:20">
      <c r="A1859" s="269"/>
      <c r="B1859" s="277"/>
      <c r="C1859" s="55"/>
      <c r="D1859" s="55"/>
      <c r="E1859" s="55"/>
      <c r="F1859" s="55"/>
      <c r="G1859" s="275"/>
      <c r="H1859" s="276"/>
      <c r="I1859" s="213"/>
      <c r="J1859" s="213"/>
      <c r="K1859" s="269"/>
      <c r="L1859" s="272">
        <f t="shared" si="166"/>
        <v>1900</v>
      </c>
      <c r="M1859" s="272">
        <f t="shared" si="167"/>
        <v>1</v>
      </c>
      <c r="N1859" s="273"/>
      <c r="O1859" s="61">
        <f t="shared" si="168"/>
        <v>1900</v>
      </c>
      <c r="P1859" s="61">
        <f t="shared" si="169"/>
        <v>1</v>
      </c>
      <c r="R1859" s="272"/>
      <c r="S1859" s="272"/>
      <c r="T1859" s="273" t="str">
        <f t="shared" si="170"/>
        <v>-</v>
      </c>
    </row>
    <row r="1860" spans="1:20">
      <c r="A1860" s="269"/>
      <c r="B1860" s="277"/>
      <c r="C1860" s="55"/>
      <c r="D1860" s="55"/>
      <c r="E1860" s="55"/>
      <c r="F1860" s="55"/>
      <c r="G1860" s="275"/>
      <c r="H1860" s="276"/>
      <c r="I1860" s="213"/>
      <c r="J1860" s="213"/>
      <c r="K1860" s="269"/>
      <c r="L1860" s="272">
        <f t="shared" si="166"/>
        <v>1900</v>
      </c>
      <c r="M1860" s="272">
        <f t="shared" si="167"/>
        <v>1</v>
      </c>
      <c r="N1860" s="273"/>
      <c r="O1860" s="61">
        <f t="shared" si="168"/>
        <v>1900</v>
      </c>
      <c r="P1860" s="61">
        <f t="shared" si="169"/>
        <v>1</v>
      </c>
      <c r="R1860" s="272"/>
      <c r="S1860" s="272"/>
      <c r="T1860" s="273" t="str">
        <f t="shared" si="170"/>
        <v>-</v>
      </c>
    </row>
    <row r="1861" spans="1:20">
      <c r="A1861" s="269"/>
      <c r="B1861" s="277"/>
      <c r="C1861" s="55"/>
      <c r="D1861" s="55"/>
      <c r="E1861" s="55"/>
      <c r="F1861" s="55"/>
      <c r="G1861" s="275"/>
      <c r="H1861" s="276"/>
      <c r="I1861" s="213"/>
      <c r="J1861" s="213"/>
      <c r="K1861" s="269"/>
      <c r="L1861" s="272">
        <f t="shared" si="166"/>
        <v>1900</v>
      </c>
      <c r="M1861" s="272">
        <f t="shared" si="167"/>
        <v>1</v>
      </c>
      <c r="N1861" s="273"/>
      <c r="O1861" s="61">
        <f t="shared" si="168"/>
        <v>1900</v>
      </c>
      <c r="P1861" s="61">
        <f t="shared" si="169"/>
        <v>1</v>
      </c>
      <c r="R1861" s="272"/>
      <c r="S1861" s="272"/>
      <c r="T1861" s="273" t="str">
        <f t="shared" si="170"/>
        <v>-</v>
      </c>
    </row>
    <row r="1862" spans="1:20">
      <c r="A1862" s="269"/>
      <c r="B1862" s="277"/>
      <c r="C1862" s="55"/>
      <c r="D1862" s="55"/>
      <c r="E1862" s="55"/>
      <c r="F1862" s="55"/>
      <c r="G1862" s="275"/>
      <c r="H1862" s="276"/>
      <c r="I1862" s="213"/>
      <c r="J1862" s="213"/>
      <c r="K1862" s="269"/>
      <c r="L1862" s="272">
        <f t="shared" si="166"/>
        <v>1900</v>
      </c>
      <c r="M1862" s="272">
        <f t="shared" si="167"/>
        <v>1</v>
      </c>
      <c r="N1862" s="273"/>
      <c r="O1862" s="61">
        <f t="shared" si="168"/>
        <v>1900</v>
      </c>
      <c r="P1862" s="61">
        <f t="shared" si="169"/>
        <v>1</v>
      </c>
      <c r="R1862" s="272"/>
      <c r="S1862" s="272"/>
      <c r="T1862" s="273" t="str">
        <f t="shared" si="170"/>
        <v>-</v>
      </c>
    </row>
    <row r="1863" spans="1:20">
      <c r="A1863" s="269"/>
      <c r="B1863" s="277"/>
      <c r="C1863" s="55"/>
      <c r="D1863" s="55"/>
      <c r="E1863" s="55"/>
      <c r="F1863" s="55"/>
      <c r="G1863" s="275"/>
      <c r="H1863" s="276"/>
      <c r="I1863" s="213"/>
      <c r="J1863" s="213"/>
      <c r="K1863" s="269"/>
      <c r="L1863" s="272">
        <f t="shared" si="166"/>
        <v>1900</v>
      </c>
      <c r="M1863" s="272">
        <f t="shared" si="167"/>
        <v>1</v>
      </c>
      <c r="N1863" s="273"/>
      <c r="O1863" s="61">
        <f t="shared" si="168"/>
        <v>1900</v>
      </c>
      <c r="P1863" s="61">
        <f t="shared" si="169"/>
        <v>1</v>
      </c>
      <c r="R1863" s="272"/>
      <c r="S1863" s="272"/>
      <c r="T1863" s="273" t="str">
        <f t="shared" si="170"/>
        <v>-</v>
      </c>
    </row>
    <row r="1864" spans="1:20">
      <c r="A1864" s="269"/>
      <c r="B1864" s="277"/>
      <c r="C1864" s="55"/>
      <c r="D1864" s="55"/>
      <c r="E1864" s="55"/>
      <c r="F1864" s="55"/>
      <c r="G1864" s="275"/>
      <c r="H1864" s="276"/>
      <c r="I1864" s="213"/>
      <c r="J1864" s="213"/>
      <c r="K1864" s="269"/>
      <c r="L1864" s="272">
        <f t="shared" si="166"/>
        <v>1900</v>
      </c>
      <c r="M1864" s="272">
        <f t="shared" si="167"/>
        <v>1</v>
      </c>
      <c r="N1864" s="273"/>
      <c r="O1864" s="61">
        <f t="shared" si="168"/>
        <v>1900</v>
      </c>
      <c r="P1864" s="61">
        <f t="shared" si="169"/>
        <v>1</v>
      </c>
      <c r="R1864" s="272"/>
      <c r="S1864" s="272"/>
      <c r="T1864" s="273" t="str">
        <f t="shared" si="170"/>
        <v>-</v>
      </c>
    </row>
    <row r="1865" spans="1:20">
      <c r="A1865" s="269"/>
      <c r="B1865" s="277"/>
      <c r="C1865" s="55"/>
      <c r="D1865" s="55"/>
      <c r="E1865" s="55"/>
      <c r="F1865" s="55"/>
      <c r="G1865" s="275"/>
      <c r="H1865" s="276"/>
      <c r="I1865" s="213"/>
      <c r="J1865" s="213"/>
      <c r="K1865" s="269"/>
      <c r="L1865" s="272">
        <f t="shared" si="166"/>
        <v>1900</v>
      </c>
      <c r="M1865" s="272">
        <f t="shared" si="167"/>
        <v>1</v>
      </c>
      <c r="N1865" s="273"/>
      <c r="O1865" s="61">
        <f t="shared" si="168"/>
        <v>1900</v>
      </c>
      <c r="P1865" s="61">
        <f t="shared" si="169"/>
        <v>1</v>
      </c>
      <c r="R1865" s="272"/>
      <c r="S1865" s="272"/>
      <c r="T1865" s="273" t="str">
        <f t="shared" si="170"/>
        <v>-</v>
      </c>
    </row>
    <row r="1866" spans="1:20">
      <c r="A1866" s="269"/>
      <c r="B1866" s="277"/>
      <c r="C1866" s="55"/>
      <c r="D1866" s="55"/>
      <c r="E1866" s="55"/>
      <c r="F1866" s="55"/>
      <c r="G1866" s="275"/>
      <c r="H1866" s="276"/>
      <c r="I1866" s="213"/>
      <c r="J1866" s="213"/>
      <c r="K1866" s="269"/>
      <c r="L1866" s="272">
        <f t="shared" si="166"/>
        <v>1900</v>
      </c>
      <c r="M1866" s="272">
        <f t="shared" si="167"/>
        <v>1</v>
      </c>
      <c r="N1866" s="273"/>
      <c r="O1866" s="61">
        <f t="shared" si="168"/>
        <v>1900</v>
      </c>
      <c r="P1866" s="61">
        <f t="shared" si="169"/>
        <v>1</v>
      </c>
      <c r="R1866" s="272"/>
      <c r="S1866" s="272"/>
      <c r="T1866" s="273" t="str">
        <f t="shared" si="170"/>
        <v>-</v>
      </c>
    </row>
    <row r="1867" spans="1:20">
      <c r="A1867" s="269"/>
      <c r="B1867" s="277"/>
      <c r="C1867" s="55"/>
      <c r="D1867" s="55"/>
      <c r="E1867" s="55"/>
      <c r="F1867" s="55"/>
      <c r="G1867" s="275"/>
      <c r="H1867" s="276"/>
      <c r="I1867" s="213"/>
      <c r="J1867" s="213"/>
      <c r="K1867" s="269"/>
      <c r="L1867" s="272">
        <f t="shared" si="166"/>
        <v>1900</v>
      </c>
      <c r="M1867" s="272">
        <f t="shared" si="167"/>
        <v>1</v>
      </c>
      <c r="N1867" s="273"/>
      <c r="O1867" s="61">
        <f t="shared" si="168"/>
        <v>1900</v>
      </c>
      <c r="P1867" s="61">
        <f t="shared" si="169"/>
        <v>1</v>
      </c>
      <c r="R1867" s="272"/>
      <c r="S1867" s="272"/>
      <c r="T1867" s="273" t="str">
        <f t="shared" si="170"/>
        <v>-</v>
      </c>
    </row>
    <row r="1868" spans="1:20">
      <c r="A1868" s="269"/>
      <c r="B1868" s="277"/>
      <c r="C1868" s="55"/>
      <c r="D1868" s="55"/>
      <c r="E1868" s="55"/>
      <c r="F1868" s="55"/>
      <c r="G1868" s="275"/>
      <c r="H1868" s="276"/>
      <c r="I1868" s="213"/>
      <c r="J1868" s="213"/>
      <c r="K1868" s="269"/>
      <c r="L1868" s="272">
        <f t="shared" si="166"/>
        <v>1900</v>
      </c>
      <c r="M1868" s="272">
        <f t="shared" si="167"/>
        <v>1</v>
      </c>
      <c r="N1868" s="273"/>
      <c r="O1868" s="61">
        <f t="shared" si="168"/>
        <v>1900</v>
      </c>
      <c r="P1868" s="61">
        <f t="shared" si="169"/>
        <v>1</v>
      </c>
      <c r="R1868" s="272"/>
      <c r="S1868" s="272"/>
      <c r="T1868" s="273" t="str">
        <f t="shared" si="170"/>
        <v>-</v>
      </c>
    </row>
    <row r="1869" spans="1:20">
      <c r="A1869" s="269"/>
      <c r="B1869" s="277"/>
      <c r="C1869" s="55"/>
      <c r="D1869" s="55"/>
      <c r="E1869" s="55"/>
      <c r="F1869" s="55"/>
      <c r="G1869" s="275"/>
      <c r="H1869" s="276"/>
      <c r="I1869" s="213"/>
      <c r="J1869" s="213"/>
      <c r="K1869" s="269"/>
      <c r="L1869" s="272">
        <f t="shared" si="166"/>
        <v>1900</v>
      </c>
      <c r="M1869" s="272">
        <f t="shared" si="167"/>
        <v>1</v>
      </c>
      <c r="N1869" s="273"/>
      <c r="O1869" s="61">
        <f t="shared" si="168"/>
        <v>1900</v>
      </c>
      <c r="P1869" s="61">
        <f t="shared" si="169"/>
        <v>1</v>
      </c>
      <c r="R1869" s="272"/>
      <c r="S1869" s="272"/>
      <c r="T1869" s="273" t="str">
        <f t="shared" si="170"/>
        <v>-</v>
      </c>
    </row>
    <row r="1870" spans="1:20">
      <c r="A1870" s="269"/>
      <c r="B1870" s="277"/>
      <c r="C1870" s="55"/>
      <c r="D1870" s="55"/>
      <c r="E1870" s="55"/>
      <c r="F1870" s="55"/>
      <c r="G1870" s="275"/>
      <c r="H1870" s="276"/>
      <c r="I1870" s="213"/>
      <c r="J1870" s="213"/>
      <c r="K1870" s="269"/>
      <c r="L1870" s="272">
        <f t="shared" si="166"/>
        <v>1900</v>
      </c>
      <c r="M1870" s="272">
        <f t="shared" si="167"/>
        <v>1</v>
      </c>
      <c r="N1870" s="273"/>
      <c r="O1870" s="61">
        <f t="shared" si="168"/>
        <v>1900</v>
      </c>
      <c r="P1870" s="61">
        <f t="shared" si="169"/>
        <v>1</v>
      </c>
      <c r="R1870" s="272"/>
      <c r="S1870" s="272"/>
      <c r="T1870" s="273" t="str">
        <f t="shared" si="170"/>
        <v>-</v>
      </c>
    </row>
    <row r="1871" spans="1:20">
      <c r="A1871" s="269"/>
      <c r="B1871" s="277"/>
      <c r="C1871" s="55"/>
      <c r="D1871" s="55"/>
      <c r="E1871" s="55"/>
      <c r="F1871" s="55"/>
      <c r="G1871" s="275"/>
      <c r="H1871" s="276"/>
      <c r="I1871" s="213"/>
      <c r="J1871" s="213"/>
      <c r="K1871" s="269"/>
      <c r="L1871" s="272">
        <f t="shared" si="166"/>
        <v>1900</v>
      </c>
      <c r="M1871" s="272">
        <f t="shared" si="167"/>
        <v>1</v>
      </c>
      <c r="N1871" s="273"/>
      <c r="O1871" s="61">
        <f t="shared" si="168"/>
        <v>1900</v>
      </c>
      <c r="P1871" s="61">
        <f t="shared" si="169"/>
        <v>1</v>
      </c>
      <c r="R1871" s="272"/>
      <c r="S1871" s="272"/>
      <c r="T1871" s="273" t="str">
        <f t="shared" si="170"/>
        <v>-</v>
      </c>
    </row>
    <row r="1872" spans="1:20">
      <c r="A1872" s="269"/>
      <c r="B1872" s="277"/>
      <c r="C1872" s="55"/>
      <c r="D1872" s="55"/>
      <c r="E1872" s="55"/>
      <c r="F1872" s="55"/>
      <c r="G1872" s="275"/>
      <c r="H1872" s="276"/>
      <c r="I1872" s="213"/>
      <c r="J1872" s="213"/>
      <c r="K1872" s="269"/>
      <c r="L1872" s="272">
        <f t="shared" ref="L1872:L1935" si="171">YEAR(B1872)</f>
        <v>1900</v>
      </c>
      <c r="M1872" s="272">
        <f t="shared" ref="M1872:M1935" si="172">MONTH(B1872)</f>
        <v>1</v>
      </c>
      <c r="N1872" s="273"/>
      <c r="O1872" s="61">
        <f t="shared" ref="O1872:O1935" si="173">YEAR(B1872)</f>
        <v>1900</v>
      </c>
      <c r="P1872" s="61">
        <f t="shared" ref="P1872:P1935" si="174">MONTH(B1872)</f>
        <v>1</v>
      </c>
      <c r="R1872" s="272"/>
      <c r="S1872" s="272"/>
      <c r="T1872" s="273" t="str">
        <f t="shared" ref="T1872:T1935" si="175">IF($E1872&gt;0,IF((R1872+S1872)=$E1872,"OK","Error"),"-")</f>
        <v>-</v>
      </c>
    </row>
    <row r="1873" spans="1:20">
      <c r="A1873" s="269"/>
      <c r="B1873" s="277"/>
      <c r="C1873" s="55"/>
      <c r="D1873" s="55"/>
      <c r="E1873" s="55"/>
      <c r="F1873" s="55"/>
      <c r="G1873" s="275"/>
      <c r="H1873" s="276"/>
      <c r="I1873" s="213"/>
      <c r="J1873" s="213"/>
      <c r="K1873" s="269"/>
      <c r="L1873" s="272">
        <f t="shared" si="171"/>
        <v>1900</v>
      </c>
      <c r="M1873" s="272">
        <f t="shared" si="172"/>
        <v>1</v>
      </c>
      <c r="N1873" s="273"/>
      <c r="O1873" s="61">
        <f t="shared" si="173"/>
        <v>1900</v>
      </c>
      <c r="P1873" s="61">
        <f t="shared" si="174"/>
        <v>1</v>
      </c>
      <c r="R1873" s="272"/>
      <c r="S1873" s="272"/>
      <c r="T1873" s="273" t="str">
        <f t="shared" si="175"/>
        <v>-</v>
      </c>
    </row>
    <row r="1874" spans="1:20">
      <c r="A1874" s="269"/>
      <c r="B1874" s="277"/>
      <c r="C1874" s="55"/>
      <c r="D1874" s="55"/>
      <c r="E1874" s="55"/>
      <c r="F1874" s="55"/>
      <c r="G1874" s="275"/>
      <c r="H1874" s="276"/>
      <c r="I1874" s="213"/>
      <c r="J1874" s="213"/>
      <c r="K1874" s="269"/>
      <c r="L1874" s="272">
        <f t="shared" si="171"/>
        <v>1900</v>
      </c>
      <c r="M1874" s="272">
        <f t="shared" si="172"/>
        <v>1</v>
      </c>
      <c r="N1874" s="273"/>
      <c r="O1874" s="61">
        <f t="shared" si="173"/>
        <v>1900</v>
      </c>
      <c r="P1874" s="61">
        <f t="shared" si="174"/>
        <v>1</v>
      </c>
      <c r="R1874" s="272"/>
      <c r="S1874" s="272"/>
      <c r="T1874" s="273" t="str">
        <f t="shared" si="175"/>
        <v>-</v>
      </c>
    </row>
    <row r="1875" spans="1:20">
      <c r="A1875" s="269"/>
      <c r="B1875" s="277"/>
      <c r="C1875" s="55"/>
      <c r="D1875" s="55"/>
      <c r="E1875" s="55"/>
      <c r="F1875" s="55"/>
      <c r="G1875" s="275"/>
      <c r="H1875" s="276"/>
      <c r="I1875" s="213"/>
      <c r="J1875" s="213"/>
      <c r="K1875" s="269"/>
      <c r="L1875" s="272">
        <f t="shared" si="171"/>
        <v>1900</v>
      </c>
      <c r="M1875" s="272">
        <f t="shared" si="172"/>
        <v>1</v>
      </c>
      <c r="N1875" s="273"/>
      <c r="O1875" s="61">
        <f t="shared" si="173"/>
        <v>1900</v>
      </c>
      <c r="P1875" s="61">
        <f t="shared" si="174"/>
        <v>1</v>
      </c>
      <c r="R1875" s="272"/>
      <c r="S1875" s="272"/>
      <c r="T1875" s="273" t="str">
        <f t="shared" si="175"/>
        <v>-</v>
      </c>
    </row>
    <row r="1876" spans="1:20">
      <c r="A1876" s="269"/>
      <c r="B1876" s="277"/>
      <c r="C1876" s="55"/>
      <c r="D1876" s="55"/>
      <c r="E1876" s="55"/>
      <c r="F1876" s="55"/>
      <c r="G1876" s="275"/>
      <c r="H1876" s="276"/>
      <c r="I1876" s="213"/>
      <c r="J1876" s="213"/>
      <c r="K1876" s="269"/>
      <c r="L1876" s="272">
        <f t="shared" si="171"/>
        <v>1900</v>
      </c>
      <c r="M1876" s="272">
        <f t="shared" si="172"/>
        <v>1</v>
      </c>
      <c r="N1876" s="273"/>
      <c r="O1876" s="61">
        <f t="shared" si="173"/>
        <v>1900</v>
      </c>
      <c r="P1876" s="61">
        <f t="shared" si="174"/>
        <v>1</v>
      </c>
      <c r="R1876" s="272"/>
      <c r="S1876" s="272"/>
      <c r="T1876" s="273" t="str">
        <f t="shared" si="175"/>
        <v>-</v>
      </c>
    </row>
    <row r="1877" spans="1:20">
      <c r="A1877" s="269"/>
      <c r="B1877" s="277"/>
      <c r="C1877" s="55"/>
      <c r="D1877" s="55"/>
      <c r="E1877" s="55"/>
      <c r="F1877" s="55"/>
      <c r="G1877" s="275"/>
      <c r="H1877" s="276"/>
      <c r="I1877" s="213"/>
      <c r="J1877" s="213"/>
      <c r="K1877" s="269"/>
      <c r="L1877" s="272">
        <f t="shared" si="171"/>
        <v>1900</v>
      </c>
      <c r="M1877" s="272">
        <f t="shared" si="172"/>
        <v>1</v>
      </c>
      <c r="N1877" s="273"/>
      <c r="O1877" s="61">
        <f t="shared" si="173"/>
        <v>1900</v>
      </c>
      <c r="P1877" s="61">
        <f t="shared" si="174"/>
        <v>1</v>
      </c>
      <c r="R1877" s="272"/>
      <c r="S1877" s="272"/>
      <c r="T1877" s="273" t="str">
        <f t="shared" si="175"/>
        <v>-</v>
      </c>
    </row>
    <row r="1878" spans="1:20">
      <c r="A1878" s="269"/>
      <c r="B1878" s="277"/>
      <c r="C1878" s="55"/>
      <c r="D1878" s="55"/>
      <c r="E1878" s="55"/>
      <c r="F1878" s="55"/>
      <c r="G1878" s="275"/>
      <c r="H1878" s="276"/>
      <c r="I1878" s="213"/>
      <c r="J1878" s="213"/>
      <c r="K1878" s="269"/>
      <c r="L1878" s="272">
        <f t="shared" si="171"/>
        <v>1900</v>
      </c>
      <c r="M1878" s="272">
        <f t="shared" si="172"/>
        <v>1</v>
      </c>
      <c r="N1878" s="273"/>
      <c r="O1878" s="61">
        <f t="shared" si="173"/>
        <v>1900</v>
      </c>
      <c r="P1878" s="61">
        <f t="shared" si="174"/>
        <v>1</v>
      </c>
      <c r="R1878" s="272"/>
      <c r="S1878" s="272"/>
      <c r="T1878" s="273" t="str">
        <f t="shared" si="175"/>
        <v>-</v>
      </c>
    </row>
    <row r="1879" spans="1:20">
      <c r="A1879" s="269"/>
      <c r="B1879" s="277"/>
      <c r="C1879" s="55"/>
      <c r="D1879" s="55"/>
      <c r="E1879" s="55"/>
      <c r="F1879" s="55"/>
      <c r="G1879" s="275"/>
      <c r="H1879" s="276"/>
      <c r="I1879" s="213"/>
      <c r="J1879" s="213"/>
      <c r="K1879" s="269"/>
      <c r="L1879" s="272">
        <f t="shared" si="171"/>
        <v>1900</v>
      </c>
      <c r="M1879" s="272">
        <f t="shared" si="172"/>
        <v>1</v>
      </c>
      <c r="N1879" s="273"/>
      <c r="O1879" s="61">
        <f t="shared" si="173"/>
        <v>1900</v>
      </c>
      <c r="P1879" s="61">
        <f t="shared" si="174"/>
        <v>1</v>
      </c>
      <c r="R1879" s="272"/>
      <c r="S1879" s="272"/>
      <c r="T1879" s="273" t="str">
        <f t="shared" si="175"/>
        <v>-</v>
      </c>
    </row>
    <row r="1880" spans="1:20">
      <c r="A1880" s="269"/>
      <c r="B1880" s="277"/>
      <c r="C1880" s="55"/>
      <c r="D1880" s="55"/>
      <c r="E1880" s="55"/>
      <c r="F1880" s="55"/>
      <c r="G1880" s="275"/>
      <c r="H1880" s="276"/>
      <c r="I1880" s="213"/>
      <c r="J1880" s="213"/>
      <c r="K1880" s="269"/>
      <c r="L1880" s="272">
        <f t="shared" si="171"/>
        <v>1900</v>
      </c>
      <c r="M1880" s="272">
        <f t="shared" si="172"/>
        <v>1</v>
      </c>
      <c r="N1880" s="273"/>
      <c r="O1880" s="61">
        <f t="shared" si="173"/>
        <v>1900</v>
      </c>
      <c r="P1880" s="61">
        <f t="shared" si="174"/>
        <v>1</v>
      </c>
      <c r="R1880" s="272"/>
      <c r="S1880" s="272"/>
      <c r="T1880" s="273" t="str">
        <f t="shared" si="175"/>
        <v>-</v>
      </c>
    </row>
    <row r="1881" spans="1:20">
      <c r="A1881" s="269"/>
      <c r="B1881" s="277"/>
      <c r="C1881" s="55"/>
      <c r="D1881" s="55"/>
      <c r="E1881" s="55"/>
      <c r="F1881" s="55"/>
      <c r="G1881" s="275"/>
      <c r="H1881" s="276"/>
      <c r="I1881" s="213"/>
      <c r="J1881" s="213"/>
      <c r="K1881" s="269"/>
      <c r="L1881" s="272">
        <f t="shared" si="171"/>
        <v>1900</v>
      </c>
      <c r="M1881" s="272">
        <f t="shared" si="172"/>
        <v>1</v>
      </c>
      <c r="N1881" s="273"/>
      <c r="O1881" s="61">
        <f t="shared" si="173"/>
        <v>1900</v>
      </c>
      <c r="P1881" s="61">
        <f t="shared" si="174"/>
        <v>1</v>
      </c>
      <c r="R1881" s="272"/>
      <c r="S1881" s="272"/>
      <c r="T1881" s="273" t="str">
        <f t="shared" si="175"/>
        <v>-</v>
      </c>
    </row>
    <row r="1882" spans="1:20">
      <c r="A1882" s="269"/>
      <c r="B1882" s="277"/>
      <c r="C1882" s="55"/>
      <c r="D1882" s="55"/>
      <c r="E1882" s="55"/>
      <c r="F1882" s="55"/>
      <c r="G1882" s="275"/>
      <c r="H1882" s="276"/>
      <c r="I1882" s="213"/>
      <c r="J1882" s="213"/>
      <c r="K1882" s="269"/>
      <c r="L1882" s="272">
        <f t="shared" si="171"/>
        <v>1900</v>
      </c>
      <c r="M1882" s="272">
        <f t="shared" si="172"/>
        <v>1</v>
      </c>
      <c r="N1882" s="273"/>
      <c r="O1882" s="61">
        <f t="shared" si="173"/>
        <v>1900</v>
      </c>
      <c r="P1882" s="61">
        <f t="shared" si="174"/>
        <v>1</v>
      </c>
      <c r="R1882" s="272"/>
      <c r="S1882" s="272"/>
      <c r="T1882" s="273" t="str">
        <f t="shared" si="175"/>
        <v>-</v>
      </c>
    </row>
    <row r="1883" spans="1:20">
      <c r="A1883" s="269"/>
      <c r="B1883" s="277"/>
      <c r="C1883" s="55"/>
      <c r="D1883" s="55"/>
      <c r="E1883" s="55"/>
      <c r="F1883" s="55"/>
      <c r="G1883" s="275"/>
      <c r="H1883" s="276"/>
      <c r="I1883" s="213"/>
      <c r="J1883" s="213"/>
      <c r="K1883" s="269"/>
      <c r="L1883" s="272">
        <f t="shared" si="171"/>
        <v>1900</v>
      </c>
      <c r="M1883" s="272">
        <f t="shared" si="172"/>
        <v>1</v>
      </c>
      <c r="N1883" s="273"/>
      <c r="O1883" s="61">
        <f t="shared" si="173"/>
        <v>1900</v>
      </c>
      <c r="P1883" s="61">
        <f t="shared" si="174"/>
        <v>1</v>
      </c>
      <c r="R1883" s="272"/>
      <c r="S1883" s="272"/>
      <c r="T1883" s="273" t="str">
        <f t="shared" si="175"/>
        <v>-</v>
      </c>
    </row>
    <row r="1884" spans="1:20">
      <c r="A1884" s="269"/>
      <c r="B1884" s="277"/>
      <c r="C1884" s="55"/>
      <c r="D1884" s="55"/>
      <c r="E1884" s="55"/>
      <c r="F1884" s="55"/>
      <c r="G1884" s="275"/>
      <c r="H1884" s="276"/>
      <c r="I1884" s="213"/>
      <c r="J1884" s="213"/>
      <c r="K1884" s="269"/>
      <c r="L1884" s="272">
        <f t="shared" si="171"/>
        <v>1900</v>
      </c>
      <c r="M1884" s="272">
        <f t="shared" si="172"/>
        <v>1</v>
      </c>
      <c r="N1884" s="273"/>
      <c r="O1884" s="61">
        <f t="shared" si="173"/>
        <v>1900</v>
      </c>
      <c r="P1884" s="61">
        <f t="shared" si="174"/>
        <v>1</v>
      </c>
      <c r="R1884" s="272"/>
      <c r="S1884" s="272"/>
      <c r="T1884" s="273" t="str">
        <f t="shared" si="175"/>
        <v>-</v>
      </c>
    </row>
    <row r="1885" spans="1:20">
      <c r="A1885" s="269"/>
      <c r="B1885" s="277"/>
      <c r="C1885" s="55"/>
      <c r="D1885" s="55"/>
      <c r="E1885" s="55"/>
      <c r="F1885" s="55"/>
      <c r="G1885" s="275"/>
      <c r="H1885" s="276"/>
      <c r="I1885" s="213"/>
      <c r="J1885" s="213"/>
      <c r="K1885" s="269"/>
      <c r="L1885" s="272">
        <f t="shared" si="171"/>
        <v>1900</v>
      </c>
      <c r="M1885" s="272">
        <f t="shared" si="172"/>
        <v>1</v>
      </c>
      <c r="N1885" s="273"/>
      <c r="O1885" s="61">
        <f t="shared" si="173"/>
        <v>1900</v>
      </c>
      <c r="P1885" s="61">
        <f t="shared" si="174"/>
        <v>1</v>
      </c>
      <c r="R1885" s="272"/>
      <c r="S1885" s="272"/>
      <c r="T1885" s="273" t="str">
        <f t="shared" si="175"/>
        <v>-</v>
      </c>
    </row>
    <row r="1886" spans="1:20">
      <c r="A1886" s="269"/>
      <c r="B1886" s="277"/>
      <c r="C1886" s="55"/>
      <c r="D1886" s="55"/>
      <c r="E1886" s="55"/>
      <c r="F1886" s="55"/>
      <c r="G1886" s="275"/>
      <c r="H1886" s="276"/>
      <c r="I1886" s="213"/>
      <c r="J1886" s="213"/>
      <c r="K1886" s="269"/>
      <c r="L1886" s="272">
        <f t="shared" si="171"/>
        <v>1900</v>
      </c>
      <c r="M1886" s="272">
        <f t="shared" si="172"/>
        <v>1</v>
      </c>
      <c r="N1886" s="273"/>
      <c r="O1886" s="61">
        <f t="shared" si="173"/>
        <v>1900</v>
      </c>
      <c r="P1886" s="61">
        <f t="shared" si="174"/>
        <v>1</v>
      </c>
      <c r="R1886" s="272"/>
      <c r="S1886" s="272"/>
      <c r="T1886" s="273" t="str">
        <f t="shared" si="175"/>
        <v>-</v>
      </c>
    </row>
    <row r="1887" spans="1:20">
      <c r="A1887" s="269"/>
      <c r="B1887" s="277"/>
      <c r="C1887" s="55"/>
      <c r="D1887" s="55"/>
      <c r="E1887" s="55"/>
      <c r="F1887" s="55"/>
      <c r="G1887" s="275"/>
      <c r="H1887" s="276"/>
      <c r="I1887" s="213"/>
      <c r="J1887" s="213"/>
      <c r="K1887" s="269"/>
      <c r="L1887" s="272">
        <f t="shared" si="171"/>
        <v>1900</v>
      </c>
      <c r="M1887" s="272">
        <f t="shared" si="172"/>
        <v>1</v>
      </c>
      <c r="N1887" s="273"/>
      <c r="O1887" s="61">
        <f t="shared" si="173"/>
        <v>1900</v>
      </c>
      <c r="P1887" s="61">
        <f t="shared" si="174"/>
        <v>1</v>
      </c>
      <c r="R1887" s="272"/>
      <c r="S1887" s="272"/>
      <c r="T1887" s="273" t="str">
        <f t="shared" si="175"/>
        <v>-</v>
      </c>
    </row>
    <row r="1888" spans="1:20">
      <c r="A1888" s="269"/>
      <c r="B1888" s="277"/>
      <c r="C1888" s="55"/>
      <c r="D1888" s="55"/>
      <c r="E1888" s="55"/>
      <c r="F1888" s="55"/>
      <c r="G1888" s="275"/>
      <c r="H1888" s="276"/>
      <c r="I1888" s="213"/>
      <c r="J1888" s="213"/>
      <c r="K1888" s="269"/>
      <c r="L1888" s="272">
        <f t="shared" si="171"/>
        <v>1900</v>
      </c>
      <c r="M1888" s="272">
        <f t="shared" si="172"/>
        <v>1</v>
      </c>
      <c r="N1888" s="273"/>
      <c r="O1888" s="61">
        <f t="shared" si="173"/>
        <v>1900</v>
      </c>
      <c r="P1888" s="61">
        <f t="shared" si="174"/>
        <v>1</v>
      </c>
      <c r="R1888" s="272"/>
      <c r="S1888" s="272"/>
      <c r="T1888" s="273" t="str">
        <f t="shared" si="175"/>
        <v>-</v>
      </c>
    </row>
    <row r="1889" spans="1:20">
      <c r="A1889" s="269"/>
      <c r="B1889" s="277"/>
      <c r="C1889" s="55"/>
      <c r="D1889" s="55"/>
      <c r="E1889" s="55"/>
      <c r="F1889" s="55"/>
      <c r="G1889" s="275"/>
      <c r="H1889" s="276"/>
      <c r="I1889" s="213"/>
      <c r="J1889" s="213"/>
      <c r="K1889" s="269"/>
      <c r="L1889" s="272">
        <f t="shared" si="171"/>
        <v>1900</v>
      </c>
      <c r="M1889" s="272">
        <f t="shared" si="172"/>
        <v>1</v>
      </c>
      <c r="N1889" s="273"/>
      <c r="O1889" s="61">
        <f t="shared" si="173"/>
        <v>1900</v>
      </c>
      <c r="P1889" s="61">
        <f t="shared" si="174"/>
        <v>1</v>
      </c>
      <c r="R1889" s="272"/>
      <c r="S1889" s="272"/>
      <c r="T1889" s="273" t="str">
        <f t="shared" si="175"/>
        <v>-</v>
      </c>
    </row>
    <row r="1890" spans="1:20">
      <c r="A1890" s="269"/>
      <c r="B1890" s="277"/>
      <c r="C1890" s="55"/>
      <c r="D1890" s="55"/>
      <c r="E1890" s="55"/>
      <c r="F1890" s="55"/>
      <c r="G1890" s="275"/>
      <c r="H1890" s="276"/>
      <c r="I1890" s="213"/>
      <c r="J1890" s="213"/>
      <c r="K1890" s="269"/>
      <c r="L1890" s="272">
        <f t="shared" si="171"/>
        <v>1900</v>
      </c>
      <c r="M1890" s="272">
        <f t="shared" si="172"/>
        <v>1</v>
      </c>
      <c r="N1890" s="273"/>
      <c r="O1890" s="61">
        <f t="shared" si="173"/>
        <v>1900</v>
      </c>
      <c r="P1890" s="61">
        <f t="shared" si="174"/>
        <v>1</v>
      </c>
      <c r="R1890" s="272"/>
      <c r="S1890" s="272"/>
      <c r="T1890" s="273" t="str">
        <f t="shared" si="175"/>
        <v>-</v>
      </c>
    </row>
    <row r="1891" spans="1:20">
      <c r="A1891" s="269"/>
      <c r="B1891" s="277"/>
      <c r="C1891" s="55"/>
      <c r="D1891" s="55"/>
      <c r="E1891" s="55"/>
      <c r="F1891" s="55"/>
      <c r="G1891" s="275"/>
      <c r="H1891" s="276"/>
      <c r="I1891" s="213"/>
      <c r="J1891" s="213"/>
      <c r="K1891" s="269"/>
      <c r="L1891" s="272">
        <f t="shared" si="171"/>
        <v>1900</v>
      </c>
      <c r="M1891" s="272">
        <f t="shared" si="172"/>
        <v>1</v>
      </c>
      <c r="N1891" s="273"/>
      <c r="O1891" s="61">
        <f t="shared" si="173"/>
        <v>1900</v>
      </c>
      <c r="P1891" s="61">
        <f t="shared" si="174"/>
        <v>1</v>
      </c>
      <c r="R1891" s="272"/>
      <c r="S1891" s="272"/>
      <c r="T1891" s="273" t="str">
        <f t="shared" si="175"/>
        <v>-</v>
      </c>
    </row>
    <row r="1892" spans="1:20">
      <c r="A1892" s="269"/>
      <c r="B1892" s="277"/>
      <c r="C1892" s="55"/>
      <c r="D1892" s="55"/>
      <c r="E1892" s="55"/>
      <c r="F1892" s="55"/>
      <c r="G1892" s="275"/>
      <c r="H1892" s="276"/>
      <c r="I1892" s="213"/>
      <c r="J1892" s="213"/>
      <c r="K1892" s="269"/>
      <c r="L1892" s="272">
        <f t="shared" si="171"/>
        <v>1900</v>
      </c>
      <c r="M1892" s="272">
        <f t="shared" si="172"/>
        <v>1</v>
      </c>
      <c r="N1892" s="273"/>
      <c r="O1892" s="61">
        <f t="shared" si="173"/>
        <v>1900</v>
      </c>
      <c r="P1892" s="61">
        <f t="shared" si="174"/>
        <v>1</v>
      </c>
      <c r="R1892" s="272"/>
      <c r="S1892" s="272"/>
      <c r="T1892" s="273" t="str">
        <f t="shared" si="175"/>
        <v>-</v>
      </c>
    </row>
    <row r="1893" spans="1:20">
      <c r="A1893" s="269"/>
      <c r="B1893" s="277"/>
      <c r="C1893" s="55"/>
      <c r="D1893" s="55"/>
      <c r="E1893" s="55"/>
      <c r="F1893" s="55"/>
      <c r="G1893" s="275"/>
      <c r="H1893" s="276"/>
      <c r="I1893" s="213"/>
      <c r="J1893" s="213"/>
      <c r="K1893" s="269"/>
      <c r="L1893" s="272">
        <f t="shared" si="171"/>
        <v>1900</v>
      </c>
      <c r="M1893" s="272">
        <f t="shared" si="172"/>
        <v>1</v>
      </c>
      <c r="N1893" s="273"/>
      <c r="O1893" s="61">
        <f t="shared" si="173"/>
        <v>1900</v>
      </c>
      <c r="P1893" s="61">
        <f t="shared" si="174"/>
        <v>1</v>
      </c>
      <c r="R1893" s="272"/>
      <c r="S1893" s="272"/>
      <c r="T1893" s="273" t="str">
        <f t="shared" si="175"/>
        <v>-</v>
      </c>
    </row>
    <row r="1894" spans="1:20">
      <c r="A1894" s="269"/>
      <c r="B1894" s="277"/>
      <c r="C1894" s="55"/>
      <c r="D1894" s="55"/>
      <c r="E1894" s="55"/>
      <c r="F1894" s="55"/>
      <c r="G1894" s="275"/>
      <c r="H1894" s="276"/>
      <c r="I1894" s="213"/>
      <c r="J1894" s="213"/>
      <c r="K1894" s="269"/>
      <c r="L1894" s="272">
        <f t="shared" si="171"/>
        <v>1900</v>
      </c>
      <c r="M1894" s="272">
        <f t="shared" si="172"/>
        <v>1</v>
      </c>
      <c r="N1894" s="273"/>
      <c r="O1894" s="61">
        <f t="shared" si="173"/>
        <v>1900</v>
      </c>
      <c r="P1894" s="61">
        <f t="shared" si="174"/>
        <v>1</v>
      </c>
      <c r="R1894" s="272"/>
      <c r="S1894" s="272"/>
      <c r="T1894" s="273" t="str">
        <f t="shared" si="175"/>
        <v>-</v>
      </c>
    </row>
    <row r="1895" spans="1:20">
      <c r="A1895" s="269"/>
      <c r="B1895" s="277"/>
      <c r="C1895" s="55"/>
      <c r="D1895" s="55"/>
      <c r="E1895" s="55"/>
      <c r="F1895" s="55"/>
      <c r="G1895" s="275"/>
      <c r="H1895" s="276"/>
      <c r="I1895" s="213"/>
      <c r="J1895" s="213"/>
      <c r="K1895" s="269"/>
      <c r="L1895" s="272">
        <f t="shared" si="171"/>
        <v>1900</v>
      </c>
      <c r="M1895" s="272">
        <f t="shared" si="172"/>
        <v>1</v>
      </c>
      <c r="N1895" s="273"/>
      <c r="O1895" s="61">
        <f t="shared" si="173"/>
        <v>1900</v>
      </c>
      <c r="P1895" s="61">
        <f t="shared" si="174"/>
        <v>1</v>
      </c>
      <c r="R1895" s="272"/>
      <c r="S1895" s="272"/>
      <c r="T1895" s="273" t="str">
        <f t="shared" si="175"/>
        <v>-</v>
      </c>
    </row>
    <row r="1896" spans="1:20">
      <c r="A1896" s="269"/>
      <c r="B1896" s="277"/>
      <c r="C1896" s="55"/>
      <c r="D1896" s="55"/>
      <c r="E1896" s="55"/>
      <c r="F1896" s="55"/>
      <c r="G1896" s="275"/>
      <c r="H1896" s="276"/>
      <c r="I1896" s="213"/>
      <c r="J1896" s="213"/>
      <c r="K1896" s="269"/>
      <c r="L1896" s="272">
        <f t="shared" si="171"/>
        <v>1900</v>
      </c>
      <c r="M1896" s="272">
        <f t="shared" si="172"/>
        <v>1</v>
      </c>
      <c r="N1896" s="273"/>
      <c r="O1896" s="61">
        <f t="shared" si="173"/>
        <v>1900</v>
      </c>
      <c r="P1896" s="61">
        <f t="shared" si="174"/>
        <v>1</v>
      </c>
      <c r="R1896" s="272"/>
      <c r="S1896" s="272"/>
      <c r="T1896" s="273" t="str">
        <f t="shared" si="175"/>
        <v>-</v>
      </c>
    </row>
    <row r="1897" spans="1:20">
      <c r="A1897" s="269"/>
      <c r="B1897" s="277"/>
      <c r="C1897" s="55"/>
      <c r="D1897" s="55"/>
      <c r="E1897" s="55"/>
      <c r="F1897" s="55"/>
      <c r="G1897" s="275"/>
      <c r="H1897" s="276"/>
      <c r="I1897" s="213"/>
      <c r="J1897" s="213"/>
      <c r="K1897" s="269"/>
      <c r="L1897" s="272">
        <f t="shared" si="171"/>
        <v>1900</v>
      </c>
      <c r="M1897" s="272">
        <f t="shared" si="172"/>
        <v>1</v>
      </c>
      <c r="N1897" s="273"/>
      <c r="O1897" s="61">
        <f t="shared" si="173"/>
        <v>1900</v>
      </c>
      <c r="P1897" s="61">
        <f t="shared" si="174"/>
        <v>1</v>
      </c>
      <c r="R1897" s="272"/>
      <c r="S1897" s="272"/>
      <c r="T1897" s="273" t="str">
        <f t="shared" si="175"/>
        <v>-</v>
      </c>
    </row>
    <row r="1898" spans="1:20">
      <c r="A1898" s="269"/>
      <c r="B1898" s="277"/>
      <c r="C1898" s="55"/>
      <c r="D1898" s="55"/>
      <c r="E1898" s="55"/>
      <c r="F1898" s="55"/>
      <c r="G1898" s="275"/>
      <c r="H1898" s="276"/>
      <c r="I1898" s="213"/>
      <c r="J1898" s="213"/>
      <c r="K1898" s="269"/>
      <c r="L1898" s="272">
        <f t="shared" si="171"/>
        <v>1900</v>
      </c>
      <c r="M1898" s="272">
        <f t="shared" si="172"/>
        <v>1</v>
      </c>
      <c r="N1898" s="273"/>
      <c r="O1898" s="61">
        <f t="shared" si="173"/>
        <v>1900</v>
      </c>
      <c r="P1898" s="61">
        <f t="shared" si="174"/>
        <v>1</v>
      </c>
      <c r="R1898" s="272"/>
      <c r="S1898" s="272"/>
      <c r="T1898" s="273" t="str">
        <f t="shared" si="175"/>
        <v>-</v>
      </c>
    </row>
    <row r="1899" spans="1:20">
      <c r="A1899" s="269"/>
      <c r="B1899" s="277"/>
      <c r="C1899" s="55"/>
      <c r="D1899" s="55"/>
      <c r="E1899" s="55"/>
      <c r="F1899" s="55"/>
      <c r="G1899" s="275"/>
      <c r="H1899" s="276"/>
      <c r="I1899" s="213"/>
      <c r="J1899" s="213"/>
      <c r="K1899" s="269"/>
      <c r="L1899" s="272">
        <f t="shared" si="171"/>
        <v>1900</v>
      </c>
      <c r="M1899" s="272">
        <f t="shared" si="172"/>
        <v>1</v>
      </c>
      <c r="N1899" s="273"/>
      <c r="O1899" s="61">
        <f t="shared" si="173"/>
        <v>1900</v>
      </c>
      <c r="P1899" s="61">
        <f t="shared" si="174"/>
        <v>1</v>
      </c>
      <c r="R1899" s="272"/>
      <c r="S1899" s="272"/>
      <c r="T1899" s="273" t="str">
        <f t="shared" si="175"/>
        <v>-</v>
      </c>
    </row>
    <row r="1900" spans="1:20">
      <c r="A1900" s="269"/>
      <c r="B1900" s="277"/>
      <c r="C1900" s="55"/>
      <c r="D1900" s="55"/>
      <c r="E1900" s="55"/>
      <c r="F1900" s="55"/>
      <c r="G1900" s="275"/>
      <c r="H1900" s="276"/>
      <c r="I1900" s="213"/>
      <c r="J1900" s="213"/>
      <c r="K1900" s="269"/>
      <c r="L1900" s="272">
        <f t="shared" si="171"/>
        <v>1900</v>
      </c>
      <c r="M1900" s="272">
        <f t="shared" si="172"/>
        <v>1</v>
      </c>
      <c r="N1900" s="273"/>
      <c r="O1900" s="61">
        <f t="shared" si="173"/>
        <v>1900</v>
      </c>
      <c r="P1900" s="61">
        <f t="shared" si="174"/>
        <v>1</v>
      </c>
      <c r="R1900" s="272"/>
      <c r="S1900" s="272"/>
      <c r="T1900" s="273" t="str">
        <f t="shared" si="175"/>
        <v>-</v>
      </c>
    </row>
    <row r="1901" spans="1:20">
      <c r="A1901" s="269"/>
      <c r="B1901" s="277"/>
      <c r="C1901" s="55"/>
      <c r="D1901" s="55"/>
      <c r="E1901" s="55"/>
      <c r="F1901" s="55"/>
      <c r="G1901" s="275"/>
      <c r="H1901" s="276"/>
      <c r="I1901" s="213"/>
      <c r="J1901" s="213"/>
      <c r="K1901" s="269"/>
      <c r="L1901" s="272">
        <f t="shared" si="171"/>
        <v>1900</v>
      </c>
      <c r="M1901" s="272">
        <f t="shared" si="172"/>
        <v>1</v>
      </c>
      <c r="N1901" s="273"/>
      <c r="O1901" s="61">
        <f t="shared" si="173"/>
        <v>1900</v>
      </c>
      <c r="P1901" s="61">
        <f t="shared" si="174"/>
        <v>1</v>
      </c>
      <c r="R1901" s="272"/>
      <c r="S1901" s="272"/>
      <c r="T1901" s="273" t="str">
        <f t="shared" si="175"/>
        <v>-</v>
      </c>
    </row>
    <row r="1902" spans="1:20">
      <c r="A1902" s="269"/>
      <c r="B1902" s="277"/>
      <c r="C1902" s="55"/>
      <c r="D1902" s="55"/>
      <c r="E1902" s="55"/>
      <c r="F1902" s="55"/>
      <c r="G1902" s="275"/>
      <c r="H1902" s="276"/>
      <c r="I1902" s="213"/>
      <c r="J1902" s="213"/>
      <c r="K1902" s="269"/>
      <c r="L1902" s="272">
        <f t="shared" si="171"/>
        <v>1900</v>
      </c>
      <c r="M1902" s="272">
        <f t="shared" si="172"/>
        <v>1</v>
      </c>
      <c r="N1902" s="273"/>
      <c r="O1902" s="61">
        <f t="shared" si="173"/>
        <v>1900</v>
      </c>
      <c r="P1902" s="61">
        <f t="shared" si="174"/>
        <v>1</v>
      </c>
      <c r="R1902" s="272"/>
      <c r="S1902" s="272"/>
      <c r="T1902" s="273" t="str">
        <f t="shared" si="175"/>
        <v>-</v>
      </c>
    </row>
    <row r="1903" spans="1:20">
      <c r="A1903" s="269"/>
      <c r="B1903" s="277"/>
      <c r="C1903" s="55"/>
      <c r="D1903" s="55"/>
      <c r="E1903" s="55"/>
      <c r="F1903" s="55"/>
      <c r="G1903" s="275"/>
      <c r="H1903" s="276"/>
      <c r="I1903" s="213"/>
      <c r="J1903" s="213"/>
      <c r="K1903" s="269"/>
      <c r="L1903" s="272">
        <f t="shared" si="171"/>
        <v>1900</v>
      </c>
      <c r="M1903" s="272">
        <f t="shared" si="172"/>
        <v>1</v>
      </c>
      <c r="N1903" s="273"/>
      <c r="O1903" s="61">
        <f t="shared" si="173"/>
        <v>1900</v>
      </c>
      <c r="P1903" s="61">
        <f t="shared" si="174"/>
        <v>1</v>
      </c>
      <c r="R1903" s="272"/>
      <c r="S1903" s="272"/>
      <c r="T1903" s="273" t="str">
        <f t="shared" si="175"/>
        <v>-</v>
      </c>
    </row>
    <row r="1904" spans="1:20">
      <c r="A1904" s="269"/>
      <c r="B1904" s="277"/>
      <c r="C1904" s="55"/>
      <c r="D1904" s="55"/>
      <c r="E1904" s="55"/>
      <c r="F1904" s="55"/>
      <c r="G1904" s="275"/>
      <c r="H1904" s="276"/>
      <c r="I1904" s="213"/>
      <c r="J1904" s="213"/>
      <c r="K1904" s="269"/>
      <c r="L1904" s="272">
        <f t="shared" si="171"/>
        <v>1900</v>
      </c>
      <c r="M1904" s="272">
        <f t="shared" si="172"/>
        <v>1</v>
      </c>
      <c r="N1904" s="273"/>
      <c r="O1904" s="61">
        <f t="shared" si="173"/>
        <v>1900</v>
      </c>
      <c r="P1904" s="61">
        <f t="shared" si="174"/>
        <v>1</v>
      </c>
      <c r="R1904" s="272"/>
      <c r="S1904" s="272"/>
      <c r="T1904" s="273" t="str">
        <f t="shared" si="175"/>
        <v>-</v>
      </c>
    </row>
    <row r="1905" spans="1:20">
      <c r="A1905" s="269"/>
      <c r="B1905" s="277"/>
      <c r="C1905" s="55"/>
      <c r="D1905" s="55"/>
      <c r="E1905" s="55"/>
      <c r="F1905" s="55"/>
      <c r="G1905" s="275"/>
      <c r="H1905" s="276"/>
      <c r="I1905" s="213"/>
      <c r="J1905" s="213"/>
      <c r="K1905" s="269"/>
      <c r="L1905" s="272">
        <f t="shared" si="171"/>
        <v>1900</v>
      </c>
      <c r="M1905" s="272">
        <f t="shared" si="172"/>
        <v>1</v>
      </c>
      <c r="N1905" s="273"/>
      <c r="O1905" s="61">
        <f t="shared" si="173"/>
        <v>1900</v>
      </c>
      <c r="P1905" s="61">
        <f t="shared" si="174"/>
        <v>1</v>
      </c>
      <c r="R1905" s="272"/>
      <c r="S1905" s="272"/>
      <c r="T1905" s="273" t="str">
        <f t="shared" si="175"/>
        <v>-</v>
      </c>
    </row>
    <row r="1906" spans="1:20">
      <c r="A1906" s="269"/>
      <c r="B1906" s="277"/>
      <c r="C1906" s="55"/>
      <c r="D1906" s="55"/>
      <c r="E1906" s="55"/>
      <c r="F1906" s="55"/>
      <c r="G1906" s="275"/>
      <c r="H1906" s="276"/>
      <c r="I1906" s="213"/>
      <c r="J1906" s="213"/>
      <c r="K1906" s="269"/>
      <c r="L1906" s="272">
        <f t="shared" si="171"/>
        <v>1900</v>
      </c>
      <c r="M1906" s="272">
        <f t="shared" si="172"/>
        <v>1</v>
      </c>
      <c r="N1906" s="273"/>
      <c r="O1906" s="61">
        <f t="shared" si="173"/>
        <v>1900</v>
      </c>
      <c r="P1906" s="61">
        <f t="shared" si="174"/>
        <v>1</v>
      </c>
      <c r="R1906" s="272"/>
      <c r="S1906" s="272"/>
      <c r="T1906" s="273" t="str">
        <f t="shared" si="175"/>
        <v>-</v>
      </c>
    </row>
    <row r="1907" spans="1:20">
      <c r="A1907" s="269"/>
      <c r="B1907" s="277"/>
      <c r="C1907" s="55"/>
      <c r="D1907" s="55"/>
      <c r="E1907" s="55"/>
      <c r="F1907" s="55"/>
      <c r="G1907" s="275"/>
      <c r="H1907" s="276"/>
      <c r="I1907" s="213"/>
      <c r="J1907" s="213"/>
      <c r="K1907" s="269"/>
      <c r="L1907" s="272">
        <f t="shared" si="171"/>
        <v>1900</v>
      </c>
      <c r="M1907" s="272">
        <f t="shared" si="172"/>
        <v>1</v>
      </c>
      <c r="N1907" s="273"/>
      <c r="O1907" s="61">
        <f t="shared" si="173"/>
        <v>1900</v>
      </c>
      <c r="P1907" s="61">
        <f t="shared" si="174"/>
        <v>1</v>
      </c>
      <c r="R1907" s="272"/>
      <c r="S1907" s="272"/>
      <c r="T1907" s="273" t="str">
        <f t="shared" si="175"/>
        <v>-</v>
      </c>
    </row>
    <row r="1908" spans="1:20">
      <c r="A1908" s="269"/>
      <c r="B1908" s="277"/>
      <c r="C1908" s="55"/>
      <c r="D1908" s="55"/>
      <c r="E1908" s="55"/>
      <c r="F1908" s="55"/>
      <c r="G1908" s="275"/>
      <c r="H1908" s="276"/>
      <c r="I1908" s="213"/>
      <c r="J1908" s="213"/>
      <c r="K1908" s="269"/>
      <c r="L1908" s="272">
        <f t="shared" si="171"/>
        <v>1900</v>
      </c>
      <c r="M1908" s="272">
        <f t="shared" si="172"/>
        <v>1</v>
      </c>
      <c r="N1908" s="273"/>
      <c r="O1908" s="61">
        <f t="shared" si="173"/>
        <v>1900</v>
      </c>
      <c r="P1908" s="61">
        <f t="shared" si="174"/>
        <v>1</v>
      </c>
      <c r="R1908" s="272"/>
      <c r="S1908" s="272"/>
      <c r="T1908" s="273" t="str">
        <f t="shared" si="175"/>
        <v>-</v>
      </c>
    </row>
    <row r="1909" spans="1:20">
      <c r="A1909" s="269"/>
      <c r="B1909" s="277"/>
      <c r="C1909" s="55"/>
      <c r="D1909" s="55"/>
      <c r="E1909" s="55"/>
      <c r="F1909" s="55"/>
      <c r="G1909" s="275"/>
      <c r="H1909" s="276"/>
      <c r="I1909" s="213"/>
      <c r="J1909" s="213"/>
      <c r="K1909" s="269"/>
      <c r="L1909" s="272">
        <f t="shared" si="171"/>
        <v>1900</v>
      </c>
      <c r="M1909" s="272">
        <f t="shared" si="172"/>
        <v>1</v>
      </c>
      <c r="N1909" s="273"/>
      <c r="O1909" s="61">
        <f t="shared" si="173"/>
        <v>1900</v>
      </c>
      <c r="P1909" s="61">
        <f t="shared" si="174"/>
        <v>1</v>
      </c>
      <c r="R1909" s="272"/>
      <c r="S1909" s="272"/>
      <c r="T1909" s="273" t="str">
        <f t="shared" si="175"/>
        <v>-</v>
      </c>
    </row>
    <row r="1910" spans="1:20">
      <c r="A1910" s="269"/>
      <c r="B1910" s="277"/>
      <c r="C1910" s="55"/>
      <c r="D1910" s="55"/>
      <c r="E1910" s="55"/>
      <c r="F1910" s="55"/>
      <c r="G1910" s="275"/>
      <c r="H1910" s="276"/>
      <c r="I1910" s="213"/>
      <c r="J1910" s="213"/>
      <c r="K1910" s="269"/>
      <c r="L1910" s="272">
        <f t="shared" si="171"/>
        <v>1900</v>
      </c>
      <c r="M1910" s="272">
        <f t="shared" si="172"/>
        <v>1</v>
      </c>
      <c r="N1910" s="273"/>
      <c r="O1910" s="61">
        <f t="shared" si="173"/>
        <v>1900</v>
      </c>
      <c r="P1910" s="61">
        <f t="shared" si="174"/>
        <v>1</v>
      </c>
      <c r="R1910" s="272"/>
      <c r="S1910" s="272"/>
      <c r="T1910" s="273" t="str">
        <f t="shared" si="175"/>
        <v>-</v>
      </c>
    </row>
    <row r="1911" spans="1:20">
      <c r="A1911" s="269"/>
      <c r="B1911" s="277"/>
      <c r="C1911" s="55"/>
      <c r="D1911" s="55"/>
      <c r="E1911" s="55"/>
      <c r="F1911" s="55"/>
      <c r="G1911" s="275"/>
      <c r="H1911" s="276"/>
      <c r="I1911" s="213"/>
      <c r="J1911" s="213"/>
      <c r="K1911" s="269"/>
      <c r="L1911" s="272">
        <f t="shared" si="171"/>
        <v>1900</v>
      </c>
      <c r="M1911" s="272">
        <f t="shared" si="172"/>
        <v>1</v>
      </c>
      <c r="N1911" s="273"/>
      <c r="O1911" s="61">
        <f t="shared" si="173"/>
        <v>1900</v>
      </c>
      <c r="P1911" s="61">
        <f t="shared" si="174"/>
        <v>1</v>
      </c>
      <c r="R1911" s="272"/>
      <c r="S1911" s="272"/>
      <c r="T1911" s="273" t="str">
        <f t="shared" si="175"/>
        <v>-</v>
      </c>
    </row>
    <row r="1912" spans="1:20">
      <c r="A1912" s="269"/>
      <c r="B1912" s="277"/>
      <c r="C1912" s="55"/>
      <c r="D1912" s="55"/>
      <c r="E1912" s="55"/>
      <c r="F1912" s="55"/>
      <c r="G1912" s="275"/>
      <c r="H1912" s="276"/>
      <c r="I1912" s="213"/>
      <c r="J1912" s="213"/>
      <c r="K1912" s="269"/>
      <c r="L1912" s="272">
        <f t="shared" si="171"/>
        <v>1900</v>
      </c>
      <c r="M1912" s="272">
        <f t="shared" si="172"/>
        <v>1</v>
      </c>
      <c r="N1912" s="273"/>
      <c r="O1912" s="61">
        <f t="shared" si="173"/>
        <v>1900</v>
      </c>
      <c r="P1912" s="61">
        <f t="shared" si="174"/>
        <v>1</v>
      </c>
      <c r="R1912" s="272"/>
      <c r="S1912" s="272"/>
      <c r="T1912" s="273" t="str">
        <f t="shared" si="175"/>
        <v>-</v>
      </c>
    </row>
    <row r="1913" spans="1:20">
      <c r="A1913" s="269"/>
      <c r="B1913" s="277"/>
      <c r="C1913" s="55"/>
      <c r="D1913" s="55"/>
      <c r="E1913" s="55"/>
      <c r="F1913" s="55"/>
      <c r="G1913" s="275"/>
      <c r="H1913" s="276"/>
      <c r="I1913" s="213"/>
      <c r="J1913" s="213"/>
      <c r="K1913" s="269"/>
      <c r="L1913" s="272">
        <f t="shared" si="171"/>
        <v>1900</v>
      </c>
      <c r="M1913" s="272">
        <f t="shared" si="172"/>
        <v>1</v>
      </c>
      <c r="N1913" s="273"/>
      <c r="O1913" s="61">
        <f t="shared" si="173"/>
        <v>1900</v>
      </c>
      <c r="P1913" s="61">
        <f t="shared" si="174"/>
        <v>1</v>
      </c>
      <c r="R1913" s="272"/>
      <c r="S1913" s="272"/>
      <c r="T1913" s="273" t="str">
        <f t="shared" si="175"/>
        <v>-</v>
      </c>
    </row>
    <row r="1914" spans="1:20">
      <c r="A1914" s="269"/>
      <c r="B1914" s="277"/>
      <c r="C1914" s="55"/>
      <c r="D1914" s="55"/>
      <c r="E1914" s="55"/>
      <c r="F1914" s="55"/>
      <c r="G1914" s="275"/>
      <c r="H1914" s="276"/>
      <c r="I1914" s="213"/>
      <c r="J1914" s="213"/>
      <c r="K1914" s="269"/>
      <c r="L1914" s="272">
        <f t="shared" si="171"/>
        <v>1900</v>
      </c>
      <c r="M1914" s="272">
        <f t="shared" si="172"/>
        <v>1</v>
      </c>
      <c r="N1914" s="273"/>
      <c r="O1914" s="61">
        <f t="shared" si="173"/>
        <v>1900</v>
      </c>
      <c r="P1914" s="61">
        <f t="shared" si="174"/>
        <v>1</v>
      </c>
      <c r="R1914" s="272"/>
      <c r="S1914" s="272"/>
      <c r="T1914" s="273" t="str">
        <f t="shared" si="175"/>
        <v>-</v>
      </c>
    </row>
    <row r="1915" spans="1:20">
      <c r="A1915" s="269"/>
      <c r="B1915" s="277"/>
      <c r="C1915" s="55"/>
      <c r="D1915" s="55"/>
      <c r="E1915" s="55"/>
      <c r="F1915" s="55"/>
      <c r="G1915" s="275"/>
      <c r="H1915" s="276"/>
      <c r="I1915" s="213"/>
      <c r="J1915" s="213"/>
      <c r="K1915" s="269"/>
      <c r="L1915" s="272">
        <f t="shared" si="171"/>
        <v>1900</v>
      </c>
      <c r="M1915" s="272">
        <f t="shared" si="172"/>
        <v>1</v>
      </c>
      <c r="N1915" s="273"/>
      <c r="O1915" s="61">
        <f t="shared" si="173"/>
        <v>1900</v>
      </c>
      <c r="P1915" s="61">
        <f t="shared" si="174"/>
        <v>1</v>
      </c>
      <c r="R1915" s="272"/>
      <c r="S1915" s="272"/>
      <c r="T1915" s="273" t="str">
        <f t="shared" si="175"/>
        <v>-</v>
      </c>
    </row>
    <row r="1916" spans="1:20">
      <c r="A1916" s="269"/>
      <c r="B1916" s="277"/>
      <c r="C1916" s="55"/>
      <c r="D1916" s="55"/>
      <c r="E1916" s="55"/>
      <c r="F1916" s="55"/>
      <c r="G1916" s="275"/>
      <c r="H1916" s="276"/>
      <c r="I1916" s="213"/>
      <c r="J1916" s="213"/>
      <c r="K1916" s="269"/>
      <c r="L1916" s="272">
        <f t="shared" si="171"/>
        <v>1900</v>
      </c>
      <c r="M1916" s="272">
        <f t="shared" si="172"/>
        <v>1</v>
      </c>
      <c r="N1916" s="273"/>
      <c r="O1916" s="61">
        <f t="shared" si="173"/>
        <v>1900</v>
      </c>
      <c r="P1916" s="61">
        <f t="shared" si="174"/>
        <v>1</v>
      </c>
      <c r="R1916" s="272"/>
      <c r="S1916" s="272"/>
      <c r="T1916" s="273" t="str">
        <f t="shared" si="175"/>
        <v>-</v>
      </c>
    </row>
    <row r="1917" spans="1:20">
      <c r="A1917" s="269"/>
      <c r="B1917" s="277"/>
      <c r="C1917" s="55"/>
      <c r="D1917" s="55"/>
      <c r="E1917" s="55"/>
      <c r="F1917" s="55"/>
      <c r="G1917" s="275"/>
      <c r="H1917" s="276"/>
      <c r="I1917" s="213"/>
      <c r="J1917" s="213"/>
      <c r="K1917" s="269"/>
      <c r="L1917" s="272">
        <f t="shared" si="171"/>
        <v>1900</v>
      </c>
      <c r="M1917" s="272">
        <f t="shared" si="172"/>
        <v>1</v>
      </c>
      <c r="N1917" s="273"/>
      <c r="O1917" s="61">
        <f t="shared" si="173"/>
        <v>1900</v>
      </c>
      <c r="P1917" s="61">
        <f t="shared" si="174"/>
        <v>1</v>
      </c>
      <c r="R1917" s="272"/>
      <c r="S1917" s="272"/>
      <c r="T1917" s="273" t="str">
        <f t="shared" si="175"/>
        <v>-</v>
      </c>
    </row>
    <row r="1918" spans="1:20">
      <c r="A1918" s="269"/>
      <c r="B1918" s="277"/>
      <c r="C1918" s="55"/>
      <c r="D1918" s="55"/>
      <c r="E1918" s="55"/>
      <c r="F1918" s="55"/>
      <c r="G1918" s="275"/>
      <c r="H1918" s="276"/>
      <c r="I1918" s="213"/>
      <c r="J1918" s="213"/>
      <c r="K1918" s="269"/>
      <c r="L1918" s="272">
        <f t="shared" si="171"/>
        <v>1900</v>
      </c>
      <c r="M1918" s="272">
        <f t="shared" si="172"/>
        <v>1</v>
      </c>
      <c r="N1918" s="273"/>
      <c r="O1918" s="61">
        <f t="shared" si="173"/>
        <v>1900</v>
      </c>
      <c r="P1918" s="61">
        <f t="shared" si="174"/>
        <v>1</v>
      </c>
      <c r="R1918" s="272"/>
      <c r="S1918" s="272"/>
      <c r="T1918" s="273" t="str">
        <f t="shared" si="175"/>
        <v>-</v>
      </c>
    </row>
    <row r="1919" spans="1:20">
      <c r="A1919" s="269"/>
      <c r="B1919" s="277"/>
      <c r="C1919" s="55"/>
      <c r="D1919" s="55"/>
      <c r="E1919" s="55"/>
      <c r="F1919" s="55"/>
      <c r="G1919" s="275"/>
      <c r="H1919" s="276"/>
      <c r="I1919" s="213"/>
      <c r="J1919" s="213"/>
      <c r="K1919" s="269"/>
      <c r="L1919" s="272">
        <f t="shared" si="171"/>
        <v>1900</v>
      </c>
      <c r="M1919" s="272">
        <f t="shared" si="172"/>
        <v>1</v>
      </c>
      <c r="N1919" s="273"/>
      <c r="O1919" s="61">
        <f t="shared" si="173"/>
        <v>1900</v>
      </c>
      <c r="P1919" s="61">
        <f t="shared" si="174"/>
        <v>1</v>
      </c>
      <c r="R1919" s="272"/>
      <c r="S1919" s="272"/>
      <c r="T1919" s="273" t="str">
        <f t="shared" si="175"/>
        <v>-</v>
      </c>
    </row>
    <row r="1920" spans="1:20">
      <c r="A1920" s="269"/>
      <c r="B1920" s="277"/>
      <c r="C1920" s="55"/>
      <c r="D1920" s="55"/>
      <c r="E1920" s="55"/>
      <c r="F1920" s="55"/>
      <c r="G1920" s="275"/>
      <c r="H1920" s="276"/>
      <c r="I1920" s="213"/>
      <c r="J1920" s="213"/>
      <c r="K1920" s="269"/>
      <c r="L1920" s="272">
        <f t="shared" si="171"/>
        <v>1900</v>
      </c>
      <c r="M1920" s="272">
        <f t="shared" si="172"/>
        <v>1</v>
      </c>
      <c r="N1920" s="273"/>
      <c r="O1920" s="61">
        <f t="shared" si="173"/>
        <v>1900</v>
      </c>
      <c r="P1920" s="61">
        <f t="shared" si="174"/>
        <v>1</v>
      </c>
      <c r="R1920" s="272"/>
      <c r="S1920" s="272"/>
      <c r="T1920" s="273" t="str">
        <f t="shared" si="175"/>
        <v>-</v>
      </c>
    </row>
    <row r="1921" spans="1:20">
      <c r="A1921" s="269"/>
      <c r="B1921" s="277"/>
      <c r="C1921" s="55"/>
      <c r="D1921" s="55"/>
      <c r="E1921" s="55"/>
      <c r="F1921" s="55"/>
      <c r="G1921" s="275"/>
      <c r="H1921" s="276"/>
      <c r="I1921" s="213"/>
      <c r="J1921" s="213"/>
      <c r="K1921" s="269"/>
      <c r="L1921" s="272">
        <f t="shared" si="171"/>
        <v>1900</v>
      </c>
      <c r="M1921" s="272">
        <f t="shared" si="172"/>
        <v>1</v>
      </c>
      <c r="N1921" s="273"/>
      <c r="O1921" s="61">
        <f t="shared" si="173"/>
        <v>1900</v>
      </c>
      <c r="P1921" s="61">
        <f t="shared" si="174"/>
        <v>1</v>
      </c>
      <c r="R1921" s="272"/>
      <c r="S1921" s="272"/>
      <c r="T1921" s="273" t="str">
        <f t="shared" si="175"/>
        <v>-</v>
      </c>
    </row>
    <row r="1922" spans="1:20">
      <c r="A1922" s="269"/>
      <c r="B1922" s="277"/>
      <c r="C1922" s="55"/>
      <c r="D1922" s="55"/>
      <c r="E1922" s="55"/>
      <c r="F1922" s="55"/>
      <c r="G1922" s="275"/>
      <c r="H1922" s="276"/>
      <c r="I1922" s="213"/>
      <c r="J1922" s="213"/>
      <c r="K1922" s="269"/>
      <c r="L1922" s="272">
        <f t="shared" si="171"/>
        <v>1900</v>
      </c>
      <c r="M1922" s="272">
        <f t="shared" si="172"/>
        <v>1</v>
      </c>
      <c r="N1922" s="273"/>
      <c r="O1922" s="61">
        <f t="shared" si="173"/>
        <v>1900</v>
      </c>
      <c r="P1922" s="61">
        <f t="shared" si="174"/>
        <v>1</v>
      </c>
      <c r="R1922" s="272"/>
      <c r="S1922" s="272"/>
      <c r="T1922" s="273" t="str">
        <f t="shared" si="175"/>
        <v>-</v>
      </c>
    </row>
    <row r="1923" spans="1:20">
      <c r="A1923" s="269"/>
      <c r="B1923" s="277"/>
      <c r="C1923" s="55"/>
      <c r="D1923" s="55"/>
      <c r="E1923" s="55"/>
      <c r="F1923" s="55"/>
      <c r="G1923" s="275"/>
      <c r="H1923" s="276"/>
      <c r="I1923" s="213"/>
      <c r="J1923" s="213"/>
      <c r="K1923" s="269"/>
      <c r="L1923" s="272">
        <f t="shared" si="171"/>
        <v>1900</v>
      </c>
      <c r="M1923" s="272">
        <f t="shared" si="172"/>
        <v>1</v>
      </c>
      <c r="N1923" s="273"/>
      <c r="O1923" s="61">
        <f t="shared" si="173"/>
        <v>1900</v>
      </c>
      <c r="P1923" s="61">
        <f t="shared" si="174"/>
        <v>1</v>
      </c>
      <c r="R1923" s="272"/>
      <c r="S1923" s="272"/>
      <c r="T1923" s="273" t="str">
        <f t="shared" si="175"/>
        <v>-</v>
      </c>
    </row>
    <row r="1924" spans="1:20">
      <c r="A1924" s="269"/>
      <c r="B1924" s="277"/>
      <c r="C1924" s="55"/>
      <c r="D1924" s="55"/>
      <c r="E1924" s="55"/>
      <c r="F1924" s="55"/>
      <c r="G1924" s="275"/>
      <c r="H1924" s="276"/>
      <c r="I1924" s="213"/>
      <c r="J1924" s="213"/>
      <c r="K1924" s="269"/>
      <c r="L1924" s="272">
        <f t="shared" si="171"/>
        <v>1900</v>
      </c>
      <c r="M1924" s="272">
        <f t="shared" si="172"/>
        <v>1</v>
      </c>
      <c r="N1924" s="273"/>
      <c r="O1924" s="61">
        <f t="shared" si="173"/>
        <v>1900</v>
      </c>
      <c r="P1924" s="61">
        <f t="shared" si="174"/>
        <v>1</v>
      </c>
      <c r="R1924" s="272"/>
      <c r="S1924" s="272"/>
      <c r="T1924" s="273" t="str">
        <f t="shared" si="175"/>
        <v>-</v>
      </c>
    </row>
    <row r="1925" spans="1:20">
      <c r="A1925" s="269"/>
      <c r="B1925" s="277"/>
      <c r="C1925" s="55"/>
      <c r="D1925" s="55"/>
      <c r="E1925" s="55"/>
      <c r="F1925" s="55"/>
      <c r="G1925" s="275"/>
      <c r="H1925" s="276"/>
      <c r="I1925" s="213"/>
      <c r="J1925" s="213"/>
      <c r="K1925" s="269"/>
      <c r="L1925" s="272">
        <f t="shared" si="171"/>
        <v>1900</v>
      </c>
      <c r="M1925" s="272">
        <f t="shared" si="172"/>
        <v>1</v>
      </c>
      <c r="N1925" s="273"/>
      <c r="O1925" s="61">
        <f t="shared" si="173"/>
        <v>1900</v>
      </c>
      <c r="P1925" s="61">
        <f t="shared" si="174"/>
        <v>1</v>
      </c>
      <c r="R1925" s="272"/>
      <c r="S1925" s="272"/>
      <c r="T1925" s="273" t="str">
        <f t="shared" si="175"/>
        <v>-</v>
      </c>
    </row>
    <row r="1926" spans="1:20">
      <c r="A1926" s="269"/>
      <c r="B1926" s="277"/>
      <c r="C1926" s="55"/>
      <c r="D1926" s="55"/>
      <c r="E1926" s="55"/>
      <c r="F1926" s="55"/>
      <c r="G1926" s="275"/>
      <c r="H1926" s="276"/>
      <c r="I1926" s="213"/>
      <c r="J1926" s="213"/>
      <c r="K1926" s="269"/>
      <c r="L1926" s="272">
        <f t="shared" si="171"/>
        <v>1900</v>
      </c>
      <c r="M1926" s="272">
        <f t="shared" si="172"/>
        <v>1</v>
      </c>
      <c r="N1926" s="273"/>
      <c r="O1926" s="61">
        <f t="shared" si="173"/>
        <v>1900</v>
      </c>
      <c r="P1926" s="61">
        <f t="shared" si="174"/>
        <v>1</v>
      </c>
      <c r="R1926" s="272"/>
      <c r="S1926" s="272"/>
      <c r="T1926" s="273" t="str">
        <f t="shared" si="175"/>
        <v>-</v>
      </c>
    </row>
    <row r="1927" spans="1:20">
      <c r="A1927" s="269"/>
      <c r="B1927" s="277"/>
      <c r="C1927" s="55"/>
      <c r="D1927" s="55"/>
      <c r="E1927" s="55"/>
      <c r="F1927" s="55"/>
      <c r="G1927" s="275"/>
      <c r="H1927" s="276"/>
      <c r="I1927" s="213"/>
      <c r="J1927" s="213"/>
      <c r="K1927" s="269"/>
      <c r="L1927" s="272">
        <f t="shared" si="171"/>
        <v>1900</v>
      </c>
      <c r="M1927" s="272">
        <f t="shared" si="172"/>
        <v>1</v>
      </c>
      <c r="N1927" s="273"/>
      <c r="O1927" s="61">
        <f t="shared" si="173"/>
        <v>1900</v>
      </c>
      <c r="P1927" s="61">
        <f t="shared" si="174"/>
        <v>1</v>
      </c>
      <c r="R1927" s="272"/>
      <c r="S1927" s="272"/>
      <c r="T1927" s="273" t="str">
        <f t="shared" si="175"/>
        <v>-</v>
      </c>
    </row>
    <row r="1928" spans="1:20">
      <c r="A1928" s="269"/>
      <c r="B1928" s="277"/>
      <c r="C1928" s="55"/>
      <c r="D1928" s="55"/>
      <c r="E1928" s="55"/>
      <c r="F1928" s="55"/>
      <c r="G1928" s="275"/>
      <c r="H1928" s="276"/>
      <c r="I1928" s="213"/>
      <c r="J1928" s="213"/>
      <c r="K1928" s="269"/>
      <c r="L1928" s="272">
        <f t="shared" si="171"/>
        <v>1900</v>
      </c>
      <c r="M1928" s="272">
        <f t="shared" si="172"/>
        <v>1</v>
      </c>
      <c r="N1928" s="273"/>
      <c r="O1928" s="61">
        <f t="shared" si="173"/>
        <v>1900</v>
      </c>
      <c r="P1928" s="61">
        <f t="shared" si="174"/>
        <v>1</v>
      </c>
      <c r="R1928" s="272"/>
      <c r="S1928" s="272"/>
      <c r="T1928" s="273" t="str">
        <f t="shared" si="175"/>
        <v>-</v>
      </c>
    </row>
    <row r="1929" spans="1:20">
      <c r="A1929" s="269"/>
      <c r="B1929" s="277"/>
      <c r="C1929" s="55"/>
      <c r="D1929" s="55"/>
      <c r="E1929" s="55"/>
      <c r="F1929" s="55"/>
      <c r="G1929" s="275"/>
      <c r="H1929" s="276"/>
      <c r="I1929" s="213"/>
      <c r="J1929" s="213"/>
      <c r="K1929" s="269"/>
      <c r="L1929" s="272">
        <f t="shared" si="171"/>
        <v>1900</v>
      </c>
      <c r="M1929" s="272">
        <f t="shared" si="172"/>
        <v>1</v>
      </c>
      <c r="N1929" s="273"/>
      <c r="O1929" s="61">
        <f t="shared" si="173"/>
        <v>1900</v>
      </c>
      <c r="P1929" s="61">
        <f t="shared" si="174"/>
        <v>1</v>
      </c>
      <c r="R1929" s="272"/>
      <c r="S1929" s="272"/>
      <c r="T1929" s="273" t="str">
        <f t="shared" si="175"/>
        <v>-</v>
      </c>
    </row>
    <row r="1930" spans="1:20">
      <c r="A1930" s="269"/>
      <c r="B1930" s="277"/>
      <c r="C1930" s="55"/>
      <c r="D1930" s="55"/>
      <c r="E1930" s="55"/>
      <c r="F1930" s="55"/>
      <c r="G1930" s="275"/>
      <c r="H1930" s="276"/>
      <c r="I1930" s="213"/>
      <c r="J1930" s="213"/>
      <c r="K1930" s="269"/>
      <c r="L1930" s="272">
        <f t="shared" si="171"/>
        <v>1900</v>
      </c>
      <c r="M1930" s="272">
        <f t="shared" si="172"/>
        <v>1</v>
      </c>
      <c r="N1930" s="273"/>
      <c r="O1930" s="61">
        <f t="shared" si="173"/>
        <v>1900</v>
      </c>
      <c r="P1930" s="61">
        <f t="shared" si="174"/>
        <v>1</v>
      </c>
      <c r="R1930" s="272"/>
      <c r="S1930" s="272"/>
      <c r="T1930" s="273" t="str">
        <f t="shared" si="175"/>
        <v>-</v>
      </c>
    </row>
    <row r="1931" spans="1:20">
      <c r="A1931" s="269"/>
      <c r="B1931" s="277"/>
      <c r="C1931" s="55"/>
      <c r="D1931" s="55"/>
      <c r="E1931" s="55"/>
      <c r="F1931" s="55"/>
      <c r="G1931" s="275"/>
      <c r="H1931" s="276"/>
      <c r="I1931" s="213"/>
      <c r="J1931" s="213"/>
      <c r="K1931" s="269"/>
      <c r="L1931" s="272">
        <f t="shared" si="171"/>
        <v>1900</v>
      </c>
      <c r="M1931" s="272">
        <f t="shared" si="172"/>
        <v>1</v>
      </c>
      <c r="N1931" s="273"/>
      <c r="O1931" s="61">
        <f t="shared" si="173"/>
        <v>1900</v>
      </c>
      <c r="P1931" s="61">
        <f t="shared" si="174"/>
        <v>1</v>
      </c>
      <c r="R1931" s="272"/>
      <c r="S1931" s="272"/>
      <c r="T1931" s="273" t="str">
        <f t="shared" si="175"/>
        <v>-</v>
      </c>
    </row>
    <row r="1932" spans="1:20">
      <c r="A1932" s="269"/>
      <c r="B1932" s="277"/>
      <c r="C1932" s="55"/>
      <c r="D1932" s="55"/>
      <c r="E1932" s="55"/>
      <c r="F1932" s="55"/>
      <c r="G1932" s="275"/>
      <c r="H1932" s="276"/>
      <c r="I1932" s="213"/>
      <c r="J1932" s="213"/>
      <c r="K1932" s="269"/>
      <c r="L1932" s="272">
        <f t="shared" si="171"/>
        <v>1900</v>
      </c>
      <c r="M1932" s="272">
        <f t="shared" si="172"/>
        <v>1</v>
      </c>
      <c r="N1932" s="273"/>
      <c r="O1932" s="61">
        <f t="shared" si="173"/>
        <v>1900</v>
      </c>
      <c r="P1932" s="61">
        <f t="shared" si="174"/>
        <v>1</v>
      </c>
      <c r="R1932" s="272"/>
      <c r="S1932" s="272"/>
      <c r="T1932" s="273" t="str">
        <f t="shared" si="175"/>
        <v>-</v>
      </c>
    </row>
    <row r="1933" spans="1:20">
      <c r="A1933" s="269"/>
      <c r="B1933" s="277"/>
      <c r="C1933" s="55"/>
      <c r="D1933" s="55"/>
      <c r="E1933" s="55"/>
      <c r="F1933" s="55"/>
      <c r="G1933" s="275"/>
      <c r="H1933" s="276"/>
      <c r="I1933" s="213"/>
      <c r="J1933" s="213"/>
      <c r="K1933" s="269"/>
      <c r="L1933" s="272">
        <f t="shared" si="171"/>
        <v>1900</v>
      </c>
      <c r="M1933" s="272">
        <f t="shared" si="172"/>
        <v>1</v>
      </c>
      <c r="N1933" s="273"/>
      <c r="O1933" s="61">
        <f t="shared" si="173"/>
        <v>1900</v>
      </c>
      <c r="P1933" s="61">
        <f t="shared" si="174"/>
        <v>1</v>
      </c>
      <c r="R1933" s="272"/>
      <c r="S1933" s="272"/>
      <c r="T1933" s="273" t="str">
        <f t="shared" si="175"/>
        <v>-</v>
      </c>
    </row>
    <row r="1934" spans="1:20">
      <c r="A1934" s="269"/>
      <c r="B1934" s="277"/>
      <c r="C1934" s="55"/>
      <c r="D1934" s="55"/>
      <c r="E1934" s="55"/>
      <c r="F1934" s="55"/>
      <c r="G1934" s="275"/>
      <c r="H1934" s="276"/>
      <c r="I1934" s="213"/>
      <c r="J1934" s="213"/>
      <c r="K1934" s="269"/>
      <c r="L1934" s="272">
        <f t="shared" si="171"/>
        <v>1900</v>
      </c>
      <c r="M1934" s="272">
        <f t="shared" si="172"/>
        <v>1</v>
      </c>
      <c r="N1934" s="273"/>
      <c r="O1934" s="61">
        <f t="shared" si="173"/>
        <v>1900</v>
      </c>
      <c r="P1934" s="61">
        <f t="shared" si="174"/>
        <v>1</v>
      </c>
      <c r="R1934" s="272"/>
      <c r="S1934" s="272"/>
      <c r="T1934" s="273" t="str">
        <f t="shared" si="175"/>
        <v>-</v>
      </c>
    </row>
    <row r="1935" spans="1:20">
      <c r="A1935" s="269"/>
      <c r="B1935" s="277"/>
      <c r="C1935" s="55"/>
      <c r="D1935" s="55"/>
      <c r="E1935" s="55"/>
      <c r="F1935" s="55"/>
      <c r="G1935" s="275"/>
      <c r="H1935" s="276"/>
      <c r="I1935" s="213"/>
      <c r="J1935" s="213"/>
      <c r="K1935" s="269"/>
      <c r="L1935" s="272">
        <f t="shared" si="171"/>
        <v>1900</v>
      </c>
      <c r="M1935" s="272">
        <f t="shared" si="172"/>
        <v>1</v>
      </c>
      <c r="N1935" s="273"/>
      <c r="O1935" s="61">
        <f t="shared" si="173"/>
        <v>1900</v>
      </c>
      <c r="P1935" s="61">
        <f t="shared" si="174"/>
        <v>1</v>
      </c>
      <c r="R1935" s="272"/>
      <c r="S1935" s="272"/>
      <c r="T1935" s="273" t="str">
        <f t="shared" si="175"/>
        <v>-</v>
      </c>
    </row>
    <row r="1936" spans="1:20">
      <c r="A1936" s="269"/>
      <c r="B1936" s="277"/>
      <c r="C1936" s="55"/>
      <c r="D1936" s="55"/>
      <c r="E1936" s="55"/>
      <c r="F1936" s="55"/>
      <c r="G1936" s="275"/>
      <c r="H1936" s="276"/>
      <c r="I1936" s="213"/>
      <c r="J1936" s="213"/>
      <c r="K1936" s="269"/>
      <c r="L1936" s="272">
        <f t="shared" ref="L1936:L1999" si="176">YEAR(B1936)</f>
        <v>1900</v>
      </c>
      <c r="M1936" s="272">
        <f t="shared" ref="M1936:M1999" si="177">MONTH(B1936)</f>
        <v>1</v>
      </c>
      <c r="N1936" s="273"/>
      <c r="O1936" s="61">
        <f t="shared" ref="O1936:O1999" si="178">YEAR(B1936)</f>
        <v>1900</v>
      </c>
      <c r="P1936" s="61">
        <f t="shared" ref="P1936:P1999" si="179">MONTH(B1936)</f>
        <v>1</v>
      </c>
      <c r="R1936" s="272"/>
      <c r="S1936" s="272"/>
      <c r="T1936" s="273" t="str">
        <f t="shared" ref="T1936:T1999" si="180">IF($E1936&gt;0,IF((R1936+S1936)=$E1936,"OK","Error"),"-")</f>
        <v>-</v>
      </c>
    </row>
    <row r="1937" spans="1:20">
      <c r="A1937" s="269"/>
      <c r="B1937" s="277"/>
      <c r="C1937" s="55"/>
      <c r="D1937" s="55"/>
      <c r="E1937" s="55"/>
      <c r="F1937" s="55"/>
      <c r="G1937" s="275"/>
      <c r="H1937" s="276"/>
      <c r="I1937" s="213"/>
      <c r="J1937" s="213"/>
      <c r="K1937" s="269"/>
      <c r="L1937" s="272">
        <f t="shared" si="176"/>
        <v>1900</v>
      </c>
      <c r="M1937" s="272">
        <f t="shared" si="177"/>
        <v>1</v>
      </c>
      <c r="N1937" s="273"/>
      <c r="O1937" s="61">
        <f t="shared" si="178"/>
        <v>1900</v>
      </c>
      <c r="P1937" s="61">
        <f t="shared" si="179"/>
        <v>1</v>
      </c>
      <c r="R1937" s="272"/>
      <c r="S1937" s="272"/>
      <c r="T1937" s="273" t="str">
        <f t="shared" si="180"/>
        <v>-</v>
      </c>
    </row>
    <row r="1938" spans="1:20">
      <c r="A1938" s="269"/>
      <c r="B1938" s="277"/>
      <c r="C1938" s="55"/>
      <c r="D1938" s="55"/>
      <c r="E1938" s="55"/>
      <c r="F1938" s="55"/>
      <c r="G1938" s="275"/>
      <c r="H1938" s="276"/>
      <c r="I1938" s="213"/>
      <c r="J1938" s="213"/>
      <c r="K1938" s="269"/>
      <c r="L1938" s="272">
        <f t="shared" si="176"/>
        <v>1900</v>
      </c>
      <c r="M1938" s="272">
        <f t="shared" si="177"/>
        <v>1</v>
      </c>
      <c r="N1938" s="273"/>
      <c r="O1938" s="61">
        <f t="shared" si="178"/>
        <v>1900</v>
      </c>
      <c r="P1938" s="61">
        <f t="shared" si="179"/>
        <v>1</v>
      </c>
      <c r="R1938" s="272"/>
      <c r="S1938" s="272"/>
      <c r="T1938" s="273" t="str">
        <f t="shared" si="180"/>
        <v>-</v>
      </c>
    </row>
    <row r="1939" spans="1:20">
      <c r="A1939" s="269"/>
      <c r="B1939" s="277"/>
      <c r="C1939" s="55"/>
      <c r="D1939" s="55"/>
      <c r="E1939" s="55"/>
      <c r="F1939" s="55"/>
      <c r="G1939" s="275"/>
      <c r="H1939" s="276"/>
      <c r="I1939" s="213"/>
      <c r="J1939" s="213"/>
      <c r="K1939" s="269"/>
      <c r="L1939" s="272">
        <f t="shared" si="176"/>
        <v>1900</v>
      </c>
      <c r="M1939" s="272">
        <f t="shared" si="177"/>
        <v>1</v>
      </c>
      <c r="N1939" s="273"/>
      <c r="O1939" s="61">
        <f t="shared" si="178"/>
        <v>1900</v>
      </c>
      <c r="P1939" s="61">
        <f t="shared" si="179"/>
        <v>1</v>
      </c>
      <c r="R1939" s="272"/>
      <c r="S1939" s="272"/>
      <c r="T1939" s="273" t="str">
        <f t="shared" si="180"/>
        <v>-</v>
      </c>
    </row>
    <row r="1940" spans="1:20">
      <c r="A1940" s="269"/>
      <c r="B1940" s="277"/>
      <c r="C1940" s="55"/>
      <c r="D1940" s="55"/>
      <c r="E1940" s="55"/>
      <c r="F1940" s="55"/>
      <c r="G1940" s="275"/>
      <c r="H1940" s="276"/>
      <c r="I1940" s="213"/>
      <c r="J1940" s="213"/>
      <c r="K1940" s="269"/>
      <c r="L1940" s="272">
        <f t="shared" si="176"/>
        <v>1900</v>
      </c>
      <c r="M1940" s="272">
        <f t="shared" si="177"/>
        <v>1</v>
      </c>
      <c r="N1940" s="273"/>
      <c r="O1940" s="61">
        <f t="shared" si="178"/>
        <v>1900</v>
      </c>
      <c r="P1940" s="61">
        <f t="shared" si="179"/>
        <v>1</v>
      </c>
      <c r="R1940" s="272"/>
      <c r="S1940" s="272"/>
      <c r="T1940" s="273" t="str">
        <f t="shared" si="180"/>
        <v>-</v>
      </c>
    </row>
    <row r="1941" spans="1:20">
      <c r="A1941" s="269"/>
      <c r="B1941" s="277"/>
      <c r="C1941" s="55"/>
      <c r="D1941" s="55"/>
      <c r="E1941" s="55"/>
      <c r="F1941" s="55"/>
      <c r="G1941" s="275"/>
      <c r="H1941" s="276"/>
      <c r="I1941" s="213"/>
      <c r="J1941" s="213"/>
      <c r="K1941" s="269"/>
      <c r="L1941" s="272">
        <f t="shared" si="176"/>
        <v>1900</v>
      </c>
      <c r="M1941" s="272">
        <f t="shared" si="177"/>
        <v>1</v>
      </c>
      <c r="N1941" s="273"/>
      <c r="O1941" s="61">
        <f t="shared" si="178"/>
        <v>1900</v>
      </c>
      <c r="P1941" s="61">
        <f t="shared" si="179"/>
        <v>1</v>
      </c>
      <c r="R1941" s="272"/>
      <c r="S1941" s="272"/>
      <c r="T1941" s="273" t="str">
        <f t="shared" si="180"/>
        <v>-</v>
      </c>
    </row>
    <row r="1942" spans="1:20">
      <c r="A1942" s="269"/>
      <c r="B1942" s="277"/>
      <c r="C1942" s="55"/>
      <c r="D1942" s="55"/>
      <c r="E1942" s="55"/>
      <c r="F1942" s="55"/>
      <c r="G1942" s="275"/>
      <c r="H1942" s="276"/>
      <c r="I1942" s="213"/>
      <c r="J1942" s="213"/>
      <c r="K1942" s="269"/>
      <c r="L1942" s="272">
        <f t="shared" si="176"/>
        <v>1900</v>
      </c>
      <c r="M1942" s="272">
        <f t="shared" si="177"/>
        <v>1</v>
      </c>
      <c r="N1942" s="273"/>
      <c r="O1942" s="61">
        <f t="shared" si="178"/>
        <v>1900</v>
      </c>
      <c r="P1942" s="61">
        <f t="shared" si="179"/>
        <v>1</v>
      </c>
      <c r="R1942" s="272"/>
      <c r="S1942" s="272"/>
      <c r="T1942" s="273" t="str">
        <f t="shared" si="180"/>
        <v>-</v>
      </c>
    </row>
    <row r="1943" spans="1:20">
      <c r="A1943" s="269"/>
      <c r="B1943" s="277"/>
      <c r="C1943" s="55"/>
      <c r="D1943" s="55"/>
      <c r="E1943" s="55"/>
      <c r="F1943" s="55"/>
      <c r="G1943" s="275"/>
      <c r="H1943" s="276"/>
      <c r="I1943" s="213"/>
      <c r="J1943" s="213"/>
      <c r="K1943" s="269"/>
      <c r="L1943" s="272">
        <f t="shared" si="176"/>
        <v>1900</v>
      </c>
      <c r="M1943" s="272">
        <f t="shared" si="177"/>
        <v>1</v>
      </c>
      <c r="N1943" s="273"/>
      <c r="O1943" s="61">
        <f t="shared" si="178"/>
        <v>1900</v>
      </c>
      <c r="P1943" s="61">
        <f t="shared" si="179"/>
        <v>1</v>
      </c>
      <c r="R1943" s="272"/>
      <c r="S1943" s="272"/>
      <c r="T1943" s="273" t="str">
        <f t="shared" si="180"/>
        <v>-</v>
      </c>
    </row>
    <row r="1944" spans="1:20">
      <c r="A1944" s="269"/>
      <c r="B1944" s="277"/>
      <c r="C1944" s="55"/>
      <c r="D1944" s="55"/>
      <c r="E1944" s="55"/>
      <c r="F1944" s="55"/>
      <c r="G1944" s="275"/>
      <c r="H1944" s="276"/>
      <c r="I1944" s="213"/>
      <c r="J1944" s="213"/>
      <c r="K1944" s="269"/>
      <c r="L1944" s="272">
        <f t="shared" si="176"/>
        <v>1900</v>
      </c>
      <c r="M1944" s="272">
        <f t="shared" si="177"/>
        <v>1</v>
      </c>
      <c r="N1944" s="273"/>
      <c r="O1944" s="61">
        <f t="shared" si="178"/>
        <v>1900</v>
      </c>
      <c r="P1944" s="61">
        <f t="shared" si="179"/>
        <v>1</v>
      </c>
      <c r="R1944" s="272"/>
      <c r="S1944" s="272"/>
      <c r="T1944" s="273" t="str">
        <f t="shared" si="180"/>
        <v>-</v>
      </c>
    </row>
    <row r="1945" spans="1:20">
      <c r="A1945" s="269"/>
      <c r="B1945" s="277"/>
      <c r="C1945" s="55"/>
      <c r="D1945" s="55"/>
      <c r="E1945" s="55"/>
      <c r="F1945" s="55"/>
      <c r="G1945" s="275"/>
      <c r="H1945" s="276"/>
      <c r="I1945" s="213"/>
      <c r="J1945" s="213"/>
      <c r="K1945" s="269"/>
      <c r="L1945" s="272">
        <f t="shared" si="176"/>
        <v>1900</v>
      </c>
      <c r="M1945" s="272">
        <f t="shared" si="177"/>
        <v>1</v>
      </c>
      <c r="N1945" s="273"/>
      <c r="O1945" s="61">
        <f t="shared" si="178"/>
        <v>1900</v>
      </c>
      <c r="P1945" s="61">
        <f t="shared" si="179"/>
        <v>1</v>
      </c>
      <c r="R1945" s="272"/>
      <c r="S1945" s="272"/>
      <c r="T1945" s="273" t="str">
        <f t="shared" si="180"/>
        <v>-</v>
      </c>
    </row>
    <row r="1946" spans="1:20">
      <c r="A1946" s="269"/>
      <c r="B1946" s="277"/>
      <c r="C1946" s="55"/>
      <c r="D1946" s="55"/>
      <c r="E1946" s="55"/>
      <c r="F1946" s="55"/>
      <c r="G1946" s="275"/>
      <c r="H1946" s="276"/>
      <c r="I1946" s="213"/>
      <c r="J1946" s="213"/>
      <c r="K1946" s="269"/>
      <c r="L1946" s="272">
        <f t="shared" si="176"/>
        <v>1900</v>
      </c>
      <c r="M1946" s="272">
        <f t="shared" si="177"/>
        <v>1</v>
      </c>
      <c r="N1946" s="273"/>
      <c r="O1946" s="61">
        <f t="shared" si="178"/>
        <v>1900</v>
      </c>
      <c r="P1946" s="61">
        <f t="shared" si="179"/>
        <v>1</v>
      </c>
      <c r="R1946" s="272"/>
      <c r="S1946" s="272"/>
      <c r="T1946" s="273" t="str">
        <f t="shared" si="180"/>
        <v>-</v>
      </c>
    </row>
    <row r="1947" spans="1:20">
      <c r="A1947" s="269"/>
      <c r="B1947" s="277"/>
      <c r="C1947" s="55"/>
      <c r="D1947" s="55"/>
      <c r="E1947" s="55"/>
      <c r="F1947" s="55"/>
      <c r="G1947" s="275"/>
      <c r="H1947" s="276"/>
      <c r="I1947" s="213"/>
      <c r="J1947" s="213"/>
      <c r="K1947" s="269"/>
      <c r="L1947" s="272">
        <f t="shared" si="176"/>
        <v>1900</v>
      </c>
      <c r="M1947" s="272">
        <f t="shared" si="177"/>
        <v>1</v>
      </c>
      <c r="N1947" s="273"/>
      <c r="O1947" s="61">
        <f t="shared" si="178"/>
        <v>1900</v>
      </c>
      <c r="P1947" s="61">
        <f t="shared" si="179"/>
        <v>1</v>
      </c>
      <c r="R1947" s="272"/>
      <c r="S1947" s="272"/>
      <c r="T1947" s="273" t="str">
        <f t="shared" si="180"/>
        <v>-</v>
      </c>
    </row>
    <row r="1948" spans="1:20">
      <c r="A1948" s="269"/>
      <c r="B1948" s="277"/>
      <c r="C1948" s="55"/>
      <c r="D1948" s="55"/>
      <c r="E1948" s="55"/>
      <c r="F1948" s="55"/>
      <c r="G1948" s="275"/>
      <c r="H1948" s="276"/>
      <c r="I1948" s="213"/>
      <c r="J1948" s="213"/>
      <c r="K1948" s="269"/>
      <c r="L1948" s="272">
        <f t="shared" si="176"/>
        <v>1900</v>
      </c>
      <c r="M1948" s="272">
        <f t="shared" si="177"/>
        <v>1</v>
      </c>
      <c r="N1948" s="273"/>
      <c r="O1948" s="61">
        <f t="shared" si="178"/>
        <v>1900</v>
      </c>
      <c r="P1948" s="61">
        <f t="shared" si="179"/>
        <v>1</v>
      </c>
      <c r="R1948" s="272"/>
      <c r="S1948" s="272"/>
      <c r="T1948" s="273" t="str">
        <f t="shared" si="180"/>
        <v>-</v>
      </c>
    </row>
    <row r="1949" spans="1:20">
      <c r="A1949" s="269"/>
      <c r="B1949" s="277"/>
      <c r="C1949" s="55"/>
      <c r="D1949" s="55"/>
      <c r="E1949" s="55"/>
      <c r="F1949" s="55"/>
      <c r="G1949" s="275"/>
      <c r="H1949" s="276"/>
      <c r="I1949" s="213"/>
      <c r="J1949" s="213"/>
      <c r="K1949" s="269"/>
      <c r="L1949" s="272">
        <f t="shared" si="176"/>
        <v>1900</v>
      </c>
      <c r="M1949" s="272">
        <f t="shared" si="177"/>
        <v>1</v>
      </c>
      <c r="N1949" s="273"/>
      <c r="O1949" s="61">
        <f t="shared" si="178"/>
        <v>1900</v>
      </c>
      <c r="P1949" s="61">
        <f t="shared" si="179"/>
        <v>1</v>
      </c>
      <c r="R1949" s="272"/>
      <c r="S1949" s="272"/>
      <c r="T1949" s="273" t="str">
        <f t="shared" si="180"/>
        <v>-</v>
      </c>
    </row>
    <row r="1950" spans="1:20">
      <c r="A1950" s="269"/>
      <c r="B1950" s="277"/>
      <c r="C1950" s="55"/>
      <c r="D1950" s="55"/>
      <c r="E1950" s="55"/>
      <c r="F1950" s="55"/>
      <c r="G1950" s="275"/>
      <c r="H1950" s="276"/>
      <c r="I1950" s="213"/>
      <c r="J1950" s="213"/>
      <c r="K1950" s="269"/>
      <c r="L1950" s="272">
        <f t="shared" si="176"/>
        <v>1900</v>
      </c>
      <c r="M1950" s="272">
        <f t="shared" si="177"/>
        <v>1</v>
      </c>
      <c r="N1950" s="273"/>
      <c r="O1950" s="61">
        <f t="shared" si="178"/>
        <v>1900</v>
      </c>
      <c r="P1950" s="61">
        <f t="shared" si="179"/>
        <v>1</v>
      </c>
      <c r="R1950" s="272"/>
      <c r="S1950" s="272"/>
      <c r="T1950" s="273" t="str">
        <f t="shared" si="180"/>
        <v>-</v>
      </c>
    </row>
    <row r="1951" spans="1:20">
      <c r="B1951" s="63"/>
      <c r="I1951" s="263"/>
      <c r="J1951" s="263"/>
      <c r="L1951" s="272">
        <f t="shared" si="176"/>
        <v>1900</v>
      </c>
      <c r="M1951" s="272">
        <f t="shared" si="177"/>
        <v>1</v>
      </c>
      <c r="N1951" s="255"/>
      <c r="O1951" s="61">
        <f t="shared" si="178"/>
        <v>1900</v>
      </c>
      <c r="P1951" s="61">
        <f t="shared" si="179"/>
        <v>1</v>
      </c>
      <c r="R1951" s="272"/>
      <c r="S1951" s="272"/>
      <c r="T1951" s="273" t="str">
        <f t="shared" si="180"/>
        <v>-</v>
      </c>
    </row>
    <row r="1952" spans="1:20">
      <c r="B1952" s="63"/>
      <c r="I1952" s="213"/>
      <c r="J1952" s="213"/>
      <c r="L1952" s="272">
        <f t="shared" si="176"/>
        <v>1900</v>
      </c>
      <c r="M1952" s="272">
        <f t="shared" si="177"/>
        <v>1</v>
      </c>
      <c r="N1952" s="255"/>
      <c r="O1952" s="61">
        <f t="shared" si="178"/>
        <v>1900</v>
      </c>
      <c r="P1952" s="61">
        <f t="shared" si="179"/>
        <v>1</v>
      </c>
      <c r="R1952" s="272"/>
      <c r="S1952" s="272"/>
      <c r="T1952" s="273" t="str">
        <f t="shared" si="180"/>
        <v>-</v>
      </c>
    </row>
    <row r="1953" spans="2:20">
      <c r="B1953" s="63"/>
      <c r="I1953" s="213"/>
      <c r="J1953" s="213"/>
      <c r="L1953" s="272">
        <f t="shared" si="176"/>
        <v>1900</v>
      </c>
      <c r="M1953" s="272">
        <f t="shared" si="177"/>
        <v>1</v>
      </c>
      <c r="N1953" s="255"/>
      <c r="O1953" s="61">
        <f t="shared" si="178"/>
        <v>1900</v>
      </c>
      <c r="P1953" s="61">
        <f t="shared" si="179"/>
        <v>1</v>
      </c>
      <c r="R1953" s="272"/>
      <c r="S1953" s="272"/>
      <c r="T1953" s="273" t="str">
        <f t="shared" si="180"/>
        <v>-</v>
      </c>
    </row>
    <row r="1954" spans="2:20">
      <c r="B1954" s="63"/>
      <c r="I1954" s="213"/>
      <c r="J1954" s="213"/>
      <c r="L1954" s="272">
        <f t="shared" si="176"/>
        <v>1900</v>
      </c>
      <c r="M1954" s="272">
        <f t="shared" si="177"/>
        <v>1</v>
      </c>
      <c r="N1954" s="255"/>
      <c r="O1954" s="61">
        <f t="shared" si="178"/>
        <v>1900</v>
      </c>
      <c r="P1954" s="61">
        <f t="shared" si="179"/>
        <v>1</v>
      </c>
      <c r="R1954" s="272"/>
      <c r="S1954" s="272"/>
      <c r="T1954" s="273" t="str">
        <f t="shared" si="180"/>
        <v>-</v>
      </c>
    </row>
    <row r="1955" spans="2:20">
      <c r="B1955" s="63"/>
      <c r="I1955" s="213"/>
      <c r="J1955" s="213"/>
      <c r="L1955" s="272">
        <f t="shared" si="176"/>
        <v>1900</v>
      </c>
      <c r="M1955" s="272">
        <f t="shared" si="177"/>
        <v>1</v>
      </c>
      <c r="N1955" s="255"/>
      <c r="O1955" s="61">
        <f t="shared" si="178"/>
        <v>1900</v>
      </c>
      <c r="P1955" s="61">
        <f t="shared" si="179"/>
        <v>1</v>
      </c>
      <c r="R1955" s="272"/>
      <c r="S1955" s="272"/>
      <c r="T1955" s="273" t="str">
        <f t="shared" si="180"/>
        <v>-</v>
      </c>
    </row>
    <row r="1956" spans="2:20">
      <c r="B1956" s="63"/>
      <c r="I1956" s="213"/>
      <c r="J1956" s="213"/>
      <c r="L1956" s="272">
        <f t="shared" si="176"/>
        <v>1900</v>
      </c>
      <c r="M1956" s="272">
        <f t="shared" si="177"/>
        <v>1</v>
      </c>
      <c r="N1956" s="255"/>
      <c r="O1956" s="61">
        <f t="shared" si="178"/>
        <v>1900</v>
      </c>
      <c r="P1956" s="61">
        <f t="shared" si="179"/>
        <v>1</v>
      </c>
      <c r="R1956" s="272"/>
      <c r="S1956" s="272"/>
      <c r="T1956" s="273" t="str">
        <f t="shared" si="180"/>
        <v>-</v>
      </c>
    </row>
    <row r="1957" spans="2:20">
      <c r="B1957" s="63"/>
      <c r="I1957" s="213"/>
      <c r="J1957" s="213"/>
      <c r="L1957" s="272">
        <f t="shared" si="176"/>
        <v>1900</v>
      </c>
      <c r="M1957" s="272">
        <f t="shared" si="177"/>
        <v>1</v>
      </c>
      <c r="N1957" s="255"/>
      <c r="O1957" s="61">
        <f t="shared" si="178"/>
        <v>1900</v>
      </c>
      <c r="P1957" s="61">
        <f t="shared" si="179"/>
        <v>1</v>
      </c>
      <c r="R1957" s="272"/>
      <c r="S1957" s="272"/>
      <c r="T1957" s="273" t="str">
        <f t="shared" si="180"/>
        <v>-</v>
      </c>
    </row>
    <row r="1958" spans="2:20">
      <c r="B1958" s="63"/>
      <c r="I1958" s="213"/>
      <c r="J1958" s="213"/>
      <c r="L1958" s="272">
        <f t="shared" si="176"/>
        <v>1900</v>
      </c>
      <c r="M1958" s="272">
        <f t="shared" si="177"/>
        <v>1</v>
      </c>
      <c r="N1958" s="255"/>
      <c r="O1958" s="61">
        <f t="shared" si="178"/>
        <v>1900</v>
      </c>
      <c r="P1958" s="61">
        <f t="shared" si="179"/>
        <v>1</v>
      </c>
      <c r="R1958" s="272"/>
      <c r="S1958" s="272"/>
      <c r="T1958" s="273" t="str">
        <f t="shared" si="180"/>
        <v>-</v>
      </c>
    </row>
    <row r="1959" spans="2:20">
      <c r="B1959" s="63"/>
      <c r="I1959" s="213"/>
      <c r="J1959" s="213"/>
      <c r="L1959" s="272">
        <f t="shared" si="176"/>
        <v>1900</v>
      </c>
      <c r="M1959" s="272">
        <f t="shared" si="177"/>
        <v>1</v>
      </c>
      <c r="N1959" s="255"/>
      <c r="O1959" s="61">
        <f t="shared" si="178"/>
        <v>1900</v>
      </c>
      <c r="P1959" s="61">
        <f t="shared" si="179"/>
        <v>1</v>
      </c>
      <c r="R1959" s="272"/>
      <c r="S1959" s="272"/>
      <c r="T1959" s="273" t="str">
        <f t="shared" si="180"/>
        <v>-</v>
      </c>
    </row>
    <row r="1960" spans="2:20">
      <c r="B1960" s="63"/>
      <c r="I1960" s="213"/>
      <c r="J1960" s="213"/>
      <c r="L1960" s="272">
        <f t="shared" si="176"/>
        <v>1900</v>
      </c>
      <c r="M1960" s="272">
        <f t="shared" si="177"/>
        <v>1</v>
      </c>
      <c r="N1960" s="255"/>
      <c r="O1960" s="61">
        <f t="shared" si="178"/>
        <v>1900</v>
      </c>
      <c r="P1960" s="61">
        <f t="shared" si="179"/>
        <v>1</v>
      </c>
      <c r="R1960" s="272"/>
      <c r="S1960" s="272"/>
      <c r="T1960" s="273" t="str">
        <f t="shared" si="180"/>
        <v>-</v>
      </c>
    </row>
    <row r="1961" spans="2:20">
      <c r="B1961" s="63"/>
      <c r="I1961" s="213"/>
      <c r="J1961" s="213"/>
      <c r="L1961" s="272">
        <f t="shared" si="176"/>
        <v>1900</v>
      </c>
      <c r="M1961" s="272">
        <f t="shared" si="177"/>
        <v>1</v>
      </c>
      <c r="N1961" s="255"/>
      <c r="O1961" s="61">
        <f t="shared" si="178"/>
        <v>1900</v>
      </c>
      <c r="P1961" s="61">
        <f t="shared" si="179"/>
        <v>1</v>
      </c>
      <c r="R1961" s="272"/>
      <c r="S1961" s="272"/>
      <c r="T1961" s="273" t="str">
        <f t="shared" si="180"/>
        <v>-</v>
      </c>
    </row>
    <row r="1962" spans="2:20">
      <c r="B1962" s="63"/>
      <c r="I1962" s="213"/>
      <c r="J1962" s="213"/>
      <c r="L1962" s="272">
        <f t="shared" si="176"/>
        <v>1900</v>
      </c>
      <c r="M1962" s="272">
        <f t="shared" si="177"/>
        <v>1</v>
      </c>
      <c r="N1962" s="255"/>
      <c r="O1962" s="61">
        <f t="shared" si="178"/>
        <v>1900</v>
      </c>
      <c r="P1962" s="61">
        <f t="shared" si="179"/>
        <v>1</v>
      </c>
      <c r="R1962" s="272"/>
      <c r="S1962" s="272"/>
      <c r="T1962" s="273" t="str">
        <f t="shared" si="180"/>
        <v>-</v>
      </c>
    </row>
    <row r="1963" spans="2:20">
      <c r="B1963" s="63"/>
      <c r="I1963" s="213"/>
      <c r="J1963" s="213"/>
      <c r="L1963" s="272">
        <f t="shared" si="176"/>
        <v>1900</v>
      </c>
      <c r="M1963" s="272">
        <f t="shared" si="177"/>
        <v>1</v>
      </c>
      <c r="N1963" s="255"/>
      <c r="O1963" s="61">
        <f t="shared" si="178"/>
        <v>1900</v>
      </c>
      <c r="P1963" s="61">
        <f t="shared" si="179"/>
        <v>1</v>
      </c>
      <c r="R1963" s="272"/>
      <c r="S1963" s="272"/>
      <c r="T1963" s="273" t="str">
        <f t="shared" si="180"/>
        <v>-</v>
      </c>
    </row>
    <row r="1964" spans="2:20">
      <c r="B1964" s="63"/>
      <c r="I1964" s="213"/>
      <c r="J1964" s="213"/>
      <c r="L1964" s="272">
        <f t="shared" si="176"/>
        <v>1900</v>
      </c>
      <c r="M1964" s="272">
        <f t="shared" si="177"/>
        <v>1</v>
      </c>
      <c r="N1964" s="255"/>
      <c r="O1964" s="61">
        <f t="shared" si="178"/>
        <v>1900</v>
      </c>
      <c r="P1964" s="61">
        <f t="shared" si="179"/>
        <v>1</v>
      </c>
      <c r="R1964" s="272"/>
      <c r="S1964" s="272"/>
      <c r="T1964" s="273" t="str">
        <f t="shared" si="180"/>
        <v>-</v>
      </c>
    </row>
    <row r="1965" spans="2:20">
      <c r="B1965" s="63"/>
      <c r="I1965" s="213"/>
      <c r="J1965" s="213"/>
      <c r="L1965" s="272">
        <f t="shared" si="176"/>
        <v>1900</v>
      </c>
      <c r="M1965" s="272">
        <f t="shared" si="177"/>
        <v>1</v>
      </c>
      <c r="N1965" s="255"/>
      <c r="O1965" s="61">
        <f t="shared" si="178"/>
        <v>1900</v>
      </c>
      <c r="P1965" s="61">
        <f t="shared" si="179"/>
        <v>1</v>
      </c>
      <c r="R1965" s="272"/>
      <c r="S1965" s="272"/>
      <c r="T1965" s="273" t="str">
        <f t="shared" si="180"/>
        <v>-</v>
      </c>
    </row>
    <row r="1966" spans="2:20">
      <c r="B1966" s="63"/>
      <c r="I1966" s="213"/>
      <c r="J1966" s="213"/>
      <c r="L1966" s="272">
        <f t="shared" si="176"/>
        <v>1900</v>
      </c>
      <c r="M1966" s="272">
        <f t="shared" si="177"/>
        <v>1</v>
      </c>
      <c r="N1966" s="255"/>
      <c r="O1966" s="61">
        <f t="shared" si="178"/>
        <v>1900</v>
      </c>
      <c r="P1966" s="61">
        <f t="shared" si="179"/>
        <v>1</v>
      </c>
      <c r="R1966" s="272"/>
      <c r="S1966" s="272"/>
      <c r="T1966" s="273" t="str">
        <f t="shared" si="180"/>
        <v>-</v>
      </c>
    </row>
    <row r="1967" spans="2:20">
      <c r="B1967" s="63"/>
      <c r="I1967" s="213"/>
      <c r="J1967" s="213"/>
      <c r="L1967" s="272">
        <f t="shared" si="176"/>
        <v>1900</v>
      </c>
      <c r="M1967" s="272">
        <f t="shared" si="177"/>
        <v>1</v>
      </c>
      <c r="N1967" s="255"/>
      <c r="O1967" s="61">
        <f t="shared" si="178"/>
        <v>1900</v>
      </c>
      <c r="P1967" s="61">
        <f t="shared" si="179"/>
        <v>1</v>
      </c>
      <c r="R1967" s="272"/>
      <c r="S1967" s="272"/>
      <c r="T1967" s="273" t="str">
        <f t="shared" si="180"/>
        <v>-</v>
      </c>
    </row>
    <row r="1968" spans="2:20">
      <c r="B1968" s="63"/>
      <c r="I1968" s="213"/>
      <c r="J1968" s="213"/>
      <c r="L1968" s="272">
        <f t="shared" si="176"/>
        <v>1900</v>
      </c>
      <c r="M1968" s="272">
        <f t="shared" si="177"/>
        <v>1</v>
      </c>
      <c r="N1968" s="255"/>
      <c r="O1968" s="61">
        <f t="shared" si="178"/>
        <v>1900</v>
      </c>
      <c r="P1968" s="61">
        <f t="shared" si="179"/>
        <v>1</v>
      </c>
      <c r="R1968" s="272"/>
      <c r="S1968" s="272"/>
      <c r="T1968" s="273" t="str">
        <f t="shared" si="180"/>
        <v>-</v>
      </c>
    </row>
    <row r="1969" spans="9:20">
      <c r="I1969" s="213"/>
      <c r="J1969" s="213"/>
      <c r="L1969" s="272">
        <f t="shared" si="176"/>
        <v>1900</v>
      </c>
      <c r="M1969" s="272">
        <f t="shared" si="177"/>
        <v>1</v>
      </c>
      <c r="N1969" s="255"/>
      <c r="O1969" s="61">
        <f t="shared" si="178"/>
        <v>1900</v>
      </c>
      <c r="P1969" s="61">
        <f t="shared" si="179"/>
        <v>1</v>
      </c>
      <c r="R1969" s="272"/>
      <c r="S1969" s="272"/>
      <c r="T1969" s="273" t="str">
        <f t="shared" si="180"/>
        <v>-</v>
      </c>
    </row>
    <row r="1970" spans="9:20">
      <c r="I1970" s="213"/>
      <c r="J1970" s="213"/>
      <c r="L1970" s="272">
        <f t="shared" si="176"/>
        <v>1900</v>
      </c>
      <c r="M1970" s="272">
        <f t="shared" si="177"/>
        <v>1</v>
      </c>
      <c r="N1970" s="255"/>
      <c r="O1970" s="61">
        <f t="shared" si="178"/>
        <v>1900</v>
      </c>
      <c r="P1970" s="61">
        <f t="shared" si="179"/>
        <v>1</v>
      </c>
      <c r="R1970" s="272"/>
      <c r="S1970" s="272"/>
      <c r="T1970" s="273" t="str">
        <f t="shared" si="180"/>
        <v>-</v>
      </c>
    </row>
    <row r="1971" spans="9:20">
      <c r="I1971" s="213"/>
      <c r="J1971" s="213"/>
      <c r="L1971" s="272">
        <f t="shared" si="176"/>
        <v>1900</v>
      </c>
      <c r="M1971" s="272">
        <f t="shared" si="177"/>
        <v>1</v>
      </c>
      <c r="N1971" s="255"/>
      <c r="O1971" s="61">
        <f t="shared" si="178"/>
        <v>1900</v>
      </c>
      <c r="P1971" s="61">
        <f t="shared" si="179"/>
        <v>1</v>
      </c>
      <c r="R1971" s="272"/>
      <c r="S1971" s="272"/>
      <c r="T1971" s="273" t="str">
        <f t="shared" si="180"/>
        <v>-</v>
      </c>
    </row>
    <row r="1972" spans="9:20">
      <c r="I1972" s="213"/>
      <c r="J1972" s="213"/>
      <c r="L1972" s="272">
        <f t="shared" si="176"/>
        <v>1900</v>
      </c>
      <c r="M1972" s="272">
        <f t="shared" si="177"/>
        <v>1</v>
      </c>
      <c r="N1972" s="255"/>
      <c r="O1972" s="61">
        <f t="shared" si="178"/>
        <v>1900</v>
      </c>
      <c r="P1972" s="61">
        <f t="shared" si="179"/>
        <v>1</v>
      </c>
      <c r="R1972" s="272"/>
      <c r="S1972" s="272"/>
      <c r="T1972" s="273" t="str">
        <f t="shared" si="180"/>
        <v>-</v>
      </c>
    </row>
    <row r="1973" spans="9:20">
      <c r="I1973" s="213"/>
      <c r="J1973" s="213"/>
      <c r="L1973" s="272">
        <f t="shared" si="176"/>
        <v>1900</v>
      </c>
      <c r="M1973" s="272">
        <f t="shared" si="177"/>
        <v>1</v>
      </c>
      <c r="N1973" s="255"/>
      <c r="O1973" s="61">
        <f t="shared" si="178"/>
        <v>1900</v>
      </c>
      <c r="P1973" s="61">
        <f t="shared" si="179"/>
        <v>1</v>
      </c>
      <c r="R1973" s="272"/>
      <c r="S1973" s="272"/>
      <c r="T1973" s="273" t="str">
        <f t="shared" si="180"/>
        <v>-</v>
      </c>
    </row>
    <row r="1974" spans="9:20">
      <c r="I1974" s="213"/>
      <c r="J1974" s="213"/>
      <c r="L1974" s="272">
        <f t="shared" si="176"/>
        <v>1900</v>
      </c>
      <c r="M1974" s="272">
        <f t="shared" si="177"/>
        <v>1</v>
      </c>
      <c r="N1974" s="255"/>
      <c r="O1974" s="61">
        <f t="shared" si="178"/>
        <v>1900</v>
      </c>
      <c r="P1974" s="61">
        <f t="shared" si="179"/>
        <v>1</v>
      </c>
      <c r="R1974" s="272"/>
      <c r="S1974" s="272"/>
      <c r="T1974" s="273" t="str">
        <f t="shared" si="180"/>
        <v>-</v>
      </c>
    </row>
    <row r="1975" spans="9:20">
      <c r="I1975" s="213"/>
      <c r="J1975" s="213"/>
      <c r="L1975" s="272">
        <f t="shared" si="176"/>
        <v>1900</v>
      </c>
      <c r="M1975" s="272">
        <f t="shared" si="177"/>
        <v>1</v>
      </c>
      <c r="N1975" s="255"/>
      <c r="O1975" s="61">
        <f t="shared" si="178"/>
        <v>1900</v>
      </c>
      <c r="P1975" s="61">
        <f t="shared" si="179"/>
        <v>1</v>
      </c>
      <c r="R1975" s="272"/>
      <c r="S1975" s="272"/>
      <c r="T1975" s="273" t="str">
        <f t="shared" si="180"/>
        <v>-</v>
      </c>
    </row>
    <row r="1976" spans="9:20">
      <c r="I1976" s="213"/>
      <c r="J1976" s="213"/>
      <c r="L1976" s="272">
        <f t="shared" si="176"/>
        <v>1900</v>
      </c>
      <c r="M1976" s="272">
        <f t="shared" si="177"/>
        <v>1</v>
      </c>
      <c r="N1976" s="255"/>
      <c r="O1976" s="61">
        <f t="shared" si="178"/>
        <v>1900</v>
      </c>
      <c r="P1976" s="61">
        <f t="shared" si="179"/>
        <v>1</v>
      </c>
      <c r="R1976" s="272"/>
      <c r="S1976" s="272"/>
      <c r="T1976" s="273" t="str">
        <f t="shared" si="180"/>
        <v>-</v>
      </c>
    </row>
    <row r="1977" spans="9:20">
      <c r="I1977" s="213"/>
      <c r="J1977" s="213"/>
      <c r="L1977" s="272">
        <f t="shared" si="176"/>
        <v>1900</v>
      </c>
      <c r="M1977" s="272">
        <f t="shared" si="177"/>
        <v>1</v>
      </c>
      <c r="N1977" s="255"/>
      <c r="O1977" s="61">
        <f t="shared" si="178"/>
        <v>1900</v>
      </c>
      <c r="P1977" s="61">
        <f t="shared" si="179"/>
        <v>1</v>
      </c>
      <c r="R1977" s="272"/>
      <c r="S1977" s="272"/>
      <c r="T1977" s="273" t="str">
        <f t="shared" si="180"/>
        <v>-</v>
      </c>
    </row>
    <row r="1978" spans="9:20">
      <c r="I1978" s="213"/>
      <c r="J1978" s="213"/>
      <c r="L1978" s="272">
        <f t="shared" si="176"/>
        <v>1900</v>
      </c>
      <c r="M1978" s="272">
        <f t="shared" si="177"/>
        <v>1</v>
      </c>
      <c r="N1978" s="255"/>
      <c r="O1978" s="61">
        <f t="shared" si="178"/>
        <v>1900</v>
      </c>
      <c r="P1978" s="61">
        <f t="shared" si="179"/>
        <v>1</v>
      </c>
      <c r="R1978" s="272"/>
      <c r="S1978" s="272"/>
      <c r="T1978" s="273" t="str">
        <f t="shared" si="180"/>
        <v>-</v>
      </c>
    </row>
    <row r="1979" spans="9:20">
      <c r="I1979" s="213"/>
      <c r="J1979" s="213"/>
      <c r="L1979" s="272">
        <f t="shared" si="176"/>
        <v>1900</v>
      </c>
      <c r="M1979" s="272">
        <f t="shared" si="177"/>
        <v>1</v>
      </c>
      <c r="N1979" s="255"/>
      <c r="O1979" s="61">
        <f t="shared" si="178"/>
        <v>1900</v>
      </c>
      <c r="P1979" s="61">
        <f t="shared" si="179"/>
        <v>1</v>
      </c>
      <c r="R1979" s="272"/>
      <c r="S1979" s="272"/>
      <c r="T1979" s="273" t="str">
        <f t="shared" si="180"/>
        <v>-</v>
      </c>
    </row>
    <row r="1980" spans="9:20">
      <c r="I1980" s="213"/>
      <c r="J1980" s="213"/>
      <c r="L1980" s="272">
        <f t="shared" si="176"/>
        <v>1900</v>
      </c>
      <c r="M1980" s="272">
        <f t="shared" si="177"/>
        <v>1</v>
      </c>
      <c r="N1980" s="255"/>
      <c r="O1980" s="61">
        <f t="shared" si="178"/>
        <v>1900</v>
      </c>
      <c r="P1980" s="61">
        <f t="shared" si="179"/>
        <v>1</v>
      </c>
      <c r="R1980" s="272"/>
      <c r="S1980" s="272"/>
      <c r="T1980" s="273" t="str">
        <f t="shared" si="180"/>
        <v>-</v>
      </c>
    </row>
    <row r="1981" spans="9:20">
      <c r="I1981" s="213"/>
      <c r="J1981" s="213"/>
      <c r="L1981" s="272">
        <f t="shared" si="176"/>
        <v>1900</v>
      </c>
      <c r="M1981" s="272">
        <f t="shared" si="177"/>
        <v>1</v>
      </c>
      <c r="N1981" s="255"/>
      <c r="O1981" s="61">
        <f t="shared" si="178"/>
        <v>1900</v>
      </c>
      <c r="P1981" s="61">
        <f t="shared" si="179"/>
        <v>1</v>
      </c>
      <c r="R1981" s="272"/>
      <c r="S1981" s="272"/>
      <c r="T1981" s="273" t="str">
        <f t="shared" si="180"/>
        <v>-</v>
      </c>
    </row>
    <row r="1982" spans="9:20">
      <c r="I1982" s="213"/>
      <c r="J1982" s="213"/>
      <c r="L1982" s="272">
        <f t="shared" si="176"/>
        <v>1900</v>
      </c>
      <c r="M1982" s="272">
        <f t="shared" si="177"/>
        <v>1</v>
      </c>
      <c r="N1982" s="255"/>
      <c r="O1982" s="61">
        <f t="shared" si="178"/>
        <v>1900</v>
      </c>
      <c r="P1982" s="61">
        <f t="shared" si="179"/>
        <v>1</v>
      </c>
      <c r="R1982" s="272"/>
      <c r="S1982" s="272"/>
      <c r="T1982" s="273" t="str">
        <f t="shared" si="180"/>
        <v>-</v>
      </c>
    </row>
    <row r="1983" spans="9:20">
      <c r="I1983" s="213"/>
      <c r="J1983" s="213"/>
      <c r="L1983" s="272">
        <f t="shared" si="176"/>
        <v>1900</v>
      </c>
      <c r="M1983" s="272">
        <f t="shared" si="177"/>
        <v>1</v>
      </c>
      <c r="N1983" s="255"/>
      <c r="O1983" s="61">
        <f t="shared" si="178"/>
        <v>1900</v>
      </c>
      <c r="P1983" s="61">
        <f t="shared" si="179"/>
        <v>1</v>
      </c>
      <c r="R1983" s="272"/>
      <c r="S1983" s="272"/>
      <c r="T1983" s="273" t="str">
        <f t="shared" si="180"/>
        <v>-</v>
      </c>
    </row>
    <row r="1984" spans="9:20">
      <c r="I1984" s="213"/>
      <c r="J1984" s="213"/>
      <c r="L1984" s="272">
        <f t="shared" si="176"/>
        <v>1900</v>
      </c>
      <c r="M1984" s="272">
        <f t="shared" si="177"/>
        <v>1</v>
      </c>
      <c r="N1984" s="255"/>
      <c r="O1984" s="61">
        <f t="shared" si="178"/>
        <v>1900</v>
      </c>
      <c r="P1984" s="61">
        <f t="shared" si="179"/>
        <v>1</v>
      </c>
      <c r="R1984" s="272"/>
      <c r="S1984" s="272"/>
      <c r="T1984" s="273" t="str">
        <f t="shared" si="180"/>
        <v>-</v>
      </c>
    </row>
    <row r="1985" spans="9:20">
      <c r="I1985" s="213"/>
      <c r="J1985" s="213"/>
      <c r="L1985" s="272">
        <f t="shared" si="176"/>
        <v>1900</v>
      </c>
      <c r="M1985" s="272">
        <f t="shared" si="177"/>
        <v>1</v>
      </c>
      <c r="N1985" s="255"/>
      <c r="O1985" s="61">
        <f t="shared" si="178"/>
        <v>1900</v>
      </c>
      <c r="P1985" s="61">
        <f t="shared" si="179"/>
        <v>1</v>
      </c>
      <c r="R1985" s="272"/>
      <c r="S1985" s="272"/>
      <c r="T1985" s="273" t="str">
        <f t="shared" si="180"/>
        <v>-</v>
      </c>
    </row>
    <row r="1986" spans="9:20">
      <c r="I1986" s="213"/>
      <c r="J1986" s="213"/>
      <c r="L1986" s="272">
        <f t="shared" si="176"/>
        <v>1900</v>
      </c>
      <c r="M1986" s="272">
        <f t="shared" si="177"/>
        <v>1</v>
      </c>
      <c r="N1986" s="255"/>
      <c r="O1986" s="61">
        <f t="shared" si="178"/>
        <v>1900</v>
      </c>
      <c r="P1986" s="61">
        <f t="shared" si="179"/>
        <v>1</v>
      </c>
      <c r="R1986" s="272"/>
      <c r="S1986" s="272"/>
      <c r="T1986" s="273" t="str">
        <f t="shared" si="180"/>
        <v>-</v>
      </c>
    </row>
    <row r="1987" spans="9:20">
      <c r="I1987" s="213"/>
      <c r="J1987" s="213"/>
      <c r="L1987" s="272">
        <f t="shared" si="176"/>
        <v>1900</v>
      </c>
      <c r="M1987" s="272">
        <f t="shared" si="177"/>
        <v>1</v>
      </c>
      <c r="N1987" s="255"/>
      <c r="O1987" s="61">
        <f t="shared" si="178"/>
        <v>1900</v>
      </c>
      <c r="P1987" s="61">
        <f t="shared" si="179"/>
        <v>1</v>
      </c>
      <c r="R1987" s="272"/>
      <c r="S1987" s="272"/>
      <c r="T1987" s="273" t="str">
        <f t="shared" si="180"/>
        <v>-</v>
      </c>
    </row>
    <row r="1988" spans="9:20">
      <c r="I1988" s="213"/>
      <c r="J1988" s="213"/>
      <c r="L1988" s="272">
        <f t="shared" si="176"/>
        <v>1900</v>
      </c>
      <c r="M1988" s="272">
        <f t="shared" si="177"/>
        <v>1</v>
      </c>
      <c r="N1988" s="255"/>
      <c r="O1988" s="61">
        <f t="shared" si="178"/>
        <v>1900</v>
      </c>
      <c r="P1988" s="61">
        <f t="shared" si="179"/>
        <v>1</v>
      </c>
      <c r="R1988" s="272"/>
      <c r="S1988" s="272"/>
      <c r="T1988" s="273" t="str">
        <f t="shared" si="180"/>
        <v>-</v>
      </c>
    </row>
    <row r="1989" spans="9:20">
      <c r="I1989" s="213"/>
      <c r="J1989" s="213"/>
      <c r="L1989" s="272">
        <f t="shared" si="176"/>
        <v>1900</v>
      </c>
      <c r="M1989" s="272">
        <f t="shared" si="177"/>
        <v>1</v>
      </c>
      <c r="N1989" s="255"/>
      <c r="O1989" s="61">
        <f t="shared" si="178"/>
        <v>1900</v>
      </c>
      <c r="P1989" s="61">
        <f t="shared" si="179"/>
        <v>1</v>
      </c>
      <c r="R1989" s="272"/>
      <c r="S1989" s="272"/>
      <c r="T1989" s="273" t="str">
        <f t="shared" si="180"/>
        <v>-</v>
      </c>
    </row>
    <row r="1990" spans="9:20">
      <c r="I1990" s="213"/>
      <c r="J1990" s="213"/>
      <c r="L1990" s="272">
        <f t="shared" si="176"/>
        <v>1900</v>
      </c>
      <c r="M1990" s="272">
        <f t="shared" si="177"/>
        <v>1</v>
      </c>
      <c r="N1990" s="255"/>
      <c r="O1990" s="61">
        <f t="shared" si="178"/>
        <v>1900</v>
      </c>
      <c r="P1990" s="61">
        <f t="shared" si="179"/>
        <v>1</v>
      </c>
      <c r="R1990" s="272"/>
      <c r="S1990" s="272"/>
      <c r="T1990" s="273" t="str">
        <f t="shared" si="180"/>
        <v>-</v>
      </c>
    </row>
    <row r="1991" spans="9:20">
      <c r="I1991" s="213"/>
      <c r="J1991" s="213"/>
      <c r="L1991" s="272">
        <f t="shared" si="176"/>
        <v>1900</v>
      </c>
      <c r="M1991" s="272">
        <f t="shared" si="177"/>
        <v>1</v>
      </c>
      <c r="N1991" s="255"/>
      <c r="O1991" s="61">
        <f t="shared" si="178"/>
        <v>1900</v>
      </c>
      <c r="P1991" s="61">
        <f t="shared" si="179"/>
        <v>1</v>
      </c>
      <c r="R1991" s="272"/>
      <c r="S1991" s="272"/>
      <c r="T1991" s="273" t="str">
        <f t="shared" si="180"/>
        <v>-</v>
      </c>
    </row>
    <row r="1992" spans="9:20">
      <c r="I1992" s="213"/>
      <c r="J1992" s="213"/>
      <c r="L1992" s="272">
        <f t="shared" si="176"/>
        <v>1900</v>
      </c>
      <c r="M1992" s="272">
        <f t="shared" si="177"/>
        <v>1</v>
      </c>
      <c r="N1992" s="255"/>
      <c r="O1992" s="61">
        <f t="shared" si="178"/>
        <v>1900</v>
      </c>
      <c r="P1992" s="61">
        <f t="shared" si="179"/>
        <v>1</v>
      </c>
      <c r="R1992" s="272"/>
      <c r="S1992" s="272"/>
      <c r="T1992" s="273" t="str">
        <f t="shared" si="180"/>
        <v>-</v>
      </c>
    </row>
    <row r="1993" spans="9:20">
      <c r="I1993" s="213"/>
      <c r="J1993" s="213"/>
      <c r="L1993" s="272">
        <f t="shared" si="176"/>
        <v>1900</v>
      </c>
      <c r="M1993" s="272">
        <f t="shared" si="177"/>
        <v>1</v>
      </c>
      <c r="N1993" s="255"/>
      <c r="O1993" s="61">
        <f t="shared" si="178"/>
        <v>1900</v>
      </c>
      <c r="P1993" s="61">
        <f t="shared" si="179"/>
        <v>1</v>
      </c>
      <c r="R1993" s="272"/>
      <c r="S1993" s="272"/>
      <c r="T1993" s="273" t="str">
        <f t="shared" si="180"/>
        <v>-</v>
      </c>
    </row>
    <row r="1994" spans="9:20">
      <c r="I1994" s="213"/>
      <c r="J1994" s="213"/>
      <c r="L1994" s="272">
        <f t="shared" si="176"/>
        <v>1900</v>
      </c>
      <c r="M1994" s="272">
        <f t="shared" si="177"/>
        <v>1</v>
      </c>
      <c r="N1994" s="255"/>
      <c r="O1994" s="61">
        <f t="shared" si="178"/>
        <v>1900</v>
      </c>
      <c r="P1994" s="61">
        <f t="shared" si="179"/>
        <v>1</v>
      </c>
      <c r="R1994" s="272"/>
      <c r="S1994" s="272"/>
      <c r="T1994" s="273" t="str">
        <f t="shared" si="180"/>
        <v>-</v>
      </c>
    </row>
    <row r="1995" spans="9:20">
      <c r="I1995" s="213"/>
      <c r="J1995" s="213"/>
      <c r="L1995" s="272">
        <f t="shared" si="176"/>
        <v>1900</v>
      </c>
      <c r="M1995" s="272">
        <f t="shared" si="177"/>
        <v>1</v>
      </c>
      <c r="N1995" s="255"/>
      <c r="O1995" s="61">
        <f t="shared" si="178"/>
        <v>1900</v>
      </c>
      <c r="P1995" s="61">
        <f t="shared" si="179"/>
        <v>1</v>
      </c>
      <c r="R1995" s="272"/>
      <c r="S1995" s="272"/>
      <c r="T1995" s="273" t="str">
        <f t="shared" si="180"/>
        <v>-</v>
      </c>
    </row>
    <row r="1996" spans="9:20">
      <c r="I1996" s="213"/>
      <c r="J1996" s="213"/>
      <c r="L1996" s="272">
        <f t="shared" si="176"/>
        <v>1900</v>
      </c>
      <c r="M1996" s="272">
        <f t="shared" si="177"/>
        <v>1</v>
      </c>
      <c r="N1996" s="255"/>
      <c r="O1996" s="61">
        <f t="shared" si="178"/>
        <v>1900</v>
      </c>
      <c r="P1996" s="61">
        <f t="shared" si="179"/>
        <v>1</v>
      </c>
      <c r="R1996" s="272"/>
      <c r="S1996" s="272"/>
      <c r="T1996" s="273" t="str">
        <f t="shared" si="180"/>
        <v>-</v>
      </c>
    </row>
    <row r="1997" spans="9:20">
      <c r="I1997" s="213"/>
      <c r="J1997" s="213"/>
      <c r="L1997" s="272">
        <f t="shared" si="176"/>
        <v>1900</v>
      </c>
      <c r="M1997" s="272">
        <f t="shared" si="177"/>
        <v>1</v>
      </c>
      <c r="N1997" s="255"/>
      <c r="O1997" s="61">
        <f t="shared" si="178"/>
        <v>1900</v>
      </c>
      <c r="P1997" s="61">
        <f t="shared" si="179"/>
        <v>1</v>
      </c>
      <c r="R1997" s="272"/>
      <c r="S1997" s="272"/>
      <c r="T1997" s="273" t="str">
        <f t="shared" si="180"/>
        <v>-</v>
      </c>
    </row>
    <row r="1998" spans="9:20">
      <c r="I1998" s="213"/>
      <c r="J1998" s="213"/>
      <c r="L1998" s="272">
        <f t="shared" si="176"/>
        <v>1900</v>
      </c>
      <c r="M1998" s="272">
        <f t="shared" si="177"/>
        <v>1</v>
      </c>
      <c r="N1998" s="255"/>
      <c r="O1998" s="61">
        <f t="shared" si="178"/>
        <v>1900</v>
      </c>
      <c r="P1998" s="61">
        <f t="shared" si="179"/>
        <v>1</v>
      </c>
      <c r="R1998" s="272"/>
      <c r="S1998" s="272"/>
      <c r="T1998" s="273" t="str">
        <f t="shared" si="180"/>
        <v>-</v>
      </c>
    </row>
    <row r="1999" spans="9:20">
      <c r="I1999" s="213"/>
      <c r="J1999" s="213"/>
      <c r="L1999" s="272">
        <f t="shared" si="176"/>
        <v>1900</v>
      </c>
      <c r="M1999" s="272">
        <f t="shared" si="177"/>
        <v>1</v>
      </c>
      <c r="N1999" s="255"/>
      <c r="O1999" s="61">
        <f t="shared" si="178"/>
        <v>1900</v>
      </c>
      <c r="P1999" s="61">
        <f t="shared" si="179"/>
        <v>1</v>
      </c>
      <c r="R1999" s="272"/>
      <c r="S1999" s="272"/>
      <c r="T1999" s="273" t="str">
        <f t="shared" si="180"/>
        <v>-</v>
      </c>
    </row>
    <row r="2000" spans="9:20">
      <c r="I2000" s="213"/>
      <c r="J2000" s="213"/>
      <c r="L2000" s="272">
        <f t="shared" ref="L2000:L2063" si="181">YEAR(B2000)</f>
        <v>1900</v>
      </c>
      <c r="M2000" s="272">
        <f t="shared" ref="M2000:M2063" si="182">MONTH(B2000)</f>
        <v>1</v>
      </c>
      <c r="N2000" s="255"/>
      <c r="O2000" s="61">
        <f t="shared" ref="O2000:O2063" si="183">YEAR(B2000)</f>
        <v>1900</v>
      </c>
      <c r="P2000" s="61">
        <f t="shared" ref="P2000:P2063" si="184">MONTH(B2000)</f>
        <v>1</v>
      </c>
      <c r="R2000" s="272"/>
      <c r="S2000" s="272"/>
      <c r="T2000" s="273" t="str">
        <f t="shared" ref="T2000:T2063" si="185">IF($E2000&gt;0,IF((R2000+S2000)=$E2000,"OK","Error"),"-")</f>
        <v>-</v>
      </c>
    </row>
    <row r="2001" spans="9:20">
      <c r="I2001" s="213"/>
      <c r="J2001" s="213"/>
      <c r="L2001" s="272">
        <f t="shared" si="181"/>
        <v>1900</v>
      </c>
      <c r="M2001" s="272">
        <f t="shared" si="182"/>
        <v>1</v>
      </c>
      <c r="N2001" s="255"/>
      <c r="O2001" s="61">
        <f t="shared" si="183"/>
        <v>1900</v>
      </c>
      <c r="P2001" s="61">
        <f t="shared" si="184"/>
        <v>1</v>
      </c>
      <c r="R2001" s="272"/>
      <c r="S2001" s="272"/>
      <c r="T2001" s="273" t="str">
        <f t="shared" si="185"/>
        <v>-</v>
      </c>
    </row>
    <row r="2002" spans="9:20">
      <c r="I2002" s="213"/>
      <c r="J2002" s="213"/>
      <c r="L2002" s="272">
        <f t="shared" si="181"/>
        <v>1900</v>
      </c>
      <c r="M2002" s="272">
        <f t="shared" si="182"/>
        <v>1</v>
      </c>
      <c r="N2002" s="255"/>
      <c r="O2002" s="61">
        <f t="shared" si="183"/>
        <v>1900</v>
      </c>
      <c r="P2002" s="61">
        <f t="shared" si="184"/>
        <v>1</v>
      </c>
      <c r="R2002" s="272"/>
      <c r="S2002" s="272"/>
      <c r="T2002" s="273" t="str">
        <f t="shared" si="185"/>
        <v>-</v>
      </c>
    </row>
    <row r="2003" spans="9:20">
      <c r="I2003" s="213"/>
      <c r="J2003" s="213"/>
      <c r="L2003" s="272">
        <f t="shared" si="181"/>
        <v>1900</v>
      </c>
      <c r="M2003" s="272">
        <f t="shared" si="182"/>
        <v>1</v>
      </c>
      <c r="N2003" s="255"/>
      <c r="O2003" s="61">
        <f t="shared" si="183"/>
        <v>1900</v>
      </c>
      <c r="P2003" s="61">
        <f t="shared" si="184"/>
        <v>1</v>
      </c>
      <c r="R2003" s="272"/>
      <c r="S2003" s="272"/>
      <c r="T2003" s="273" t="str">
        <f t="shared" si="185"/>
        <v>-</v>
      </c>
    </row>
    <row r="2004" spans="9:20">
      <c r="I2004" s="213"/>
      <c r="J2004" s="213"/>
      <c r="L2004" s="272">
        <f t="shared" si="181"/>
        <v>1900</v>
      </c>
      <c r="M2004" s="272">
        <f t="shared" si="182"/>
        <v>1</v>
      </c>
      <c r="N2004" s="255"/>
      <c r="O2004" s="61">
        <f t="shared" si="183"/>
        <v>1900</v>
      </c>
      <c r="P2004" s="61">
        <f t="shared" si="184"/>
        <v>1</v>
      </c>
      <c r="R2004" s="272"/>
      <c r="S2004" s="272"/>
      <c r="T2004" s="273" t="str">
        <f t="shared" si="185"/>
        <v>-</v>
      </c>
    </row>
    <row r="2005" spans="9:20">
      <c r="I2005" s="213"/>
      <c r="J2005" s="213"/>
      <c r="L2005" s="272">
        <f t="shared" si="181"/>
        <v>1900</v>
      </c>
      <c r="M2005" s="272">
        <f t="shared" si="182"/>
        <v>1</v>
      </c>
      <c r="N2005" s="255"/>
      <c r="O2005" s="61">
        <f t="shared" si="183"/>
        <v>1900</v>
      </c>
      <c r="P2005" s="61">
        <f t="shared" si="184"/>
        <v>1</v>
      </c>
      <c r="R2005" s="272"/>
      <c r="S2005" s="272"/>
      <c r="T2005" s="273" t="str">
        <f t="shared" si="185"/>
        <v>-</v>
      </c>
    </row>
    <row r="2006" spans="9:20">
      <c r="I2006" s="213"/>
      <c r="J2006" s="213"/>
      <c r="L2006" s="272">
        <f t="shared" si="181"/>
        <v>1900</v>
      </c>
      <c r="M2006" s="272">
        <f t="shared" si="182"/>
        <v>1</v>
      </c>
      <c r="N2006" s="255"/>
      <c r="O2006" s="61">
        <f t="shared" si="183"/>
        <v>1900</v>
      </c>
      <c r="P2006" s="61">
        <f t="shared" si="184"/>
        <v>1</v>
      </c>
      <c r="R2006" s="272"/>
      <c r="S2006" s="272"/>
      <c r="T2006" s="273" t="str">
        <f t="shared" si="185"/>
        <v>-</v>
      </c>
    </row>
    <row r="2007" spans="9:20">
      <c r="I2007" s="213"/>
      <c r="J2007" s="213"/>
      <c r="L2007" s="272">
        <f t="shared" si="181"/>
        <v>1900</v>
      </c>
      <c r="M2007" s="272">
        <f t="shared" si="182"/>
        <v>1</v>
      </c>
      <c r="N2007" s="255"/>
      <c r="O2007" s="61">
        <f t="shared" si="183"/>
        <v>1900</v>
      </c>
      <c r="P2007" s="61">
        <f t="shared" si="184"/>
        <v>1</v>
      </c>
      <c r="R2007" s="272"/>
      <c r="S2007" s="272"/>
      <c r="T2007" s="273" t="str">
        <f t="shared" si="185"/>
        <v>-</v>
      </c>
    </row>
    <row r="2008" spans="9:20">
      <c r="I2008" s="213"/>
      <c r="J2008" s="213"/>
      <c r="L2008" s="272">
        <f t="shared" si="181"/>
        <v>1900</v>
      </c>
      <c r="M2008" s="272">
        <f t="shared" si="182"/>
        <v>1</v>
      </c>
      <c r="N2008" s="255"/>
      <c r="O2008" s="61">
        <f t="shared" si="183"/>
        <v>1900</v>
      </c>
      <c r="P2008" s="61">
        <f t="shared" si="184"/>
        <v>1</v>
      </c>
      <c r="R2008" s="272"/>
      <c r="S2008" s="272"/>
      <c r="T2008" s="273" t="str">
        <f t="shared" si="185"/>
        <v>-</v>
      </c>
    </row>
    <row r="2009" spans="9:20">
      <c r="I2009" s="213"/>
      <c r="J2009" s="213"/>
      <c r="L2009" s="272">
        <f t="shared" si="181"/>
        <v>1900</v>
      </c>
      <c r="M2009" s="272">
        <f t="shared" si="182"/>
        <v>1</v>
      </c>
      <c r="N2009" s="255"/>
      <c r="O2009" s="61">
        <f t="shared" si="183"/>
        <v>1900</v>
      </c>
      <c r="P2009" s="61">
        <f t="shared" si="184"/>
        <v>1</v>
      </c>
      <c r="R2009" s="272"/>
      <c r="S2009" s="272"/>
      <c r="T2009" s="273" t="str">
        <f t="shared" si="185"/>
        <v>-</v>
      </c>
    </row>
    <row r="2010" spans="9:20">
      <c r="I2010" s="213"/>
      <c r="J2010" s="213"/>
      <c r="L2010" s="272">
        <f t="shared" si="181"/>
        <v>1900</v>
      </c>
      <c r="M2010" s="272">
        <f t="shared" si="182"/>
        <v>1</v>
      </c>
      <c r="N2010" s="255"/>
      <c r="O2010" s="61">
        <f t="shared" si="183"/>
        <v>1900</v>
      </c>
      <c r="P2010" s="61">
        <f t="shared" si="184"/>
        <v>1</v>
      </c>
      <c r="R2010" s="272"/>
      <c r="S2010" s="272"/>
      <c r="T2010" s="273" t="str">
        <f t="shared" si="185"/>
        <v>-</v>
      </c>
    </row>
    <row r="2011" spans="9:20">
      <c r="I2011" s="213"/>
      <c r="J2011" s="213"/>
      <c r="L2011" s="272">
        <f t="shared" si="181"/>
        <v>1900</v>
      </c>
      <c r="M2011" s="272">
        <f t="shared" si="182"/>
        <v>1</v>
      </c>
      <c r="N2011" s="255"/>
      <c r="O2011" s="61">
        <f t="shared" si="183"/>
        <v>1900</v>
      </c>
      <c r="P2011" s="61">
        <f t="shared" si="184"/>
        <v>1</v>
      </c>
      <c r="R2011" s="272"/>
      <c r="S2011" s="272"/>
      <c r="T2011" s="273" t="str">
        <f t="shared" si="185"/>
        <v>-</v>
      </c>
    </row>
    <row r="2012" spans="9:20">
      <c r="I2012" s="213"/>
      <c r="J2012" s="213"/>
      <c r="L2012" s="272">
        <f t="shared" si="181"/>
        <v>1900</v>
      </c>
      <c r="M2012" s="272">
        <f t="shared" si="182"/>
        <v>1</v>
      </c>
      <c r="N2012" s="255"/>
      <c r="O2012" s="61">
        <f t="shared" si="183"/>
        <v>1900</v>
      </c>
      <c r="P2012" s="61">
        <f t="shared" si="184"/>
        <v>1</v>
      </c>
      <c r="R2012" s="272"/>
      <c r="S2012" s="272"/>
      <c r="T2012" s="273" t="str">
        <f t="shared" si="185"/>
        <v>-</v>
      </c>
    </row>
    <row r="2013" spans="9:20">
      <c r="I2013" s="213"/>
      <c r="J2013" s="213"/>
      <c r="L2013" s="272">
        <f t="shared" si="181"/>
        <v>1900</v>
      </c>
      <c r="M2013" s="272">
        <f t="shared" si="182"/>
        <v>1</v>
      </c>
      <c r="N2013" s="255"/>
      <c r="O2013" s="61">
        <f t="shared" si="183"/>
        <v>1900</v>
      </c>
      <c r="P2013" s="61">
        <f t="shared" si="184"/>
        <v>1</v>
      </c>
      <c r="R2013" s="272"/>
      <c r="S2013" s="272"/>
      <c r="T2013" s="273" t="str">
        <f t="shared" si="185"/>
        <v>-</v>
      </c>
    </row>
    <row r="2014" spans="9:20">
      <c r="I2014" s="213"/>
      <c r="J2014" s="213"/>
      <c r="L2014" s="272">
        <f t="shared" si="181"/>
        <v>1900</v>
      </c>
      <c r="M2014" s="272">
        <f t="shared" si="182"/>
        <v>1</v>
      </c>
      <c r="N2014" s="255"/>
      <c r="O2014" s="61">
        <f t="shared" si="183"/>
        <v>1900</v>
      </c>
      <c r="P2014" s="61">
        <f t="shared" si="184"/>
        <v>1</v>
      </c>
      <c r="R2014" s="272"/>
      <c r="S2014" s="272"/>
      <c r="T2014" s="273" t="str">
        <f t="shared" si="185"/>
        <v>-</v>
      </c>
    </row>
    <row r="2015" spans="9:20">
      <c r="I2015" s="213"/>
      <c r="J2015" s="213"/>
      <c r="L2015" s="272">
        <f t="shared" si="181"/>
        <v>1900</v>
      </c>
      <c r="M2015" s="272">
        <f t="shared" si="182"/>
        <v>1</v>
      </c>
      <c r="N2015" s="255"/>
      <c r="O2015" s="61">
        <f t="shared" si="183"/>
        <v>1900</v>
      </c>
      <c r="P2015" s="61">
        <f t="shared" si="184"/>
        <v>1</v>
      </c>
      <c r="R2015" s="272"/>
      <c r="S2015" s="272"/>
      <c r="T2015" s="273" t="str">
        <f t="shared" si="185"/>
        <v>-</v>
      </c>
    </row>
    <row r="2016" spans="9:20">
      <c r="I2016" s="213"/>
      <c r="J2016" s="213"/>
      <c r="L2016" s="272">
        <f t="shared" si="181"/>
        <v>1900</v>
      </c>
      <c r="M2016" s="272">
        <f t="shared" si="182"/>
        <v>1</v>
      </c>
      <c r="N2016" s="255"/>
      <c r="O2016" s="61">
        <f t="shared" si="183"/>
        <v>1900</v>
      </c>
      <c r="P2016" s="61">
        <f t="shared" si="184"/>
        <v>1</v>
      </c>
      <c r="R2016" s="272"/>
      <c r="S2016" s="272"/>
      <c r="T2016" s="273" t="str">
        <f t="shared" si="185"/>
        <v>-</v>
      </c>
    </row>
    <row r="2017" spans="9:20">
      <c r="I2017" s="213"/>
      <c r="J2017" s="213"/>
      <c r="L2017" s="272">
        <f t="shared" si="181"/>
        <v>1900</v>
      </c>
      <c r="M2017" s="272">
        <f t="shared" si="182"/>
        <v>1</v>
      </c>
      <c r="N2017" s="255"/>
      <c r="O2017" s="61">
        <f t="shared" si="183"/>
        <v>1900</v>
      </c>
      <c r="P2017" s="61">
        <f t="shared" si="184"/>
        <v>1</v>
      </c>
      <c r="R2017" s="272"/>
      <c r="S2017" s="272"/>
      <c r="T2017" s="273" t="str">
        <f t="shared" si="185"/>
        <v>-</v>
      </c>
    </row>
    <row r="2018" spans="9:20">
      <c r="I2018" s="213"/>
      <c r="J2018" s="213"/>
      <c r="L2018" s="272">
        <f t="shared" si="181"/>
        <v>1900</v>
      </c>
      <c r="M2018" s="272">
        <f t="shared" si="182"/>
        <v>1</v>
      </c>
      <c r="N2018" s="255"/>
      <c r="O2018" s="61">
        <f t="shared" si="183"/>
        <v>1900</v>
      </c>
      <c r="P2018" s="61">
        <f t="shared" si="184"/>
        <v>1</v>
      </c>
      <c r="R2018" s="272"/>
      <c r="S2018" s="272"/>
      <c r="T2018" s="273" t="str">
        <f t="shared" si="185"/>
        <v>-</v>
      </c>
    </row>
    <row r="2019" spans="9:20">
      <c r="I2019" s="213"/>
      <c r="J2019" s="213"/>
      <c r="L2019" s="272">
        <f t="shared" si="181"/>
        <v>1900</v>
      </c>
      <c r="M2019" s="272">
        <f t="shared" si="182"/>
        <v>1</v>
      </c>
      <c r="N2019" s="255"/>
      <c r="O2019" s="61">
        <f t="shared" si="183"/>
        <v>1900</v>
      </c>
      <c r="P2019" s="61">
        <f t="shared" si="184"/>
        <v>1</v>
      </c>
      <c r="R2019" s="272"/>
      <c r="S2019" s="272"/>
      <c r="T2019" s="273" t="str">
        <f t="shared" si="185"/>
        <v>-</v>
      </c>
    </row>
    <row r="2020" spans="9:20">
      <c r="I2020" s="213"/>
      <c r="J2020" s="213"/>
      <c r="L2020" s="272">
        <f t="shared" si="181"/>
        <v>1900</v>
      </c>
      <c r="M2020" s="272">
        <f t="shared" si="182"/>
        <v>1</v>
      </c>
      <c r="N2020" s="255"/>
      <c r="O2020" s="61">
        <f t="shared" si="183"/>
        <v>1900</v>
      </c>
      <c r="P2020" s="61">
        <f t="shared" si="184"/>
        <v>1</v>
      </c>
      <c r="R2020" s="272"/>
      <c r="S2020" s="272"/>
      <c r="T2020" s="273" t="str">
        <f t="shared" si="185"/>
        <v>-</v>
      </c>
    </row>
    <row r="2021" spans="9:20">
      <c r="I2021" s="213"/>
      <c r="J2021" s="213"/>
      <c r="L2021" s="272">
        <f t="shared" si="181"/>
        <v>1900</v>
      </c>
      <c r="M2021" s="272">
        <f t="shared" si="182"/>
        <v>1</v>
      </c>
      <c r="N2021" s="255"/>
      <c r="O2021" s="61">
        <f t="shared" si="183"/>
        <v>1900</v>
      </c>
      <c r="P2021" s="61">
        <f t="shared" si="184"/>
        <v>1</v>
      </c>
      <c r="R2021" s="272"/>
      <c r="S2021" s="272"/>
      <c r="T2021" s="273" t="str">
        <f t="shared" si="185"/>
        <v>-</v>
      </c>
    </row>
    <row r="2022" spans="9:20">
      <c r="I2022" s="213"/>
      <c r="J2022" s="213"/>
      <c r="L2022" s="272">
        <f t="shared" si="181"/>
        <v>1900</v>
      </c>
      <c r="M2022" s="272">
        <f t="shared" si="182"/>
        <v>1</v>
      </c>
      <c r="N2022" s="255"/>
      <c r="O2022" s="61">
        <f t="shared" si="183"/>
        <v>1900</v>
      </c>
      <c r="P2022" s="61">
        <f t="shared" si="184"/>
        <v>1</v>
      </c>
      <c r="R2022" s="272"/>
      <c r="S2022" s="272"/>
      <c r="T2022" s="273" t="str">
        <f t="shared" si="185"/>
        <v>-</v>
      </c>
    </row>
    <row r="2023" spans="9:20">
      <c r="I2023" s="213"/>
      <c r="J2023" s="213"/>
      <c r="L2023" s="272">
        <f t="shared" si="181"/>
        <v>1900</v>
      </c>
      <c r="M2023" s="272">
        <f t="shared" si="182"/>
        <v>1</v>
      </c>
      <c r="N2023" s="255"/>
      <c r="O2023" s="61">
        <f t="shared" si="183"/>
        <v>1900</v>
      </c>
      <c r="P2023" s="61">
        <f t="shared" si="184"/>
        <v>1</v>
      </c>
      <c r="R2023" s="272"/>
      <c r="S2023" s="272"/>
      <c r="T2023" s="273" t="str">
        <f t="shared" si="185"/>
        <v>-</v>
      </c>
    </row>
    <row r="2024" spans="9:20">
      <c r="I2024" s="213"/>
      <c r="J2024" s="213"/>
      <c r="L2024" s="272">
        <f t="shared" si="181"/>
        <v>1900</v>
      </c>
      <c r="M2024" s="272">
        <f t="shared" si="182"/>
        <v>1</v>
      </c>
      <c r="N2024" s="255"/>
      <c r="O2024" s="61">
        <f t="shared" si="183"/>
        <v>1900</v>
      </c>
      <c r="P2024" s="61">
        <f t="shared" si="184"/>
        <v>1</v>
      </c>
      <c r="R2024" s="272"/>
      <c r="S2024" s="272"/>
      <c r="T2024" s="273" t="str">
        <f t="shared" si="185"/>
        <v>-</v>
      </c>
    </row>
    <row r="2025" spans="9:20">
      <c r="I2025" s="213"/>
      <c r="J2025" s="213"/>
      <c r="L2025" s="272">
        <f t="shared" si="181"/>
        <v>1900</v>
      </c>
      <c r="M2025" s="272">
        <f t="shared" si="182"/>
        <v>1</v>
      </c>
      <c r="N2025" s="255"/>
      <c r="O2025" s="61">
        <f t="shared" si="183"/>
        <v>1900</v>
      </c>
      <c r="P2025" s="61">
        <f t="shared" si="184"/>
        <v>1</v>
      </c>
      <c r="R2025" s="272"/>
      <c r="S2025" s="272"/>
      <c r="T2025" s="273" t="str">
        <f t="shared" si="185"/>
        <v>-</v>
      </c>
    </row>
    <row r="2026" spans="9:20">
      <c r="I2026" s="213"/>
      <c r="J2026" s="213"/>
      <c r="L2026" s="272">
        <f t="shared" si="181"/>
        <v>1900</v>
      </c>
      <c r="M2026" s="272">
        <f t="shared" si="182"/>
        <v>1</v>
      </c>
      <c r="N2026" s="255"/>
      <c r="O2026" s="61">
        <f t="shared" si="183"/>
        <v>1900</v>
      </c>
      <c r="P2026" s="61">
        <f t="shared" si="184"/>
        <v>1</v>
      </c>
      <c r="R2026" s="272"/>
      <c r="S2026" s="272"/>
      <c r="T2026" s="273" t="str">
        <f t="shared" si="185"/>
        <v>-</v>
      </c>
    </row>
    <row r="2027" spans="9:20">
      <c r="I2027" s="213"/>
      <c r="J2027" s="213"/>
      <c r="L2027" s="272">
        <f t="shared" si="181"/>
        <v>1900</v>
      </c>
      <c r="M2027" s="272">
        <f t="shared" si="182"/>
        <v>1</v>
      </c>
      <c r="N2027" s="255"/>
      <c r="O2027" s="61">
        <f t="shared" si="183"/>
        <v>1900</v>
      </c>
      <c r="P2027" s="61">
        <f t="shared" si="184"/>
        <v>1</v>
      </c>
      <c r="R2027" s="272"/>
      <c r="S2027" s="272"/>
      <c r="T2027" s="273" t="str">
        <f t="shared" si="185"/>
        <v>-</v>
      </c>
    </row>
    <row r="2028" spans="9:20">
      <c r="I2028" s="213"/>
      <c r="J2028" s="213"/>
      <c r="L2028" s="272">
        <f t="shared" si="181"/>
        <v>1900</v>
      </c>
      <c r="M2028" s="272">
        <f t="shared" si="182"/>
        <v>1</v>
      </c>
      <c r="N2028" s="255"/>
      <c r="O2028" s="61">
        <f t="shared" si="183"/>
        <v>1900</v>
      </c>
      <c r="P2028" s="61">
        <f t="shared" si="184"/>
        <v>1</v>
      </c>
      <c r="R2028" s="272"/>
      <c r="S2028" s="272"/>
      <c r="T2028" s="273" t="str">
        <f t="shared" si="185"/>
        <v>-</v>
      </c>
    </row>
    <row r="2029" spans="9:20">
      <c r="I2029" s="213"/>
      <c r="J2029" s="213"/>
      <c r="L2029" s="272">
        <f t="shared" si="181"/>
        <v>1900</v>
      </c>
      <c r="M2029" s="272">
        <f t="shared" si="182"/>
        <v>1</v>
      </c>
      <c r="N2029" s="255"/>
      <c r="O2029" s="61">
        <f t="shared" si="183"/>
        <v>1900</v>
      </c>
      <c r="P2029" s="61">
        <f t="shared" si="184"/>
        <v>1</v>
      </c>
      <c r="R2029" s="272"/>
      <c r="S2029" s="272"/>
      <c r="T2029" s="273" t="str">
        <f t="shared" si="185"/>
        <v>-</v>
      </c>
    </row>
    <row r="2030" spans="9:20">
      <c r="I2030" s="213"/>
      <c r="J2030" s="213"/>
      <c r="L2030" s="272">
        <f t="shared" si="181"/>
        <v>1900</v>
      </c>
      <c r="M2030" s="272">
        <f t="shared" si="182"/>
        <v>1</v>
      </c>
      <c r="N2030" s="255"/>
      <c r="O2030" s="61">
        <f t="shared" si="183"/>
        <v>1900</v>
      </c>
      <c r="P2030" s="61">
        <f t="shared" si="184"/>
        <v>1</v>
      </c>
      <c r="R2030" s="272"/>
      <c r="S2030" s="272"/>
      <c r="T2030" s="273" t="str">
        <f t="shared" si="185"/>
        <v>-</v>
      </c>
    </row>
    <row r="2031" spans="9:20">
      <c r="I2031" s="213"/>
      <c r="J2031" s="213"/>
      <c r="L2031" s="272">
        <f t="shared" si="181"/>
        <v>1900</v>
      </c>
      <c r="M2031" s="272">
        <f t="shared" si="182"/>
        <v>1</v>
      </c>
      <c r="N2031" s="255"/>
      <c r="O2031" s="61">
        <f t="shared" si="183"/>
        <v>1900</v>
      </c>
      <c r="P2031" s="61">
        <f t="shared" si="184"/>
        <v>1</v>
      </c>
      <c r="R2031" s="272"/>
      <c r="S2031" s="272"/>
      <c r="T2031" s="273" t="str">
        <f t="shared" si="185"/>
        <v>-</v>
      </c>
    </row>
    <row r="2032" spans="9:20">
      <c r="I2032" s="213"/>
      <c r="J2032" s="213"/>
      <c r="L2032" s="272">
        <f t="shared" si="181"/>
        <v>1900</v>
      </c>
      <c r="M2032" s="272">
        <f t="shared" si="182"/>
        <v>1</v>
      </c>
      <c r="N2032" s="255"/>
      <c r="O2032" s="61">
        <f t="shared" si="183"/>
        <v>1900</v>
      </c>
      <c r="P2032" s="61">
        <f t="shared" si="184"/>
        <v>1</v>
      </c>
      <c r="R2032" s="272"/>
      <c r="S2032" s="272"/>
      <c r="T2032" s="273" t="str">
        <f t="shared" si="185"/>
        <v>-</v>
      </c>
    </row>
    <row r="2033" spans="9:20">
      <c r="I2033" s="213"/>
      <c r="J2033" s="213"/>
      <c r="L2033" s="272">
        <f t="shared" si="181"/>
        <v>1900</v>
      </c>
      <c r="M2033" s="272">
        <f t="shared" si="182"/>
        <v>1</v>
      </c>
      <c r="N2033" s="255"/>
      <c r="O2033" s="61">
        <f t="shared" si="183"/>
        <v>1900</v>
      </c>
      <c r="P2033" s="61">
        <f t="shared" si="184"/>
        <v>1</v>
      </c>
      <c r="R2033" s="272"/>
      <c r="S2033" s="272"/>
      <c r="T2033" s="273" t="str">
        <f t="shared" si="185"/>
        <v>-</v>
      </c>
    </row>
    <row r="2034" spans="9:20">
      <c r="I2034" s="213"/>
      <c r="J2034" s="213"/>
      <c r="L2034" s="272">
        <f t="shared" si="181"/>
        <v>1900</v>
      </c>
      <c r="M2034" s="272">
        <f t="shared" si="182"/>
        <v>1</v>
      </c>
      <c r="N2034" s="255"/>
      <c r="O2034" s="61">
        <f t="shared" si="183"/>
        <v>1900</v>
      </c>
      <c r="P2034" s="61">
        <f t="shared" si="184"/>
        <v>1</v>
      </c>
      <c r="R2034" s="272"/>
      <c r="S2034" s="272"/>
      <c r="T2034" s="273" t="str">
        <f t="shared" si="185"/>
        <v>-</v>
      </c>
    </row>
    <row r="2035" spans="9:20">
      <c r="I2035" s="213"/>
      <c r="J2035" s="213"/>
      <c r="L2035" s="272">
        <f t="shared" si="181"/>
        <v>1900</v>
      </c>
      <c r="M2035" s="272">
        <f t="shared" si="182"/>
        <v>1</v>
      </c>
      <c r="N2035" s="255"/>
      <c r="O2035" s="61">
        <f t="shared" si="183"/>
        <v>1900</v>
      </c>
      <c r="P2035" s="61">
        <f t="shared" si="184"/>
        <v>1</v>
      </c>
      <c r="R2035" s="272"/>
      <c r="S2035" s="272"/>
      <c r="T2035" s="273" t="str">
        <f t="shared" si="185"/>
        <v>-</v>
      </c>
    </row>
    <row r="2036" spans="9:20">
      <c r="I2036" s="213"/>
      <c r="J2036" s="213"/>
      <c r="L2036" s="272">
        <f t="shared" si="181"/>
        <v>1900</v>
      </c>
      <c r="M2036" s="272">
        <f t="shared" si="182"/>
        <v>1</v>
      </c>
      <c r="N2036" s="255"/>
      <c r="O2036" s="61">
        <f t="shared" si="183"/>
        <v>1900</v>
      </c>
      <c r="P2036" s="61">
        <f t="shared" si="184"/>
        <v>1</v>
      </c>
      <c r="R2036" s="272"/>
      <c r="S2036" s="272"/>
      <c r="T2036" s="273" t="str">
        <f t="shared" si="185"/>
        <v>-</v>
      </c>
    </row>
    <row r="2037" spans="9:20">
      <c r="I2037" s="213"/>
      <c r="J2037" s="213"/>
      <c r="L2037" s="272">
        <f t="shared" si="181"/>
        <v>1900</v>
      </c>
      <c r="M2037" s="272">
        <f t="shared" si="182"/>
        <v>1</v>
      </c>
      <c r="N2037" s="255"/>
      <c r="O2037" s="61">
        <f t="shared" si="183"/>
        <v>1900</v>
      </c>
      <c r="P2037" s="61">
        <f t="shared" si="184"/>
        <v>1</v>
      </c>
      <c r="R2037" s="272"/>
      <c r="S2037" s="272"/>
      <c r="T2037" s="273" t="str">
        <f t="shared" si="185"/>
        <v>-</v>
      </c>
    </row>
    <row r="2038" spans="9:20">
      <c r="I2038" s="213"/>
      <c r="J2038" s="213"/>
      <c r="L2038" s="272">
        <f t="shared" si="181"/>
        <v>1900</v>
      </c>
      <c r="M2038" s="272">
        <f t="shared" si="182"/>
        <v>1</v>
      </c>
      <c r="N2038" s="255"/>
      <c r="O2038" s="61">
        <f t="shared" si="183"/>
        <v>1900</v>
      </c>
      <c r="P2038" s="61">
        <f t="shared" si="184"/>
        <v>1</v>
      </c>
      <c r="R2038" s="272"/>
      <c r="S2038" s="272"/>
      <c r="T2038" s="273" t="str">
        <f t="shared" si="185"/>
        <v>-</v>
      </c>
    </row>
    <row r="2039" spans="9:20">
      <c r="I2039" s="213"/>
      <c r="J2039" s="213"/>
      <c r="L2039" s="272">
        <f t="shared" si="181"/>
        <v>1900</v>
      </c>
      <c r="M2039" s="272">
        <f t="shared" si="182"/>
        <v>1</v>
      </c>
      <c r="N2039" s="255"/>
      <c r="O2039" s="61">
        <f t="shared" si="183"/>
        <v>1900</v>
      </c>
      <c r="P2039" s="61">
        <f t="shared" si="184"/>
        <v>1</v>
      </c>
      <c r="R2039" s="272"/>
      <c r="S2039" s="272"/>
      <c r="T2039" s="273" t="str">
        <f t="shared" si="185"/>
        <v>-</v>
      </c>
    </row>
    <row r="2040" spans="9:20">
      <c r="I2040" s="213"/>
      <c r="J2040" s="213"/>
      <c r="L2040" s="272">
        <f t="shared" si="181"/>
        <v>1900</v>
      </c>
      <c r="M2040" s="272">
        <f t="shared" si="182"/>
        <v>1</v>
      </c>
      <c r="N2040" s="255"/>
      <c r="O2040" s="61">
        <f t="shared" si="183"/>
        <v>1900</v>
      </c>
      <c r="P2040" s="61">
        <f t="shared" si="184"/>
        <v>1</v>
      </c>
      <c r="R2040" s="272"/>
      <c r="S2040" s="272"/>
      <c r="T2040" s="273" t="str">
        <f t="shared" si="185"/>
        <v>-</v>
      </c>
    </row>
    <row r="2041" spans="9:20">
      <c r="I2041" s="213"/>
      <c r="J2041" s="213"/>
      <c r="L2041" s="272">
        <f t="shared" si="181"/>
        <v>1900</v>
      </c>
      <c r="M2041" s="272">
        <f t="shared" si="182"/>
        <v>1</v>
      </c>
      <c r="N2041" s="255"/>
      <c r="O2041" s="61">
        <f t="shared" si="183"/>
        <v>1900</v>
      </c>
      <c r="P2041" s="61">
        <f t="shared" si="184"/>
        <v>1</v>
      </c>
      <c r="R2041" s="272"/>
      <c r="S2041" s="272"/>
      <c r="T2041" s="273" t="str">
        <f t="shared" si="185"/>
        <v>-</v>
      </c>
    </row>
    <row r="2042" spans="9:20">
      <c r="I2042" s="213"/>
      <c r="J2042" s="213"/>
      <c r="L2042" s="272">
        <f t="shared" si="181"/>
        <v>1900</v>
      </c>
      <c r="M2042" s="272">
        <f t="shared" si="182"/>
        <v>1</v>
      </c>
      <c r="N2042" s="255"/>
      <c r="O2042" s="61">
        <f t="shared" si="183"/>
        <v>1900</v>
      </c>
      <c r="P2042" s="61">
        <f t="shared" si="184"/>
        <v>1</v>
      </c>
      <c r="R2042" s="272"/>
      <c r="S2042" s="272"/>
      <c r="T2042" s="273" t="str">
        <f t="shared" si="185"/>
        <v>-</v>
      </c>
    </row>
    <row r="2043" spans="9:20">
      <c r="I2043" s="213"/>
      <c r="J2043" s="213"/>
      <c r="L2043" s="272">
        <f t="shared" si="181"/>
        <v>1900</v>
      </c>
      <c r="M2043" s="272">
        <f t="shared" si="182"/>
        <v>1</v>
      </c>
      <c r="N2043" s="255"/>
      <c r="O2043" s="61">
        <f t="shared" si="183"/>
        <v>1900</v>
      </c>
      <c r="P2043" s="61">
        <f t="shared" si="184"/>
        <v>1</v>
      </c>
      <c r="R2043" s="272"/>
      <c r="S2043" s="272"/>
      <c r="T2043" s="273" t="str">
        <f t="shared" si="185"/>
        <v>-</v>
      </c>
    </row>
    <row r="2044" spans="9:20">
      <c r="I2044" s="213"/>
      <c r="J2044" s="213"/>
      <c r="L2044" s="272">
        <f t="shared" si="181"/>
        <v>1900</v>
      </c>
      <c r="M2044" s="272">
        <f t="shared" si="182"/>
        <v>1</v>
      </c>
      <c r="N2044" s="255"/>
      <c r="O2044" s="61">
        <f t="shared" si="183"/>
        <v>1900</v>
      </c>
      <c r="P2044" s="61">
        <f t="shared" si="184"/>
        <v>1</v>
      </c>
      <c r="R2044" s="272"/>
      <c r="S2044" s="272"/>
      <c r="T2044" s="273" t="str">
        <f t="shared" si="185"/>
        <v>-</v>
      </c>
    </row>
    <row r="2045" spans="9:20">
      <c r="I2045" s="213"/>
      <c r="J2045" s="213"/>
      <c r="L2045" s="272">
        <f t="shared" si="181"/>
        <v>1900</v>
      </c>
      <c r="M2045" s="272">
        <f t="shared" si="182"/>
        <v>1</v>
      </c>
      <c r="N2045" s="255"/>
      <c r="O2045" s="61">
        <f t="shared" si="183"/>
        <v>1900</v>
      </c>
      <c r="P2045" s="61">
        <f t="shared" si="184"/>
        <v>1</v>
      </c>
      <c r="R2045" s="272"/>
      <c r="S2045" s="272"/>
      <c r="T2045" s="273" t="str">
        <f t="shared" si="185"/>
        <v>-</v>
      </c>
    </row>
    <row r="2046" spans="9:20">
      <c r="I2046" s="213"/>
      <c r="J2046" s="213"/>
      <c r="L2046" s="272">
        <f t="shared" si="181"/>
        <v>1900</v>
      </c>
      <c r="M2046" s="272">
        <f t="shared" si="182"/>
        <v>1</v>
      </c>
      <c r="N2046" s="255"/>
      <c r="O2046" s="61">
        <f t="shared" si="183"/>
        <v>1900</v>
      </c>
      <c r="P2046" s="61">
        <f t="shared" si="184"/>
        <v>1</v>
      </c>
      <c r="R2046" s="272"/>
      <c r="S2046" s="272"/>
      <c r="T2046" s="273" t="str">
        <f t="shared" si="185"/>
        <v>-</v>
      </c>
    </row>
    <row r="2047" spans="9:20">
      <c r="I2047" s="213"/>
      <c r="J2047" s="213"/>
      <c r="L2047" s="272">
        <f t="shared" si="181"/>
        <v>1900</v>
      </c>
      <c r="M2047" s="272">
        <f t="shared" si="182"/>
        <v>1</v>
      </c>
      <c r="N2047" s="255"/>
      <c r="O2047" s="61">
        <f t="shared" si="183"/>
        <v>1900</v>
      </c>
      <c r="P2047" s="61">
        <f t="shared" si="184"/>
        <v>1</v>
      </c>
      <c r="R2047" s="272"/>
      <c r="S2047" s="272"/>
      <c r="T2047" s="273" t="str">
        <f t="shared" si="185"/>
        <v>-</v>
      </c>
    </row>
    <row r="2048" spans="9:20">
      <c r="I2048" s="213"/>
      <c r="J2048" s="213"/>
      <c r="L2048" s="272">
        <f t="shared" si="181"/>
        <v>1900</v>
      </c>
      <c r="M2048" s="272">
        <f t="shared" si="182"/>
        <v>1</v>
      </c>
      <c r="N2048" s="255"/>
      <c r="O2048" s="61">
        <f t="shared" si="183"/>
        <v>1900</v>
      </c>
      <c r="P2048" s="61">
        <f t="shared" si="184"/>
        <v>1</v>
      </c>
      <c r="R2048" s="272"/>
      <c r="S2048" s="272"/>
      <c r="T2048" s="273" t="str">
        <f t="shared" si="185"/>
        <v>-</v>
      </c>
    </row>
    <row r="2049" spans="9:20">
      <c r="I2049" s="213"/>
      <c r="J2049" s="213"/>
      <c r="L2049" s="272">
        <f t="shared" si="181"/>
        <v>1900</v>
      </c>
      <c r="M2049" s="272">
        <f t="shared" si="182"/>
        <v>1</v>
      </c>
      <c r="N2049" s="255"/>
      <c r="O2049" s="61">
        <f t="shared" si="183"/>
        <v>1900</v>
      </c>
      <c r="P2049" s="61">
        <f t="shared" si="184"/>
        <v>1</v>
      </c>
      <c r="R2049" s="272"/>
      <c r="S2049" s="272"/>
      <c r="T2049" s="273" t="str">
        <f t="shared" si="185"/>
        <v>-</v>
      </c>
    </row>
    <row r="2050" spans="9:20">
      <c r="I2050" s="213"/>
      <c r="J2050" s="213"/>
      <c r="L2050" s="272">
        <f t="shared" si="181"/>
        <v>1900</v>
      </c>
      <c r="M2050" s="272">
        <f t="shared" si="182"/>
        <v>1</v>
      </c>
      <c r="N2050" s="255"/>
      <c r="O2050" s="61">
        <f t="shared" si="183"/>
        <v>1900</v>
      </c>
      <c r="P2050" s="61">
        <f t="shared" si="184"/>
        <v>1</v>
      </c>
      <c r="R2050" s="272"/>
      <c r="S2050" s="272"/>
      <c r="T2050" s="273" t="str">
        <f t="shared" si="185"/>
        <v>-</v>
      </c>
    </row>
    <row r="2051" spans="9:20">
      <c r="I2051" s="213"/>
      <c r="J2051" s="213"/>
      <c r="L2051" s="272">
        <f t="shared" si="181"/>
        <v>1900</v>
      </c>
      <c r="M2051" s="272">
        <f t="shared" si="182"/>
        <v>1</v>
      </c>
      <c r="N2051" s="255"/>
      <c r="O2051" s="61">
        <f t="shared" si="183"/>
        <v>1900</v>
      </c>
      <c r="P2051" s="61">
        <f t="shared" si="184"/>
        <v>1</v>
      </c>
      <c r="R2051" s="272"/>
      <c r="S2051" s="272"/>
      <c r="T2051" s="273" t="str">
        <f t="shared" si="185"/>
        <v>-</v>
      </c>
    </row>
    <row r="2052" spans="9:20">
      <c r="I2052" s="213"/>
      <c r="J2052" s="213"/>
      <c r="L2052" s="272">
        <f t="shared" si="181"/>
        <v>1900</v>
      </c>
      <c r="M2052" s="272">
        <f t="shared" si="182"/>
        <v>1</v>
      </c>
      <c r="N2052" s="255"/>
      <c r="O2052" s="61">
        <f t="shared" si="183"/>
        <v>1900</v>
      </c>
      <c r="P2052" s="61">
        <f t="shared" si="184"/>
        <v>1</v>
      </c>
      <c r="R2052" s="272"/>
      <c r="S2052" s="272"/>
      <c r="T2052" s="273" t="str">
        <f t="shared" si="185"/>
        <v>-</v>
      </c>
    </row>
    <row r="2053" spans="9:20">
      <c r="I2053" s="213"/>
      <c r="J2053" s="213"/>
      <c r="L2053" s="272">
        <f t="shared" si="181"/>
        <v>1900</v>
      </c>
      <c r="M2053" s="272">
        <f t="shared" si="182"/>
        <v>1</v>
      </c>
      <c r="N2053" s="255"/>
      <c r="O2053" s="61">
        <f t="shared" si="183"/>
        <v>1900</v>
      </c>
      <c r="P2053" s="61">
        <f t="shared" si="184"/>
        <v>1</v>
      </c>
      <c r="R2053" s="272"/>
      <c r="S2053" s="272"/>
      <c r="T2053" s="273" t="str">
        <f t="shared" si="185"/>
        <v>-</v>
      </c>
    </row>
    <row r="2054" spans="9:20">
      <c r="I2054" s="213"/>
      <c r="J2054" s="213"/>
      <c r="L2054" s="272">
        <f t="shared" si="181"/>
        <v>1900</v>
      </c>
      <c r="M2054" s="272">
        <f t="shared" si="182"/>
        <v>1</v>
      </c>
      <c r="N2054" s="255"/>
      <c r="O2054" s="61">
        <f t="shared" si="183"/>
        <v>1900</v>
      </c>
      <c r="P2054" s="61">
        <f t="shared" si="184"/>
        <v>1</v>
      </c>
      <c r="R2054" s="272"/>
      <c r="S2054" s="272"/>
      <c r="T2054" s="273" t="str">
        <f t="shared" si="185"/>
        <v>-</v>
      </c>
    </row>
    <row r="2055" spans="9:20">
      <c r="I2055" s="213"/>
      <c r="J2055" s="213"/>
      <c r="L2055" s="272">
        <f t="shared" si="181"/>
        <v>1900</v>
      </c>
      <c r="M2055" s="272">
        <f t="shared" si="182"/>
        <v>1</v>
      </c>
      <c r="N2055" s="255"/>
      <c r="O2055" s="61">
        <f t="shared" si="183"/>
        <v>1900</v>
      </c>
      <c r="P2055" s="61">
        <f t="shared" si="184"/>
        <v>1</v>
      </c>
      <c r="R2055" s="272"/>
      <c r="S2055" s="272"/>
      <c r="T2055" s="273" t="str">
        <f t="shared" si="185"/>
        <v>-</v>
      </c>
    </row>
    <row r="2056" spans="9:20">
      <c r="I2056" s="213"/>
      <c r="J2056" s="213"/>
      <c r="L2056" s="272">
        <f t="shared" si="181"/>
        <v>1900</v>
      </c>
      <c r="M2056" s="272">
        <f t="shared" si="182"/>
        <v>1</v>
      </c>
      <c r="N2056" s="255"/>
      <c r="O2056" s="61">
        <f t="shared" si="183"/>
        <v>1900</v>
      </c>
      <c r="P2056" s="61">
        <f t="shared" si="184"/>
        <v>1</v>
      </c>
      <c r="R2056" s="272"/>
      <c r="S2056" s="272"/>
      <c r="T2056" s="273" t="str">
        <f t="shared" si="185"/>
        <v>-</v>
      </c>
    </row>
    <row r="2057" spans="9:20">
      <c r="I2057" s="213"/>
      <c r="J2057" s="213"/>
      <c r="L2057" s="272">
        <f t="shared" si="181"/>
        <v>1900</v>
      </c>
      <c r="M2057" s="272">
        <f t="shared" si="182"/>
        <v>1</v>
      </c>
      <c r="N2057" s="255"/>
      <c r="O2057" s="61">
        <f t="shared" si="183"/>
        <v>1900</v>
      </c>
      <c r="P2057" s="61">
        <f t="shared" si="184"/>
        <v>1</v>
      </c>
      <c r="R2057" s="272"/>
      <c r="S2057" s="272"/>
      <c r="T2057" s="273" t="str">
        <f t="shared" si="185"/>
        <v>-</v>
      </c>
    </row>
    <row r="2058" spans="9:20">
      <c r="I2058" s="213"/>
      <c r="J2058" s="213"/>
      <c r="L2058" s="272">
        <f t="shared" si="181"/>
        <v>1900</v>
      </c>
      <c r="M2058" s="272">
        <f t="shared" si="182"/>
        <v>1</v>
      </c>
      <c r="N2058" s="255"/>
      <c r="O2058" s="61">
        <f t="shared" si="183"/>
        <v>1900</v>
      </c>
      <c r="P2058" s="61">
        <f t="shared" si="184"/>
        <v>1</v>
      </c>
      <c r="R2058" s="272"/>
      <c r="S2058" s="272"/>
      <c r="T2058" s="273" t="str">
        <f t="shared" si="185"/>
        <v>-</v>
      </c>
    </row>
    <row r="2059" spans="9:20">
      <c r="I2059" s="213"/>
      <c r="J2059" s="213"/>
      <c r="L2059" s="272">
        <f t="shared" si="181"/>
        <v>1900</v>
      </c>
      <c r="M2059" s="272">
        <f t="shared" si="182"/>
        <v>1</v>
      </c>
      <c r="N2059" s="255"/>
      <c r="O2059" s="61">
        <f t="shared" si="183"/>
        <v>1900</v>
      </c>
      <c r="P2059" s="61">
        <f t="shared" si="184"/>
        <v>1</v>
      </c>
      <c r="R2059" s="272"/>
      <c r="S2059" s="272"/>
      <c r="T2059" s="273" t="str">
        <f t="shared" si="185"/>
        <v>-</v>
      </c>
    </row>
    <row r="2060" spans="9:20">
      <c r="I2060" s="213"/>
      <c r="J2060" s="213"/>
      <c r="L2060" s="272">
        <f t="shared" si="181"/>
        <v>1900</v>
      </c>
      <c r="M2060" s="272">
        <f t="shared" si="182"/>
        <v>1</v>
      </c>
      <c r="N2060" s="255"/>
      <c r="O2060" s="61">
        <f t="shared" si="183"/>
        <v>1900</v>
      </c>
      <c r="P2060" s="61">
        <f t="shared" si="184"/>
        <v>1</v>
      </c>
      <c r="R2060" s="272"/>
      <c r="S2060" s="272"/>
      <c r="T2060" s="273" t="str">
        <f t="shared" si="185"/>
        <v>-</v>
      </c>
    </row>
    <row r="2061" spans="9:20">
      <c r="I2061" s="213"/>
      <c r="J2061" s="213"/>
      <c r="L2061" s="272">
        <f t="shared" si="181"/>
        <v>1900</v>
      </c>
      <c r="M2061" s="272">
        <f t="shared" si="182"/>
        <v>1</v>
      </c>
      <c r="N2061" s="255"/>
      <c r="O2061" s="61">
        <f t="shared" si="183"/>
        <v>1900</v>
      </c>
      <c r="P2061" s="61">
        <f t="shared" si="184"/>
        <v>1</v>
      </c>
      <c r="R2061" s="272"/>
      <c r="S2061" s="272"/>
      <c r="T2061" s="273" t="str">
        <f t="shared" si="185"/>
        <v>-</v>
      </c>
    </row>
    <row r="2062" spans="9:20">
      <c r="I2062" s="213"/>
      <c r="J2062" s="213"/>
      <c r="L2062" s="272">
        <f t="shared" si="181"/>
        <v>1900</v>
      </c>
      <c r="M2062" s="272">
        <f t="shared" si="182"/>
        <v>1</v>
      </c>
      <c r="N2062" s="255"/>
      <c r="O2062" s="61">
        <f t="shared" si="183"/>
        <v>1900</v>
      </c>
      <c r="P2062" s="61">
        <f t="shared" si="184"/>
        <v>1</v>
      </c>
      <c r="R2062" s="272"/>
      <c r="S2062" s="272"/>
      <c r="T2062" s="273" t="str">
        <f t="shared" si="185"/>
        <v>-</v>
      </c>
    </row>
    <row r="2063" spans="9:20">
      <c r="I2063" s="213"/>
      <c r="J2063" s="213"/>
      <c r="L2063" s="272">
        <f t="shared" si="181"/>
        <v>1900</v>
      </c>
      <c r="M2063" s="272">
        <f t="shared" si="182"/>
        <v>1</v>
      </c>
      <c r="N2063" s="255"/>
      <c r="O2063" s="61">
        <f t="shared" si="183"/>
        <v>1900</v>
      </c>
      <c r="P2063" s="61">
        <f t="shared" si="184"/>
        <v>1</v>
      </c>
      <c r="R2063" s="272"/>
      <c r="S2063" s="272"/>
      <c r="T2063" s="273" t="str">
        <f t="shared" si="185"/>
        <v>-</v>
      </c>
    </row>
    <row r="2064" spans="9:20">
      <c r="I2064" s="213"/>
      <c r="J2064" s="213"/>
      <c r="L2064" s="272">
        <f t="shared" ref="L2064:L2127" si="186">YEAR(B2064)</f>
        <v>1900</v>
      </c>
      <c r="M2064" s="272">
        <f t="shared" ref="M2064:M2127" si="187">MONTH(B2064)</f>
        <v>1</v>
      </c>
      <c r="N2064" s="255"/>
      <c r="O2064" s="61">
        <f t="shared" ref="O2064:O2127" si="188">YEAR(B2064)</f>
        <v>1900</v>
      </c>
      <c r="P2064" s="61">
        <f t="shared" ref="P2064:P2127" si="189">MONTH(B2064)</f>
        <v>1</v>
      </c>
      <c r="R2064" s="272"/>
      <c r="S2064" s="272"/>
      <c r="T2064" s="273" t="str">
        <f t="shared" ref="T2064:T2127" si="190">IF($E2064&gt;0,IF((R2064+S2064)=$E2064,"OK","Error"),"-")</f>
        <v>-</v>
      </c>
    </row>
    <row r="2065" spans="9:20">
      <c r="I2065" s="213"/>
      <c r="J2065" s="213"/>
      <c r="L2065" s="272">
        <f t="shared" si="186"/>
        <v>1900</v>
      </c>
      <c r="M2065" s="272">
        <f t="shared" si="187"/>
        <v>1</v>
      </c>
      <c r="N2065" s="255"/>
      <c r="O2065" s="61">
        <f t="shared" si="188"/>
        <v>1900</v>
      </c>
      <c r="P2065" s="61">
        <f t="shared" si="189"/>
        <v>1</v>
      </c>
      <c r="R2065" s="272"/>
      <c r="S2065" s="272"/>
      <c r="T2065" s="273" t="str">
        <f t="shared" si="190"/>
        <v>-</v>
      </c>
    </row>
    <row r="2066" spans="9:20">
      <c r="I2066" s="213"/>
      <c r="J2066" s="213"/>
      <c r="L2066" s="272">
        <f t="shared" si="186"/>
        <v>1900</v>
      </c>
      <c r="M2066" s="272">
        <f t="shared" si="187"/>
        <v>1</v>
      </c>
      <c r="N2066" s="255"/>
      <c r="O2066" s="61">
        <f t="shared" si="188"/>
        <v>1900</v>
      </c>
      <c r="P2066" s="61">
        <f t="shared" si="189"/>
        <v>1</v>
      </c>
      <c r="R2066" s="272"/>
      <c r="S2066" s="272"/>
      <c r="T2066" s="273" t="str">
        <f t="shared" si="190"/>
        <v>-</v>
      </c>
    </row>
    <row r="2067" spans="9:20">
      <c r="I2067" s="213"/>
      <c r="J2067" s="213"/>
      <c r="L2067" s="272">
        <f t="shared" si="186"/>
        <v>1900</v>
      </c>
      <c r="M2067" s="272">
        <f t="shared" si="187"/>
        <v>1</v>
      </c>
      <c r="N2067" s="255"/>
      <c r="O2067" s="61">
        <f t="shared" si="188"/>
        <v>1900</v>
      </c>
      <c r="P2067" s="61">
        <f t="shared" si="189"/>
        <v>1</v>
      </c>
      <c r="R2067" s="272"/>
      <c r="S2067" s="272"/>
      <c r="T2067" s="273" t="str">
        <f t="shared" si="190"/>
        <v>-</v>
      </c>
    </row>
    <row r="2068" spans="9:20">
      <c r="I2068" s="213"/>
      <c r="J2068" s="213"/>
      <c r="L2068" s="272">
        <f t="shared" si="186"/>
        <v>1900</v>
      </c>
      <c r="M2068" s="272">
        <f t="shared" si="187"/>
        <v>1</v>
      </c>
      <c r="N2068" s="255"/>
      <c r="O2068" s="61">
        <f t="shared" si="188"/>
        <v>1900</v>
      </c>
      <c r="P2068" s="61">
        <f t="shared" si="189"/>
        <v>1</v>
      </c>
      <c r="R2068" s="272"/>
      <c r="S2068" s="272"/>
      <c r="T2068" s="273" t="str">
        <f t="shared" si="190"/>
        <v>-</v>
      </c>
    </row>
    <row r="2069" spans="9:20">
      <c r="I2069" s="213"/>
      <c r="J2069" s="213"/>
      <c r="L2069" s="272">
        <f t="shared" si="186"/>
        <v>1900</v>
      </c>
      <c r="M2069" s="272">
        <f t="shared" si="187"/>
        <v>1</v>
      </c>
      <c r="N2069" s="255"/>
      <c r="O2069" s="61">
        <f t="shared" si="188"/>
        <v>1900</v>
      </c>
      <c r="P2069" s="61">
        <f t="shared" si="189"/>
        <v>1</v>
      </c>
      <c r="R2069" s="272"/>
      <c r="S2069" s="272"/>
      <c r="T2069" s="273" t="str">
        <f t="shared" si="190"/>
        <v>-</v>
      </c>
    </row>
    <row r="2070" spans="9:20">
      <c r="I2070" s="213"/>
      <c r="J2070" s="213"/>
      <c r="L2070" s="272">
        <f t="shared" si="186"/>
        <v>1900</v>
      </c>
      <c r="M2070" s="272">
        <f t="shared" si="187"/>
        <v>1</v>
      </c>
      <c r="N2070" s="255"/>
      <c r="O2070" s="61">
        <f t="shared" si="188"/>
        <v>1900</v>
      </c>
      <c r="P2070" s="61">
        <f t="shared" si="189"/>
        <v>1</v>
      </c>
      <c r="R2070" s="272"/>
      <c r="S2070" s="272"/>
      <c r="T2070" s="273" t="str">
        <f t="shared" si="190"/>
        <v>-</v>
      </c>
    </row>
    <row r="2071" spans="9:20">
      <c r="I2071" s="213"/>
      <c r="J2071" s="213"/>
      <c r="L2071" s="272">
        <f t="shared" si="186"/>
        <v>1900</v>
      </c>
      <c r="M2071" s="272">
        <f t="shared" si="187"/>
        <v>1</v>
      </c>
      <c r="N2071" s="255"/>
      <c r="O2071" s="61">
        <f t="shared" si="188"/>
        <v>1900</v>
      </c>
      <c r="P2071" s="61">
        <f t="shared" si="189"/>
        <v>1</v>
      </c>
      <c r="R2071" s="272"/>
      <c r="S2071" s="272"/>
      <c r="T2071" s="273" t="str">
        <f t="shared" si="190"/>
        <v>-</v>
      </c>
    </row>
    <row r="2072" spans="9:20">
      <c r="I2072" s="213"/>
      <c r="J2072" s="213"/>
      <c r="L2072" s="272">
        <f t="shared" si="186"/>
        <v>1900</v>
      </c>
      <c r="M2072" s="272">
        <f t="shared" si="187"/>
        <v>1</v>
      </c>
      <c r="N2072" s="255"/>
      <c r="O2072" s="61">
        <f t="shared" si="188"/>
        <v>1900</v>
      </c>
      <c r="P2072" s="61">
        <f t="shared" si="189"/>
        <v>1</v>
      </c>
      <c r="R2072" s="272"/>
      <c r="S2072" s="272"/>
      <c r="T2072" s="273" t="str">
        <f t="shared" si="190"/>
        <v>-</v>
      </c>
    </row>
    <row r="2073" spans="9:20">
      <c r="I2073" s="213"/>
      <c r="J2073" s="213"/>
      <c r="L2073" s="272">
        <f t="shared" si="186"/>
        <v>1900</v>
      </c>
      <c r="M2073" s="272">
        <f t="shared" si="187"/>
        <v>1</v>
      </c>
      <c r="N2073" s="255"/>
      <c r="O2073" s="61">
        <f t="shared" si="188"/>
        <v>1900</v>
      </c>
      <c r="P2073" s="61">
        <f t="shared" si="189"/>
        <v>1</v>
      </c>
      <c r="R2073" s="272"/>
      <c r="S2073" s="272"/>
      <c r="T2073" s="273" t="str">
        <f t="shared" si="190"/>
        <v>-</v>
      </c>
    </row>
    <row r="2074" spans="9:20">
      <c r="I2074" s="213"/>
      <c r="J2074" s="213"/>
      <c r="L2074" s="272">
        <f t="shared" si="186"/>
        <v>1900</v>
      </c>
      <c r="M2074" s="272">
        <f t="shared" si="187"/>
        <v>1</v>
      </c>
      <c r="N2074" s="255"/>
      <c r="O2074" s="61">
        <f t="shared" si="188"/>
        <v>1900</v>
      </c>
      <c r="P2074" s="61">
        <f t="shared" si="189"/>
        <v>1</v>
      </c>
      <c r="R2074" s="272"/>
      <c r="S2074" s="272"/>
      <c r="T2074" s="273" t="str">
        <f t="shared" si="190"/>
        <v>-</v>
      </c>
    </row>
    <row r="2075" spans="9:20">
      <c r="I2075" s="213"/>
      <c r="J2075" s="213"/>
      <c r="L2075" s="272">
        <f t="shared" si="186"/>
        <v>1900</v>
      </c>
      <c r="M2075" s="272">
        <f t="shared" si="187"/>
        <v>1</v>
      </c>
      <c r="N2075" s="255"/>
      <c r="O2075" s="61">
        <f t="shared" si="188"/>
        <v>1900</v>
      </c>
      <c r="P2075" s="61">
        <f t="shared" si="189"/>
        <v>1</v>
      </c>
      <c r="R2075" s="272"/>
      <c r="S2075" s="272"/>
      <c r="T2075" s="273" t="str">
        <f t="shared" si="190"/>
        <v>-</v>
      </c>
    </row>
    <row r="2076" spans="9:20">
      <c r="I2076" s="213"/>
      <c r="J2076" s="213"/>
      <c r="L2076" s="272">
        <f t="shared" si="186"/>
        <v>1900</v>
      </c>
      <c r="M2076" s="272">
        <f t="shared" si="187"/>
        <v>1</v>
      </c>
      <c r="N2076" s="255"/>
      <c r="O2076" s="61">
        <f t="shared" si="188"/>
        <v>1900</v>
      </c>
      <c r="P2076" s="61">
        <f t="shared" si="189"/>
        <v>1</v>
      </c>
      <c r="R2076" s="272"/>
      <c r="S2076" s="272"/>
      <c r="T2076" s="273" t="str">
        <f t="shared" si="190"/>
        <v>-</v>
      </c>
    </row>
    <row r="2077" spans="9:20">
      <c r="I2077" s="213"/>
      <c r="J2077" s="213"/>
      <c r="L2077" s="272">
        <f t="shared" si="186"/>
        <v>1900</v>
      </c>
      <c r="M2077" s="272">
        <f t="shared" si="187"/>
        <v>1</v>
      </c>
      <c r="N2077" s="255"/>
      <c r="O2077" s="61">
        <f t="shared" si="188"/>
        <v>1900</v>
      </c>
      <c r="P2077" s="61">
        <f t="shared" si="189"/>
        <v>1</v>
      </c>
      <c r="R2077" s="272"/>
      <c r="S2077" s="272"/>
      <c r="T2077" s="273" t="str">
        <f t="shared" si="190"/>
        <v>-</v>
      </c>
    </row>
    <row r="2078" spans="9:20">
      <c r="I2078" s="213"/>
      <c r="J2078" s="213"/>
      <c r="L2078" s="272">
        <f t="shared" si="186"/>
        <v>1900</v>
      </c>
      <c r="M2078" s="272">
        <f t="shared" si="187"/>
        <v>1</v>
      </c>
      <c r="N2078" s="255"/>
      <c r="O2078" s="61">
        <f t="shared" si="188"/>
        <v>1900</v>
      </c>
      <c r="P2078" s="61">
        <f t="shared" si="189"/>
        <v>1</v>
      </c>
      <c r="R2078" s="272"/>
      <c r="S2078" s="272"/>
      <c r="T2078" s="273" t="str">
        <f t="shared" si="190"/>
        <v>-</v>
      </c>
    </row>
    <row r="2079" spans="9:20">
      <c r="I2079" s="213"/>
      <c r="J2079" s="213"/>
      <c r="L2079" s="272">
        <f t="shared" si="186"/>
        <v>1900</v>
      </c>
      <c r="M2079" s="272">
        <f t="shared" si="187"/>
        <v>1</v>
      </c>
      <c r="N2079" s="255"/>
      <c r="O2079" s="61">
        <f t="shared" si="188"/>
        <v>1900</v>
      </c>
      <c r="P2079" s="61">
        <f t="shared" si="189"/>
        <v>1</v>
      </c>
      <c r="R2079" s="272"/>
      <c r="S2079" s="272"/>
      <c r="T2079" s="273" t="str">
        <f t="shared" si="190"/>
        <v>-</v>
      </c>
    </row>
    <row r="2080" spans="9:20">
      <c r="I2080" s="213"/>
      <c r="J2080" s="213"/>
      <c r="L2080" s="272">
        <f t="shared" si="186"/>
        <v>1900</v>
      </c>
      <c r="M2080" s="272">
        <f t="shared" si="187"/>
        <v>1</v>
      </c>
      <c r="N2080" s="255"/>
      <c r="O2080" s="61">
        <f t="shared" si="188"/>
        <v>1900</v>
      </c>
      <c r="P2080" s="61">
        <f t="shared" si="189"/>
        <v>1</v>
      </c>
      <c r="R2080" s="272"/>
      <c r="S2080" s="272"/>
      <c r="T2080" s="273" t="str">
        <f t="shared" si="190"/>
        <v>-</v>
      </c>
    </row>
    <row r="2081" spans="9:20">
      <c r="I2081" s="213"/>
      <c r="J2081" s="213"/>
      <c r="L2081" s="272">
        <f t="shared" si="186"/>
        <v>1900</v>
      </c>
      <c r="M2081" s="272">
        <f t="shared" si="187"/>
        <v>1</v>
      </c>
      <c r="N2081" s="255"/>
      <c r="O2081" s="61">
        <f t="shared" si="188"/>
        <v>1900</v>
      </c>
      <c r="P2081" s="61">
        <f t="shared" si="189"/>
        <v>1</v>
      </c>
      <c r="R2081" s="272"/>
      <c r="S2081" s="272"/>
      <c r="T2081" s="273" t="str">
        <f t="shared" si="190"/>
        <v>-</v>
      </c>
    </row>
    <row r="2082" spans="9:20">
      <c r="I2082" s="213"/>
      <c r="J2082" s="213"/>
      <c r="L2082" s="272">
        <f t="shared" si="186"/>
        <v>1900</v>
      </c>
      <c r="M2082" s="272">
        <f t="shared" si="187"/>
        <v>1</v>
      </c>
      <c r="N2082" s="255"/>
      <c r="O2082" s="61">
        <f t="shared" si="188"/>
        <v>1900</v>
      </c>
      <c r="P2082" s="61">
        <f t="shared" si="189"/>
        <v>1</v>
      </c>
      <c r="R2082" s="272"/>
      <c r="S2082" s="272"/>
      <c r="T2082" s="273" t="str">
        <f t="shared" si="190"/>
        <v>-</v>
      </c>
    </row>
    <row r="2083" spans="9:20">
      <c r="I2083" s="213"/>
      <c r="J2083" s="213"/>
      <c r="L2083" s="272">
        <f t="shared" si="186"/>
        <v>1900</v>
      </c>
      <c r="M2083" s="272">
        <f t="shared" si="187"/>
        <v>1</v>
      </c>
      <c r="N2083" s="255"/>
      <c r="O2083" s="61">
        <f t="shared" si="188"/>
        <v>1900</v>
      </c>
      <c r="P2083" s="61">
        <f t="shared" si="189"/>
        <v>1</v>
      </c>
      <c r="R2083" s="272"/>
      <c r="S2083" s="272"/>
      <c r="T2083" s="273" t="str">
        <f t="shared" si="190"/>
        <v>-</v>
      </c>
    </row>
    <row r="2084" spans="9:20">
      <c r="I2084" s="213"/>
      <c r="J2084" s="213"/>
      <c r="L2084" s="272">
        <f t="shared" si="186"/>
        <v>1900</v>
      </c>
      <c r="M2084" s="272">
        <f t="shared" si="187"/>
        <v>1</v>
      </c>
      <c r="N2084" s="255"/>
      <c r="O2084" s="61">
        <f t="shared" si="188"/>
        <v>1900</v>
      </c>
      <c r="P2084" s="61">
        <f t="shared" si="189"/>
        <v>1</v>
      </c>
      <c r="R2084" s="272"/>
      <c r="S2084" s="272"/>
      <c r="T2084" s="273" t="str">
        <f t="shared" si="190"/>
        <v>-</v>
      </c>
    </row>
    <row r="2085" spans="9:20">
      <c r="I2085" s="213"/>
      <c r="J2085" s="213"/>
      <c r="L2085" s="272">
        <f t="shared" si="186"/>
        <v>1900</v>
      </c>
      <c r="M2085" s="272">
        <f t="shared" si="187"/>
        <v>1</v>
      </c>
      <c r="N2085" s="255"/>
      <c r="O2085" s="61">
        <f t="shared" si="188"/>
        <v>1900</v>
      </c>
      <c r="P2085" s="61">
        <f t="shared" si="189"/>
        <v>1</v>
      </c>
      <c r="R2085" s="272"/>
      <c r="S2085" s="272"/>
      <c r="T2085" s="273" t="str">
        <f t="shared" si="190"/>
        <v>-</v>
      </c>
    </row>
    <row r="2086" spans="9:20">
      <c r="I2086" s="213"/>
      <c r="J2086" s="213"/>
      <c r="L2086" s="272">
        <f t="shared" si="186"/>
        <v>1900</v>
      </c>
      <c r="M2086" s="272">
        <f t="shared" si="187"/>
        <v>1</v>
      </c>
      <c r="N2086" s="255"/>
      <c r="O2086" s="61">
        <f t="shared" si="188"/>
        <v>1900</v>
      </c>
      <c r="P2086" s="61">
        <f t="shared" si="189"/>
        <v>1</v>
      </c>
      <c r="R2086" s="272"/>
      <c r="S2086" s="272"/>
      <c r="T2086" s="273" t="str">
        <f t="shared" si="190"/>
        <v>-</v>
      </c>
    </row>
    <row r="2087" spans="9:20">
      <c r="I2087" s="213"/>
      <c r="J2087" s="213"/>
      <c r="L2087" s="272">
        <f t="shared" si="186"/>
        <v>1900</v>
      </c>
      <c r="M2087" s="272">
        <f t="shared" si="187"/>
        <v>1</v>
      </c>
      <c r="N2087" s="255"/>
      <c r="O2087" s="61">
        <f t="shared" si="188"/>
        <v>1900</v>
      </c>
      <c r="P2087" s="61">
        <f t="shared" si="189"/>
        <v>1</v>
      </c>
      <c r="R2087" s="272"/>
      <c r="S2087" s="272"/>
      <c r="T2087" s="273" t="str">
        <f t="shared" si="190"/>
        <v>-</v>
      </c>
    </row>
    <row r="2088" spans="9:20">
      <c r="I2088" s="213"/>
      <c r="J2088" s="213"/>
      <c r="L2088" s="272">
        <f t="shared" si="186"/>
        <v>1900</v>
      </c>
      <c r="M2088" s="272">
        <f t="shared" si="187"/>
        <v>1</v>
      </c>
      <c r="N2088" s="255"/>
      <c r="O2088" s="61">
        <f t="shared" si="188"/>
        <v>1900</v>
      </c>
      <c r="P2088" s="61">
        <f t="shared" si="189"/>
        <v>1</v>
      </c>
      <c r="R2088" s="272"/>
      <c r="S2088" s="272"/>
      <c r="T2088" s="273" t="str">
        <f t="shared" si="190"/>
        <v>-</v>
      </c>
    </row>
    <row r="2089" spans="9:20">
      <c r="I2089" s="213"/>
      <c r="J2089" s="213"/>
      <c r="L2089" s="272">
        <f t="shared" si="186"/>
        <v>1900</v>
      </c>
      <c r="M2089" s="272">
        <f t="shared" si="187"/>
        <v>1</v>
      </c>
      <c r="N2089" s="255"/>
      <c r="O2089" s="61">
        <f t="shared" si="188"/>
        <v>1900</v>
      </c>
      <c r="P2089" s="61">
        <f t="shared" si="189"/>
        <v>1</v>
      </c>
      <c r="R2089" s="272"/>
      <c r="S2089" s="272"/>
      <c r="T2089" s="273" t="str">
        <f t="shared" si="190"/>
        <v>-</v>
      </c>
    </row>
    <row r="2090" spans="9:20">
      <c r="I2090" s="213"/>
      <c r="J2090" s="213"/>
      <c r="L2090" s="272">
        <f t="shared" si="186"/>
        <v>1900</v>
      </c>
      <c r="M2090" s="272">
        <f t="shared" si="187"/>
        <v>1</v>
      </c>
      <c r="N2090" s="255"/>
      <c r="O2090" s="61">
        <f t="shared" si="188"/>
        <v>1900</v>
      </c>
      <c r="P2090" s="61">
        <f t="shared" si="189"/>
        <v>1</v>
      </c>
      <c r="R2090" s="272"/>
      <c r="S2090" s="272"/>
      <c r="T2090" s="273" t="str">
        <f t="shared" si="190"/>
        <v>-</v>
      </c>
    </row>
    <row r="2091" spans="9:20">
      <c r="I2091" s="213"/>
      <c r="J2091" s="213"/>
      <c r="L2091" s="272">
        <f t="shared" si="186"/>
        <v>1900</v>
      </c>
      <c r="M2091" s="272">
        <f t="shared" si="187"/>
        <v>1</v>
      </c>
      <c r="N2091" s="255"/>
      <c r="O2091" s="61">
        <f t="shared" si="188"/>
        <v>1900</v>
      </c>
      <c r="P2091" s="61">
        <f t="shared" si="189"/>
        <v>1</v>
      </c>
      <c r="R2091" s="272"/>
      <c r="S2091" s="272"/>
      <c r="T2091" s="273" t="str">
        <f t="shared" si="190"/>
        <v>-</v>
      </c>
    </row>
    <row r="2092" spans="9:20">
      <c r="I2092" s="213"/>
      <c r="J2092" s="213"/>
      <c r="L2092" s="272">
        <f t="shared" si="186"/>
        <v>1900</v>
      </c>
      <c r="M2092" s="272">
        <f t="shared" si="187"/>
        <v>1</v>
      </c>
      <c r="N2092" s="255"/>
      <c r="O2092" s="61">
        <f t="shared" si="188"/>
        <v>1900</v>
      </c>
      <c r="P2092" s="61">
        <f t="shared" si="189"/>
        <v>1</v>
      </c>
      <c r="R2092" s="272"/>
      <c r="S2092" s="272"/>
      <c r="T2092" s="273" t="str">
        <f t="shared" si="190"/>
        <v>-</v>
      </c>
    </row>
    <row r="2093" spans="9:20">
      <c r="I2093" s="213"/>
      <c r="J2093" s="213"/>
      <c r="L2093" s="272">
        <f t="shared" si="186"/>
        <v>1900</v>
      </c>
      <c r="M2093" s="272">
        <f t="shared" si="187"/>
        <v>1</v>
      </c>
      <c r="N2093" s="255"/>
      <c r="O2093" s="61">
        <f t="shared" si="188"/>
        <v>1900</v>
      </c>
      <c r="P2093" s="61">
        <f t="shared" si="189"/>
        <v>1</v>
      </c>
      <c r="R2093" s="272"/>
      <c r="S2093" s="272"/>
      <c r="T2093" s="273" t="str">
        <f t="shared" si="190"/>
        <v>-</v>
      </c>
    </row>
    <row r="2094" spans="9:20">
      <c r="I2094" s="213"/>
      <c r="J2094" s="213"/>
      <c r="L2094" s="272">
        <f t="shared" si="186"/>
        <v>1900</v>
      </c>
      <c r="M2094" s="272">
        <f t="shared" si="187"/>
        <v>1</v>
      </c>
      <c r="N2094" s="255"/>
      <c r="O2094" s="61">
        <f t="shared" si="188"/>
        <v>1900</v>
      </c>
      <c r="P2094" s="61">
        <f t="shared" si="189"/>
        <v>1</v>
      </c>
      <c r="R2094" s="272"/>
      <c r="S2094" s="272"/>
      <c r="T2094" s="273" t="str">
        <f t="shared" si="190"/>
        <v>-</v>
      </c>
    </row>
    <row r="2095" spans="9:20">
      <c r="I2095" s="213"/>
      <c r="J2095" s="213"/>
      <c r="L2095" s="272">
        <f t="shared" si="186"/>
        <v>1900</v>
      </c>
      <c r="M2095" s="272">
        <f t="shared" si="187"/>
        <v>1</v>
      </c>
      <c r="N2095" s="255"/>
      <c r="O2095" s="61">
        <f t="shared" si="188"/>
        <v>1900</v>
      </c>
      <c r="P2095" s="61">
        <f t="shared" si="189"/>
        <v>1</v>
      </c>
      <c r="R2095" s="272"/>
      <c r="S2095" s="272"/>
      <c r="T2095" s="273" t="str">
        <f t="shared" si="190"/>
        <v>-</v>
      </c>
    </row>
    <row r="2096" spans="9:20">
      <c r="I2096" s="213"/>
      <c r="J2096" s="213"/>
      <c r="L2096" s="272">
        <f t="shared" si="186"/>
        <v>1900</v>
      </c>
      <c r="M2096" s="272">
        <f t="shared" si="187"/>
        <v>1</v>
      </c>
      <c r="N2096" s="255"/>
      <c r="O2096" s="61">
        <f t="shared" si="188"/>
        <v>1900</v>
      </c>
      <c r="P2096" s="61">
        <f t="shared" si="189"/>
        <v>1</v>
      </c>
      <c r="R2096" s="272"/>
      <c r="S2096" s="272"/>
      <c r="T2096" s="273" t="str">
        <f t="shared" si="190"/>
        <v>-</v>
      </c>
    </row>
    <row r="2097" spans="9:20">
      <c r="I2097" s="213"/>
      <c r="J2097" s="213"/>
      <c r="L2097" s="272">
        <f t="shared" si="186"/>
        <v>1900</v>
      </c>
      <c r="M2097" s="272">
        <f t="shared" si="187"/>
        <v>1</v>
      </c>
      <c r="N2097" s="255"/>
      <c r="O2097" s="61">
        <f t="shared" si="188"/>
        <v>1900</v>
      </c>
      <c r="P2097" s="61">
        <f t="shared" si="189"/>
        <v>1</v>
      </c>
      <c r="R2097" s="272"/>
      <c r="S2097" s="272"/>
      <c r="T2097" s="273" t="str">
        <f t="shared" si="190"/>
        <v>-</v>
      </c>
    </row>
    <row r="2098" spans="9:20">
      <c r="I2098" s="213"/>
      <c r="J2098" s="213"/>
      <c r="L2098" s="272">
        <f t="shared" si="186"/>
        <v>1900</v>
      </c>
      <c r="M2098" s="272">
        <f t="shared" si="187"/>
        <v>1</v>
      </c>
      <c r="N2098" s="255"/>
      <c r="O2098" s="61">
        <f t="shared" si="188"/>
        <v>1900</v>
      </c>
      <c r="P2098" s="61">
        <f t="shared" si="189"/>
        <v>1</v>
      </c>
      <c r="R2098" s="272"/>
      <c r="S2098" s="272"/>
      <c r="T2098" s="273" t="str">
        <f t="shared" si="190"/>
        <v>-</v>
      </c>
    </row>
    <row r="2099" spans="9:20">
      <c r="I2099" s="213"/>
      <c r="J2099" s="213"/>
      <c r="L2099" s="272">
        <f t="shared" si="186"/>
        <v>1900</v>
      </c>
      <c r="M2099" s="272">
        <f t="shared" si="187"/>
        <v>1</v>
      </c>
      <c r="N2099" s="255"/>
      <c r="O2099" s="61">
        <f t="shared" si="188"/>
        <v>1900</v>
      </c>
      <c r="P2099" s="61">
        <f t="shared" si="189"/>
        <v>1</v>
      </c>
      <c r="R2099" s="272"/>
      <c r="S2099" s="272"/>
      <c r="T2099" s="273" t="str">
        <f t="shared" si="190"/>
        <v>-</v>
      </c>
    </row>
    <row r="2100" spans="9:20">
      <c r="I2100" s="213"/>
      <c r="J2100" s="213"/>
      <c r="L2100" s="272">
        <f t="shared" si="186"/>
        <v>1900</v>
      </c>
      <c r="M2100" s="272">
        <f t="shared" si="187"/>
        <v>1</v>
      </c>
      <c r="N2100" s="255"/>
      <c r="O2100" s="61">
        <f t="shared" si="188"/>
        <v>1900</v>
      </c>
      <c r="P2100" s="61">
        <f t="shared" si="189"/>
        <v>1</v>
      </c>
      <c r="R2100" s="272"/>
      <c r="S2100" s="272"/>
      <c r="T2100" s="273" t="str">
        <f t="shared" si="190"/>
        <v>-</v>
      </c>
    </row>
    <row r="2101" spans="9:20">
      <c r="I2101" s="213"/>
      <c r="J2101" s="213"/>
      <c r="L2101" s="272">
        <f t="shared" si="186"/>
        <v>1900</v>
      </c>
      <c r="M2101" s="272">
        <f t="shared" si="187"/>
        <v>1</v>
      </c>
      <c r="N2101" s="255"/>
      <c r="O2101" s="61">
        <f t="shared" si="188"/>
        <v>1900</v>
      </c>
      <c r="P2101" s="61">
        <f t="shared" si="189"/>
        <v>1</v>
      </c>
      <c r="R2101" s="272"/>
      <c r="S2101" s="272"/>
      <c r="T2101" s="273" t="str">
        <f t="shared" si="190"/>
        <v>-</v>
      </c>
    </row>
    <row r="2102" spans="9:20">
      <c r="I2102" s="213"/>
      <c r="J2102" s="213"/>
      <c r="L2102" s="272">
        <f t="shared" si="186"/>
        <v>1900</v>
      </c>
      <c r="M2102" s="272">
        <f t="shared" si="187"/>
        <v>1</v>
      </c>
      <c r="N2102" s="255"/>
      <c r="O2102" s="61">
        <f t="shared" si="188"/>
        <v>1900</v>
      </c>
      <c r="P2102" s="61">
        <f t="shared" si="189"/>
        <v>1</v>
      </c>
      <c r="R2102" s="272"/>
      <c r="S2102" s="272"/>
      <c r="T2102" s="273" t="str">
        <f t="shared" si="190"/>
        <v>-</v>
      </c>
    </row>
    <row r="2103" spans="9:20">
      <c r="I2103" s="213"/>
      <c r="J2103" s="213"/>
      <c r="L2103" s="272">
        <f t="shared" si="186"/>
        <v>1900</v>
      </c>
      <c r="M2103" s="272">
        <f t="shared" si="187"/>
        <v>1</v>
      </c>
      <c r="N2103" s="255"/>
      <c r="O2103" s="61">
        <f t="shared" si="188"/>
        <v>1900</v>
      </c>
      <c r="P2103" s="61">
        <f t="shared" si="189"/>
        <v>1</v>
      </c>
      <c r="R2103" s="272"/>
      <c r="S2103" s="272"/>
      <c r="T2103" s="273" t="str">
        <f t="shared" si="190"/>
        <v>-</v>
      </c>
    </row>
    <row r="2104" spans="9:20">
      <c r="I2104" s="213"/>
      <c r="J2104" s="213"/>
      <c r="L2104" s="272">
        <f t="shared" si="186"/>
        <v>1900</v>
      </c>
      <c r="M2104" s="272">
        <f t="shared" si="187"/>
        <v>1</v>
      </c>
      <c r="N2104" s="255"/>
      <c r="O2104" s="61">
        <f t="shared" si="188"/>
        <v>1900</v>
      </c>
      <c r="P2104" s="61">
        <f t="shared" si="189"/>
        <v>1</v>
      </c>
      <c r="R2104" s="272"/>
      <c r="S2104" s="272"/>
      <c r="T2104" s="273" t="str">
        <f t="shared" si="190"/>
        <v>-</v>
      </c>
    </row>
    <row r="2105" spans="9:20">
      <c r="I2105" s="213"/>
      <c r="J2105" s="213"/>
      <c r="L2105" s="272">
        <f t="shared" si="186"/>
        <v>1900</v>
      </c>
      <c r="M2105" s="272">
        <f t="shared" si="187"/>
        <v>1</v>
      </c>
      <c r="N2105" s="255"/>
      <c r="O2105" s="61">
        <f t="shared" si="188"/>
        <v>1900</v>
      </c>
      <c r="P2105" s="61">
        <f t="shared" si="189"/>
        <v>1</v>
      </c>
      <c r="R2105" s="272"/>
      <c r="S2105" s="272"/>
      <c r="T2105" s="273" t="str">
        <f t="shared" si="190"/>
        <v>-</v>
      </c>
    </row>
    <row r="2106" spans="9:20">
      <c r="I2106" s="213"/>
      <c r="J2106" s="213"/>
      <c r="L2106" s="272">
        <f t="shared" si="186"/>
        <v>1900</v>
      </c>
      <c r="M2106" s="272">
        <f t="shared" si="187"/>
        <v>1</v>
      </c>
      <c r="N2106" s="255"/>
      <c r="O2106" s="61">
        <f t="shared" si="188"/>
        <v>1900</v>
      </c>
      <c r="P2106" s="61">
        <f t="shared" si="189"/>
        <v>1</v>
      </c>
      <c r="R2106" s="272"/>
      <c r="S2106" s="272"/>
      <c r="T2106" s="273" t="str">
        <f t="shared" si="190"/>
        <v>-</v>
      </c>
    </row>
    <row r="2107" spans="9:20">
      <c r="I2107" s="213"/>
      <c r="J2107" s="213"/>
      <c r="L2107" s="272">
        <f t="shared" si="186"/>
        <v>1900</v>
      </c>
      <c r="M2107" s="272">
        <f t="shared" si="187"/>
        <v>1</v>
      </c>
      <c r="N2107" s="255"/>
      <c r="O2107" s="61">
        <f t="shared" si="188"/>
        <v>1900</v>
      </c>
      <c r="P2107" s="61">
        <f t="shared" si="189"/>
        <v>1</v>
      </c>
      <c r="R2107" s="272"/>
      <c r="S2107" s="272"/>
      <c r="T2107" s="273" t="str">
        <f t="shared" si="190"/>
        <v>-</v>
      </c>
    </row>
    <row r="2108" spans="9:20">
      <c r="I2108" s="213"/>
      <c r="J2108" s="213"/>
      <c r="L2108" s="272">
        <f t="shared" si="186"/>
        <v>1900</v>
      </c>
      <c r="M2108" s="272">
        <f t="shared" si="187"/>
        <v>1</v>
      </c>
      <c r="N2108" s="255"/>
      <c r="O2108" s="61">
        <f t="shared" si="188"/>
        <v>1900</v>
      </c>
      <c r="P2108" s="61">
        <f t="shared" si="189"/>
        <v>1</v>
      </c>
      <c r="R2108" s="272"/>
      <c r="S2108" s="272"/>
      <c r="T2108" s="273" t="str">
        <f t="shared" si="190"/>
        <v>-</v>
      </c>
    </row>
    <row r="2109" spans="9:20">
      <c r="I2109" s="213"/>
      <c r="J2109" s="213"/>
      <c r="L2109" s="272">
        <f t="shared" si="186"/>
        <v>1900</v>
      </c>
      <c r="M2109" s="272">
        <f t="shared" si="187"/>
        <v>1</v>
      </c>
      <c r="N2109" s="255"/>
      <c r="O2109" s="61">
        <f t="shared" si="188"/>
        <v>1900</v>
      </c>
      <c r="P2109" s="61">
        <f t="shared" si="189"/>
        <v>1</v>
      </c>
      <c r="R2109" s="272"/>
      <c r="S2109" s="272"/>
      <c r="T2109" s="273" t="str">
        <f t="shared" si="190"/>
        <v>-</v>
      </c>
    </row>
    <row r="2110" spans="9:20">
      <c r="I2110" s="213"/>
      <c r="J2110" s="213"/>
      <c r="L2110" s="272">
        <f t="shared" si="186"/>
        <v>1900</v>
      </c>
      <c r="M2110" s="272">
        <f t="shared" si="187"/>
        <v>1</v>
      </c>
      <c r="N2110" s="255"/>
      <c r="O2110" s="61">
        <f t="shared" si="188"/>
        <v>1900</v>
      </c>
      <c r="P2110" s="61">
        <f t="shared" si="189"/>
        <v>1</v>
      </c>
      <c r="R2110" s="272"/>
      <c r="S2110" s="272"/>
      <c r="T2110" s="273" t="str">
        <f t="shared" si="190"/>
        <v>-</v>
      </c>
    </row>
    <row r="2111" spans="9:20">
      <c r="I2111" s="213"/>
      <c r="J2111" s="213"/>
      <c r="L2111" s="272">
        <f t="shared" si="186"/>
        <v>1900</v>
      </c>
      <c r="M2111" s="272">
        <f t="shared" si="187"/>
        <v>1</v>
      </c>
      <c r="N2111" s="255"/>
      <c r="O2111" s="61">
        <f t="shared" si="188"/>
        <v>1900</v>
      </c>
      <c r="P2111" s="61">
        <f t="shared" si="189"/>
        <v>1</v>
      </c>
      <c r="R2111" s="272"/>
      <c r="S2111" s="272"/>
      <c r="T2111" s="273" t="str">
        <f t="shared" si="190"/>
        <v>-</v>
      </c>
    </row>
    <row r="2112" spans="9:20">
      <c r="I2112" s="213"/>
      <c r="J2112" s="213"/>
      <c r="L2112" s="272">
        <f t="shared" si="186"/>
        <v>1900</v>
      </c>
      <c r="M2112" s="272">
        <f t="shared" si="187"/>
        <v>1</v>
      </c>
      <c r="N2112" s="255"/>
      <c r="O2112" s="61">
        <f t="shared" si="188"/>
        <v>1900</v>
      </c>
      <c r="P2112" s="61">
        <f t="shared" si="189"/>
        <v>1</v>
      </c>
      <c r="R2112" s="272"/>
      <c r="S2112" s="272"/>
      <c r="T2112" s="273" t="str">
        <f t="shared" si="190"/>
        <v>-</v>
      </c>
    </row>
    <row r="2113" spans="9:20">
      <c r="I2113" s="213"/>
      <c r="J2113" s="213"/>
      <c r="L2113" s="272">
        <f t="shared" si="186"/>
        <v>1900</v>
      </c>
      <c r="M2113" s="272">
        <f t="shared" si="187"/>
        <v>1</v>
      </c>
      <c r="N2113" s="255"/>
      <c r="O2113" s="61">
        <f t="shared" si="188"/>
        <v>1900</v>
      </c>
      <c r="P2113" s="61">
        <f t="shared" si="189"/>
        <v>1</v>
      </c>
      <c r="R2113" s="272"/>
      <c r="S2113" s="272"/>
      <c r="T2113" s="273" t="str">
        <f t="shared" si="190"/>
        <v>-</v>
      </c>
    </row>
    <row r="2114" spans="9:20">
      <c r="I2114" s="213"/>
      <c r="J2114" s="213"/>
      <c r="L2114" s="272">
        <f t="shared" si="186"/>
        <v>1900</v>
      </c>
      <c r="M2114" s="272">
        <f t="shared" si="187"/>
        <v>1</v>
      </c>
      <c r="N2114" s="255"/>
      <c r="O2114" s="61">
        <f t="shared" si="188"/>
        <v>1900</v>
      </c>
      <c r="P2114" s="61">
        <f t="shared" si="189"/>
        <v>1</v>
      </c>
      <c r="R2114" s="272"/>
      <c r="S2114" s="272"/>
      <c r="T2114" s="273" t="str">
        <f t="shared" si="190"/>
        <v>-</v>
      </c>
    </row>
    <row r="2115" spans="9:20">
      <c r="I2115" s="213"/>
      <c r="J2115" s="213"/>
      <c r="L2115" s="272">
        <f t="shared" si="186"/>
        <v>1900</v>
      </c>
      <c r="M2115" s="272">
        <f t="shared" si="187"/>
        <v>1</v>
      </c>
      <c r="N2115" s="255"/>
      <c r="O2115" s="61">
        <f t="shared" si="188"/>
        <v>1900</v>
      </c>
      <c r="P2115" s="61">
        <f t="shared" si="189"/>
        <v>1</v>
      </c>
      <c r="R2115" s="272"/>
      <c r="S2115" s="272"/>
      <c r="T2115" s="273" t="str">
        <f t="shared" si="190"/>
        <v>-</v>
      </c>
    </row>
    <row r="2116" spans="9:20">
      <c r="I2116" s="213"/>
      <c r="J2116" s="213"/>
      <c r="L2116" s="272">
        <f t="shared" si="186"/>
        <v>1900</v>
      </c>
      <c r="M2116" s="272">
        <f t="shared" si="187"/>
        <v>1</v>
      </c>
      <c r="N2116" s="255"/>
      <c r="O2116" s="61">
        <f t="shared" si="188"/>
        <v>1900</v>
      </c>
      <c r="P2116" s="61">
        <f t="shared" si="189"/>
        <v>1</v>
      </c>
      <c r="R2116" s="272"/>
      <c r="S2116" s="272"/>
      <c r="T2116" s="273" t="str">
        <f t="shared" si="190"/>
        <v>-</v>
      </c>
    </row>
    <row r="2117" spans="9:20">
      <c r="I2117" s="213"/>
      <c r="J2117" s="213"/>
      <c r="L2117" s="272">
        <f t="shared" si="186"/>
        <v>1900</v>
      </c>
      <c r="M2117" s="272">
        <f t="shared" si="187"/>
        <v>1</v>
      </c>
      <c r="N2117" s="255"/>
      <c r="O2117" s="61">
        <f t="shared" si="188"/>
        <v>1900</v>
      </c>
      <c r="P2117" s="61">
        <f t="shared" si="189"/>
        <v>1</v>
      </c>
      <c r="R2117" s="272"/>
      <c r="S2117" s="272"/>
      <c r="T2117" s="273" t="str">
        <f t="shared" si="190"/>
        <v>-</v>
      </c>
    </row>
    <row r="2118" spans="9:20">
      <c r="I2118" s="213"/>
      <c r="J2118" s="213"/>
      <c r="L2118" s="272">
        <f t="shared" si="186"/>
        <v>1900</v>
      </c>
      <c r="M2118" s="272">
        <f t="shared" si="187"/>
        <v>1</v>
      </c>
      <c r="N2118" s="255"/>
      <c r="O2118" s="61">
        <f t="shared" si="188"/>
        <v>1900</v>
      </c>
      <c r="P2118" s="61">
        <f t="shared" si="189"/>
        <v>1</v>
      </c>
      <c r="R2118" s="272"/>
      <c r="S2118" s="272"/>
      <c r="T2118" s="273" t="str">
        <f t="shared" si="190"/>
        <v>-</v>
      </c>
    </row>
    <row r="2119" spans="9:20">
      <c r="I2119" s="213"/>
      <c r="J2119" s="213"/>
      <c r="L2119" s="272">
        <f t="shared" si="186"/>
        <v>1900</v>
      </c>
      <c r="M2119" s="272">
        <f t="shared" si="187"/>
        <v>1</v>
      </c>
      <c r="N2119" s="255"/>
      <c r="O2119" s="61">
        <f t="shared" si="188"/>
        <v>1900</v>
      </c>
      <c r="P2119" s="61">
        <f t="shared" si="189"/>
        <v>1</v>
      </c>
      <c r="R2119" s="272"/>
      <c r="S2119" s="272"/>
      <c r="T2119" s="273" t="str">
        <f t="shared" si="190"/>
        <v>-</v>
      </c>
    </row>
    <row r="2120" spans="9:20">
      <c r="I2120" s="213"/>
      <c r="J2120" s="213"/>
      <c r="L2120" s="272">
        <f t="shared" si="186"/>
        <v>1900</v>
      </c>
      <c r="M2120" s="272">
        <f t="shared" si="187"/>
        <v>1</v>
      </c>
      <c r="N2120" s="255"/>
      <c r="O2120" s="61">
        <f t="shared" si="188"/>
        <v>1900</v>
      </c>
      <c r="P2120" s="61">
        <f t="shared" si="189"/>
        <v>1</v>
      </c>
      <c r="R2120" s="272"/>
      <c r="S2120" s="272"/>
      <c r="T2120" s="273" t="str">
        <f t="shared" si="190"/>
        <v>-</v>
      </c>
    </row>
    <row r="2121" spans="9:20">
      <c r="I2121" s="213"/>
      <c r="J2121" s="213"/>
      <c r="L2121" s="272">
        <f t="shared" si="186"/>
        <v>1900</v>
      </c>
      <c r="M2121" s="272">
        <f t="shared" si="187"/>
        <v>1</v>
      </c>
      <c r="N2121" s="255"/>
      <c r="O2121" s="61">
        <f t="shared" si="188"/>
        <v>1900</v>
      </c>
      <c r="P2121" s="61">
        <f t="shared" si="189"/>
        <v>1</v>
      </c>
      <c r="R2121" s="272"/>
      <c r="S2121" s="272"/>
      <c r="T2121" s="273" t="str">
        <f t="shared" si="190"/>
        <v>-</v>
      </c>
    </row>
    <row r="2122" spans="9:20">
      <c r="I2122" s="213"/>
      <c r="J2122" s="213"/>
      <c r="L2122" s="272">
        <f t="shared" si="186"/>
        <v>1900</v>
      </c>
      <c r="M2122" s="272">
        <f t="shared" si="187"/>
        <v>1</v>
      </c>
      <c r="N2122" s="255"/>
      <c r="O2122" s="61">
        <f t="shared" si="188"/>
        <v>1900</v>
      </c>
      <c r="P2122" s="61">
        <f t="shared" si="189"/>
        <v>1</v>
      </c>
      <c r="R2122" s="272"/>
      <c r="S2122" s="272"/>
      <c r="T2122" s="273" t="str">
        <f t="shared" si="190"/>
        <v>-</v>
      </c>
    </row>
    <row r="2123" spans="9:20">
      <c r="I2123" s="213"/>
      <c r="J2123" s="213"/>
      <c r="L2123" s="272">
        <f t="shared" si="186"/>
        <v>1900</v>
      </c>
      <c r="M2123" s="272">
        <f t="shared" si="187"/>
        <v>1</v>
      </c>
      <c r="N2123" s="255"/>
      <c r="O2123" s="61">
        <f t="shared" si="188"/>
        <v>1900</v>
      </c>
      <c r="P2123" s="61">
        <f t="shared" si="189"/>
        <v>1</v>
      </c>
      <c r="R2123" s="272"/>
      <c r="S2123" s="272"/>
      <c r="T2123" s="273" t="str">
        <f t="shared" si="190"/>
        <v>-</v>
      </c>
    </row>
    <row r="2124" spans="9:20">
      <c r="I2124" s="213"/>
      <c r="J2124" s="213"/>
      <c r="L2124" s="272">
        <f t="shared" si="186"/>
        <v>1900</v>
      </c>
      <c r="M2124" s="272">
        <f t="shared" si="187"/>
        <v>1</v>
      </c>
      <c r="N2124" s="255"/>
      <c r="O2124" s="61">
        <f t="shared" si="188"/>
        <v>1900</v>
      </c>
      <c r="P2124" s="61">
        <f t="shared" si="189"/>
        <v>1</v>
      </c>
      <c r="R2124" s="272"/>
      <c r="S2124" s="272"/>
      <c r="T2124" s="273" t="str">
        <f t="shared" si="190"/>
        <v>-</v>
      </c>
    </row>
    <row r="2125" spans="9:20">
      <c r="I2125" s="213"/>
      <c r="J2125" s="213"/>
      <c r="L2125" s="272">
        <f t="shared" si="186"/>
        <v>1900</v>
      </c>
      <c r="M2125" s="272">
        <f t="shared" si="187"/>
        <v>1</v>
      </c>
      <c r="N2125" s="255"/>
      <c r="O2125" s="61">
        <f t="shared" si="188"/>
        <v>1900</v>
      </c>
      <c r="P2125" s="61">
        <f t="shared" si="189"/>
        <v>1</v>
      </c>
      <c r="R2125" s="272"/>
      <c r="S2125" s="272"/>
      <c r="T2125" s="273" t="str">
        <f t="shared" si="190"/>
        <v>-</v>
      </c>
    </row>
    <row r="2126" spans="9:20">
      <c r="I2126" s="213"/>
      <c r="J2126" s="213"/>
      <c r="L2126" s="272">
        <f t="shared" si="186"/>
        <v>1900</v>
      </c>
      <c r="M2126" s="272">
        <f t="shared" si="187"/>
        <v>1</v>
      </c>
      <c r="N2126" s="255"/>
      <c r="O2126" s="61">
        <f t="shared" si="188"/>
        <v>1900</v>
      </c>
      <c r="P2126" s="61">
        <f t="shared" si="189"/>
        <v>1</v>
      </c>
      <c r="R2126" s="272"/>
      <c r="S2126" s="272"/>
      <c r="T2126" s="273" t="str">
        <f t="shared" si="190"/>
        <v>-</v>
      </c>
    </row>
    <row r="2127" spans="9:20">
      <c r="I2127" s="213"/>
      <c r="J2127" s="213"/>
      <c r="L2127" s="272">
        <f t="shared" si="186"/>
        <v>1900</v>
      </c>
      <c r="M2127" s="272">
        <f t="shared" si="187"/>
        <v>1</v>
      </c>
      <c r="N2127" s="255"/>
      <c r="O2127" s="61">
        <f t="shared" si="188"/>
        <v>1900</v>
      </c>
      <c r="P2127" s="61">
        <f t="shared" si="189"/>
        <v>1</v>
      </c>
      <c r="R2127" s="272"/>
      <c r="S2127" s="272"/>
      <c r="T2127" s="273" t="str">
        <f t="shared" si="190"/>
        <v>-</v>
      </c>
    </row>
    <row r="2128" spans="9:20">
      <c r="I2128" s="213"/>
      <c r="J2128" s="213"/>
      <c r="L2128" s="272">
        <f t="shared" ref="L2128:L2191" si="191">YEAR(B2128)</f>
        <v>1900</v>
      </c>
      <c r="M2128" s="272">
        <f t="shared" ref="M2128:M2191" si="192">MONTH(B2128)</f>
        <v>1</v>
      </c>
      <c r="N2128" s="255"/>
      <c r="O2128" s="61">
        <f t="shared" ref="O2128:O2191" si="193">YEAR(B2128)</f>
        <v>1900</v>
      </c>
      <c r="P2128" s="61">
        <f t="shared" ref="P2128:P2191" si="194">MONTH(B2128)</f>
        <v>1</v>
      </c>
      <c r="R2128" s="272"/>
      <c r="S2128" s="272"/>
      <c r="T2128" s="273" t="str">
        <f t="shared" ref="T2128:T2191" si="195">IF($E2128&gt;0,IF((R2128+S2128)=$E2128,"OK","Error"),"-")</f>
        <v>-</v>
      </c>
    </row>
    <row r="2129" spans="9:20">
      <c r="I2129" s="213"/>
      <c r="J2129" s="213"/>
      <c r="L2129" s="272">
        <f t="shared" si="191"/>
        <v>1900</v>
      </c>
      <c r="M2129" s="272">
        <f t="shared" si="192"/>
        <v>1</v>
      </c>
      <c r="N2129" s="255"/>
      <c r="O2129" s="61">
        <f t="shared" si="193"/>
        <v>1900</v>
      </c>
      <c r="P2129" s="61">
        <f t="shared" si="194"/>
        <v>1</v>
      </c>
      <c r="R2129" s="272"/>
      <c r="S2129" s="272"/>
      <c r="T2129" s="273" t="str">
        <f t="shared" si="195"/>
        <v>-</v>
      </c>
    </row>
    <row r="2130" spans="9:20">
      <c r="I2130" s="213"/>
      <c r="J2130" s="213"/>
      <c r="L2130" s="272">
        <f t="shared" si="191"/>
        <v>1900</v>
      </c>
      <c r="M2130" s="272">
        <f t="shared" si="192"/>
        <v>1</v>
      </c>
      <c r="N2130" s="255"/>
      <c r="O2130" s="61">
        <f t="shared" si="193"/>
        <v>1900</v>
      </c>
      <c r="P2130" s="61">
        <f t="shared" si="194"/>
        <v>1</v>
      </c>
      <c r="R2130" s="272"/>
      <c r="S2130" s="272"/>
      <c r="T2130" s="273" t="str">
        <f t="shared" si="195"/>
        <v>-</v>
      </c>
    </row>
    <row r="2131" spans="9:20">
      <c r="I2131" s="213"/>
      <c r="J2131" s="213"/>
      <c r="L2131" s="272">
        <f t="shared" si="191"/>
        <v>1900</v>
      </c>
      <c r="M2131" s="272">
        <f t="shared" si="192"/>
        <v>1</v>
      </c>
      <c r="N2131" s="255"/>
      <c r="O2131" s="61">
        <f t="shared" si="193"/>
        <v>1900</v>
      </c>
      <c r="P2131" s="61">
        <f t="shared" si="194"/>
        <v>1</v>
      </c>
      <c r="R2131" s="272"/>
      <c r="S2131" s="272"/>
      <c r="T2131" s="273" t="str">
        <f t="shared" si="195"/>
        <v>-</v>
      </c>
    </row>
    <row r="2132" spans="9:20">
      <c r="I2132" s="213"/>
      <c r="J2132" s="213"/>
      <c r="L2132" s="272">
        <f t="shared" si="191"/>
        <v>1900</v>
      </c>
      <c r="M2132" s="272">
        <f t="shared" si="192"/>
        <v>1</v>
      </c>
      <c r="N2132" s="255"/>
      <c r="O2132" s="61">
        <f t="shared" si="193"/>
        <v>1900</v>
      </c>
      <c r="P2132" s="61">
        <f t="shared" si="194"/>
        <v>1</v>
      </c>
      <c r="R2132" s="272"/>
      <c r="S2132" s="272"/>
      <c r="T2132" s="273" t="str">
        <f t="shared" si="195"/>
        <v>-</v>
      </c>
    </row>
    <row r="2133" spans="9:20">
      <c r="I2133" s="213"/>
      <c r="J2133" s="213"/>
      <c r="L2133" s="272">
        <f t="shared" si="191"/>
        <v>1900</v>
      </c>
      <c r="M2133" s="272">
        <f t="shared" si="192"/>
        <v>1</v>
      </c>
      <c r="N2133" s="255"/>
      <c r="O2133" s="61">
        <f t="shared" si="193"/>
        <v>1900</v>
      </c>
      <c r="P2133" s="61">
        <f t="shared" si="194"/>
        <v>1</v>
      </c>
      <c r="R2133" s="272"/>
      <c r="S2133" s="272"/>
      <c r="T2133" s="273" t="str">
        <f t="shared" si="195"/>
        <v>-</v>
      </c>
    </row>
    <row r="2134" spans="9:20">
      <c r="I2134" s="213"/>
      <c r="J2134" s="213"/>
      <c r="L2134" s="272">
        <f t="shared" si="191"/>
        <v>1900</v>
      </c>
      <c r="M2134" s="272">
        <f t="shared" si="192"/>
        <v>1</v>
      </c>
      <c r="N2134" s="255"/>
      <c r="O2134" s="61">
        <f t="shared" si="193"/>
        <v>1900</v>
      </c>
      <c r="P2134" s="61">
        <f t="shared" si="194"/>
        <v>1</v>
      </c>
      <c r="R2134" s="272"/>
      <c r="S2134" s="272"/>
      <c r="T2134" s="273" t="str">
        <f t="shared" si="195"/>
        <v>-</v>
      </c>
    </row>
    <row r="2135" spans="9:20">
      <c r="I2135" s="213"/>
      <c r="J2135" s="213"/>
      <c r="L2135" s="272">
        <f t="shared" si="191"/>
        <v>1900</v>
      </c>
      <c r="M2135" s="272">
        <f t="shared" si="192"/>
        <v>1</v>
      </c>
      <c r="N2135" s="255"/>
      <c r="O2135" s="61">
        <f t="shared" si="193"/>
        <v>1900</v>
      </c>
      <c r="P2135" s="61">
        <f t="shared" si="194"/>
        <v>1</v>
      </c>
      <c r="R2135" s="272"/>
      <c r="S2135" s="272"/>
      <c r="T2135" s="273" t="str">
        <f t="shared" si="195"/>
        <v>-</v>
      </c>
    </row>
    <row r="2136" spans="9:20">
      <c r="I2136" s="213"/>
      <c r="J2136" s="213"/>
      <c r="L2136" s="272">
        <f t="shared" si="191"/>
        <v>1900</v>
      </c>
      <c r="M2136" s="272">
        <f t="shared" si="192"/>
        <v>1</v>
      </c>
      <c r="N2136" s="255"/>
      <c r="O2136" s="61">
        <f t="shared" si="193"/>
        <v>1900</v>
      </c>
      <c r="P2136" s="61">
        <f t="shared" si="194"/>
        <v>1</v>
      </c>
      <c r="R2136" s="272"/>
      <c r="S2136" s="272"/>
      <c r="T2136" s="273" t="str">
        <f t="shared" si="195"/>
        <v>-</v>
      </c>
    </row>
    <row r="2137" spans="9:20">
      <c r="I2137" s="213"/>
      <c r="J2137" s="213"/>
      <c r="L2137" s="272">
        <f t="shared" si="191"/>
        <v>1900</v>
      </c>
      <c r="M2137" s="272">
        <f t="shared" si="192"/>
        <v>1</v>
      </c>
      <c r="N2137" s="255"/>
      <c r="O2137" s="61">
        <f t="shared" si="193"/>
        <v>1900</v>
      </c>
      <c r="P2137" s="61">
        <f t="shared" si="194"/>
        <v>1</v>
      </c>
      <c r="R2137" s="272"/>
      <c r="S2137" s="272"/>
      <c r="T2137" s="273" t="str">
        <f t="shared" si="195"/>
        <v>-</v>
      </c>
    </row>
    <row r="2138" spans="9:20">
      <c r="I2138" s="213"/>
      <c r="J2138" s="213"/>
      <c r="L2138" s="272">
        <f t="shared" si="191"/>
        <v>1900</v>
      </c>
      <c r="M2138" s="272">
        <f t="shared" si="192"/>
        <v>1</v>
      </c>
      <c r="N2138" s="255"/>
      <c r="O2138" s="61">
        <f t="shared" si="193"/>
        <v>1900</v>
      </c>
      <c r="P2138" s="61">
        <f t="shared" si="194"/>
        <v>1</v>
      </c>
      <c r="R2138" s="272"/>
      <c r="S2138" s="272"/>
      <c r="T2138" s="273" t="str">
        <f t="shared" si="195"/>
        <v>-</v>
      </c>
    </row>
    <row r="2139" spans="9:20">
      <c r="I2139" s="213"/>
      <c r="J2139" s="213"/>
      <c r="L2139" s="272">
        <f t="shared" si="191"/>
        <v>1900</v>
      </c>
      <c r="M2139" s="272">
        <f t="shared" si="192"/>
        <v>1</v>
      </c>
      <c r="N2139" s="255"/>
      <c r="O2139" s="61">
        <f t="shared" si="193"/>
        <v>1900</v>
      </c>
      <c r="P2139" s="61">
        <f t="shared" si="194"/>
        <v>1</v>
      </c>
      <c r="R2139" s="272"/>
      <c r="S2139" s="272"/>
      <c r="T2139" s="273" t="str">
        <f t="shared" si="195"/>
        <v>-</v>
      </c>
    </row>
    <row r="2140" spans="9:20">
      <c r="I2140" s="213"/>
      <c r="J2140" s="213"/>
      <c r="L2140" s="272">
        <f t="shared" si="191"/>
        <v>1900</v>
      </c>
      <c r="M2140" s="272">
        <f t="shared" si="192"/>
        <v>1</v>
      </c>
      <c r="N2140" s="255"/>
      <c r="O2140" s="61">
        <f t="shared" si="193"/>
        <v>1900</v>
      </c>
      <c r="P2140" s="61">
        <f t="shared" si="194"/>
        <v>1</v>
      </c>
      <c r="R2140" s="272"/>
      <c r="S2140" s="272"/>
      <c r="T2140" s="273" t="str">
        <f t="shared" si="195"/>
        <v>-</v>
      </c>
    </row>
    <row r="2141" spans="9:20">
      <c r="I2141" s="213"/>
      <c r="J2141" s="213"/>
      <c r="L2141" s="272">
        <f t="shared" si="191"/>
        <v>1900</v>
      </c>
      <c r="M2141" s="272">
        <f t="shared" si="192"/>
        <v>1</v>
      </c>
      <c r="N2141" s="255"/>
      <c r="O2141" s="61">
        <f t="shared" si="193"/>
        <v>1900</v>
      </c>
      <c r="P2141" s="61">
        <f t="shared" si="194"/>
        <v>1</v>
      </c>
      <c r="R2141" s="272"/>
      <c r="S2141" s="272"/>
      <c r="T2141" s="273" t="str">
        <f t="shared" si="195"/>
        <v>-</v>
      </c>
    </row>
    <row r="2142" spans="9:20">
      <c r="I2142" s="213"/>
      <c r="J2142" s="213"/>
      <c r="L2142" s="272">
        <f t="shared" si="191"/>
        <v>1900</v>
      </c>
      <c r="M2142" s="272">
        <f t="shared" si="192"/>
        <v>1</v>
      </c>
      <c r="N2142" s="255"/>
      <c r="O2142" s="61">
        <f t="shared" si="193"/>
        <v>1900</v>
      </c>
      <c r="P2142" s="61">
        <f t="shared" si="194"/>
        <v>1</v>
      </c>
      <c r="R2142" s="272"/>
      <c r="S2142" s="272"/>
      <c r="T2142" s="273" t="str">
        <f t="shared" si="195"/>
        <v>-</v>
      </c>
    </row>
    <row r="2143" spans="9:20">
      <c r="I2143" s="213"/>
      <c r="J2143" s="213"/>
      <c r="L2143" s="272">
        <f t="shared" si="191"/>
        <v>1900</v>
      </c>
      <c r="M2143" s="272">
        <f t="shared" si="192"/>
        <v>1</v>
      </c>
      <c r="N2143" s="255"/>
      <c r="O2143" s="61">
        <f t="shared" si="193"/>
        <v>1900</v>
      </c>
      <c r="P2143" s="61">
        <f t="shared" si="194"/>
        <v>1</v>
      </c>
      <c r="R2143" s="272"/>
      <c r="S2143" s="272"/>
      <c r="T2143" s="273" t="str">
        <f t="shared" si="195"/>
        <v>-</v>
      </c>
    </row>
    <row r="2144" spans="9:20">
      <c r="I2144" s="213"/>
      <c r="J2144" s="213"/>
      <c r="L2144" s="272">
        <f t="shared" si="191"/>
        <v>1900</v>
      </c>
      <c r="M2144" s="272">
        <f t="shared" si="192"/>
        <v>1</v>
      </c>
      <c r="N2144" s="255"/>
      <c r="O2144" s="61">
        <f t="shared" si="193"/>
        <v>1900</v>
      </c>
      <c r="P2144" s="61">
        <f t="shared" si="194"/>
        <v>1</v>
      </c>
      <c r="R2144" s="272"/>
      <c r="S2144" s="272"/>
      <c r="T2144" s="273" t="str">
        <f t="shared" si="195"/>
        <v>-</v>
      </c>
    </row>
    <row r="2145" spans="9:20">
      <c r="I2145" s="213"/>
      <c r="J2145" s="213"/>
      <c r="L2145" s="272">
        <f t="shared" si="191"/>
        <v>1900</v>
      </c>
      <c r="M2145" s="272">
        <f t="shared" si="192"/>
        <v>1</v>
      </c>
      <c r="N2145" s="255"/>
      <c r="O2145" s="61">
        <f t="shared" si="193"/>
        <v>1900</v>
      </c>
      <c r="P2145" s="61">
        <f t="shared" si="194"/>
        <v>1</v>
      </c>
      <c r="R2145" s="272"/>
      <c r="S2145" s="272"/>
      <c r="T2145" s="273" t="str">
        <f t="shared" si="195"/>
        <v>-</v>
      </c>
    </row>
    <row r="2146" spans="9:20">
      <c r="I2146" s="213"/>
      <c r="J2146" s="213"/>
      <c r="L2146" s="272">
        <f t="shared" si="191"/>
        <v>1900</v>
      </c>
      <c r="M2146" s="272">
        <f t="shared" si="192"/>
        <v>1</v>
      </c>
      <c r="N2146" s="255"/>
      <c r="O2146" s="61">
        <f t="shared" si="193"/>
        <v>1900</v>
      </c>
      <c r="P2146" s="61">
        <f t="shared" si="194"/>
        <v>1</v>
      </c>
      <c r="R2146" s="272"/>
      <c r="S2146" s="272"/>
      <c r="T2146" s="273" t="str">
        <f t="shared" si="195"/>
        <v>-</v>
      </c>
    </row>
    <row r="2147" spans="9:20">
      <c r="I2147" s="213"/>
      <c r="J2147" s="213"/>
      <c r="L2147" s="272">
        <f t="shared" si="191"/>
        <v>1900</v>
      </c>
      <c r="M2147" s="272">
        <f t="shared" si="192"/>
        <v>1</v>
      </c>
      <c r="N2147" s="255"/>
      <c r="O2147" s="61">
        <f t="shared" si="193"/>
        <v>1900</v>
      </c>
      <c r="P2147" s="61">
        <f t="shared" si="194"/>
        <v>1</v>
      </c>
      <c r="R2147" s="272"/>
      <c r="S2147" s="272"/>
      <c r="T2147" s="273" t="str">
        <f t="shared" si="195"/>
        <v>-</v>
      </c>
    </row>
    <row r="2148" spans="9:20">
      <c r="I2148" s="213"/>
      <c r="J2148" s="213"/>
      <c r="L2148" s="272">
        <f t="shared" si="191"/>
        <v>1900</v>
      </c>
      <c r="M2148" s="272">
        <f t="shared" si="192"/>
        <v>1</v>
      </c>
      <c r="N2148" s="255"/>
      <c r="O2148" s="61">
        <f t="shared" si="193"/>
        <v>1900</v>
      </c>
      <c r="P2148" s="61">
        <f t="shared" si="194"/>
        <v>1</v>
      </c>
      <c r="R2148" s="272"/>
      <c r="S2148" s="272"/>
      <c r="T2148" s="273" t="str">
        <f t="shared" si="195"/>
        <v>-</v>
      </c>
    </row>
    <row r="2149" spans="9:20">
      <c r="I2149" s="213"/>
      <c r="J2149" s="213"/>
      <c r="L2149" s="272">
        <f t="shared" si="191"/>
        <v>1900</v>
      </c>
      <c r="M2149" s="272">
        <f t="shared" si="192"/>
        <v>1</v>
      </c>
      <c r="N2149" s="255"/>
      <c r="O2149" s="61">
        <f t="shared" si="193"/>
        <v>1900</v>
      </c>
      <c r="P2149" s="61">
        <f t="shared" si="194"/>
        <v>1</v>
      </c>
      <c r="R2149" s="272"/>
      <c r="S2149" s="272"/>
      <c r="T2149" s="273" t="str">
        <f t="shared" si="195"/>
        <v>-</v>
      </c>
    </row>
    <row r="2150" spans="9:20">
      <c r="I2150" s="213"/>
      <c r="J2150" s="213"/>
      <c r="L2150" s="272">
        <f t="shared" si="191"/>
        <v>1900</v>
      </c>
      <c r="M2150" s="272">
        <f t="shared" si="192"/>
        <v>1</v>
      </c>
      <c r="N2150" s="255"/>
      <c r="O2150" s="61">
        <f t="shared" si="193"/>
        <v>1900</v>
      </c>
      <c r="P2150" s="61">
        <f t="shared" si="194"/>
        <v>1</v>
      </c>
      <c r="R2150" s="272"/>
      <c r="S2150" s="272"/>
      <c r="T2150" s="273" t="str">
        <f t="shared" si="195"/>
        <v>-</v>
      </c>
    </row>
    <row r="2151" spans="9:20">
      <c r="I2151" s="213"/>
      <c r="J2151" s="213"/>
      <c r="L2151" s="272">
        <f t="shared" si="191"/>
        <v>1900</v>
      </c>
      <c r="M2151" s="272">
        <f t="shared" si="192"/>
        <v>1</v>
      </c>
      <c r="N2151" s="255"/>
      <c r="O2151" s="61">
        <f t="shared" si="193"/>
        <v>1900</v>
      </c>
      <c r="P2151" s="61">
        <f t="shared" si="194"/>
        <v>1</v>
      </c>
      <c r="R2151" s="272"/>
      <c r="S2151" s="272"/>
      <c r="T2151" s="273" t="str">
        <f t="shared" si="195"/>
        <v>-</v>
      </c>
    </row>
    <row r="2152" spans="9:20">
      <c r="I2152" s="213"/>
      <c r="J2152" s="213"/>
      <c r="L2152" s="272">
        <f t="shared" si="191"/>
        <v>1900</v>
      </c>
      <c r="M2152" s="272">
        <f t="shared" si="192"/>
        <v>1</v>
      </c>
      <c r="N2152" s="255"/>
      <c r="O2152" s="61">
        <f t="shared" si="193"/>
        <v>1900</v>
      </c>
      <c r="P2152" s="61">
        <f t="shared" si="194"/>
        <v>1</v>
      </c>
      <c r="R2152" s="272"/>
      <c r="S2152" s="272"/>
      <c r="T2152" s="273" t="str">
        <f t="shared" si="195"/>
        <v>-</v>
      </c>
    </row>
    <row r="2153" spans="9:20">
      <c r="I2153" s="213"/>
      <c r="J2153" s="213"/>
      <c r="L2153" s="272">
        <f t="shared" si="191"/>
        <v>1900</v>
      </c>
      <c r="M2153" s="272">
        <f t="shared" si="192"/>
        <v>1</v>
      </c>
      <c r="N2153" s="255"/>
      <c r="O2153" s="61">
        <f t="shared" si="193"/>
        <v>1900</v>
      </c>
      <c r="P2153" s="61">
        <f t="shared" si="194"/>
        <v>1</v>
      </c>
      <c r="R2153" s="272"/>
      <c r="S2153" s="272"/>
      <c r="T2153" s="273" t="str">
        <f t="shared" si="195"/>
        <v>-</v>
      </c>
    </row>
    <row r="2154" spans="9:20">
      <c r="I2154" s="213"/>
      <c r="J2154" s="213"/>
      <c r="L2154" s="272">
        <f t="shared" si="191"/>
        <v>1900</v>
      </c>
      <c r="M2154" s="272">
        <f t="shared" si="192"/>
        <v>1</v>
      </c>
      <c r="N2154" s="255"/>
      <c r="O2154" s="61">
        <f t="shared" si="193"/>
        <v>1900</v>
      </c>
      <c r="P2154" s="61">
        <f t="shared" si="194"/>
        <v>1</v>
      </c>
      <c r="R2154" s="272"/>
      <c r="S2154" s="272"/>
      <c r="T2154" s="273" t="str">
        <f t="shared" si="195"/>
        <v>-</v>
      </c>
    </row>
    <row r="2155" spans="9:20">
      <c r="I2155" s="213"/>
      <c r="J2155" s="213"/>
      <c r="L2155" s="272">
        <f t="shared" si="191"/>
        <v>1900</v>
      </c>
      <c r="M2155" s="272">
        <f t="shared" si="192"/>
        <v>1</v>
      </c>
      <c r="N2155" s="255"/>
      <c r="O2155" s="61">
        <f t="shared" si="193"/>
        <v>1900</v>
      </c>
      <c r="P2155" s="61">
        <f t="shared" si="194"/>
        <v>1</v>
      </c>
      <c r="R2155" s="272"/>
      <c r="S2155" s="272"/>
      <c r="T2155" s="273" t="str">
        <f t="shared" si="195"/>
        <v>-</v>
      </c>
    </row>
    <row r="2156" spans="9:20">
      <c r="I2156" s="213"/>
      <c r="J2156" s="213"/>
      <c r="L2156" s="272">
        <f t="shared" si="191"/>
        <v>1900</v>
      </c>
      <c r="M2156" s="272">
        <f t="shared" si="192"/>
        <v>1</v>
      </c>
      <c r="N2156" s="255"/>
      <c r="O2156" s="61">
        <f t="shared" si="193"/>
        <v>1900</v>
      </c>
      <c r="P2156" s="61">
        <f t="shared" si="194"/>
        <v>1</v>
      </c>
      <c r="R2156" s="272"/>
      <c r="S2156" s="272"/>
      <c r="T2156" s="273" t="str">
        <f t="shared" si="195"/>
        <v>-</v>
      </c>
    </row>
    <row r="2157" spans="9:20">
      <c r="I2157" s="213"/>
      <c r="J2157" s="213"/>
      <c r="L2157" s="272">
        <f t="shared" si="191"/>
        <v>1900</v>
      </c>
      <c r="M2157" s="272">
        <f t="shared" si="192"/>
        <v>1</v>
      </c>
      <c r="N2157" s="255"/>
      <c r="O2157" s="61">
        <f t="shared" si="193"/>
        <v>1900</v>
      </c>
      <c r="P2157" s="61">
        <f t="shared" si="194"/>
        <v>1</v>
      </c>
      <c r="R2157" s="272"/>
      <c r="S2157" s="272"/>
      <c r="T2157" s="273" t="str">
        <f t="shared" si="195"/>
        <v>-</v>
      </c>
    </row>
    <row r="2158" spans="9:20">
      <c r="I2158" s="213"/>
      <c r="J2158" s="213"/>
      <c r="L2158" s="272">
        <f t="shared" si="191"/>
        <v>1900</v>
      </c>
      <c r="M2158" s="272">
        <f t="shared" si="192"/>
        <v>1</v>
      </c>
      <c r="N2158" s="255"/>
      <c r="O2158" s="61">
        <f t="shared" si="193"/>
        <v>1900</v>
      </c>
      <c r="P2158" s="61">
        <f t="shared" si="194"/>
        <v>1</v>
      </c>
      <c r="R2158" s="272"/>
      <c r="S2158" s="272"/>
      <c r="T2158" s="273" t="str">
        <f t="shared" si="195"/>
        <v>-</v>
      </c>
    </row>
    <row r="2159" spans="9:20">
      <c r="I2159" s="213"/>
      <c r="J2159" s="213"/>
      <c r="L2159" s="272">
        <f t="shared" si="191"/>
        <v>1900</v>
      </c>
      <c r="M2159" s="272">
        <f t="shared" si="192"/>
        <v>1</v>
      </c>
      <c r="N2159" s="255"/>
      <c r="O2159" s="61">
        <f t="shared" si="193"/>
        <v>1900</v>
      </c>
      <c r="P2159" s="61">
        <f t="shared" si="194"/>
        <v>1</v>
      </c>
      <c r="R2159" s="272"/>
      <c r="S2159" s="272"/>
      <c r="T2159" s="273" t="str">
        <f t="shared" si="195"/>
        <v>-</v>
      </c>
    </row>
    <row r="2160" spans="9:20">
      <c r="I2160" s="213"/>
      <c r="J2160" s="213"/>
      <c r="L2160" s="272">
        <f t="shared" si="191"/>
        <v>1900</v>
      </c>
      <c r="M2160" s="272">
        <f t="shared" si="192"/>
        <v>1</v>
      </c>
      <c r="N2160" s="255"/>
      <c r="O2160" s="61">
        <f t="shared" si="193"/>
        <v>1900</v>
      </c>
      <c r="P2160" s="61">
        <f t="shared" si="194"/>
        <v>1</v>
      </c>
      <c r="R2160" s="272"/>
      <c r="S2160" s="272"/>
      <c r="T2160" s="273" t="str">
        <f t="shared" si="195"/>
        <v>-</v>
      </c>
    </row>
    <row r="2161" spans="9:20">
      <c r="I2161" s="213"/>
      <c r="J2161" s="213"/>
      <c r="L2161" s="272">
        <f t="shared" si="191"/>
        <v>1900</v>
      </c>
      <c r="M2161" s="272">
        <f t="shared" si="192"/>
        <v>1</v>
      </c>
      <c r="N2161" s="255"/>
      <c r="O2161" s="61">
        <f t="shared" si="193"/>
        <v>1900</v>
      </c>
      <c r="P2161" s="61">
        <f t="shared" si="194"/>
        <v>1</v>
      </c>
      <c r="R2161" s="272"/>
      <c r="S2161" s="272"/>
      <c r="T2161" s="273" t="str">
        <f t="shared" si="195"/>
        <v>-</v>
      </c>
    </row>
    <row r="2162" spans="9:20">
      <c r="I2162" s="213"/>
      <c r="J2162" s="213"/>
      <c r="L2162" s="272">
        <f t="shared" si="191"/>
        <v>1900</v>
      </c>
      <c r="M2162" s="272">
        <f t="shared" si="192"/>
        <v>1</v>
      </c>
      <c r="N2162" s="255"/>
      <c r="O2162" s="61">
        <f t="shared" si="193"/>
        <v>1900</v>
      </c>
      <c r="P2162" s="61">
        <f t="shared" si="194"/>
        <v>1</v>
      </c>
      <c r="R2162" s="272"/>
      <c r="S2162" s="272"/>
      <c r="T2162" s="273" t="str">
        <f t="shared" si="195"/>
        <v>-</v>
      </c>
    </row>
    <row r="2163" spans="9:20">
      <c r="I2163" s="213"/>
      <c r="J2163" s="213"/>
      <c r="L2163" s="272">
        <f t="shared" si="191"/>
        <v>1900</v>
      </c>
      <c r="M2163" s="272">
        <f t="shared" si="192"/>
        <v>1</v>
      </c>
      <c r="N2163" s="255"/>
      <c r="O2163" s="61">
        <f t="shared" si="193"/>
        <v>1900</v>
      </c>
      <c r="P2163" s="61">
        <f t="shared" si="194"/>
        <v>1</v>
      </c>
      <c r="R2163" s="272"/>
      <c r="S2163" s="272"/>
      <c r="T2163" s="273" t="str">
        <f t="shared" si="195"/>
        <v>-</v>
      </c>
    </row>
    <row r="2164" spans="9:20">
      <c r="I2164" s="213"/>
      <c r="J2164" s="213"/>
      <c r="L2164" s="272">
        <f t="shared" si="191"/>
        <v>1900</v>
      </c>
      <c r="M2164" s="272">
        <f t="shared" si="192"/>
        <v>1</v>
      </c>
      <c r="N2164" s="255"/>
      <c r="O2164" s="61">
        <f t="shared" si="193"/>
        <v>1900</v>
      </c>
      <c r="P2164" s="61">
        <f t="shared" si="194"/>
        <v>1</v>
      </c>
      <c r="R2164" s="272"/>
      <c r="S2164" s="272"/>
      <c r="T2164" s="273" t="str">
        <f t="shared" si="195"/>
        <v>-</v>
      </c>
    </row>
    <row r="2165" spans="9:20">
      <c r="I2165" s="213"/>
      <c r="J2165" s="213"/>
      <c r="L2165" s="272">
        <f t="shared" si="191"/>
        <v>1900</v>
      </c>
      <c r="M2165" s="272">
        <f t="shared" si="192"/>
        <v>1</v>
      </c>
      <c r="N2165" s="255"/>
      <c r="O2165" s="61">
        <f t="shared" si="193"/>
        <v>1900</v>
      </c>
      <c r="P2165" s="61">
        <f t="shared" si="194"/>
        <v>1</v>
      </c>
      <c r="R2165" s="272"/>
      <c r="S2165" s="272"/>
      <c r="T2165" s="273" t="str">
        <f t="shared" si="195"/>
        <v>-</v>
      </c>
    </row>
    <row r="2166" spans="9:20">
      <c r="I2166" s="213"/>
      <c r="J2166" s="213"/>
      <c r="L2166" s="272">
        <f t="shared" si="191"/>
        <v>1900</v>
      </c>
      <c r="M2166" s="272">
        <f t="shared" si="192"/>
        <v>1</v>
      </c>
      <c r="N2166" s="255"/>
      <c r="O2166" s="61">
        <f t="shared" si="193"/>
        <v>1900</v>
      </c>
      <c r="P2166" s="61">
        <f t="shared" si="194"/>
        <v>1</v>
      </c>
      <c r="R2166" s="272"/>
      <c r="S2166" s="272"/>
      <c r="T2166" s="273" t="str">
        <f t="shared" si="195"/>
        <v>-</v>
      </c>
    </row>
    <row r="2167" spans="9:20">
      <c r="I2167" s="213"/>
      <c r="J2167" s="213"/>
      <c r="L2167" s="272">
        <f t="shared" si="191"/>
        <v>1900</v>
      </c>
      <c r="M2167" s="272">
        <f t="shared" si="192"/>
        <v>1</v>
      </c>
      <c r="N2167" s="255"/>
      <c r="O2167" s="61">
        <f t="shared" si="193"/>
        <v>1900</v>
      </c>
      <c r="P2167" s="61">
        <f t="shared" si="194"/>
        <v>1</v>
      </c>
      <c r="R2167" s="272"/>
      <c r="S2167" s="272"/>
      <c r="T2167" s="273" t="str">
        <f t="shared" si="195"/>
        <v>-</v>
      </c>
    </row>
    <row r="2168" spans="9:20">
      <c r="I2168" s="213"/>
      <c r="J2168" s="213"/>
      <c r="L2168" s="272">
        <f t="shared" si="191"/>
        <v>1900</v>
      </c>
      <c r="M2168" s="272">
        <f t="shared" si="192"/>
        <v>1</v>
      </c>
      <c r="N2168" s="255"/>
      <c r="O2168" s="61">
        <f t="shared" si="193"/>
        <v>1900</v>
      </c>
      <c r="P2168" s="61">
        <f t="shared" si="194"/>
        <v>1</v>
      </c>
      <c r="R2168" s="272"/>
      <c r="S2168" s="272"/>
      <c r="T2168" s="273" t="str">
        <f t="shared" si="195"/>
        <v>-</v>
      </c>
    </row>
    <row r="2169" spans="9:20">
      <c r="I2169" s="213"/>
      <c r="J2169" s="213"/>
      <c r="L2169" s="272">
        <f t="shared" si="191"/>
        <v>1900</v>
      </c>
      <c r="M2169" s="272">
        <f t="shared" si="192"/>
        <v>1</v>
      </c>
      <c r="N2169" s="255"/>
      <c r="O2169" s="61">
        <f t="shared" si="193"/>
        <v>1900</v>
      </c>
      <c r="P2169" s="61">
        <f t="shared" si="194"/>
        <v>1</v>
      </c>
      <c r="R2169" s="272"/>
      <c r="S2169" s="272"/>
      <c r="T2169" s="273" t="str">
        <f t="shared" si="195"/>
        <v>-</v>
      </c>
    </row>
    <row r="2170" spans="9:20">
      <c r="I2170" s="213"/>
      <c r="J2170" s="213"/>
      <c r="L2170" s="272">
        <f t="shared" si="191"/>
        <v>1900</v>
      </c>
      <c r="M2170" s="272">
        <f t="shared" si="192"/>
        <v>1</v>
      </c>
      <c r="N2170" s="255"/>
      <c r="O2170" s="61">
        <f t="shared" si="193"/>
        <v>1900</v>
      </c>
      <c r="P2170" s="61">
        <f t="shared" si="194"/>
        <v>1</v>
      </c>
      <c r="R2170" s="272"/>
      <c r="S2170" s="272"/>
      <c r="T2170" s="273" t="str">
        <f t="shared" si="195"/>
        <v>-</v>
      </c>
    </row>
    <row r="2171" spans="9:20">
      <c r="I2171" s="213"/>
      <c r="J2171" s="213"/>
      <c r="L2171" s="272">
        <f t="shared" si="191"/>
        <v>1900</v>
      </c>
      <c r="M2171" s="272">
        <f t="shared" si="192"/>
        <v>1</v>
      </c>
      <c r="N2171" s="255"/>
      <c r="O2171" s="61">
        <f t="shared" si="193"/>
        <v>1900</v>
      </c>
      <c r="P2171" s="61">
        <f t="shared" si="194"/>
        <v>1</v>
      </c>
      <c r="R2171" s="272"/>
      <c r="S2171" s="272"/>
      <c r="T2171" s="273" t="str">
        <f t="shared" si="195"/>
        <v>-</v>
      </c>
    </row>
    <row r="2172" spans="9:20">
      <c r="I2172" s="213"/>
      <c r="J2172" s="213"/>
      <c r="L2172" s="272">
        <f t="shared" si="191"/>
        <v>1900</v>
      </c>
      <c r="M2172" s="272">
        <f t="shared" si="192"/>
        <v>1</v>
      </c>
      <c r="N2172" s="255"/>
      <c r="O2172" s="61">
        <f t="shared" si="193"/>
        <v>1900</v>
      </c>
      <c r="P2172" s="61">
        <f t="shared" si="194"/>
        <v>1</v>
      </c>
      <c r="R2172" s="272"/>
      <c r="S2172" s="272"/>
      <c r="T2172" s="273" t="str">
        <f t="shared" si="195"/>
        <v>-</v>
      </c>
    </row>
    <row r="2173" spans="9:20">
      <c r="I2173" s="213"/>
      <c r="J2173" s="213"/>
      <c r="L2173" s="272">
        <f t="shared" si="191"/>
        <v>1900</v>
      </c>
      <c r="M2173" s="272">
        <f t="shared" si="192"/>
        <v>1</v>
      </c>
      <c r="N2173" s="255"/>
      <c r="O2173" s="61">
        <f t="shared" si="193"/>
        <v>1900</v>
      </c>
      <c r="P2173" s="61">
        <f t="shared" si="194"/>
        <v>1</v>
      </c>
      <c r="R2173" s="272"/>
      <c r="S2173" s="272"/>
      <c r="T2173" s="273" t="str">
        <f t="shared" si="195"/>
        <v>-</v>
      </c>
    </row>
    <row r="2174" spans="9:20">
      <c r="I2174" s="213"/>
      <c r="J2174" s="213"/>
      <c r="L2174" s="272">
        <f t="shared" si="191"/>
        <v>1900</v>
      </c>
      <c r="M2174" s="272">
        <f t="shared" si="192"/>
        <v>1</v>
      </c>
      <c r="N2174" s="255"/>
      <c r="O2174" s="61">
        <f t="shared" si="193"/>
        <v>1900</v>
      </c>
      <c r="P2174" s="61">
        <f t="shared" si="194"/>
        <v>1</v>
      </c>
      <c r="R2174" s="272"/>
      <c r="S2174" s="272"/>
      <c r="T2174" s="273" t="str">
        <f t="shared" si="195"/>
        <v>-</v>
      </c>
    </row>
    <row r="2175" spans="9:20">
      <c r="I2175" s="213"/>
      <c r="J2175" s="213"/>
      <c r="L2175" s="272">
        <f t="shared" si="191"/>
        <v>1900</v>
      </c>
      <c r="M2175" s="272">
        <f t="shared" si="192"/>
        <v>1</v>
      </c>
      <c r="N2175" s="255"/>
      <c r="O2175" s="61">
        <f t="shared" si="193"/>
        <v>1900</v>
      </c>
      <c r="P2175" s="61">
        <f t="shared" si="194"/>
        <v>1</v>
      </c>
      <c r="R2175" s="272"/>
      <c r="S2175" s="272"/>
      <c r="T2175" s="273" t="str">
        <f t="shared" si="195"/>
        <v>-</v>
      </c>
    </row>
    <row r="2176" spans="9:20">
      <c r="I2176" s="213"/>
      <c r="J2176" s="213"/>
      <c r="L2176" s="272">
        <f t="shared" si="191"/>
        <v>1900</v>
      </c>
      <c r="M2176" s="272">
        <f t="shared" si="192"/>
        <v>1</v>
      </c>
      <c r="N2176" s="255"/>
      <c r="O2176" s="61">
        <f t="shared" si="193"/>
        <v>1900</v>
      </c>
      <c r="P2176" s="61">
        <f t="shared" si="194"/>
        <v>1</v>
      </c>
      <c r="R2176" s="272"/>
      <c r="S2176" s="272"/>
      <c r="T2176" s="273" t="str">
        <f t="shared" si="195"/>
        <v>-</v>
      </c>
    </row>
    <row r="2177" spans="9:20">
      <c r="I2177" s="213"/>
      <c r="J2177" s="213"/>
      <c r="L2177" s="272">
        <f t="shared" si="191"/>
        <v>1900</v>
      </c>
      <c r="M2177" s="272">
        <f t="shared" si="192"/>
        <v>1</v>
      </c>
      <c r="N2177" s="255"/>
      <c r="O2177" s="61">
        <f t="shared" si="193"/>
        <v>1900</v>
      </c>
      <c r="P2177" s="61">
        <f t="shared" si="194"/>
        <v>1</v>
      </c>
      <c r="R2177" s="272"/>
      <c r="S2177" s="272"/>
      <c r="T2177" s="273" t="str">
        <f t="shared" si="195"/>
        <v>-</v>
      </c>
    </row>
    <row r="2178" spans="9:20">
      <c r="I2178" s="213"/>
      <c r="J2178" s="213"/>
      <c r="L2178" s="272">
        <f t="shared" si="191"/>
        <v>1900</v>
      </c>
      <c r="M2178" s="272">
        <f t="shared" si="192"/>
        <v>1</v>
      </c>
      <c r="N2178" s="255"/>
      <c r="O2178" s="61">
        <f t="shared" si="193"/>
        <v>1900</v>
      </c>
      <c r="P2178" s="61">
        <f t="shared" si="194"/>
        <v>1</v>
      </c>
      <c r="R2178" s="272"/>
      <c r="S2178" s="272"/>
      <c r="T2178" s="273" t="str">
        <f t="shared" si="195"/>
        <v>-</v>
      </c>
    </row>
    <row r="2179" spans="9:20">
      <c r="I2179" s="213"/>
      <c r="J2179" s="213"/>
      <c r="L2179" s="272">
        <f t="shared" si="191"/>
        <v>1900</v>
      </c>
      <c r="M2179" s="272">
        <f t="shared" si="192"/>
        <v>1</v>
      </c>
      <c r="N2179" s="255"/>
      <c r="O2179" s="61">
        <f t="shared" si="193"/>
        <v>1900</v>
      </c>
      <c r="P2179" s="61">
        <f t="shared" si="194"/>
        <v>1</v>
      </c>
      <c r="R2179" s="272"/>
      <c r="S2179" s="272"/>
      <c r="T2179" s="273" t="str">
        <f t="shared" si="195"/>
        <v>-</v>
      </c>
    </row>
    <row r="2180" spans="9:20">
      <c r="I2180" s="213"/>
      <c r="J2180" s="213"/>
      <c r="L2180" s="272">
        <f t="shared" si="191"/>
        <v>1900</v>
      </c>
      <c r="M2180" s="272">
        <f t="shared" si="192"/>
        <v>1</v>
      </c>
      <c r="N2180" s="255"/>
      <c r="O2180" s="61">
        <f t="shared" si="193"/>
        <v>1900</v>
      </c>
      <c r="P2180" s="61">
        <f t="shared" si="194"/>
        <v>1</v>
      </c>
      <c r="R2180" s="272"/>
      <c r="S2180" s="272"/>
      <c r="T2180" s="273" t="str">
        <f t="shared" si="195"/>
        <v>-</v>
      </c>
    </row>
    <row r="2181" spans="9:20">
      <c r="I2181" s="213"/>
      <c r="J2181" s="213"/>
      <c r="L2181" s="272">
        <f t="shared" si="191"/>
        <v>1900</v>
      </c>
      <c r="M2181" s="272">
        <f t="shared" si="192"/>
        <v>1</v>
      </c>
      <c r="N2181" s="255"/>
      <c r="O2181" s="61">
        <f t="shared" si="193"/>
        <v>1900</v>
      </c>
      <c r="P2181" s="61">
        <f t="shared" si="194"/>
        <v>1</v>
      </c>
      <c r="R2181" s="272"/>
      <c r="S2181" s="272"/>
      <c r="T2181" s="273" t="str">
        <f t="shared" si="195"/>
        <v>-</v>
      </c>
    </row>
    <row r="2182" spans="9:20">
      <c r="I2182" s="213"/>
      <c r="J2182" s="213"/>
      <c r="L2182" s="272">
        <f t="shared" si="191"/>
        <v>1900</v>
      </c>
      <c r="M2182" s="272">
        <f t="shared" si="192"/>
        <v>1</v>
      </c>
      <c r="N2182" s="255"/>
      <c r="O2182" s="61">
        <f t="shared" si="193"/>
        <v>1900</v>
      </c>
      <c r="P2182" s="61">
        <f t="shared" si="194"/>
        <v>1</v>
      </c>
      <c r="R2182" s="272"/>
      <c r="S2182" s="272"/>
      <c r="T2182" s="273" t="str">
        <f t="shared" si="195"/>
        <v>-</v>
      </c>
    </row>
    <row r="2183" spans="9:20">
      <c r="I2183" s="213"/>
      <c r="J2183" s="213"/>
      <c r="L2183" s="272">
        <f t="shared" si="191"/>
        <v>1900</v>
      </c>
      <c r="M2183" s="272">
        <f t="shared" si="192"/>
        <v>1</v>
      </c>
      <c r="N2183" s="255"/>
      <c r="O2183" s="61">
        <f t="shared" si="193"/>
        <v>1900</v>
      </c>
      <c r="P2183" s="61">
        <f t="shared" si="194"/>
        <v>1</v>
      </c>
      <c r="R2183" s="272"/>
      <c r="S2183" s="272"/>
      <c r="T2183" s="273" t="str">
        <f t="shared" si="195"/>
        <v>-</v>
      </c>
    </row>
    <row r="2184" spans="9:20">
      <c r="I2184" s="213"/>
      <c r="J2184" s="213"/>
      <c r="L2184" s="272">
        <f t="shared" si="191"/>
        <v>1900</v>
      </c>
      <c r="M2184" s="272">
        <f t="shared" si="192"/>
        <v>1</v>
      </c>
      <c r="N2184" s="255"/>
      <c r="O2184" s="61">
        <f t="shared" si="193"/>
        <v>1900</v>
      </c>
      <c r="P2184" s="61">
        <f t="shared" si="194"/>
        <v>1</v>
      </c>
      <c r="R2184" s="272"/>
      <c r="S2184" s="272"/>
      <c r="T2184" s="273" t="str">
        <f t="shared" si="195"/>
        <v>-</v>
      </c>
    </row>
    <row r="2185" spans="9:20">
      <c r="I2185" s="213"/>
      <c r="J2185" s="213"/>
      <c r="L2185" s="272">
        <f t="shared" si="191"/>
        <v>1900</v>
      </c>
      <c r="M2185" s="272">
        <f t="shared" si="192"/>
        <v>1</v>
      </c>
      <c r="N2185" s="255"/>
      <c r="O2185" s="61">
        <f t="shared" si="193"/>
        <v>1900</v>
      </c>
      <c r="P2185" s="61">
        <f t="shared" si="194"/>
        <v>1</v>
      </c>
      <c r="R2185" s="272"/>
      <c r="S2185" s="272"/>
      <c r="T2185" s="273" t="str">
        <f t="shared" si="195"/>
        <v>-</v>
      </c>
    </row>
    <row r="2186" spans="9:20">
      <c r="I2186" s="213"/>
      <c r="J2186" s="213"/>
      <c r="L2186" s="272">
        <f t="shared" si="191"/>
        <v>1900</v>
      </c>
      <c r="M2186" s="272">
        <f t="shared" si="192"/>
        <v>1</v>
      </c>
      <c r="N2186" s="255"/>
      <c r="O2186" s="61">
        <f t="shared" si="193"/>
        <v>1900</v>
      </c>
      <c r="P2186" s="61">
        <f t="shared" si="194"/>
        <v>1</v>
      </c>
      <c r="R2186" s="272"/>
      <c r="S2186" s="272"/>
      <c r="T2186" s="273" t="str">
        <f t="shared" si="195"/>
        <v>-</v>
      </c>
    </row>
    <row r="2187" spans="9:20">
      <c r="I2187" s="213"/>
      <c r="J2187" s="213"/>
      <c r="L2187" s="272">
        <f t="shared" si="191"/>
        <v>1900</v>
      </c>
      <c r="M2187" s="272">
        <f t="shared" si="192"/>
        <v>1</v>
      </c>
      <c r="N2187" s="255"/>
      <c r="O2187" s="61">
        <f t="shared" si="193"/>
        <v>1900</v>
      </c>
      <c r="P2187" s="61">
        <f t="shared" si="194"/>
        <v>1</v>
      </c>
      <c r="R2187" s="272"/>
      <c r="S2187" s="272"/>
      <c r="T2187" s="273" t="str">
        <f t="shared" si="195"/>
        <v>-</v>
      </c>
    </row>
    <row r="2188" spans="9:20">
      <c r="I2188" s="213"/>
      <c r="J2188" s="213"/>
      <c r="L2188" s="272">
        <f t="shared" si="191"/>
        <v>1900</v>
      </c>
      <c r="M2188" s="272">
        <f t="shared" si="192"/>
        <v>1</v>
      </c>
      <c r="N2188" s="255"/>
      <c r="O2188" s="61">
        <f t="shared" si="193"/>
        <v>1900</v>
      </c>
      <c r="P2188" s="61">
        <f t="shared" si="194"/>
        <v>1</v>
      </c>
      <c r="R2188" s="272"/>
      <c r="S2188" s="272"/>
      <c r="T2188" s="273" t="str">
        <f t="shared" si="195"/>
        <v>-</v>
      </c>
    </row>
    <row r="2189" spans="9:20">
      <c r="I2189" s="213"/>
      <c r="J2189" s="213"/>
      <c r="L2189" s="272">
        <f t="shared" si="191"/>
        <v>1900</v>
      </c>
      <c r="M2189" s="272">
        <f t="shared" si="192"/>
        <v>1</v>
      </c>
      <c r="N2189" s="255"/>
      <c r="O2189" s="61">
        <f t="shared" si="193"/>
        <v>1900</v>
      </c>
      <c r="P2189" s="61">
        <f t="shared" si="194"/>
        <v>1</v>
      </c>
      <c r="R2189" s="272"/>
      <c r="S2189" s="272"/>
      <c r="T2189" s="273" t="str">
        <f t="shared" si="195"/>
        <v>-</v>
      </c>
    </row>
    <row r="2190" spans="9:20">
      <c r="I2190" s="213"/>
      <c r="J2190" s="213"/>
      <c r="L2190" s="272">
        <f t="shared" si="191"/>
        <v>1900</v>
      </c>
      <c r="M2190" s="272">
        <f t="shared" si="192"/>
        <v>1</v>
      </c>
      <c r="N2190" s="255"/>
      <c r="O2190" s="61">
        <f t="shared" si="193"/>
        <v>1900</v>
      </c>
      <c r="P2190" s="61">
        <f t="shared" si="194"/>
        <v>1</v>
      </c>
      <c r="R2190" s="272"/>
      <c r="S2190" s="272"/>
      <c r="T2190" s="273" t="str">
        <f t="shared" si="195"/>
        <v>-</v>
      </c>
    </row>
    <row r="2191" spans="9:20">
      <c r="I2191" s="213"/>
      <c r="J2191" s="213"/>
      <c r="L2191" s="272">
        <f t="shared" si="191"/>
        <v>1900</v>
      </c>
      <c r="M2191" s="272">
        <f t="shared" si="192"/>
        <v>1</v>
      </c>
      <c r="N2191" s="255"/>
      <c r="O2191" s="61">
        <f t="shared" si="193"/>
        <v>1900</v>
      </c>
      <c r="P2191" s="61">
        <f t="shared" si="194"/>
        <v>1</v>
      </c>
      <c r="R2191" s="272"/>
      <c r="S2191" s="272"/>
      <c r="T2191" s="273" t="str">
        <f t="shared" si="195"/>
        <v>-</v>
      </c>
    </row>
    <row r="2192" spans="9:20">
      <c r="I2192" s="213"/>
      <c r="J2192" s="213"/>
      <c r="L2192" s="272">
        <f t="shared" ref="L2192:L2255" si="196">YEAR(B2192)</f>
        <v>1900</v>
      </c>
      <c r="M2192" s="272">
        <f t="shared" ref="M2192:M2255" si="197">MONTH(B2192)</f>
        <v>1</v>
      </c>
      <c r="N2192" s="255"/>
      <c r="O2192" s="61">
        <f t="shared" ref="O2192:O2255" si="198">YEAR(B2192)</f>
        <v>1900</v>
      </c>
      <c r="P2192" s="61">
        <f t="shared" ref="P2192:P2255" si="199">MONTH(B2192)</f>
        <v>1</v>
      </c>
      <c r="R2192" s="272"/>
      <c r="S2192" s="272"/>
      <c r="T2192" s="273" t="str">
        <f t="shared" ref="T2192:T2255" si="200">IF($E2192&gt;0,IF((R2192+S2192)=$E2192,"OK","Error"),"-")</f>
        <v>-</v>
      </c>
    </row>
    <row r="2193" spans="9:20">
      <c r="I2193" s="213"/>
      <c r="J2193" s="213"/>
      <c r="L2193" s="272">
        <f t="shared" si="196"/>
        <v>1900</v>
      </c>
      <c r="M2193" s="272">
        <f t="shared" si="197"/>
        <v>1</v>
      </c>
      <c r="N2193" s="255"/>
      <c r="O2193" s="61">
        <f t="shared" si="198"/>
        <v>1900</v>
      </c>
      <c r="P2193" s="61">
        <f t="shared" si="199"/>
        <v>1</v>
      </c>
      <c r="R2193" s="272"/>
      <c r="S2193" s="272"/>
      <c r="T2193" s="273" t="str">
        <f t="shared" si="200"/>
        <v>-</v>
      </c>
    </row>
    <row r="2194" spans="9:20">
      <c r="I2194" s="213"/>
      <c r="J2194" s="213"/>
      <c r="L2194" s="272">
        <f t="shared" si="196"/>
        <v>1900</v>
      </c>
      <c r="M2194" s="272">
        <f t="shared" si="197"/>
        <v>1</v>
      </c>
      <c r="N2194" s="255"/>
      <c r="O2194" s="61">
        <f t="shared" si="198"/>
        <v>1900</v>
      </c>
      <c r="P2194" s="61">
        <f t="shared" si="199"/>
        <v>1</v>
      </c>
      <c r="R2194" s="272"/>
      <c r="S2194" s="272"/>
      <c r="T2194" s="273" t="str">
        <f t="shared" si="200"/>
        <v>-</v>
      </c>
    </row>
    <row r="2195" spans="9:20">
      <c r="I2195" s="213"/>
      <c r="J2195" s="213"/>
      <c r="L2195" s="272">
        <f t="shared" si="196"/>
        <v>1900</v>
      </c>
      <c r="M2195" s="272">
        <f t="shared" si="197"/>
        <v>1</v>
      </c>
      <c r="N2195" s="255"/>
      <c r="O2195" s="61">
        <f t="shared" si="198"/>
        <v>1900</v>
      </c>
      <c r="P2195" s="61">
        <f t="shared" si="199"/>
        <v>1</v>
      </c>
      <c r="R2195" s="272"/>
      <c r="S2195" s="272"/>
      <c r="T2195" s="273" t="str">
        <f t="shared" si="200"/>
        <v>-</v>
      </c>
    </row>
    <row r="2196" spans="9:20">
      <c r="I2196" s="213"/>
      <c r="J2196" s="213"/>
      <c r="L2196" s="272">
        <f t="shared" si="196"/>
        <v>1900</v>
      </c>
      <c r="M2196" s="272">
        <f t="shared" si="197"/>
        <v>1</v>
      </c>
      <c r="N2196" s="255"/>
      <c r="O2196" s="61">
        <f t="shared" si="198"/>
        <v>1900</v>
      </c>
      <c r="P2196" s="61">
        <f t="shared" si="199"/>
        <v>1</v>
      </c>
      <c r="R2196" s="272"/>
      <c r="S2196" s="272"/>
      <c r="T2196" s="273" t="str">
        <f t="shared" si="200"/>
        <v>-</v>
      </c>
    </row>
    <row r="2197" spans="9:20">
      <c r="I2197" s="213"/>
      <c r="J2197" s="213"/>
      <c r="L2197" s="272">
        <f t="shared" si="196"/>
        <v>1900</v>
      </c>
      <c r="M2197" s="272">
        <f t="shared" si="197"/>
        <v>1</v>
      </c>
      <c r="N2197" s="255"/>
      <c r="O2197" s="61">
        <f t="shared" si="198"/>
        <v>1900</v>
      </c>
      <c r="P2197" s="61">
        <f t="shared" si="199"/>
        <v>1</v>
      </c>
      <c r="R2197" s="272"/>
      <c r="S2197" s="272"/>
      <c r="T2197" s="273" t="str">
        <f t="shared" si="200"/>
        <v>-</v>
      </c>
    </row>
    <row r="2198" spans="9:20">
      <c r="I2198" s="213"/>
      <c r="J2198" s="213"/>
      <c r="L2198" s="272">
        <f t="shared" si="196"/>
        <v>1900</v>
      </c>
      <c r="M2198" s="272">
        <f t="shared" si="197"/>
        <v>1</v>
      </c>
      <c r="N2198" s="255"/>
      <c r="O2198" s="61">
        <f t="shared" si="198"/>
        <v>1900</v>
      </c>
      <c r="P2198" s="61">
        <f t="shared" si="199"/>
        <v>1</v>
      </c>
      <c r="R2198" s="272"/>
      <c r="S2198" s="272"/>
      <c r="T2198" s="273" t="str">
        <f t="shared" si="200"/>
        <v>-</v>
      </c>
    </row>
    <row r="2199" spans="9:20">
      <c r="I2199" s="213"/>
      <c r="J2199" s="213"/>
      <c r="L2199" s="272">
        <f t="shared" si="196"/>
        <v>1900</v>
      </c>
      <c r="M2199" s="272">
        <f t="shared" si="197"/>
        <v>1</v>
      </c>
      <c r="N2199" s="255"/>
      <c r="O2199" s="61">
        <f t="shared" si="198"/>
        <v>1900</v>
      </c>
      <c r="P2199" s="61">
        <f t="shared" si="199"/>
        <v>1</v>
      </c>
      <c r="R2199" s="272"/>
      <c r="S2199" s="272"/>
      <c r="T2199" s="273" t="str">
        <f t="shared" si="200"/>
        <v>-</v>
      </c>
    </row>
    <row r="2200" spans="9:20">
      <c r="I2200" s="213"/>
      <c r="J2200" s="213"/>
      <c r="L2200" s="272">
        <f t="shared" si="196"/>
        <v>1900</v>
      </c>
      <c r="M2200" s="272">
        <f t="shared" si="197"/>
        <v>1</v>
      </c>
      <c r="N2200" s="255"/>
      <c r="O2200" s="61">
        <f t="shared" si="198"/>
        <v>1900</v>
      </c>
      <c r="P2200" s="61">
        <f t="shared" si="199"/>
        <v>1</v>
      </c>
      <c r="R2200" s="272"/>
      <c r="S2200" s="272"/>
      <c r="T2200" s="273" t="str">
        <f t="shared" si="200"/>
        <v>-</v>
      </c>
    </row>
    <row r="2201" spans="9:20">
      <c r="I2201" s="213"/>
      <c r="J2201" s="213"/>
      <c r="L2201" s="272">
        <f t="shared" si="196"/>
        <v>1900</v>
      </c>
      <c r="M2201" s="272">
        <f t="shared" si="197"/>
        <v>1</v>
      </c>
      <c r="N2201" s="255"/>
      <c r="O2201" s="61">
        <f t="shared" si="198"/>
        <v>1900</v>
      </c>
      <c r="P2201" s="61">
        <f t="shared" si="199"/>
        <v>1</v>
      </c>
      <c r="R2201" s="272"/>
      <c r="S2201" s="272"/>
      <c r="T2201" s="273" t="str">
        <f t="shared" si="200"/>
        <v>-</v>
      </c>
    </row>
    <row r="2202" spans="9:20">
      <c r="I2202" s="213"/>
      <c r="J2202" s="213"/>
      <c r="L2202" s="272">
        <f t="shared" si="196"/>
        <v>1900</v>
      </c>
      <c r="M2202" s="272">
        <f t="shared" si="197"/>
        <v>1</v>
      </c>
      <c r="N2202" s="255"/>
      <c r="O2202" s="61">
        <f t="shared" si="198"/>
        <v>1900</v>
      </c>
      <c r="P2202" s="61">
        <f t="shared" si="199"/>
        <v>1</v>
      </c>
      <c r="R2202" s="272"/>
      <c r="S2202" s="272"/>
      <c r="T2202" s="273" t="str">
        <f t="shared" si="200"/>
        <v>-</v>
      </c>
    </row>
    <row r="2203" spans="9:20">
      <c r="I2203" s="213"/>
      <c r="J2203" s="213"/>
      <c r="L2203" s="272">
        <f t="shared" si="196"/>
        <v>1900</v>
      </c>
      <c r="M2203" s="272">
        <f t="shared" si="197"/>
        <v>1</v>
      </c>
      <c r="N2203" s="255"/>
      <c r="O2203" s="61">
        <f t="shared" si="198"/>
        <v>1900</v>
      </c>
      <c r="P2203" s="61">
        <f t="shared" si="199"/>
        <v>1</v>
      </c>
      <c r="R2203" s="272"/>
      <c r="S2203" s="272"/>
      <c r="T2203" s="273" t="str">
        <f t="shared" si="200"/>
        <v>-</v>
      </c>
    </row>
    <row r="2204" spans="9:20">
      <c r="I2204" s="213"/>
      <c r="J2204" s="213"/>
      <c r="L2204" s="272">
        <f t="shared" si="196"/>
        <v>1900</v>
      </c>
      <c r="M2204" s="272">
        <f t="shared" si="197"/>
        <v>1</v>
      </c>
      <c r="N2204" s="255"/>
      <c r="O2204" s="61">
        <f t="shared" si="198"/>
        <v>1900</v>
      </c>
      <c r="P2204" s="61">
        <f t="shared" si="199"/>
        <v>1</v>
      </c>
      <c r="R2204" s="272"/>
      <c r="S2204" s="272"/>
      <c r="T2204" s="273" t="str">
        <f t="shared" si="200"/>
        <v>-</v>
      </c>
    </row>
    <row r="2205" spans="9:20">
      <c r="I2205" s="213"/>
      <c r="J2205" s="213"/>
      <c r="L2205" s="272">
        <f t="shared" si="196"/>
        <v>1900</v>
      </c>
      <c r="M2205" s="272">
        <f t="shared" si="197"/>
        <v>1</v>
      </c>
      <c r="N2205" s="255"/>
      <c r="O2205" s="61">
        <f t="shared" si="198"/>
        <v>1900</v>
      </c>
      <c r="P2205" s="61">
        <f t="shared" si="199"/>
        <v>1</v>
      </c>
      <c r="R2205" s="272"/>
      <c r="S2205" s="272"/>
      <c r="T2205" s="273" t="str">
        <f t="shared" si="200"/>
        <v>-</v>
      </c>
    </row>
    <row r="2206" spans="9:20">
      <c r="I2206" s="213"/>
      <c r="J2206" s="213"/>
      <c r="L2206" s="272">
        <f t="shared" si="196"/>
        <v>1900</v>
      </c>
      <c r="M2206" s="272">
        <f t="shared" si="197"/>
        <v>1</v>
      </c>
      <c r="N2206" s="255"/>
      <c r="O2206" s="61">
        <f t="shared" si="198"/>
        <v>1900</v>
      </c>
      <c r="P2206" s="61">
        <f t="shared" si="199"/>
        <v>1</v>
      </c>
      <c r="R2206" s="272"/>
      <c r="S2206" s="272"/>
      <c r="T2206" s="273" t="str">
        <f t="shared" si="200"/>
        <v>-</v>
      </c>
    </row>
    <row r="2207" spans="9:20">
      <c r="I2207" s="213"/>
      <c r="J2207" s="213"/>
      <c r="L2207" s="272">
        <f t="shared" si="196"/>
        <v>1900</v>
      </c>
      <c r="M2207" s="272">
        <f t="shared" si="197"/>
        <v>1</v>
      </c>
      <c r="N2207" s="255"/>
      <c r="O2207" s="61">
        <f t="shared" si="198"/>
        <v>1900</v>
      </c>
      <c r="P2207" s="61">
        <f t="shared" si="199"/>
        <v>1</v>
      </c>
      <c r="R2207" s="272"/>
      <c r="S2207" s="272"/>
      <c r="T2207" s="273" t="str">
        <f t="shared" si="200"/>
        <v>-</v>
      </c>
    </row>
    <row r="2208" spans="9:20">
      <c r="I2208" s="213"/>
      <c r="J2208" s="213"/>
      <c r="L2208" s="272">
        <f t="shared" si="196"/>
        <v>1900</v>
      </c>
      <c r="M2208" s="272">
        <f t="shared" si="197"/>
        <v>1</v>
      </c>
      <c r="N2208" s="255"/>
      <c r="O2208" s="61">
        <f t="shared" si="198"/>
        <v>1900</v>
      </c>
      <c r="P2208" s="61">
        <f t="shared" si="199"/>
        <v>1</v>
      </c>
      <c r="R2208" s="272"/>
      <c r="S2208" s="272"/>
      <c r="T2208" s="273" t="str">
        <f t="shared" si="200"/>
        <v>-</v>
      </c>
    </row>
    <row r="2209" spans="9:20">
      <c r="I2209" s="213"/>
      <c r="J2209" s="213"/>
      <c r="L2209" s="272">
        <f t="shared" si="196"/>
        <v>1900</v>
      </c>
      <c r="M2209" s="272">
        <f t="shared" si="197"/>
        <v>1</v>
      </c>
      <c r="N2209" s="255"/>
      <c r="O2209" s="61">
        <f t="shared" si="198"/>
        <v>1900</v>
      </c>
      <c r="P2209" s="61">
        <f t="shared" si="199"/>
        <v>1</v>
      </c>
      <c r="R2209" s="272"/>
      <c r="S2209" s="272"/>
      <c r="T2209" s="273" t="str">
        <f t="shared" si="200"/>
        <v>-</v>
      </c>
    </row>
    <row r="2210" spans="9:20">
      <c r="I2210" s="213"/>
      <c r="J2210" s="213"/>
      <c r="L2210" s="272">
        <f t="shared" si="196"/>
        <v>1900</v>
      </c>
      <c r="M2210" s="272">
        <f t="shared" si="197"/>
        <v>1</v>
      </c>
      <c r="N2210" s="255"/>
      <c r="O2210" s="61">
        <f t="shared" si="198"/>
        <v>1900</v>
      </c>
      <c r="P2210" s="61">
        <f t="shared" si="199"/>
        <v>1</v>
      </c>
      <c r="R2210" s="272"/>
      <c r="S2210" s="272"/>
      <c r="T2210" s="273" t="str">
        <f t="shared" si="200"/>
        <v>-</v>
      </c>
    </row>
    <row r="2211" spans="9:20">
      <c r="I2211" s="213"/>
      <c r="J2211" s="213"/>
      <c r="L2211" s="272">
        <f t="shared" si="196"/>
        <v>1900</v>
      </c>
      <c r="M2211" s="272">
        <f t="shared" si="197"/>
        <v>1</v>
      </c>
      <c r="N2211" s="255"/>
      <c r="O2211" s="61">
        <f t="shared" si="198"/>
        <v>1900</v>
      </c>
      <c r="P2211" s="61">
        <f t="shared" si="199"/>
        <v>1</v>
      </c>
      <c r="R2211" s="272"/>
      <c r="S2211" s="272"/>
      <c r="T2211" s="273" t="str">
        <f t="shared" si="200"/>
        <v>-</v>
      </c>
    </row>
    <row r="2212" spans="9:20">
      <c r="I2212" s="213"/>
      <c r="J2212" s="213"/>
      <c r="L2212" s="272">
        <f t="shared" si="196"/>
        <v>1900</v>
      </c>
      <c r="M2212" s="272">
        <f t="shared" si="197"/>
        <v>1</v>
      </c>
      <c r="N2212" s="255"/>
      <c r="O2212" s="61">
        <f t="shared" si="198"/>
        <v>1900</v>
      </c>
      <c r="P2212" s="61">
        <f t="shared" si="199"/>
        <v>1</v>
      </c>
      <c r="R2212" s="272"/>
      <c r="S2212" s="272"/>
      <c r="T2212" s="273" t="str">
        <f t="shared" si="200"/>
        <v>-</v>
      </c>
    </row>
    <row r="2213" spans="9:20">
      <c r="I2213" s="213"/>
      <c r="J2213" s="213"/>
      <c r="L2213" s="272">
        <f t="shared" si="196"/>
        <v>1900</v>
      </c>
      <c r="M2213" s="272">
        <f t="shared" si="197"/>
        <v>1</v>
      </c>
      <c r="N2213" s="255"/>
      <c r="O2213" s="61">
        <f t="shared" si="198"/>
        <v>1900</v>
      </c>
      <c r="P2213" s="61">
        <f t="shared" si="199"/>
        <v>1</v>
      </c>
      <c r="R2213" s="272"/>
      <c r="S2213" s="272"/>
      <c r="T2213" s="273" t="str">
        <f t="shared" si="200"/>
        <v>-</v>
      </c>
    </row>
    <row r="2214" spans="9:20">
      <c r="I2214" s="213"/>
      <c r="J2214" s="213"/>
      <c r="L2214" s="272">
        <f t="shared" si="196"/>
        <v>1900</v>
      </c>
      <c r="M2214" s="272">
        <f t="shared" si="197"/>
        <v>1</v>
      </c>
      <c r="N2214" s="255"/>
      <c r="O2214" s="61">
        <f t="shared" si="198"/>
        <v>1900</v>
      </c>
      <c r="P2214" s="61">
        <f t="shared" si="199"/>
        <v>1</v>
      </c>
      <c r="R2214" s="272"/>
      <c r="S2214" s="272"/>
      <c r="T2214" s="273" t="str">
        <f t="shared" si="200"/>
        <v>-</v>
      </c>
    </row>
    <row r="2215" spans="9:20">
      <c r="I2215" s="213"/>
      <c r="J2215" s="213"/>
      <c r="L2215" s="272">
        <f t="shared" si="196"/>
        <v>1900</v>
      </c>
      <c r="M2215" s="272">
        <f t="shared" si="197"/>
        <v>1</v>
      </c>
      <c r="N2215" s="255"/>
      <c r="O2215" s="61">
        <f t="shared" si="198"/>
        <v>1900</v>
      </c>
      <c r="P2215" s="61">
        <f t="shared" si="199"/>
        <v>1</v>
      </c>
      <c r="R2215" s="272"/>
      <c r="S2215" s="272"/>
      <c r="T2215" s="273" t="str">
        <f t="shared" si="200"/>
        <v>-</v>
      </c>
    </row>
    <row r="2216" spans="9:20">
      <c r="I2216" s="213"/>
      <c r="J2216" s="213"/>
      <c r="L2216" s="272">
        <f t="shared" si="196"/>
        <v>1900</v>
      </c>
      <c r="M2216" s="272">
        <f t="shared" si="197"/>
        <v>1</v>
      </c>
      <c r="N2216" s="255"/>
      <c r="O2216" s="61">
        <f t="shared" si="198"/>
        <v>1900</v>
      </c>
      <c r="P2216" s="61">
        <f t="shared" si="199"/>
        <v>1</v>
      </c>
      <c r="R2216" s="272"/>
      <c r="S2216" s="272"/>
      <c r="T2216" s="273" t="str">
        <f t="shared" si="200"/>
        <v>-</v>
      </c>
    </row>
    <row r="2217" spans="9:20">
      <c r="I2217" s="213"/>
      <c r="J2217" s="213"/>
      <c r="L2217" s="272">
        <f t="shared" si="196"/>
        <v>1900</v>
      </c>
      <c r="M2217" s="272">
        <f t="shared" si="197"/>
        <v>1</v>
      </c>
      <c r="N2217" s="255"/>
      <c r="O2217" s="61">
        <f t="shared" si="198"/>
        <v>1900</v>
      </c>
      <c r="P2217" s="61">
        <f t="shared" si="199"/>
        <v>1</v>
      </c>
      <c r="R2217" s="272"/>
      <c r="S2217" s="272"/>
      <c r="T2217" s="273" t="str">
        <f t="shared" si="200"/>
        <v>-</v>
      </c>
    </row>
    <row r="2218" spans="9:20">
      <c r="I2218" s="213"/>
      <c r="J2218" s="213"/>
      <c r="L2218" s="272">
        <f t="shared" si="196"/>
        <v>1900</v>
      </c>
      <c r="M2218" s="272">
        <f t="shared" si="197"/>
        <v>1</v>
      </c>
      <c r="N2218" s="255"/>
      <c r="O2218" s="61">
        <f t="shared" si="198"/>
        <v>1900</v>
      </c>
      <c r="P2218" s="61">
        <f t="shared" si="199"/>
        <v>1</v>
      </c>
      <c r="R2218" s="272"/>
      <c r="S2218" s="272"/>
      <c r="T2218" s="273" t="str">
        <f t="shared" si="200"/>
        <v>-</v>
      </c>
    </row>
    <row r="2219" spans="9:20">
      <c r="I2219" s="213"/>
      <c r="J2219" s="213"/>
      <c r="L2219" s="272">
        <f t="shared" si="196"/>
        <v>1900</v>
      </c>
      <c r="M2219" s="272">
        <f t="shared" si="197"/>
        <v>1</v>
      </c>
      <c r="N2219" s="255"/>
      <c r="O2219" s="61">
        <f t="shared" si="198"/>
        <v>1900</v>
      </c>
      <c r="P2219" s="61">
        <f t="shared" si="199"/>
        <v>1</v>
      </c>
      <c r="R2219" s="272"/>
      <c r="S2219" s="272"/>
      <c r="T2219" s="273" t="str">
        <f t="shared" si="200"/>
        <v>-</v>
      </c>
    </row>
    <row r="2220" spans="9:20">
      <c r="I2220" s="213"/>
      <c r="J2220" s="213"/>
      <c r="L2220" s="272">
        <f t="shared" si="196"/>
        <v>1900</v>
      </c>
      <c r="M2220" s="272">
        <f t="shared" si="197"/>
        <v>1</v>
      </c>
      <c r="N2220" s="255"/>
      <c r="O2220" s="61">
        <f t="shared" si="198"/>
        <v>1900</v>
      </c>
      <c r="P2220" s="61">
        <f t="shared" si="199"/>
        <v>1</v>
      </c>
      <c r="R2220" s="272"/>
      <c r="S2220" s="272"/>
      <c r="T2220" s="273" t="str">
        <f t="shared" si="200"/>
        <v>-</v>
      </c>
    </row>
    <row r="2221" spans="9:20">
      <c r="I2221" s="213"/>
      <c r="J2221" s="213"/>
      <c r="L2221" s="272">
        <f t="shared" si="196"/>
        <v>1900</v>
      </c>
      <c r="M2221" s="272">
        <f t="shared" si="197"/>
        <v>1</v>
      </c>
      <c r="N2221" s="255"/>
      <c r="O2221" s="61">
        <f t="shared" si="198"/>
        <v>1900</v>
      </c>
      <c r="P2221" s="61">
        <f t="shared" si="199"/>
        <v>1</v>
      </c>
      <c r="R2221" s="272"/>
      <c r="S2221" s="272"/>
      <c r="T2221" s="273" t="str">
        <f t="shared" si="200"/>
        <v>-</v>
      </c>
    </row>
    <row r="2222" spans="9:20">
      <c r="I2222" s="213"/>
      <c r="J2222" s="213"/>
      <c r="L2222" s="272">
        <f t="shared" si="196"/>
        <v>1900</v>
      </c>
      <c r="M2222" s="272">
        <f t="shared" si="197"/>
        <v>1</v>
      </c>
      <c r="N2222" s="255"/>
      <c r="O2222" s="61">
        <f t="shared" si="198"/>
        <v>1900</v>
      </c>
      <c r="P2222" s="61">
        <f t="shared" si="199"/>
        <v>1</v>
      </c>
      <c r="R2222" s="272"/>
      <c r="S2222" s="272"/>
      <c r="T2222" s="273" t="str">
        <f t="shared" si="200"/>
        <v>-</v>
      </c>
    </row>
    <row r="2223" spans="9:20">
      <c r="I2223" s="213"/>
      <c r="J2223" s="213"/>
      <c r="L2223" s="272">
        <f t="shared" si="196"/>
        <v>1900</v>
      </c>
      <c r="M2223" s="272">
        <f t="shared" si="197"/>
        <v>1</v>
      </c>
      <c r="N2223" s="255"/>
      <c r="O2223" s="61">
        <f t="shared" si="198"/>
        <v>1900</v>
      </c>
      <c r="P2223" s="61">
        <f t="shared" si="199"/>
        <v>1</v>
      </c>
      <c r="R2223" s="272"/>
      <c r="S2223" s="272"/>
      <c r="T2223" s="273" t="str">
        <f t="shared" si="200"/>
        <v>-</v>
      </c>
    </row>
    <row r="2224" spans="9:20">
      <c r="I2224" s="213"/>
      <c r="J2224" s="213"/>
      <c r="L2224" s="272">
        <f t="shared" si="196"/>
        <v>1900</v>
      </c>
      <c r="M2224" s="272">
        <f t="shared" si="197"/>
        <v>1</v>
      </c>
      <c r="N2224" s="255"/>
      <c r="O2224" s="61">
        <f t="shared" si="198"/>
        <v>1900</v>
      </c>
      <c r="P2224" s="61">
        <f t="shared" si="199"/>
        <v>1</v>
      </c>
      <c r="R2224" s="272"/>
      <c r="S2224" s="272"/>
      <c r="T2224" s="273" t="str">
        <f t="shared" si="200"/>
        <v>-</v>
      </c>
    </row>
    <row r="2225" spans="9:20">
      <c r="I2225" s="213"/>
      <c r="J2225" s="213"/>
      <c r="L2225" s="272">
        <f t="shared" si="196"/>
        <v>1900</v>
      </c>
      <c r="M2225" s="272">
        <f t="shared" si="197"/>
        <v>1</v>
      </c>
      <c r="N2225" s="255"/>
      <c r="O2225" s="61">
        <f t="shared" si="198"/>
        <v>1900</v>
      </c>
      <c r="P2225" s="61">
        <f t="shared" si="199"/>
        <v>1</v>
      </c>
      <c r="R2225" s="272"/>
      <c r="S2225" s="272"/>
      <c r="T2225" s="273" t="str">
        <f t="shared" si="200"/>
        <v>-</v>
      </c>
    </row>
    <row r="2226" spans="9:20">
      <c r="I2226" s="213"/>
      <c r="J2226" s="213"/>
      <c r="L2226" s="272">
        <f t="shared" si="196"/>
        <v>1900</v>
      </c>
      <c r="M2226" s="272">
        <f t="shared" si="197"/>
        <v>1</v>
      </c>
      <c r="N2226" s="255"/>
      <c r="O2226" s="61">
        <f t="shared" si="198"/>
        <v>1900</v>
      </c>
      <c r="P2226" s="61">
        <f t="shared" si="199"/>
        <v>1</v>
      </c>
      <c r="R2226" s="272"/>
      <c r="S2226" s="272"/>
      <c r="T2226" s="273" t="str">
        <f t="shared" si="200"/>
        <v>-</v>
      </c>
    </row>
    <row r="2227" spans="9:20">
      <c r="I2227" s="213"/>
      <c r="J2227" s="213"/>
      <c r="L2227" s="272">
        <f t="shared" si="196"/>
        <v>1900</v>
      </c>
      <c r="M2227" s="272">
        <f t="shared" si="197"/>
        <v>1</v>
      </c>
      <c r="N2227" s="255"/>
      <c r="O2227" s="61">
        <f t="shared" si="198"/>
        <v>1900</v>
      </c>
      <c r="P2227" s="61">
        <f t="shared" si="199"/>
        <v>1</v>
      </c>
      <c r="R2227" s="272"/>
      <c r="S2227" s="272"/>
      <c r="T2227" s="273" t="str">
        <f t="shared" si="200"/>
        <v>-</v>
      </c>
    </row>
    <row r="2228" spans="9:20">
      <c r="I2228" s="213"/>
      <c r="J2228" s="213"/>
      <c r="L2228" s="272">
        <f t="shared" si="196"/>
        <v>1900</v>
      </c>
      <c r="M2228" s="272">
        <f t="shared" si="197"/>
        <v>1</v>
      </c>
      <c r="N2228" s="255"/>
      <c r="O2228" s="61">
        <f t="shared" si="198"/>
        <v>1900</v>
      </c>
      <c r="P2228" s="61">
        <f t="shared" si="199"/>
        <v>1</v>
      </c>
      <c r="R2228" s="272"/>
      <c r="S2228" s="272"/>
      <c r="T2228" s="273" t="str">
        <f t="shared" si="200"/>
        <v>-</v>
      </c>
    </row>
    <row r="2229" spans="9:20">
      <c r="I2229" s="213"/>
      <c r="J2229" s="213"/>
      <c r="L2229" s="272">
        <f t="shared" si="196"/>
        <v>1900</v>
      </c>
      <c r="M2229" s="272">
        <f t="shared" si="197"/>
        <v>1</v>
      </c>
      <c r="N2229" s="255"/>
      <c r="O2229" s="61">
        <f t="shared" si="198"/>
        <v>1900</v>
      </c>
      <c r="P2229" s="61">
        <f t="shared" si="199"/>
        <v>1</v>
      </c>
      <c r="R2229" s="272"/>
      <c r="S2229" s="272"/>
      <c r="T2229" s="273" t="str">
        <f t="shared" si="200"/>
        <v>-</v>
      </c>
    </row>
    <row r="2230" spans="9:20">
      <c r="I2230" s="213"/>
      <c r="J2230" s="213"/>
      <c r="L2230" s="272">
        <f t="shared" si="196"/>
        <v>1900</v>
      </c>
      <c r="M2230" s="272">
        <f t="shared" si="197"/>
        <v>1</v>
      </c>
      <c r="N2230" s="255"/>
      <c r="O2230" s="61">
        <f t="shared" si="198"/>
        <v>1900</v>
      </c>
      <c r="P2230" s="61">
        <f t="shared" si="199"/>
        <v>1</v>
      </c>
      <c r="R2230" s="272"/>
      <c r="S2230" s="272"/>
      <c r="T2230" s="273" t="str">
        <f t="shared" si="200"/>
        <v>-</v>
      </c>
    </row>
    <row r="2231" spans="9:20">
      <c r="I2231" s="213"/>
      <c r="J2231" s="213"/>
      <c r="L2231" s="272">
        <f t="shared" si="196"/>
        <v>1900</v>
      </c>
      <c r="M2231" s="272">
        <f t="shared" si="197"/>
        <v>1</v>
      </c>
      <c r="N2231" s="255"/>
      <c r="O2231" s="61">
        <f t="shared" si="198"/>
        <v>1900</v>
      </c>
      <c r="P2231" s="61">
        <f t="shared" si="199"/>
        <v>1</v>
      </c>
      <c r="R2231" s="272"/>
      <c r="S2231" s="272"/>
      <c r="T2231" s="273" t="str">
        <f t="shared" si="200"/>
        <v>-</v>
      </c>
    </row>
    <row r="2232" spans="9:20">
      <c r="I2232" s="213"/>
      <c r="J2232" s="213"/>
      <c r="L2232" s="272">
        <f t="shared" si="196"/>
        <v>1900</v>
      </c>
      <c r="M2232" s="272">
        <f t="shared" si="197"/>
        <v>1</v>
      </c>
      <c r="N2232" s="255"/>
      <c r="O2232" s="61">
        <f t="shared" si="198"/>
        <v>1900</v>
      </c>
      <c r="P2232" s="61">
        <f t="shared" si="199"/>
        <v>1</v>
      </c>
      <c r="R2232" s="272"/>
      <c r="S2232" s="272"/>
      <c r="T2232" s="273" t="str">
        <f t="shared" si="200"/>
        <v>-</v>
      </c>
    </row>
    <row r="2233" spans="9:20">
      <c r="I2233" s="213"/>
      <c r="J2233" s="213"/>
      <c r="L2233" s="272">
        <f t="shared" si="196"/>
        <v>1900</v>
      </c>
      <c r="M2233" s="272">
        <f t="shared" si="197"/>
        <v>1</v>
      </c>
      <c r="N2233" s="255"/>
      <c r="O2233" s="61">
        <f t="shared" si="198"/>
        <v>1900</v>
      </c>
      <c r="P2233" s="61">
        <f t="shared" si="199"/>
        <v>1</v>
      </c>
      <c r="R2233" s="272"/>
      <c r="S2233" s="272"/>
      <c r="T2233" s="273" t="str">
        <f t="shared" si="200"/>
        <v>-</v>
      </c>
    </row>
    <row r="2234" spans="9:20">
      <c r="I2234" s="213"/>
      <c r="J2234" s="213"/>
      <c r="L2234" s="272">
        <f t="shared" si="196"/>
        <v>1900</v>
      </c>
      <c r="M2234" s="272">
        <f t="shared" si="197"/>
        <v>1</v>
      </c>
      <c r="N2234" s="255"/>
      <c r="O2234" s="61">
        <f t="shared" si="198"/>
        <v>1900</v>
      </c>
      <c r="P2234" s="61">
        <f t="shared" si="199"/>
        <v>1</v>
      </c>
      <c r="R2234" s="272"/>
      <c r="S2234" s="272"/>
      <c r="T2234" s="273" t="str">
        <f t="shared" si="200"/>
        <v>-</v>
      </c>
    </row>
    <row r="2235" spans="9:20">
      <c r="I2235" s="213"/>
      <c r="J2235" s="213"/>
      <c r="L2235" s="272">
        <f t="shared" si="196"/>
        <v>1900</v>
      </c>
      <c r="M2235" s="272">
        <f t="shared" si="197"/>
        <v>1</v>
      </c>
      <c r="N2235" s="255"/>
      <c r="O2235" s="61">
        <f t="shared" si="198"/>
        <v>1900</v>
      </c>
      <c r="P2235" s="61">
        <f t="shared" si="199"/>
        <v>1</v>
      </c>
      <c r="R2235" s="272"/>
      <c r="S2235" s="272"/>
      <c r="T2235" s="273" t="str">
        <f t="shared" si="200"/>
        <v>-</v>
      </c>
    </row>
    <row r="2236" spans="9:20">
      <c r="I2236" s="213"/>
      <c r="J2236" s="213"/>
      <c r="L2236" s="272">
        <f t="shared" si="196"/>
        <v>1900</v>
      </c>
      <c r="M2236" s="272">
        <f t="shared" si="197"/>
        <v>1</v>
      </c>
      <c r="N2236" s="255"/>
      <c r="O2236" s="61">
        <f t="shared" si="198"/>
        <v>1900</v>
      </c>
      <c r="P2236" s="61">
        <f t="shared" si="199"/>
        <v>1</v>
      </c>
      <c r="R2236" s="272"/>
      <c r="S2236" s="272"/>
      <c r="T2236" s="273" t="str">
        <f t="shared" si="200"/>
        <v>-</v>
      </c>
    </row>
    <row r="2237" spans="9:20">
      <c r="I2237" s="213"/>
      <c r="J2237" s="213"/>
      <c r="L2237" s="272">
        <f t="shared" si="196"/>
        <v>1900</v>
      </c>
      <c r="M2237" s="272">
        <f t="shared" si="197"/>
        <v>1</v>
      </c>
      <c r="N2237" s="255"/>
      <c r="O2237" s="61">
        <f t="shared" si="198"/>
        <v>1900</v>
      </c>
      <c r="P2237" s="61">
        <f t="shared" si="199"/>
        <v>1</v>
      </c>
      <c r="R2237" s="272"/>
      <c r="S2237" s="272"/>
      <c r="T2237" s="273" t="str">
        <f t="shared" si="200"/>
        <v>-</v>
      </c>
    </row>
    <row r="2238" spans="9:20">
      <c r="I2238" s="213"/>
      <c r="J2238" s="213"/>
      <c r="L2238" s="272">
        <f t="shared" si="196"/>
        <v>1900</v>
      </c>
      <c r="M2238" s="272">
        <f t="shared" si="197"/>
        <v>1</v>
      </c>
      <c r="N2238" s="255"/>
      <c r="O2238" s="61">
        <f t="shared" si="198"/>
        <v>1900</v>
      </c>
      <c r="P2238" s="61">
        <f t="shared" si="199"/>
        <v>1</v>
      </c>
      <c r="R2238" s="272"/>
      <c r="S2238" s="272"/>
      <c r="T2238" s="273" t="str">
        <f t="shared" si="200"/>
        <v>-</v>
      </c>
    </row>
    <row r="2239" spans="9:20">
      <c r="I2239" s="213"/>
      <c r="J2239" s="213"/>
      <c r="L2239" s="272">
        <f t="shared" si="196"/>
        <v>1900</v>
      </c>
      <c r="M2239" s="272">
        <f t="shared" si="197"/>
        <v>1</v>
      </c>
      <c r="N2239" s="255"/>
      <c r="O2239" s="61">
        <f t="shared" si="198"/>
        <v>1900</v>
      </c>
      <c r="P2239" s="61">
        <f t="shared" si="199"/>
        <v>1</v>
      </c>
      <c r="R2239" s="272"/>
      <c r="S2239" s="272"/>
      <c r="T2239" s="273" t="str">
        <f t="shared" si="200"/>
        <v>-</v>
      </c>
    </row>
    <row r="2240" spans="9:20">
      <c r="I2240" s="213"/>
      <c r="J2240" s="213"/>
      <c r="L2240" s="272">
        <f t="shared" si="196"/>
        <v>1900</v>
      </c>
      <c r="M2240" s="272">
        <f t="shared" si="197"/>
        <v>1</v>
      </c>
      <c r="N2240" s="255"/>
      <c r="O2240" s="61">
        <f t="shared" si="198"/>
        <v>1900</v>
      </c>
      <c r="P2240" s="61">
        <f t="shared" si="199"/>
        <v>1</v>
      </c>
      <c r="R2240" s="272"/>
      <c r="S2240" s="272"/>
      <c r="T2240" s="273" t="str">
        <f t="shared" si="200"/>
        <v>-</v>
      </c>
    </row>
    <row r="2241" spans="9:20">
      <c r="I2241" s="213"/>
      <c r="J2241" s="213"/>
      <c r="L2241" s="272">
        <f t="shared" si="196"/>
        <v>1900</v>
      </c>
      <c r="M2241" s="272">
        <f t="shared" si="197"/>
        <v>1</v>
      </c>
      <c r="N2241" s="255"/>
      <c r="O2241" s="61">
        <f t="shared" si="198"/>
        <v>1900</v>
      </c>
      <c r="P2241" s="61">
        <f t="shared" si="199"/>
        <v>1</v>
      </c>
      <c r="R2241" s="272"/>
      <c r="S2241" s="272"/>
      <c r="T2241" s="273" t="str">
        <f t="shared" si="200"/>
        <v>-</v>
      </c>
    </row>
    <row r="2242" spans="9:20">
      <c r="I2242" s="213"/>
      <c r="J2242" s="213"/>
      <c r="L2242" s="272">
        <f t="shared" si="196"/>
        <v>1900</v>
      </c>
      <c r="M2242" s="272">
        <f t="shared" si="197"/>
        <v>1</v>
      </c>
      <c r="N2242" s="255"/>
      <c r="O2242" s="61">
        <f t="shared" si="198"/>
        <v>1900</v>
      </c>
      <c r="P2242" s="61">
        <f t="shared" si="199"/>
        <v>1</v>
      </c>
      <c r="R2242" s="272"/>
      <c r="S2242" s="272"/>
      <c r="T2242" s="273" t="str">
        <f t="shared" si="200"/>
        <v>-</v>
      </c>
    </row>
    <row r="2243" spans="9:20">
      <c r="I2243" s="213"/>
      <c r="J2243" s="213"/>
      <c r="L2243" s="272">
        <f t="shared" si="196"/>
        <v>1900</v>
      </c>
      <c r="M2243" s="272">
        <f t="shared" si="197"/>
        <v>1</v>
      </c>
      <c r="N2243" s="255"/>
      <c r="O2243" s="61">
        <f t="shared" si="198"/>
        <v>1900</v>
      </c>
      <c r="P2243" s="61">
        <f t="shared" si="199"/>
        <v>1</v>
      </c>
      <c r="R2243" s="272"/>
      <c r="S2243" s="272"/>
      <c r="T2243" s="273" t="str">
        <f t="shared" si="200"/>
        <v>-</v>
      </c>
    </row>
    <row r="2244" spans="9:20">
      <c r="I2244" s="213"/>
      <c r="J2244" s="213"/>
      <c r="L2244" s="272">
        <f t="shared" si="196"/>
        <v>1900</v>
      </c>
      <c r="M2244" s="272">
        <f t="shared" si="197"/>
        <v>1</v>
      </c>
      <c r="N2244" s="255"/>
      <c r="O2244" s="61">
        <f t="shared" si="198"/>
        <v>1900</v>
      </c>
      <c r="P2244" s="61">
        <f t="shared" si="199"/>
        <v>1</v>
      </c>
      <c r="R2244" s="272"/>
      <c r="S2244" s="272"/>
      <c r="T2244" s="273" t="str">
        <f t="shared" si="200"/>
        <v>-</v>
      </c>
    </row>
    <row r="2245" spans="9:20">
      <c r="I2245" s="213"/>
      <c r="J2245" s="213"/>
      <c r="L2245" s="272">
        <f t="shared" si="196"/>
        <v>1900</v>
      </c>
      <c r="M2245" s="272">
        <f t="shared" si="197"/>
        <v>1</v>
      </c>
      <c r="N2245" s="255"/>
      <c r="O2245" s="61">
        <f t="shared" si="198"/>
        <v>1900</v>
      </c>
      <c r="P2245" s="61">
        <f t="shared" si="199"/>
        <v>1</v>
      </c>
      <c r="R2245" s="272"/>
      <c r="S2245" s="272"/>
      <c r="T2245" s="273" t="str">
        <f t="shared" si="200"/>
        <v>-</v>
      </c>
    </row>
    <row r="2246" spans="9:20">
      <c r="I2246" s="213"/>
      <c r="J2246" s="213"/>
      <c r="L2246" s="272">
        <f t="shared" si="196"/>
        <v>1900</v>
      </c>
      <c r="M2246" s="272">
        <f t="shared" si="197"/>
        <v>1</v>
      </c>
      <c r="N2246" s="255"/>
      <c r="O2246" s="61">
        <f t="shared" si="198"/>
        <v>1900</v>
      </c>
      <c r="P2246" s="61">
        <f t="shared" si="199"/>
        <v>1</v>
      </c>
      <c r="R2246" s="272"/>
      <c r="S2246" s="272"/>
      <c r="T2246" s="273" t="str">
        <f t="shared" si="200"/>
        <v>-</v>
      </c>
    </row>
    <row r="2247" spans="9:20">
      <c r="I2247" s="213"/>
      <c r="J2247" s="213"/>
      <c r="L2247" s="272">
        <f t="shared" si="196"/>
        <v>1900</v>
      </c>
      <c r="M2247" s="272">
        <f t="shared" si="197"/>
        <v>1</v>
      </c>
      <c r="N2247" s="255"/>
      <c r="O2247" s="61">
        <f t="shared" si="198"/>
        <v>1900</v>
      </c>
      <c r="P2247" s="61">
        <f t="shared" si="199"/>
        <v>1</v>
      </c>
      <c r="R2247" s="272"/>
      <c r="S2247" s="272"/>
      <c r="T2247" s="273" t="str">
        <f t="shared" si="200"/>
        <v>-</v>
      </c>
    </row>
    <row r="2248" spans="9:20">
      <c r="I2248" s="213"/>
      <c r="J2248" s="213"/>
      <c r="L2248" s="272">
        <f t="shared" si="196"/>
        <v>1900</v>
      </c>
      <c r="M2248" s="272">
        <f t="shared" si="197"/>
        <v>1</v>
      </c>
      <c r="N2248" s="255"/>
      <c r="O2248" s="61">
        <f t="shared" si="198"/>
        <v>1900</v>
      </c>
      <c r="P2248" s="61">
        <f t="shared" si="199"/>
        <v>1</v>
      </c>
      <c r="R2248" s="272"/>
      <c r="S2248" s="272"/>
      <c r="T2248" s="273" t="str">
        <f t="shared" si="200"/>
        <v>-</v>
      </c>
    </row>
    <row r="2249" spans="9:20">
      <c r="I2249" s="213"/>
      <c r="J2249" s="213"/>
      <c r="L2249" s="272">
        <f t="shared" si="196"/>
        <v>1900</v>
      </c>
      <c r="M2249" s="272">
        <f t="shared" si="197"/>
        <v>1</v>
      </c>
      <c r="N2249" s="255"/>
      <c r="O2249" s="61">
        <f t="shared" si="198"/>
        <v>1900</v>
      </c>
      <c r="P2249" s="61">
        <f t="shared" si="199"/>
        <v>1</v>
      </c>
      <c r="R2249" s="272"/>
      <c r="S2249" s="272"/>
      <c r="T2249" s="273" t="str">
        <f t="shared" si="200"/>
        <v>-</v>
      </c>
    </row>
    <row r="2250" spans="9:20">
      <c r="I2250" s="213"/>
      <c r="J2250" s="213"/>
      <c r="L2250" s="272">
        <f t="shared" si="196"/>
        <v>1900</v>
      </c>
      <c r="M2250" s="272">
        <f t="shared" si="197"/>
        <v>1</v>
      </c>
      <c r="N2250" s="255"/>
      <c r="O2250" s="61">
        <f t="shared" si="198"/>
        <v>1900</v>
      </c>
      <c r="P2250" s="61">
        <f t="shared" si="199"/>
        <v>1</v>
      </c>
      <c r="R2250" s="272"/>
      <c r="S2250" s="272"/>
      <c r="T2250" s="273" t="str">
        <f t="shared" si="200"/>
        <v>-</v>
      </c>
    </row>
    <row r="2251" spans="9:20">
      <c r="I2251" s="213"/>
      <c r="J2251" s="213"/>
      <c r="L2251" s="272">
        <f t="shared" si="196"/>
        <v>1900</v>
      </c>
      <c r="M2251" s="272">
        <f t="shared" si="197"/>
        <v>1</v>
      </c>
      <c r="N2251" s="255"/>
      <c r="O2251" s="61">
        <f t="shared" si="198"/>
        <v>1900</v>
      </c>
      <c r="P2251" s="61">
        <f t="shared" si="199"/>
        <v>1</v>
      </c>
      <c r="R2251" s="272"/>
      <c r="S2251" s="272"/>
      <c r="T2251" s="273" t="str">
        <f t="shared" si="200"/>
        <v>-</v>
      </c>
    </row>
    <row r="2252" spans="9:20">
      <c r="I2252" s="213"/>
      <c r="J2252" s="213"/>
      <c r="L2252" s="272">
        <f t="shared" si="196"/>
        <v>1900</v>
      </c>
      <c r="M2252" s="272">
        <f t="shared" si="197"/>
        <v>1</v>
      </c>
      <c r="N2252" s="255"/>
      <c r="O2252" s="61">
        <f t="shared" si="198"/>
        <v>1900</v>
      </c>
      <c r="P2252" s="61">
        <f t="shared" si="199"/>
        <v>1</v>
      </c>
      <c r="R2252" s="272"/>
      <c r="S2252" s="272"/>
      <c r="T2252" s="273" t="str">
        <f t="shared" si="200"/>
        <v>-</v>
      </c>
    </row>
    <row r="2253" spans="9:20">
      <c r="I2253" s="213"/>
      <c r="J2253" s="213"/>
      <c r="L2253" s="272">
        <f t="shared" si="196"/>
        <v>1900</v>
      </c>
      <c r="M2253" s="272">
        <f t="shared" si="197"/>
        <v>1</v>
      </c>
      <c r="N2253" s="255"/>
      <c r="O2253" s="61">
        <f t="shared" si="198"/>
        <v>1900</v>
      </c>
      <c r="P2253" s="61">
        <f t="shared" si="199"/>
        <v>1</v>
      </c>
      <c r="R2253" s="272"/>
      <c r="S2253" s="272"/>
      <c r="T2253" s="273" t="str">
        <f t="shared" si="200"/>
        <v>-</v>
      </c>
    </row>
    <row r="2254" spans="9:20">
      <c r="I2254" s="213"/>
      <c r="J2254" s="213"/>
      <c r="L2254" s="272">
        <f t="shared" si="196"/>
        <v>1900</v>
      </c>
      <c r="M2254" s="272">
        <f t="shared" si="197"/>
        <v>1</v>
      </c>
      <c r="N2254" s="255"/>
      <c r="O2254" s="61">
        <f t="shared" si="198"/>
        <v>1900</v>
      </c>
      <c r="P2254" s="61">
        <f t="shared" si="199"/>
        <v>1</v>
      </c>
      <c r="R2254" s="272"/>
      <c r="S2254" s="272"/>
      <c r="T2254" s="273" t="str">
        <f t="shared" si="200"/>
        <v>-</v>
      </c>
    </row>
    <row r="2255" spans="9:20">
      <c r="I2255" s="213"/>
      <c r="J2255" s="213"/>
      <c r="L2255" s="272">
        <f t="shared" si="196"/>
        <v>1900</v>
      </c>
      <c r="M2255" s="272">
        <f t="shared" si="197"/>
        <v>1</v>
      </c>
      <c r="N2255" s="255"/>
      <c r="O2255" s="61">
        <f t="shared" si="198"/>
        <v>1900</v>
      </c>
      <c r="P2255" s="61">
        <f t="shared" si="199"/>
        <v>1</v>
      </c>
      <c r="R2255" s="272"/>
      <c r="S2255" s="272"/>
      <c r="T2255" s="273" t="str">
        <f t="shared" si="200"/>
        <v>-</v>
      </c>
    </row>
    <row r="2256" spans="9:20">
      <c r="I2256" s="213"/>
      <c r="J2256" s="213"/>
      <c r="L2256" s="272">
        <f t="shared" ref="L2256:L2319" si="201">YEAR(B2256)</f>
        <v>1900</v>
      </c>
      <c r="M2256" s="272">
        <f t="shared" ref="M2256:M2319" si="202">MONTH(B2256)</f>
        <v>1</v>
      </c>
      <c r="N2256" s="255"/>
      <c r="O2256" s="61">
        <f t="shared" ref="O2256:O2319" si="203">YEAR(B2256)</f>
        <v>1900</v>
      </c>
      <c r="P2256" s="61">
        <f t="shared" ref="P2256:P2319" si="204">MONTH(B2256)</f>
        <v>1</v>
      </c>
      <c r="R2256" s="272"/>
      <c r="S2256" s="272"/>
      <c r="T2256" s="273" t="str">
        <f t="shared" ref="T2256:T2319" si="205">IF($E2256&gt;0,IF((R2256+S2256)=$E2256,"OK","Error"),"-")</f>
        <v>-</v>
      </c>
    </row>
    <row r="2257" spans="9:20">
      <c r="I2257" s="213"/>
      <c r="J2257" s="213"/>
      <c r="L2257" s="272">
        <f t="shared" si="201"/>
        <v>1900</v>
      </c>
      <c r="M2257" s="272">
        <f t="shared" si="202"/>
        <v>1</v>
      </c>
      <c r="N2257" s="255"/>
      <c r="O2257" s="61">
        <f t="shared" si="203"/>
        <v>1900</v>
      </c>
      <c r="P2257" s="61">
        <f t="shared" si="204"/>
        <v>1</v>
      </c>
      <c r="R2257" s="272"/>
      <c r="S2257" s="272"/>
      <c r="T2257" s="273" t="str">
        <f t="shared" si="205"/>
        <v>-</v>
      </c>
    </row>
    <row r="2258" spans="9:20">
      <c r="I2258" s="213"/>
      <c r="J2258" s="213"/>
      <c r="L2258" s="272">
        <f t="shared" si="201"/>
        <v>1900</v>
      </c>
      <c r="M2258" s="272">
        <f t="shared" si="202"/>
        <v>1</v>
      </c>
      <c r="N2258" s="255"/>
      <c r="O2258" s="61">
        <f t="shared" si="203"/>
        <v>1900</v>
      </c>
      <c r="P2258" s="61">
        <f t="shared" si="204"/>
        <v>1</v>
      </c>
      <c r="R2258" s="272"/>
      <c r="S2258" s="272"/>
      <c r="T2258" s="273" t="str">
        <f t="shared" si="205"/>
        <v>-</v>
      </c>
    </row>
    <row r="2259" spans="9:20">
      <c r="I2259" s="213"/>
      <c r="J2259" s="213"/>
      <c r="L2259" s="272">
        <f t="shared" si="201"/>
        <v>1900</v>
      </c>
      <c r="M2259" s="272">
        <f t="shared" si="202"/>
        <v>1</v>
      </c>
      <c r="N2259" s="255"/>
      <c r="O2259" s="61">
        <f t="shared" si="203"/>
        <v>1900</v>
      </c>
      <c r="P2259" s="61">
        <f t="shared" si="204"/>
        <v>1</v>
      </c>
      <c r="R2259" s="272"/>
      <c r="S2259" s="272"/>
      <c r="T2259" s="273" t="str">
        <f t="shared" si="205"/>
        <v>-</v>
      </c>
    </row>
    <row r="2260" spans="9:20">
      <c r="I2260" s="213"/>
      <c r="J2260" s="213"/>
      <c r="L2260" s="272">
        <f t="shared" si="201"/>
        <v>1900</v>
      </c>
      <c r="M2260" s="272">
        <f t="shared" si="202"/>
        <v>1</v>
      </c>
      <c r="N2260" s="255"/>
      <c r="O2260" s="61">
        <f t="shared" si="203"/>
        <v>1900</v>
      </c>
      <c r="P2260" s="61">
        <f t="shared" si="204"/>
        <v>1</v>
      </c>
      <c r="R2260" s="272"/>
      <c r="S2260" s="272"/>
      <c r="T2260" s="273" t="str">
        <f t="shared" si="205"/>
        <v>-</v>
      </c>
    </row>
    <row r="2261" spans="9:20">
      <c r="I2261" s="213"/>
      <c r="J2261" s="213"/>
      <c r="L2261" s="272">
        <f t="shared" si="201"/>
        <v>1900</v>
      </c>
      <c r="M2261" s="272">
        <f t="shared" si="202"/>
        <v>1</v>
      </c>
      <c r="N2261" s="255"/>
      <c r="O2261" s="61">
        <f t="shared" si="203"/>
        <v>1900</v>
      </c>
      <c r="P2261" s="61">
        <f t="shared" si="204"/>
        <v>1</v>
      </c>
      <c r="R2261" s="272"/>
      <c r="S2261" s="272"/>
      <c r="T2261" s="273" t="str">
        <f t="shared" si="205"/>
        <v>-</v>
      </c>
    </row>
    <row r="2262" spans="9:20">
      <c r="I2262" s="213"/>
      <c r="J2262" s="213"/>
      <c r="L2262" s="272">
        <f t="shared" si="201"/>
        <v>1900</v>
      </c>
      <c r="M2262" s="272">
        <f t="shared" si="202"/>
        <v>1</v>
      </c>
      <c r="N2262" s="255"/>
      <c r="O2262" s="61">
        <f t="shared" si="203"/>
        <v>1900</v>
      </c>
      <c r="P2262" s="61">
        <f t="shared" si="204"/>
        <v>1</v>
      </c>
      <c r="R2262" s="272"/>
      <c r="S2262" s="272"/>
      <c r="T2262" s="273" t="str">
        <f t="shared" si="205"/>
        <v>-</v>
      </c>
    </row>
    <row r="2263" spans="9:20">
      <c r="I2263" s="213"/>
      <c r="J2263" s="213"/>
      <c r="L2263" s="272">
        <f t="shared" si="201"/>
        <v>1900</v>
      </c>
      <c r="M2263" s="272">
        <f t="shared" si="202"/>
        <v>1</v>
      </c>
      <c r="N2263" s="255"/>
      <c r="O2263" s="61">
        <f t="shared" si="203"/>
        <v>1900</v>
      </c>
      <c r="P2263" s="61">
        <f t="shared" si="204"/>
        <v>1</v>
      </c>
      <c r="R2263" s="272"/>
      <c r="S2263" s="272"/>
      <c r="T2263" s="273" t="str">
        <f t="shared" si="205"/>
        <v>-</v>
      </c>
    </row>
    <row r="2264" spans="9:20">
      <c r="I2264" s="213"/>
      <c r="J2264" s="213"/>
      <c r="L2264" s="272">
        <f t="shared" si="201"/>
        <v>1900</v>
      </c>
      <c r="M2264" s="272">
        <f t="shared" si="202"/>
        <v>1</v>
      </c>
      <c r="N2264" s="255"/>
      <c r="O2264" s="61">
        <f t="shared" si="203"/>
        <v>1900</v>
      </c>
      <c r="P2264" s="61">
        <f t="shared" si="204"/>
        <v>1</v>
      </c>
      <c r="R2264" s="272"/>
      <c r="S2264" s="272"/>
      <c r="T2264" s="273" t="str">
        <f t="shared" si="205"/>
        <v>-</v>
      </c>
    </row>
    <row r="2265" spans="9:20">
      <c r="I2265" s="213"/>
      <c r="J2265" s="213"/>
      <c r="L2265" s="272">
        <f t="shared" si="201"/>
        <v>1900</v>
      </c>
      <c r="M2265" s="272">
        <f t="shared" si="202"/>
        <v>1</v>
      </c>
      <c r="N2265" s="255"/>
      <c r="O2265" s="61">
        <f t="shared" si="203"/>
        <v>1900</v>
      </c>
      <c r="P2265" s="61">
        <f t="shared" si="204"/>
        <v>1</v>
      </c>
      <c r="R2265" s="272"/>
      <c r="S2265" s="272"/>
      <c r="T2265" s="273" t="str">
        <f t="shared" si="205"/>
        <v>-</v>
      </c>
    </row>
    <row r="2266" spans="9:20">
      <c r="I2266" s="213"/>
      <c r="J2266" s="213"/>
      <c r="L2266" s="272">
        <f t="shared" si="201"/>
        <v>1900</v>
      </c>
      <c r="M2266" s="272">
        <f t="shared" si="202"/>
        <v>1</v>
      </c>
      <c r="N2266" s="255"/>
      <c r="O2266" s="61">
        <f t="shared" si="203"/>
        <v>1900</v>
      </c>
      <c r="P2266" s="61">
        <f t="shared" si="204"/>
        <v>1</v>
      </c>
      <c r="R2266" s="272"/>
      <c r="S2266" s="272"/>
      <c r="T2266" s="273" t="str">
        <f t="shared" si="205"/>
        <v>-</v>
      </c>
    </row>
    <row r="2267" spans="9:20">
      <c r="I2267" s="213"/>
      <c r="J2267" s="213"/>
      <c r="L2267" s="272">
        <f t="shared" si="201"/>
        <v>1900</v>
      </c>
      <c r="M2267" s="272">
        <f t="shared" si="202"/>
        <v>1</v>
      </c>
      <c r="N2267" s="255"/>
      <c r="O2267" s="61">
        <f t="shared" si="203"/>
        <v>1900</v>
      </c>
      <c r="P2267" s="61">
        <f t="shared" si="204"/>
        <v>1</v>
      </c>
      <c r="R2267" s="272"/>
      <c r="S2267" s="272"/>
      <c r="T2267" s="273" t="str">
        <f t="shared" si="205"/>
        <v>-</v>
      </c>
    </row>
    <row r="2268" spans="9:20">
      <c r="I2268" s="213"/>
      <c r="J2268" s="213"/>
      <c r="L2268" s="272">
        <f t="shared" si="201"/>
        <v>1900</v>
      </c>
      <c r="M2268" s="272">
        <f t="shared" si="202"/>
        <v>1</v>
      </c>
      <c r="N2268" s="255"/>
      <c r="O2268" s="61">
        <f t="shared" si="203"/>
        <v>1900</v>
      </c>
      <c r="P2268" s="61">
        <f t="shared" si="204"/>
        <v>1</v>
      </c>
      <c r="R2268" s="272"/>
      <c r="S2268" s="272"/>
      <c r="T2268" s="273" t="str">
        <f t="shared" si="205"/>
        <v>-</v>
      </c>
    </row>
    <row r="2269" spans="9:20">
      <c r="I2269" s="213"/>
      <c r="J2269" s="213"/>
      <c r="L2269" s="272">
        <f t="shared" si="201"/>
        <v>1900</v>
      </c>
      <c r="M2269" s="272">
        <f t="shared" si="202"/>
        <v>1</v>
      </c>
      <c r="N2269" s="255"/>
      <c r="O2269" s="61">
        <f t="shared" si="203"/>
        <v>1900</v>
      </c>
      <c r="P2269" s="61">
        <f t="shared" si="204"/>
        <v>1</v>
      </c>
      <c r="R2269" s="272"/>
      <c r="S2269" s="272"/>
      <c r="T2269" s="273" t="str">
        <f t="shared" si="205"/>
        <v>-</v>
      </c>
    </row>
    <row r="2270" spans="9:20">
      <c r="I2270" s="213"/>
      <c r="J2270" s="213"/>
      <c r="L2270" s="272">
        <f t="shared" si="201"/>
        <v>1900</v>
      </c>
      <c r="M2270" s="272">
        <f t="shared" si="202"/>
        <v>1</v>
      </c>
      <c r="N2270" s="255"/>
      <c r="O2270" s="61">
        <f t="shared" si="203"/>
        <v>1900</v>
      </c>
      <c r="P2270" s="61">
        <f t="shared" si="204"/>
        <v>1</v>
      </c>
      <c r="R2270" s="272"/>
      <c r="S2270" s="272"/>
      <c r="T2270" s="273" t="str">
        <f t="shared" si="205"/>
        <v>-</v>
      </c>
    </row>
    <row r="2271" spans="9:20">
      <c r="I2271" s="213"/>
      <c r="J2271" s="213"/>
      <c r="L2271" s="272">
        <f t="shared" si="201"/>
        <v>1900</v>
      </c>
      <c r="M2271" s="272">
        <f t="shared" si="202"/>
        <v>1</v>
      </c>
      <c r="N2271" s="255"/>
      <c r="O2271" s="61">
        <f t="shared" si="203"/>
        <v>1900</v>
      </c>
      <c r="P2271" s="61">
        <f t="shared" si="204"/>
        <v>1</v>
      </c>
      <c r="R2271" s="272"/>
      <c r="S2271" s="272"/>
      <c r="T2271" s="273" t="str">
        <f t="shared" si="205"/>
        <v>-</v>
      </c>
    </row>
    <row r="2272" spans="9:20">
      <c r="I2272" s="213"/>
      <c r="J2272" s="213"/>
      <c r="L2272" s="272">
        <f t="shared" si="201"/>
        <v>1900</v>
      </c>
      <c r="M2272" s="272">
        <f t="shared" si="202"/>
        <v>1</v>
      </c>
      <c r="N2272" s="255"/>
      <c r="O2272" s="61">
        <f t="shared" si="203"/>
        <v>1900</v>
      </c>
      <c r="P2272" s="61">
        <f t="shared" si="204"/>
        <v>1</v>
      </c>
      <c r="R2272" s="272"/>
      <c r="S2272" s="272"/>
      <c r="T2272" s="273" t="str">
        <f t="shared" si="205"/>
        <v>-</v>
      </c>
    </row>
    <row r="2273" spans="9:20">
      <c r="I2273" s="213"/>
      <c r="J2273" s="213"/>
      <c r="L2273" s="272">
        <f t="shared" si="201"/>
        <v>1900</v>
      </c>
      <c r="M2273" s="272">
        <f t="shared" si="202"/>
        <v>1</v>
      </c>
      <c r="N2273" s="255"/>
      <c r="O2273" s="61">
        <f t="shared" si="203"/>
        <v>1900</v>
      </c>
      <c r="P2273" s="61">
        <f t="shared" si="204"/>
        <v>1</v>
      </c>
      <c r="R2273" s="272"/>
      <c r="S2273" s="272"/>
      <c r="T2273" s="273" t="str">
        <f t="shared" si="205"/>
        <v>-</v>
      </c>
    </row>
    <row r="2274" spans="9:20">
      <c r="I2274" s="213"/>
      <c r="J2274" s="213"/>
      <c r="L2274" s="272">
        <f t="shared" si="201"/>
        <v>1900</v>
      </c>
      <c r="M2274" s="272">
        <f t="shared" si="202"/>
        <v>1</v>
      </c>
      <c r="N2274" s="255"/>
      <c r="O2274" s="61">
        <f t="shared" si="203"/>
        <v>1900</v>
      </c>
      <c r="P2274" s="61">
        <f t="shared" si="204"/>
        <v>1</v>
      </c>
      <c r="R2274" s="272"/>
      <c r="S2274" s="272"/>
      <c r="T2274" s="273" t="str">
        <f t="shared" si="205"/>
        <v>-</v>
      </c>
    </row>
    <row r="2275" spans="9:20">
      <c r="I2275" s="213"/>
      <c r="J2275" s="213"/>
      <c r="L2275" s="272">
        <f t="shared" si="201"/>
        <v>1900</v>
      </c>
      <c r="M2275" s="272">
        <f t="shared" si="202"/>
        <v>1</v>
      </c>
      <c r="N2275" s="255"/>
      <c r="O2275" s="61">
        <f t="shared" si="203"/>
        <v>1900</v>
      </c>
      <c r="P2275" s="61">
        <f t="shared" si="204"/>
        <v>1</v>
      </c>
      <c r="R2275" s="272"/>
      <c r="S2275" s="272"/>
      <c r="T2275" s="273" t="str">
        <f t="shared" si="205"/>
        <v>-</v>
      </c>
    </row>
    <row r="2276" spans="9:20">
      <c r="I2276" s="213"/>
      <c r="J2276" s="213"/>
      <c r="L2276" s="272">
        <f t="shared" si="201"/>
        <v>1900</v>
      </c>
      <c r="M2276" s="272">
        <f t="shared" si="202"/>
        <v>1</v>
      </c>
      <c r="N2276" s="255"/>
      <c r="O2276" s="61">
        <f t="shared" si="203"/>
        <v>1900</v>
      </c>
      <c r="P2276" s="61">
        <f t="shared" si="204"/>
        <v>1</v>
      </c>
      <c r="R2276" s="272"/>
      <c r="S2276" s="272"/>
      <c r="T2276" s="273" t="str">
        <f t="shared" si="205"/>
        <v>-</v>
      </c>
    </row>
    <row r="2277" spans="9:20">
      <c r="I2277" s="213"/>
      <c r="J2277" s="213"/>
      <c r="L2277" s="272">
        <f t="shared" si="201"/>
        <v>1900</v>
      </c>
      <c r="M2277" s="272">
        <f t="shared" si="202"/>
        <v>1</v>
      </c>
      <c r="N2277" s="255"/>
      <c r="O2277" s="61">
        <f t="shared" si="203"/>
        <v>1900</v>
      </c>
      <c r="P2277" s="61">
        <f t="shared" si="204"/>
        <v>1</v>
      </c>
      <c r="R2277" s="272"/>
      <c r="S2277" s="272"/>
      <c r="T2277" s="273" t="str">
        <f t="shared" si="205"/>
        <v>-</v>
      </c>
    </row>
    <row r="2278" spans="9:20">
      <c r="I2278" s="213"/>
      <c r="J2278" s="213"/>
      <c r="L2278" s="272">
        <f t="shared" si="201"/>
        <v>1900</v>
      </c>
      <c r="M2278" s="272">
        <f t="shared" si="202"/>
        <v>1</v>
      </c>
      <c r="N2278" s="255"/>
      <c r="O2278" s="61">
        <f t="shared" si="203"/>
        <v>1900</v>
      </c>
      <c r="P2278" s="61">
        <f t="shared" si="204"/>
        <v>1</v>
      </c>
      <c r="R2278" s="272"/>
      <c r="S2278" s="272"/>
      <c r="T2278" s="273" t="str">
        <f t="shared" si="205"/>
        <v>-</v>
      </c>
    </row>
    <row r="2279" spans="9:20">
      <c r="I2279" s="213"/>
      <c r="J2279" s="213"/>
      <c r="L2279" s="272">
        <f t="shared" si="201"/>
        <v>1900</v>
      </c>
      <c r="M2279" s="272">
        <f t="shared" si="202"/>
        <v>1</v>
      </c>
      <c r="N2279" s="255"/>
      <c r="O2279" s="61">
        <f t="shared" si="203"/>
        <v>1900</v>
      </c>
      <c r="P2279" s="61">
        <f t="shared" si="204"/>
        <v>1</v>
      </c>
      <c r="R2279" s="272"/>
      <c r="S2279" s="272"/>
      <c r="T2279" s="273" t="str">
        <f t="shared" si="205"/>
        <v>-</v>
      </c>
    </row>
    <row r="2280" spans="9:20">
      <c r="I2280" s="213"/>
      <c r="J2280" s="213"/>
      <c r="L2280" s="272">
        <f t="shared" si="201"/>
        <v>1900</v>
      </c>
      <c r="M2280" s="272">
        <f t="shared" si="202"/>
        <v>1</v>
      </c>
      <c r="N2280" s="255"/>
      <c r="O2280" s="61">
        <f t="shared" si="203"/>
        <v>1900</v>
      </c>
      <c r="P2280" s="61">
        <f t="shared" si="204"/>
        <v>1</v>
      </c>
      <c r="R2280" s="272"/>
      <c r="S2280" s="272"/>
      <c r="T2280" s="273" t="str">
        <f t="shared" si="205"/>
        <v>-</v>
      </c>
    </row>
    <row r="2281" spans="9:20">
      <c r="I2281" s="213"/>
      <c r="J2281" s="213"/>
      <c r="L2281" s="272">
        <f t="shared" si="201"/>
        <v>1900</v>
      </c>
      <c r="M2281" s="272">
        <f t="shared" si="202"/>
        <v>1</v>
      </c>
      <c r="N2281" s="255"/>
      <c r="O2281" s="61">
        <f t="shared" si="203"/>
        <v>1900</v>
      </c>
      <c r="P2281" s="61">
        <f t="shared" si="204"/>
        <v>1</v>
      </c>
      <c r="R2281" s="272"/>
      <c r="S2281" s="272"/>
      <c r="T2281" s="273" t="str">
        <f t="shared" si="205"/>
        <v>-</v>
      </c>
    </row>
    <row r="2282" spans="9:20">
      <c r="I2282" s="213"/>
      <c r="J2282" s="213"/>
      <c r="L2282" s="272">
        <f t="shared" si="201"/>
        <v>1900</v>
      </c>
      <c r="M2282" s="272">
        <f t="shared" si="202"/>
        <v>1</v>
      </c>
      <c r="N2282" s="255"/>
      <c r="O2282" s="61">
        <f t="shared" si="203"/>
        <v>1900</v>
      </c>
      <c r="P2282" s="61">
        <f t="shared" si="204"/>
        <v>1</v>
      </c>
      <c r="R2282" s="272"/>
      <c r="S2282" s="272"/>
      <c r="T2282" s="273" t="str">
        <f t="shared" si="205"/>
        <v>-</v>
      </c>
    </row>
    <row r="2283" spans="9:20">
      <c r="I2283" s="213"/>
      <c r="J2283" s="213"/>
      <c r="L2283" s="272">
        <f t="shared" si="201"/>
        <v>1900</v>
      </c>
      <c r="M2283" s="272">
        <f t="shared" si="202"/>
        <v>1</v>
      </c>
      <c r="N2283" s="255"/>
      <c r="O2283" s="61">
        <f t="shared" si="203"/>
        <v>1900</v>
      </c>
      <c r="P2283" s="61">
        <f t="shared" si="204"/>
        <v>1</v>
      </c>
      <c r="R2283" s="272"/>
      <c r="S2283" s="272"/>
      <c r="T2283" s="273" t="str">
        <f t="shared" si="205"/>
        <v>-</v>
      </c>
    </row>
    <row r="2284" spans="9:20">
      <c r="I2284" s="213"/>
      <c r="J2284" s="213"/>
      <c r="L2284" s="272">
        <f t="shared" si="201"/>
        <v>1900</v>
      </c>
      <c r="M2284" s="272">
        <f t="shared" si="202"/>
        <v>1</v>
      </c>
      <c r="N2284" s="255"/>
      <c r="O2284" s="61">
        <f t="shared" si="203"/>
        <v>1900</v>
      </c>
      <c r="P2284" s="61">
        <f t="shared" si="204"/>
        <v>1</v>
      </c>
      <c r="R2284" s="272"/>
      <c r="S2284" s="272"/>
      <c r="T2284" s="273" t="str">
        <f t="shared" si="205"/>
        <v>-</v>
      </c>
    </row>
    <row r="2285" spans="9:20">
      <c r="I2285" s="213"/>
      <c r="J2285" s="213"/>
      <c r="L2285" s="272">
        <f t="shared" si="201"/>
        <v>1900</v>
      </c>
      <c r="M2285" s="272">
        <f t="shared" si="202"/>
        <v>1</v>
      </c>
      <c r="N2285" s="255"/>
      <c r="O2285" s="61">
        <f t="shared" si="203"/>
        <v>1900</v>
      </c>
      <c r="P2285" s="61">
        <f t="shared" si="204"/>
        <v>1</v>
      </c>
      <c r="R2285" s="272"/>
      <c r="S2285" s="272"/>
      <c r="T2285" s="273" t="str">
        <f t="shared" si="205"/>
        <v>-</v>
      </c>
    </row>
    <row r="2286" spans="9:20">
      <c r="I2286" s="213"/>
      <c r="J2286" s="213"/>
      <c r="L2286" s="272">
        <f t="shared" si="201"/>
        <v>1900</v>
      </c>
      <c r="M2286" s="272">
        <f t="shared" si="202"/>
        <v>1</v>
      </c>
      <c r="N2286" s="255"/>
      <c r="O2286" s="61">
        <f t="shared" si="203"/>
        <v>1900</v>
      </c>
      <c r="P2286" s="61">
        <f t="shared" si="204"/>
        <v>1</v>
      </c>
      <c r="R2286" s="272"/>
      <c r="S2286" s="272"/>
      <c r="T2286" s="273" t="str">
        <f t="shared" si="205"/>
        <v>-</v>
      </c>
    </row>
    <row r="2287" spans="9:20">
      <c r="I2287" s="213"/>
      <c r="J2287" s="213"/>
      <c r="L2287" s="272">
        <f t="shared" si="201"/>
        <v>1900</v>
      </c>
      <c r="M2287" s="272">
        <f t="shared" si="202"/>
        <v>1</v>
      </c>
      <c r="N2287" s="255"/>
      <c r="O2287" s="61">
        <f t="shared" si="203"/>
        <v>1900</v>
      </c>
      <c r="P2287" s="61">
        <f t="shared" si="204"/>
        <v>1</v>
      </c>
      <c r="R2287" s="272"/>
      <c r="S2287" s="272"/>
      <c r="T2287" s="273" t="str">
        <f t="shared" si="205"/>
        <v>-</v>
      </c>
    </row>
    <row r="2288" spans="9:20">
      <c r="I2288" s="213"/>
      <c r="J2288" s="213"/>
      <c r="L2288" s="272">
        <f t="shared" si="201"/>
        <v>1900</v>
      </c>
      <c r="M2288" s="272">
        <f t="shared" si="202"/>
        <v>1</v>
      </c>
      <c r="N2288" s="255"/>
      <c r="O2288" s="61">
        <f t="shared" si="203"/>
        <v>1900</v>
      </c>
      <c r="P2288" s="61">
        <f t="shared" si="204"/>
        <v>1</v>
      </c>
      <c r="R2288" s="272"/>
      <c r="S2288" s="272"/>
      <c r="T2288" s="273" t="str">
        <f t="shared" si="205"/>
        <v>-</v>
      </c>
    </row>
    <row r="2289" spans="9:20">
      <c r="I2289" s="213"/>
      <c r="J2289" s="213"/>
      <c r="L2289" s="272">
        <f t="shared" si="201"/>
        <v>1900</v>
      </c>
      <c r="M2289" s="272">
        <f t="shared" si="202"/>
        <v>1</v>
      </c>
      <c r="N2289" s="255"/>
      <c r="O2289" s="61">
        <f t="shared" si="203"/>
        <v>1900</v>
      </c>
      <c r="P2289" s="61">
        <f t="shared" si="204"/>
        <v>1</v>
      </c>
      <c r="R2289" s="272"/>
      <c r="S2289" s="272"/>
      <c r="T2289" s="273" t="str">
        <f t="shared" si="205"/>
        <v>-</v>
      </c>
    </row>
    <row r="2290" spans="9:20">
      <c r="I2290" s="213"/>
      <c r="J2290" s="213"/>
      <c r="L2290" s="272">
        <f t="shared" si="201"/>
        <v>1900</v>
      </c>
      <c r="M2290" s="272">
        <f t="shared" si="202"/>
        <v>1</v>
      </c>
      <c r="N2290" s="255"/>
      <c r="O2290" s="61">
        <f t="shared" si="203"/>
        <v>1900</v>
      </c>
      <c r="P2290" s="61">
        <f t="shared" si="204"/>
        <v>1</v>
      </c>
      <c r="R2290" s="272"/>
      <c r="S2290" s="272"/>
      <c r="T2290" s="273" t="str">
        <f t="shared" si="205"/>
        <v>-</v>
      </c>
    </row>
    <row r="2291" spans="9:20">
      <c r="I2291" s="213"/>
      <c r="J2291" s="213"/>
      <c r="L2291" s="272">
        <f t="shared" si="201"/>
        <v>1900</v>
      </c>
      <c r="M2291" s="272">
        <f t="shared" si="202"/>
        <v>1</v>
      </c>
      <c r="N2291" s="255"/>
      <c r="O2291" s="61">
        <f t="shared" si="203"/>
        <v>1900</v>
      </c>
      <c r="P2291" s="61">
        <f t="shared" si="204"/>
        <v>1</v>
      </c>
      <c r="R2291" s="272"/>
      <c r="S2291" s="272"/>
      <c r="T2291" s="273" t="str">
        <f t="shared" si="205"/>
        <v>-</v>
      </c>
    </row>
    <row r="2292" spans="9:20">
      <c r="I2292" s="213"/>
      <c r="J2292" s="213"/>
      <c r="L2292" s="272">
        <f t="shared" si="201"/>
        <v>1900</v>
      </c>
      <c r="M2292" s="272">
        <f t="shared" si="202"/>
        <v>1</v>
      </c>
      <c r="N2292" s="255"/>
      <c r="O2292" s="61">
        <f t="shared" si="203"/>
        <v>1900</v>
      </c>
      <c r="P2292" s="61">
        <f t="shared" si="204"/>
        <v>1</v>
      </c>
      <c r="R2292" s="272"/>
      <c r="S2292" s="272"/>
      <c r="T2292" s="273" t="str">
        <f t="shared" si="205"/>
        <v>-</v>
      </c>
    </row>
    <row r="2293" spans="9:20">
      <c r="I2293" s="213"/>
      <c r="J2293" s="213"/>
      <c r="L2293" s="272">
        <f t="shared" si="201"/>
        <v>1900</v>
      </c>
      <c r="M2293" s="272">
        <f t="shared" si="202"/>
        <v>1</v>
      </c>
      <c r="N2293" s="255"/>
      <c r="O2293" s="61">
        <f t="shared" si="203"/>
        <v>1900</v>
      </c>
      <c r="P2293" s="61">
        <f t="shared" si="204"/>
        <v>1</v>
      </c>
      <c r="R2293" s="272"/>
      <c r="S2293" s="272"/>
      <c r="T2293" s="273" t="str">
        <f t="shared" si="205"/>
        <v>-</v>
      </c>
    </row>
    <row r="2294" spans="9:20">
      <c r="I2294" s="213"/>
      <c r="J2294" s="213"/>
      <c r="L2294" s="272">
        <f t="shared" si="201"/>
        <v>1900</v>
      </c>
      <c r="M2294" s="272">
        <f t="shared" si="202"/>
        <v>1</v>
      </c>
      <c r="N2294" s="255"/>
      <c r="O2294" s="61">
        <f t="shared" si="203"/>
        <v>1900</v>
      </c>
      <c r="P2294" s="61">
        <f t="shared" si="204"/>
        <v>1</v>
      </c>
      <c r="R2294" s="272"/>
      <c r="S2294" s="272"/>
      <c r="T2294" s="273" t="str">
        <f t="shared" si="205"/>
        <v>-</v>
      </c>
    </row>
    <row r="2295" spans="9:20">
      <c r="I2295" s="213"/>
      <c r="J2295" s="213"/>
      <c r="L2295" s="272">
        <f t="shared" si="201"/>
        <v>1900</v>
      </c>
      <c r="M2295" s="272">
        <f t="shared" si="202"/>
        <v>1</v>
      </c>
      <c r="N2295" s="255"/>
      <c r="O2295" s="61">
        <f t="shared" si="203"/>
        <v>1900</v>
      </c>
      <c r="P2295" s="61">
        <f t="shared" si="204"/>
        <v>1</v>
      </c>
      <c r="R2295" s="272"/>
      <c r="S2295" s="272"/>
      <c r="T2295" s="273" t="str">
        <f t="shared" si="205"/>
        <v>-</v>
      </c>
    </row>
    <row r="2296" spans="9:20">
      <c r="I2296" s="213"/>
      <c r="J2296" s="213"/>
      <c r="L2296" s="272">
        <f t="shared" si="201"/>
        <v>1900</v>
      </c>
      <c r="M2296" s="272">
        <f t="shared" si="202"/>
        <v>1</v>
      </c>
      <c r="N2296" s="255"/>
      <c r="O2296" s="61">
        <f t="shared" si="203"/>
        <v>1900</v>
      </c>
      <c r="P2296" s="61">
        <f t="shared" si="204"/>
        <v>1</v>
      </c>
      <c r="R2296" s="272"/>
      <c r="S2296" s="272"/>
      <c r="T2296" s="273" t="str">
        <f t="shared" si="205"/>
        <v>-</v>
      </c>
    </row>
    <row r="2297" spans="9:20">
      <c r="I2297" s="213"/>
      <c r="J2297" s="213"/>
      <c r="L2297" s="272">
        <f t="shared" si="201"/>
        <v>1900</v>
      </c>
      <c r="M2297" s="272">
        <f t="shared" si="202"/>
        <v>1</v>
      </c>
      <c r="N2297" s="255"/>
      <c r="O2297" s="61">
        <f t="shared" si="203"/>
        <v>1900</v>
      </c>
      <c r="P2297" s="61">
        <f t="shared" si="204"/>
        <v>1</v>
      </c>
      <c r="R2297" s="272"/>
      <c r="S2297" s="272"/>
      <c r="T2297" s="273" t="str">
        <f t="shared" si="205"/>
        <v>-</v>
      </c>
    </row>
    <row r="2298" spans="9:20">
      <c r="I2298" s="213"/>
      <c r="J2298" s="213"/>
      <c r="L2298" s="272">
        <f t="shared" si="201"/>
        <v>1900</v>
      </c>
      <c r="M2298" s="272">
        <f t="shared" si="202"/>
        <v>1</v>
      </c>
      <c r="N2298" s="255"/>
      <c r="O2298" s="61">
        <f t="shared" si="203"/>
        <v>1900</v>
      </c>
      <c r="P2298" s="61">
        <f t="shared" si="204"/>
        <v>1</v>
      </c>
      <c r="R2298" s="272"/>
      <c r="S2298" s="272"/>
      <c r="T2298" s="273" t="str">
        <f t="shared" si="205"/>
        <v>-</v>
      </c>
    </row>
    <row r="2299" spans="9:20">
      <c r="I2299" s="213"/>
      <c r="J2299" s="213"/>
      <c r="L2299" s="272">
        <f t="shared" si="201"/>
        <v>1900</v>
      </c>
      <c r="M2299" s="272">
        <f t="shared" si="202"/>
        <v>1</v>
      </c>
      <c r="N2299" s="255"/>
      <c r="O2299" s="61">
        <f t="shared" si="203"/>
        <v>1900</v>
      </c>
      <c r="P2299" s="61">
        <f t="shared" si="204"/>
        <v>1</v>
      </c>
      <c r="R2299" s="272"/>
      <c r="S2299" s="272"/>
      <c r="T2299" s="273" t="str">
        <f t="shared" si="205"/>
        <v>-</v>
      </c>
    </row>
    <row r="2300" spans="9:20">
      <c r="I2300" s="213"/>
      <c r="J2300" s="213"/>
      <c r="L2300" s="272">
        <f t="shared" si="201"/>
        <v>1900</v>
      </c>
      <c r="M2300" s="272">
        <f t="shared" si="202"/>
        <v>1</v>
      </c>
      <c r="N2300" s="255"/>
      <c r="O2300" s="61">
        <f t="shared" si="203"/>
        <v>1900</v>
      </c>
      <c r="P2300" s="61">
        <f t="shared" si="204"/>
        <v>1</v>
      </c>
      <c r="R2300" s="272"/>
      <c r="S2300" s="272"/>
      <c r="T2300" s="273" t="str">
        <f t="shared" si="205"/>
        <v>-</v>
      </c>
    </row>
    <row r="2301" spans="9:20">
      <c r="I2301" s="213"/>
      <c r="J2301" s="213"/>
      <c r="L2301" s="272">
        <f t="shared" si="201"/>
        <v>1900</v>
      </c>
      <c r="M2301" s="272">
        <f t="shared" si="202"/>
        <v>1</v>
      </c>
      <c r="N2301" s="255"/>
      <c r="O2301" s="61">
        <f t="shared" si="203"/>
        <v>1900</v>
      </c>
      <c r="P2301" s="61">
        <f t="shared" si="204"/>
        <v>1</v>
      </c>
      <c r="R2301" s="272"/>
      <c r="S2301" s="272"/>
      <c r="T2301" s="273" t="str">
        <f t="shared" si="205"/>
        <v>-</v>
      </c>
    </row>
    <row r="2302" spans="9:20">
      <c r="I2302" s="213"/>
      <c r="J2302" s="213"/>
      <c r="L2302" s="272">
        <f t="shared" si="201"/>
        <v>1900</v>
      </c>
      <c r="M2302" s="272">
        <f t="shared" si="202"/>
        <v>1</v>
      </c>
      <c r="N2302" s="255"/>
      <c r="O2302" s="61">
        <f t="shared" si="203"/>
        <v>1900</v>
      </c>
      <c r="P2302" s="61">
        <f t="shared" si="204"/>
        <v>1</v>
      </c>
      <c r="R2302" s="272"/>
      <c r="S2302" s="272"/>
      <c r="T2302" s="273" t="str">
        <f t="shared" si="205"/>
        <v>-</v>
      </c>
    </row>
    <row r="2303" spans="9:20">
      <c r="I2303" s="213"/>
      <c r="J2303" s="213"/>
      <c r="L2303" s="272">
        <f t="shared" si="201"/>
        <v>1900</v>
      </c>
      <c r="M2303" s="272">
        <f t="shared" si="202"/>
        <v>1</v>
      </c>
      <c r="N2303" s="255"/>
      <c r="O2303" s="61">
        <f t="shared" si="203"/>
        <v>1900</v>
      </c>
      <c r="P2303" s="61">
        <f t="shared" si="204"/>
        <v>1</v>
      </c>
      <c r="R2303" s="272"/>
      <c r="S2303" s="272"/>
      <c r="T2303" s="273" t="str">
        <f t="shared" si="205"/>
        <v>-</v>
      </c>
    </row>
    <row r="2304" spans="9:20">
      <c r="I2304" s="213"/>
      <c r="J2304" s="213"/>
      <c r="L2304" s="272">
        <f t="shared" si="201"/>
        <v>1900</v>
      </c>
      <c r="M2304" s="272">
        <f t="shared" si="202"/>
        <v>1</v>
      </c>
      <c r="N2304" s="255"/>
      <c r="O2304" s="61">
        <f t="shared" si="203"/>
        <v>1900</v>
      </c>
      <c r="P2304" s="61">
        <f t="shared" si="204"/>
        <v>1</v>
      </c>
      <c r="R2304" s="272"/>
      <c r="S2304" s="272"/>
      <c r="T2304" s="273" t="str">
        <f t="shared" si="205"/>
        <v>-</v>
      </c>
    </row>
    <row r="2305" spans="9:20">
      <c r="I2305" s="213"/>
      <c r="J2305" s="213"/>
      <c r="L2305" s="272">
        <f t="shared" si="201"/>
        <v>1900</v>
      </c>
      <c r="M2305" s="272">
        <f t="shared" si="202"/>
        <v>1</v>
      </c>
      <c r="N2305" s="255"/>
      <c r="O2305" s="61">
        <f t="shared" si="203"/>
        <v>1900</v>
      </c>
      <c r="P2305" s="61">
        <f t="shared" si="204"/>
        <v>1</v>
      </c>
      <c r="R2305" s="272"/>
      <c r="S2305" s="272"/>
      <c r="T2305" s="273" t="str">
        <f t="shared" si="205"/>
        <v>-</v>
      </c>
    </row>
    <row r="2306" spans="9:20">
      <c r="I2306" s="213"/>
      <c r="J2306" s="213"/>
      <c r="L2306" s="272">
        <f t="shared" si="201"/>
        <v>1900</v>
      </c>
      <c r="M2306" s="272">
        <f t="shared" si="202"/>
        <v>1</v>
      </c>
      <c r="N2306" s="255"/>
      <c r="O2306" s="61">
        <f t="shared" si="203"/>
        <v>1900</v>
      </c>
      <c r="P2306" s="61">
        <f t="shared" si="204"/>
        <v>1</v>
      </c>
      <c r="R2306" s="272"/>
      <c r="S2306" s="272"/>
      <c r="T2306" s="273" t="str">
        <f t="shared" si="205"/>
        <v>-</v>
      </c>
    </row>
    <row r="2307" spans="9:20">
      <c r="I2307" s="213"/>
      <c r="J2307" s="213"/>
      <c r="L2307" s="272">
        <f t="shared" si="201"/>
        <v>1900</v>
      </c>
      <c r="M2307" s="272">
        <f t="shared" si="202"/>
        <v>1</v>
      </c>
      <c r="N2307" s="255"/>
      <c r="O2307" s="61">
        <f t="shared" si="203"/>
        <v>1900</v>
      </c>
      <c r="P2307" s="61">
        <f t="shared" si="204"/>
        <v>1</v>
      </c>
      <c r="R2307" s="272"/>
      <c r="S2307" s="272"/>
      <c r="T2307" s="273" t="str">
        <f t="shared" si="205"/>
        <v>-</v>
      </c>
    </row>
    <row r="2308" spans="9:20">
      <c r="I2308" s="213"/>
      <c r="J2308" s="213"/>
      <c r="L2308" s="272">
        <f t="shared" si="201"/>
        <v>1900</v>
      </c>
      <c r="M2308" s="272">
        <f t="shared" si="202"/>
        <v>1</v>
      </c>
      <c r="N2308" s="255"/>
      <c r="O2308" s="61">
        <f t="shared" si="203"/>
        <v>1900</v>
      </c>
      <c r="P2308" s="61">
        <f t="shared" si="204"/>
        <v>1</v>
      </c>
      <c r="R2308" s="272"/>
      <c r="S2308" s="272"/>
      <c r="T2308" s="273" t="str">
        <f t="shared" si="205"/>
        <v>-</v>
      </c>
    </row>
    <row r="2309" spans="9:20">
      <c r="I2309" s="213"/>
      <c r="J2309" s="213"/>
      <c r="L2309" s="272">
        <f t="shared" si="201"/>
        <v>1900</v>
      </c>
      <c r="M2309" s="272">
        <f t="shared" si="202"/>
        <v>1</v>
      </c>
      <c r="N2309" s="255"/>
      <c r="O2309" s="61">
        <f t="shared" si="203"/>
        <v>1900</v>
      </c>
      <c r="P2309" s="61">
        <f t="shared" si="204"/>
        <v>1</v>
      </c>
      <c r="R2309" s="272"/>
      <c r="S2309" s="272"/>
      <c r="T2309" s="273" t="str">
        <f t="shared" si="205"/>
        <v>-</v>
      </c>
    </row>
    <row r="2310" spans="9:20">
      <c r="I2310" s="213"/>
      <c r="J2310" s="213"/>
      <c r="L2310" s="272">
        <f t="shared" si="201"/>
        <v>1900</v>
      </c>
      <c r="M2310" s="272">
        <f t="shared" si="202"/>
        <v>1</v>
      </c>
      <c r="N2310" s="255"/>
      <c r="O2310" s="61">
        <f t="shared" si="203"/>
        <v>1900</v>
      </c>
      <c r="P2310" s="61">
        <f t="shared" si="204"/>
        <v>1</v>
      </c>
      <c r="R2310" s="272"/>
      <c r="S2310" s="272"/>
      <c r="T2310" s="273" t="str">
        <f t="shared" si="205"/>
        <v>-</v>
      </c>
    </row>
    <row r="2311" spans="9:20">
      <c r="I2311" s="213"/>
      <c r="J2311" s="213"/>
      <c r="L2311" s="272">
        <f t="shared" si="201"/>
        <v>1900</v>
      </c>
      <c r="M2311" s="272">
        <f t="shared" si="202"/>
        <v>1</v>
      </c>
      <c r="N2311" s="255"/>
      <c r="O2311" s="61">
        <f t="shared" si="203"/>
        <v>1900</v>
      </c>
      <c r="P2311" s="61">
        <f t="shared" si="204"/>
        <v>1</v>
      </c>
      <c r="R2311" s="272"/>
      <c r="S2311" s="272"/>
      <c r="T2311" s="273" t="str">
        <f t="shared" si="205"/>
        <v>-</v>
      </c>
    </row>
    <row r="2312" spans="9:20">
      <c r="I2312" s="213"/>
      <c r="J2312" s="213"/>
      <c r="L2312" s="272">
        <f t="shared" si="201"/>
        <v>1900</v>
      </c>
      <c r="M2312" s="272">
        <f t="shared" si="202"/>
        <v>1</v>
      </c>
      <c r="N2312" s="255"/>
      <c r="O2312" s="61">
        <f t="shared" si="203"/>
        <v>1900</v>
      </c>
      <c r="P2312" s="61">
        <f t="shared" si="204"/>
        <v>1</v>
      </c>
      <c r="R2312" s="272"/>
      <c r="S2312" s="272"/>
      <c r="T2312" s="273" t="str">
        <f t="shared" si="205"/>
        <v>-</v>
      </c>
    </row>
    <row r="2313" spans="9:20">
      <c r="I2313" s="213"/>
      <c r="J2313" s="213"/>
      <c r="L2313" s="272">
        <f t="shared" si="201"/>
        <v>1900</v>
      </c>
      <c r="M2313" s="272">
        <f t="shared" si="202"/>
        <v>1</v>
      </c>
      <c r="N2313" s="255"/>
      <c r="O2313" s="61">
        <f t="shared" si="203"/>
        <v>1900</v>
      </c>
      <c r="P2313" s="61">
        <f t="shared" si="204"/>
        <v>1</v>
      </c>
      <c r="R2313" s="272"/>
      <c r="S2313" s="272"/>
      <c r="T2313" s="273" t="str">
        <f t="shared" si="205"/>
        <v>-</v>
      </c>
    </row>
    <row r="2314" spans="9:20">
      <c r="I2314" s="213"/>
      <c r="J2314" s="213"/>
      <c r="L2314" s="272">
        <f t="shared" si="201"/>
        <v>1900</v>
      </c>
      <c r="M2314" s="272">
        <f t="shared" si="202"/>
        <v>1</v>
      </c>
      <c r="N2314" s="255"/>
      <c r="O2314" s="61">
        <f t="shared" si="203"/>
        <v>1900</v>
      </c>
      <c r="P2314" s="61">
        <f t="shared" si="204"/>
        <v>1</v>
      </c>
      <c r="R2314" s="272"/>
      <c r="S2314" s="272"/>
      <c r="T2314" s="273" t="str">
        <f t="shared" si="205"/>
        <v>-</v>
      </c>
    </row>
    <row r="2315" spans="9:20">
      <c r="I2315" s="213"/>
      <c r="J2315" s="213"/>
      <c r="L2315" s="272">
        <f t="shared" si="201"/>
        <v>1900</v>
      </c>
      <c r="M2315" s="272">
        <f t="shared" si="202"/>
        <v>1</v>
      </c>
      <c r="N2315" s="255"/>
      <c r="O2315" s="61">
        <f t="shared" si="203"/>
        <v>1900</v>
      </c>
      <c r="P2315" s="61">
        <f t="shared" si="204"/>
        <v>1</v>
      </c>
      <c r="R2315" s="272"/>
      <c r="S2315" s="272"/>
      <c r="T2315" s="273" t="str">
        <f t="shared" si="205"/>
        <v>-</v>
      </c>
    </row>
    <row r="2316" spans="9:20">
      <c r="I2316" s="213"/>
      <c r="J2316" s="213"/>
      <c r="L2316" s="272">
        <f t="shared" si="201"/>
        <v>1900</v>
      </c>
      <c r="M2316" s="272">
        <f t="shared" si="202"/>
        <v>1</v>
      </c>
      <c r="N2316" s="255"/>
      <c r="O2316" s="61">
        <f t="shared" si="203"/>
        <v>1900</v>
      </c>
      <c r="P2316" s="61">
        <f t="shared" si="204"/>
        <v>1</v>
      </c>
      <c r="R2316" s="272"/>
      <c r="S2316" s="272"/>
      <c r="T2316" s="273" t="str">
        <f t="shared" si="205"/>
        <v>-</v>
      </c>
    </row>
    <row r="2317" spans="9:20">
      <c r="I2317" s="213"/>
      <c r="J2317" s="213"/>
      <c r="L2317" s="272">
        <f t="shared" si="201"/>
        <v>1900</v>
      </c>
      <c r="M2317" s="272">
        <f t="shared" si="202"/>
        <v>1</v>
      </c>
      <c r="N2317" s="255"/>
      <c r="O2317" s="61">
        <f t="shared" si="203"/>
        <v>1900</v>
      </c>
      <c r="P2317" s="61">
        <f t="shared" si="204"/>
        <v>1</v>
      </c>
      <c r="R2317" s="272"/>
      <c r="S2317" s="272"/>
      <c r="T2317" s="273" t="str">
        <f t="shared" si="205"/>
        <v>-</v>
      </c>
    </row>
    <row r="2318" spans="9:20">
      <c r="I2318" s="213"/>
      <c r="J2318" s="213"/>
      <c r="L2318" s="272">
        <f t="shared" si="201"/>
        <v>1900</v>
      </c>
      <c r="M2318" s="272">
        <f t="shared" si="202"/>
        <v>1</v>
      </c>
      <c r="N2318" s="255"/>
      <c r="O2318" s="61">
        <f t="shared" si="203"/>
        <v>1900</v>
      </c>
      <c r="P2318" s="61">
        <f t="shared" si="204"/>
        <v>1</v>
      </c>
      <c r="R2318" s="272"/>
      <c r="S2318" s="272"/>
      <c r="T2318" s="273" t="str">
        <f t="shared" si="205"/>
        <v>-</v>
      </c>
    </row>
    <row r="2319" spans="9:20">
      <c r="I2319" s="213"/>
      <c r="J2319" s="213"/>
      <c r="L2319" s="272">
        <f t="shared" si="201"/>
        <v>1900</v>
      </c>
      <c r="M2319" s="272">
        <f t="shared" si="202"/>
        <v>1</v>
      </c>
      <c r="N2319" s="255"/>
      <c r="O2319" s="61">
        <f t="shared" si="203"/>
        <v>1900</v>
      </c>
      <c r="P2319" s="61">
        <f t="shared" si="204"/>
        <v>1</v>
      </c>
      <c r="R2319" s="272"/>
      <c r="S2319" s="272"/>
      <c r="T2319" s="273" t="str">
        <f t="shared" si="205"/>
        <v>-</v>
      </c>
    </row>
    <row r="2320" spans="9:20">
      <c r="I2320" s="213"/>
      <c r="J2320" s="213"/>
      <c r="L2320" s="272">
        <f t="shared" ref="L2320:L2383" si="206">YEAR(B2320)</f>
        <v>1900</v>
      </c>
      <c r="M2320" s="272">
        <f t="shared" ref="M2320:M2383" si="207">MONTH(B2320)</f>
        <v>1</v>
      </c>
      <c r="N2320" s="255"/>
      <c r="O2320" s="61">
        <f t="shared" ref="O2320:O2383" si="208">YEAR(B2320)</f>
        <v>1900</v>
      </c>
      <c r="P2320" s="61">
        <f t="shared" ref="P2320:P2383" si="209">MONTH(B2320)</f>
        <v>1</v>
      </c>
      <c r="R2320" s="272"/>
      <c r="S2320" s="272"/>
      <c r="T2320" s="273" t="str">
        <f t="shared" ref="T2320:T2383" si="210">IF($E2320&gt;0,IF((R2320+S2320)=$E2320,"OK","Error"),"-")</f>
        <v>-</v>
      </c>
    </row>
    <row r="2321" spans="9:20">
      <c r="I2321" s="213"/>
      <c r="J2321" s="213"/>
      <c r="L2321" s="272">
        <f t="shared" si="206"/>
        <v>1900</v>
      </c>
      <c r="M2321" s="272">
        <f t="shared" si="207"/>
        <v>1</v>
      </c>
      <c r="N2321" s="255"/>
      <c r="O2321" s="61">
        <f t="shared" si="208"/>
        <v>1900</v>
      </c>
      <c r="P2321" s="61">
        <f t="shared" si="209"/>
        <v>1</v>
      </c>
      <c r="R2321" s="272"/>
      <c r="S2321" s="272"/>
      <c r="T2321" s="273" t="str">
        <f t="shared" si="210"/>
        <v>-</v>
      </c>
    </row>
    <row r="2322" spans="9:20">
      <c r="I2322" s="213"/>
      <c r="J2322" s="213"/>
      <c r="L2322" s="272">
        <f t="shared" si="206"/>
        <v>1900</v>
      </c>
      <c r="M2322" s="272">
        <f t="shared" si="207"/>
        <v>1</v>
      </c>
      <c r="N2322" s="255"/>
      <c r="O2322" s="61">
        <f t="shared" si="208"/>
        <v>1900</v>
      </c>
      <c r="P2322" s="61">
        <f t="shared" si="209"/>
        <v>1</v>
      </c>
      <c r="R2322" s="272"/>
      <c r="S2322" s="272"/>
      <c r="T2322" s="273" t="str">
        <f t="shared" si="210"/>
        <v>-</v>
      </c>
    </row>
    <row r="2323" spans="9:20">
      <c r="I2323" s="213"/>
      <c r="J2323" s="213"/>
      <c r="L2323" s="272">
        <f t="shared" si="206"/>
        <v>1900</v>
      </c>
      <c r="M2323" s="272">
        <f t="shared" si="207"/>
        <v>1</v>
      </c>
      <c r="N2323" s="255"/>
      <c r="O2323" s="61">
        <f t="shared" si="208"/>
        <v>1900</v>
      </c>
      <c r="P2323" s="61">
        <f t="shared" si="209"/>
        <v>1</v>
      </c>
      <c r="R2323" s="272"/>
      <c r="S2323" s="272"/>
      <c r="T2323" s="273" t="str">
        <f t="shared" si="210"/>
        <v>-</v>
      </c>
    </row>
    <row r="2324" spans="9:20">
      <c r="I2324" s="213"/>
      <c r="J2324" s="213"/>
      <c r="L2324" s="272">
        <f t="shared" si="206"/>
        <v>1900</v>
      </c>
      <c r="M2324" s="272">
        <f t="shared" si="207"/>
        <v>1</v>
      </c>
      <c r="N2324" s="255"/>
      <c r="O2324" s="61">
        <f t="shared" si="208"/>
        <v>1900</v>
      </c>
      <c r="P2324" s="61">
        <f t="shared" si="209"/>
        <v>1</v>
      </c>
      <c r="R2324" s="272"/>
      <c r="S2324" s="272"/>
      <c r="T2324" s="273" t="str">
        <f t="shared" si="210"/>
        <v>-</v>
      </c>
    </row>
    <row r="2325" spans="9:20">
      <c r="I2325" s="213"/>
      <c r="J2325" s="213"/>
      <c r="L2325" s="272">
        <f t="shared" si="206"/>
        <v>1900</v>
      </c>
      <c r="M2325" s="272">
        <f t="shared" si="207"/>
        <v>1</v>
      </c>
      <c r="N2325" s="255"/>
      <c r="O2325" s="61">
        <f t="shared" si="208"/>
        <v>1900</v>
      </c>
      <c r="P2325" s="61">
        <f t="shared" si="209"/>
        <v>1</v>
      </c>
      <c r="R2325" s="272"/>
      <c r="S2325" s="272"/>
      <c r="T2325" s="273" t="str">
        <f t="shared" si="210"/>
        <v>-</v>
      </c>
    </row>
    <row r="2326" spans="9:20">
      <c r="I2326" s="213"/>
      <c r="J2326" s="213"/>
      <c r="L2326" s="272">
        <f t="shared" si="206"/>
        <v>1900</v>
      </c>
      <c r="M2326" s="272">
        <f t="shared" si="207"/>
        <v>1</v>
      </c>
      <c r="N2326" s="255"/>
      <c r="O2326" s="61">
        <f t="shared" si="208"/>
        <v>1900</v>
      </c>
      <c r="P2326" s="61">
        <f t="shared" si="209"/>
        <v>1</v>
      </c>
      <c r="R2326" s="272"/>
      <c r="S2326" s="272"/>
      <c r="T2326" s="273" t="str">
        <f t="shared" si="210"/>
        <v>-</v>
      </c>
    </row>
    <row r="2327" spans="9:20">
      <c r="I2327" s="213"/>
      <c r="J2327" s="213"/>
      <c r="L2327" s="272">
        <f t="shared" si="206"/>
        <v>1900</v>
      </c>
      <c r="M2327" s="272">
        <f t="shared" si="207"/>
        <v>1</v>
      </c>
      <c r="N2327" s="255"/>
      <c r="O2327" s="61">
        <f t="shared" si="208"/>
        <v>1900</v>
      </c>
      <c r="P2327" s="61">
        <f t="shared" si="209"/>
        <v>1</v>
      </c>
      <c r="R2327" s="272"/>
      <c r="S2327" s="272"/>
      <c r="T2327" s="273" t="str">
        <f t="shared" si="210"/>
        <v>-</v>
      </c>
    </row>
    <row r="2328" spans="9:20">
      <c r="I2328" s="213"/>
      <c r="J2328" s="213"/>
      <c r="L2328" s="272">
        <f t="shared" si="206"/>
        <v>1900</v>
      </c>
      <c r="M2328" s="272">
        <f t="shared" si="207"/>
        <v>1</v>
      </c>
      <c r="N2328" s="255"/>
      <c r="O2328" s="61">
        <f t="shared" si="208"/>
        <v>1900</v>
      </c>
      <c r="P2328" s="61">
        <f t="shared" si="209"/>
        <v>1</v>
      </c>
      <c r="R2328" s="272"/>
      <c r="S2328" s="272"/>
      <c r="T2328" s="273" t="str">
        <f t="shared" si="210"/>
        <v>-</v>
      </c>
    </row>
    <row r="2329" spans="9:20">
      <c r="I2329" s="213"/>
      <c r="J2329" s="213"/>
      <c r="L2329" s="272">
        <f t="shared" si="206"/>
        <v>1900</v>
      </c>
      <c r="M2329" s="272">
        <f t="shared" si="207"/>
        <v>1</v>
      </c>
      <c r="N2329" s="255"/>
      <c r="O2329" s="61">
        <f t="shared" si="208"/>
        <v>1900</v>
      </c>
      <c r="P2329" s="61">
        <f t="shared" si="209"/>
        <v>1</v>
      </c>
      <c r="R2329" s="272"/>
      <c r="S2329" s="272"/>
      <c r="T2329" s="273" t="str">
        <f t="shared" si="210"/>
        <v>-</v>
      </c>
    </row>
    <row r="2330" spans="9:20">
      <c r="I2330" s="213"/>
      <c r="J2330" s="213"/>
      <c r="L2330" s="272">
        <f t="shared" si="206"/>
        <v>1900</v>
      </c>
      <c r="M2330" s="272">
        <f t="shared" si="207"/>
        <v>1</v>
      </c>
      <c r="N2330" s="255"/>
      <c r="O2330" s="61">
        <f t="shared" si="208"/>
        <v>1900</v>
      </c>
      <c r="P2330" s="61">
        <f t="shared" si="209"/>
        <v>1</v>
      </c>
      <c r="R2330" s="272"/>
      <c r="S2330" s="272"/>
      <c r="T2330" s="273" t="str">
        <f t="shared" si="210"/>
        <v>-</v>
      </c>
    </row>
    <row r="2331" spans="9:20">
      <c r="I2331" s="213"/>
      <c r="J2331" s="213"/>
      <c r="L2331" s="272">
        <f t="shared" si="206"/>
        <v>1900</v>
      </c>
      <c r="M2331" s="272">
        <f t="shared" si="207"/>
        <v>1</v>
      </c>
      <c r="N2331" s="255"/>
      <c r="O2331" s="61">
        <f t="shared" si="208"/>
        <v>1900</v>
      </c>
      <c r="P2331" s="61">
        <f t="shared" si="209"/>
        <v>1</v>
      </c>
      <c r="R2331" s="272"/>
      <c r="S2331" s="272"/>
      <c r="T2331" s="273" t="str">
        <f t="shared" si="210"/>
        <v>-</v>
      </c>
    </row>
    <row r="2332" spans="9:20">
      <c r="I2332" s="213"/>
      <c r="J2332" s="213"/>
      <c r="L2332" s="272">
        <f t="shared" si="206"/>
        <v>1900</v>
      </c>
      <c r="M2332" s="272">
        <f t="shared" si="207"/>
        <v>1</v>
      </c>
      <c r="N2332" s="255"/>
      <c r="O2332" s="61">
        <f t="shared" si="208"/>
        <v>1900</v>
      </c>
      <c r="P2332" s="61">
        <f t="shared" si="209"/>
        <v>1</v>
      </c>
      <c r="R2332" s="272"/>
      <c r="S2332" s="272"/>
      <c r="T2332" s="273" t="str">
        <f t="shared" si="210"/>
        <v>-</v>
      </c>
    </row>
    <row r="2333" spans="9:20">
      <c r="I2333" s="213"/>
      <c r="J2333" s="213"/>
      <c r="L2333" s="272">
        <f t="shared" si="206"/>
        <v>1900</v>
      </c>
      <c r="M2333" s="272">
        <f t="shared" si="207"/>
        <v>1</v>
      </c>
      <c r="N2333" s="255"/>
      <c r="O2333" s="61">
        <f t="shared" si="208"/>
        <v>1900</v>
      </c>
      <c r="P2333" s="61">
        <f t="shared" si="209"/>
        <v>1</v>
      </c>
      <c r="R2333" s="272"/>
      <c r="S2333" s="272"/>
      <c r="T2333" s="273" t="str">
        <f t="shared" si="210"/>
        <v>-</v>
      </c>
    </row>
    <row r="2334" spans="9:20">
      <c r="I2334" s="213"/>
      <c r="J2334" s="213"/>
      <c r="L2334" s="272">
        <f t="shared" si="206"/>
        <v>1900</v>
      </c>
      <c r="M2334" s="272">
        <f t="shared" si="207"/>
        <v>1</v>
      </c>
      <c r="N2334" s="255"/>
      <c r="O2334" s="61">
        <f t="shared" si="208"/>
        <v>1900</v>
      </c>
      <c r="P2334" s="61">
        <f t="shared" si="209"/>
        <v>1</v>
      </c>
      <c r="R2334" s="272"/>
      <c r="S2334" s="272"/>
      <c r="T2334" s="273" t="str">
        <f t="shared" si="210"/>
        <v>-</v>
      </c>
    </row>
    <row r="2335" spans="9:20">
      <c r="I2335" s="213"/>
      <c r="J2335" s="213"/>
      <c r="L2335" s="272">
        <f t="shared" si="206"/>
        <v>1900</v>
      </c>
      <c r="M2335" s="272">
        <f t="shared" si="207"/>
        <v>1</v>
      </c>
      <c r="N2335" s="255"/>
      <c r="O2335" s="61">
        <f t="shared" si="208"/>
        <v>1900</v>
      </c>
      <c r="P2335" s="61">
        <f t="shared" si="209"/>
        <v>1</v>
      </c>
      <c r="R2335" s="272"/>
      <c r="S2335" s="272"/>
      <c r="T2335" s="273" t="str">
        <f t="shared" si="210"/>
        <v>-</v>
      </c>
    </row>
    <row r="2336" spans="9:20">
      <c r="I2336" s="213"/>
      <c r="J2336" s="213"/>
      <c r="L2336" s="272">
        <f t="shared" si="206"/>
        <v>1900</v>
      </c>
      <c r="M2336" s="272">
        <f t="shared" si="207"/>
        <v>1</v>
      </c>
      <c r="N2336" s="255"/>
      <c r="O2336" s="61">
        <f t="shared" si="208"/>
        <v>1900</v>
      </c>
      <c r="P2336" s="61">
        <f t="shared" si="209"/>
        <v>1</v>
      </c>
      <c r="R2336" s="272"/>
      <c r="S2336" s="272"/>
      <c r="T2336" s="273" t="str">
        <f t="shared" si="210"/>
        <v>-</v>
      </c>
    </row>
    <row r="2337" spans="9:20">
      <c r="I2337" s="213"/>
      <c r="J2337" s="213"/>
      <c r="L2337" s="272">
        <f t="shared" si="206"/>
        <v>1900</v>
      </c>
      <c r="M2337" s="272">
        <f t="shared" si="207"/>
        <v>1</v>
      </c>
      <c r="N2337" s="255"/>
      <c r="O2337" s="61">
        <f t="shared" si="208"/>
        <v>1900</v>
      </c>
      <c r="P2337" s="61">
        <f t="shared" si="209"/>
        <v>1</v>
      </c>
      <c r="R2337" s="272"/>
      <c r="S2337" s="272"/>
      <c r="T2337" s="273" t="str">
        <f t="shared" si="210"/>
        <v>-</v>
      </c>
    </row>
    <row r="2338" spans="9:20">
      <c r="I2338" s="213"/>
      <c r="J2338" s="213"/>
      <c r="L2338" s="272">
        <f t="shared" si="206"/>
        <v>1900</v>
      </c>
      <c r="M2338" s="272">
        <f t="shared" si="207"/>
        <v>1</v>
      </c>
      <c r="N2338" s="255"/>
      <c r="O2338" s="61">
        <f t="shared" si="208"/>
        <v>1900</v>
      </c>
      <c r="P2338" s="61">
        <f t="shared" si="209"/>
        <v>1</v>
      </c>
      <c r="R2338" s="272"/>
      <c r="S2338" s="272"/>
      <c r="T2338" s="273" t="str">
        <f t="shared" si="210"/>
        <v>-</v>
      </c>
    </row>
    <row r="2339" spans="9:20">
      <c r="I2339" s="213"/>
      <c r="J2339" s="213"/>
      <c r="L2339" s="272">
        <f t="shared" si="206"/>
        <v>1900</v>
      </c>
      <c r="M2339" s="272">
        <f t="shared" si="207"/>
        <v>1</v>
      </c>
      <c r="N2339" s="255"/>
      <c r="O2339" s="61">
        <f t="shared" si="208"/>
        <v>1900</v>
      </c>
      <c r="P2339" s="61">
        <f t="shared" si="209"/>
        <v>1</v>
      </c>
      <c r="R2339" s="272"/>
      <c r="S2339" s="272"/>
      <c r="T2339" s="273" t="str">
        <f t="shared" si="210"/>
        <v>-</v>
      </c>
    </row>
    <row r="2340" spans="9:20">
      <c r="I2340" s="213"/>
      <c r="J2340" s="213"/>
      <c r="L2340" s="272">
        <f t="shared" si="206"/>
        <v>1900</v>
      </c>
      <c r="M2340" s="272">
        <f t="shared" si="207"/>
        <v>1</v>
      </c>
      <c r="N2340" s="255"/>
      <c r="O2340" s="61">
        <f t="shared" si="208"/>
        <v>1900</v>
      </c>
      <c r="P2340" s="61">
        <f t="shared" si="209"/>
        <v>1</v>
      </c>
      <c r="R2340" s="272"/>
      <c r="S2340" s="272"/>
      <c r="T2340" s="273" t="str">
        <f t="shared" si="210"/>
        <v>-</v>
      </c>
    </row>
    <row r="2341" spans="9:20">
      <c r="I2341" s="213"/>
      <c r="J2341" s="213"/>
      <c r="L2341" s="272">
        <f t="shared" si="206"/>
        <v>1900</v>
      </c>
      <c r="M2341" s="272">
        <f t="shared" si="207"/>
        <v>1</v>
      </c>
      <c r="N2341" s="255"/>
      <c r="O2341" s="61">
        <f t="shared" si="208"/>
        <v>1900</v>
      </c>
      <c r="P2341" s="61">
        <f t="shared" si="209"/>
        <v>1</v>
      </c>
      <c r="R2341" s="272"/>
      <c r="S2341" s="272"/>
      <c r="T2341" s="273" t="str">
        <f t="shared" si="210"/>
        <v>-</v>
      </c>
    </row>
    <row r="2342" spans="9:20">
      <c r="I2342" s="213"/>
      <c r="J2342" s="213"/>
      <c r="L2342" s="272">
        <f t="shared" si="206"/>
        <v>1900</v>
      </c>
      <c r="M2342" s="272">
        <f t="shared" si="207"/>
        <v>1</v>
      </c>
      <c r="N2342" s="255"/>
      <c r="O2342" s="61">
        <f t="shared" si="208"/>
        <v>1900</v>
      </c>
      <c r="P2342" s="61">
        <f t="shared" si="209"/>
        <v>1</v>
      </c>
      <c r="R2342" s="272"/>
      <c r="S2342" s="272"/>
      <c r="T2342" s="273" t="str">
        <f t="shared" si="210"/>
        <v>-</v>
      </c>
    </row>
    <row r="2343" spans="9:20">
      <c r="I2343" s="213"/>
      <c r="J2343" s="213"/>
      <c r="L2343" s="272">
        <f t="shared" si="206"/>
        <v>1900</v>
      </c>
      <c r="M2343" s="272">
        <f t="shared" si="207"/>
        <v>1</v>
      </c>
      <c r="N2343" s="255"/>
      <c r="O2343" s="61">
        <f t="shared" si="208"/>
        <v>1900</v>
      </c>
      <c r="P2343" s="61">
        <f t="shared" si="209"/>
        <v>1</v>
      </c>
      <c r="R2343" s="272"/>
      <c r="S2343" s="272"/>
      <c r="T2343" s="273" t="str">
        <f t="shared" si="210"/>
        <v>-</v>
      </c>
    </row>
    <row r="2344" spans="9:20">
      <c r="I2344" s="213"/>
      <c r="J2344" s="213"/>
      <c r="L2344" s="272">
        <f t="shared" si="206"/>
        <v>1900</v>
      </c>
      <c r="M2344" s="272">
        <f t="shared" si="207"/>
        <v>1</v>
      </c>
      <c r="N2344" s="255"/>
      <c r="O2344" s="61">
        <f t="shared" si="208"/>
        <v>1900</v>
      </c>
      <c r="P2344" s="61">
        <f t="shared" si="209"/>
        <v>1</v>
      </c>
      <c r="R2344" s="272"/>
      <c r="S2344" s="272"/>
      <c r="T2344" s="273" t="str">
        <f t="shared" si="210"/>
        <v>-</v>
      </c>
    </row>
    <row r="2345" spans="9:20">
      <c r="I2345" s="213"/>
      <c r="J2345" s="213"/>
      <c r="L2345" s="272">
        <f t="shared" si="206"/>
        <v>1900</v>
      </c>
      <c r="M2345" s="272">
        <f t="shared" si="207"/>
        <v>1</v>
      </c>
      <c r="N2345" s="255"/>
      <c r="O2345" s="61">
        <f t="shared" si="208"/>
        <v>1900</v>
      </c>
      <c r="P2345" s="61">
        <f t="shared" si="209"/>
        <v>1</v>
      </c>
      <c r="R2345" s="272"/>
      <c r="S2345" s="272"/>
      <c r="T2345" s="273" t="str">
        <f t="shared" si="210"/>
        <v>-</v>
      </c>
    </row>
    <row r="2346" spans="9:20">
      <c r="I2346" s="213"/>
      <c r="J2346" s="213"/>
      <c r="L2346" s="272">
        <f t="shared" si="206"/>
        <v>1900</v>
      </c>
      <c r="M2346" s="272">
        <f t="shared" si="207"/>
        <v>1</v>
      </c>
      <c r="N2346" s="255"/>
      <c r="O2346" s="61">
        <f t="shared" si="208"/>
        <v>1900</v>
      </c>
      <c r="P2346" s="61">
        <f t="shared" si="209"/>
        <v>1</v>
      </c>
      <c r="R2346" s="272"/>
      <c r="S2346" s="272"/>
      <c r="T2346" s="273" t="str">
        <f t="shared" si="210"/>
        <v>-</v>
      </c>
    </row>
    <row r="2347" spans="9:20">
      <c r="I2347" s="213"/>
      <c r="J2347" s="213"/>
      <c r="L2347" s="272">
        <f t="shared" si="206"/>
        <v>1900</v>
      </c>
      <c r="M2347" s="272">
        <f t="shared" si="207"/>
        <v>1</v>
      </c>
      <c r="N2347" s="255"/>
      <c r="O2347" s="61">
        <f t="shared" si="208"/>
        <v>1900</v>
      </c>
      <c r="P2347" s="61">
        <f t="shared" si="209"/>
        <v>1</v>
      </c>
      <c r="R2347" s="272"/>
      <c r="S2347" s="272"/>
      <c r="T2347" s="273" t="str">
        <f t="shared" si="210"/>
        <v>-</v>
      </c>
    </row>
    <row r="2348" spans="9:20">
      <c r="I2348" s="213"/>
      <c r="J2348" s="213"/>
      <c r="L2348" s="272">
        <f t="shared" si="206"/>
        <v>1900</v>
      </c>
      <c r="M2348" s="272">
        <f t="shared" si="207"/>
        <v>1</v>
      </c>
      <c r="N2348" s="255"/>
      <c r="O2348" s="61">
        <f t="shared" si="208"/>
        <v>1900</v>
      </c>
      <c r="P2348" s="61">
        <f t="shared" si="209"/>
        <v>1</v>
      </c>
      <c r="R2348" s="272"/>
      <c r="S2348" s="272"/>
      <c r="T2348" s="273" t="str">
        <f t="shared" si="210"/>
        <v>-</v>
      </c>
    </row>
    <row r="2349" spans="9:20">
      <c r="I2349" s="213"/>
      <c r="J2349" s="213"/>
      <c r="L2349" s="272">
        <f t="shared" si="206"/>
        <v>1900</v>
      </c>
      <c r="M2349" s="272">
        <f t="shared" si="207"/>
        <v>1</v>
      </c>
      <c r="N2349" s="255"/>
      <c r="O2349" s="61">
        <f t="shared" si="208"/>
        <v>1900</v>
      </c>
      <c r="P2349" s="61">
        <f t="shared" si="209"/>
        <v>1</v>
      </c>
      <c r="R2349" s="272"/>
      <c r="S2349" s="272"/>
      <c r="T2349" s="273" t="str">
        <f t="shared" si="210"/>
        <v>-</v>
      </c>
    </row>
    <row r="2350" spans="9:20">
      <c r="I2350" s="213"/>
      <c r="J2350" s="213"/>
      <c r="L2350" s="272">
        <f t="shared" si="206"/>
        <v>1900</v>
      </c>
      <c r="M2350" s="272">
        <f t="shared" si="207"/>
        <v>1</v>
      </c>
      <c r="N2350" s="255"/>
      <c r="O2350" s="61">
        <f t="shared" si="208"/>
        <v>1900</v>
      </c>
      <c r="P2350" s="61">
        <f t="shared" si="209"/>
        <v>1</v>
      </c>
      <c r="R2350" s="272"/>
      <c r="S2350" s="272"/>
      <c r="T2350" s="273" t="str">
        <f t="shared" si="210"/>
        <v>-</v>
      </c>
    </row>
    <row r="2351" spans="9:20">
      <c r="I2351" s="213"/>
      <c r="J2351" s="213"/>
      <c r="L2351" s="272">
        <f t="shared" si="206"/>
        <v>1900</v>
      </c>
      <c r="M2351" s="272">
        <f t="shared" si="207"/>
        <v>1</v>
      </c>
      <c r="N2351" s="255"/>
      <c r="O2351" s="61">
        <f t="shared" si="208"/>
        <v>1900</v>
      </c>
      <c r="P2351" s="61">
        <f t="shared" si="209"/>
        <v>1</v>
      </c>
      <c r="R2351" s="272"/>
      <c r="S2351" s="272"/>
      <c r="T2351" s="273" t="str">
        <f t="shared" si="210"/>
        <v>-</v>
      </c>
    </row>
    <row r="2352" spans="9:20">
      <c r="I2352" s="213"/>
      <c r="J2352" s="213"/>
      <c r="L2352" s="272">
        <f t="shared" si="206"/>
        <v>1900</v>
      </c>
      <c r="M2352" s="272">
        <f t="shared" si="207"/>
        <v>1</v>
      </c>
      <c r="N2352" s="255"/>
      <c r="O2352" s="61">
        <f t="shared" si="208"/>
        <v>1900</v>
      </c>
      <c r="P2352" s="61">
        <f t="shared" si="209"/>
        <v>1</v>
      </c>
      <c r="R2352" s="272"/>
      <c r="S2352" s="272"/>
      <c r="T2352" s="273" t="str">
        <f t="shared" si="210"/>
        <v>-</v>
      </c>
    </row>
    <row r="2353" spans="9:20">
      <c r="I2353" s="213"/>
      <c r="J2353" s="213"/>
      <c r="L2353" s="272">
        <f t="shared" si="206"/>
        <v>1900</v>
      </c>
      <c r="M2353" s="272">
        <f t="shared" si="207"/>
        <v>1</v>
      </c>
      <c r="N2353" s="255"/>
      <c r="O2353" s="61">
        <f t="shared" si="208"/>
        <v>1900</v>
      </c>
      <c r="P2353" s="61">
        <f t="shared" si="209"/>
        <v>1</v>
      </c>
      <c r="R2353" s="272"/>
      <c r="S2353" s="272"/>
      <c r="T2353" s="273" t="str">
        <f t="shared" si="210"/>
        <v>-</v>
      </c>
    </row>
    <row r="2354" spans="9:20">
      <c r="I2354" s="213"/>
      <c r="J2354" s="213"/>
      <c r="L2354" s="272">
        <f t="shared" si="206"/>
        <v>1900</v>
      </c>
      <c r="M2354" s="272">
        <f t="shared" si="207"/>
        <v>1</v>
      </c>
      <c r="N2354" s="255"/>
      <c r="O2354" s="61">
        <f t="shared" si="208"/>
        <v>1900</v>
      </c>
      <c r="P2354" s="61">
        <f t="shared" si="209"/>
        <v>1</v>
      </c>
      <c r="R2354" s="272"/>
      <c r="S2354" s="272"/>
      <c r="T2354" s="273" t="str">
        <f t="shared" si="210"/>
        <v>-</v>
      </c>
    </row>
    <row r="2355" spans="9:20">
      <c r="I2355" s="213"/>
      <c r="J2355" s="213"/>
      <c r="L2355" s="272">
        <f t="shared" si="206"/>
        <v>1900</v>
      </c>
      <c r="M2355" s="272">
        <f t="shared" si="207"/>
        <v>1</v>
      </c>
      <c r="N2355" s="255"/>
      <c r="O2355" s="61">
        <f t="shared" si="208"/>
        <v>1900</v>
      </c>
      <c r="P2355" s="61">
        <f t="shared" si="209"/>
        <v>1</v>
      </c>
      <c r="R2355" s="272"/>
      <c r="S2355" s="272"/>
      <c r="T2355" s="273" t="str">
        <f t="shared" si="210"/>
        <v>-</v>
      </c>
    </row>
    <row r="2356" spans="9:20">
      <c r="I2356" s="213"/>
      <c r="J2356" s="213"/>
      <c r="L2356" s="272">
        <f t="shared" si="206"/>
        <v>1900</v>
      </c>
      <c r="M2356" s="272">
        <f t="shared" si="207"/>
        <v>1</v>
      </c>
      <c r="N2356" s="255"/>
      <c r="O2356" s="61">
        <f t="shared" si="208"/>
        <v>1900</v>
      </c>
      <c r="P2356" s="61">
        <f t="shared" si="209"/>
        <v>1</v>
      </c>
      <c r="R2356" s="272"/>
      <c r="S2356" s="272"/>
      <c r="T2356" s="273" t="str">
        <f t="shared" si="210"/>
        <v>-</v>
      </c>
    </row>
    <row r="2357" spans="9:20">
      <c r="I2357" s="213"/>
      <c r="J2357" s="213"/>
      <c r="L2357" s="272">
        <f t="shared" si="206"/>
        <v>1900</v>
      </c>
      <c r="M2357" s="272">
        <f t="shared" si="207"/>
        <v>1</v>
      </c>
      <c r="N2357" s="255"/>
      <c r="O2357" s="61">
        <f t="shared" si="208"/>
        <v>1900</v>
      </c>
      <c r="P2357" s="61">
        <f t="shared" si="209"/>
        <v>1</v>
      </c>
      <c r="R2357" s="272"/>
      <c r="S2357" s="272"/>
      <c r="T2357" s="273" t="str">
        <f t="shared" si="210"/>
        <v>-</v>
      </c>
    </row>
    <row r="2358" spans="9:20">
      <c r="I2358" s="213"/>
      <c r="J2358" s="213"/>
      <c r="L2358" s="272">
        <f t="shared" si="206"/>
        <v>1900</v>
      </c>
      <c r="M2358" s="272">
        <f t="shared" si="207"/>
        <v>1</v>
      </c>
      <c r="N2358" s="255"/>
      <c r="O2358" s="61">
        <f t="shared" si="208"/>
        <v>1900</v>
      </c>
      <c r="P2358" s="61">
        <f t="shared" si="209"/>
        <v>1</v>
      </c>
      <c r="R2358" s="272"/>
      <c r="S2358" s="272"/>
      <c r="T2358" s="273" t="str">
        <f t="shared" si="210"/>
        <v>-</v>
      </c>
    </row>
    <row r="2359" spans="9:20">
      <c r="I2359" s="213"/>
      <c r="J2359" s="213"/>
      <c r="L2359" s="272">
        <f t="shared" si="206"/>
        <v>1900</v>
      </c>
      <c r="M2359" s="272">
        <f t="shared" si="207"/>
        <v>1</v>
      </c>
      <c r="N2359" s="255"/>
      <c r="O2359" s="61">
        <f t="shared" si="208"/>
        <v>1900</v>
      </c>
      <c r="P2359" s="61">
        <f t="shared" si="209"/>
        <v>1</v>
      </c>
      <c r="R2359" s="272"/>
      <c r="S2359" s="272"/>
      <c r="T2359" s="273" t="str">
        <f t="shared" si="210"/>
        <v>-</v>
      </c>
    </row>
    <row r="2360" spans="9:20">
      <c r="I2360" s="213"/>
      <c r="J2360" s="213"/>
      <c r="L2360" s="272">
        <f t="shared" si="206"/>
        <v>1900</v>
      </c>
      <c r="M2360" s="272">
        <f t="shared" si="207"/>
        <v>1</v>
      </c>
      <c r="N2360" s="255"/>
      <c r="O2360" s="61">
        <f t="shared" si="208"/>
        <v>1900</v>
      </c>
      <c r="P2360" s="61">
        <f t="shared" si="209"/>
        <v>1</v>
      </c>
      <c r="R2360" s="272"/>
      <c r="S2360" s="272"/>
      <c r="T2360" s="273" t="str">
        <f t="shared" si="210"/>
        <v>-</v>
      </c>
    </row>
    <row r="2361" spans="9:20">
      <c r="I2361" s="213"/>
      <c r="J2361" s="213"/>
      <c r="L2361" s="272">
        <f t="shared" si="206"/>
        <v>1900</v>
      </c>
      <c r="M2361" s="272">
        <f t="shared" si="207"/>
        <v>1</v>
      </c>
      <c r="N2361" s="255"/>
      <c r="O2361" s="61">
        <f t="shared" si="208"/>
        <v>1900</v>
      </c>
      <c r="P2361" s="61">
        <f t="shared" si="209"/>
        <v>1</v>
      </c>
      <c r="R2361" s="272"/>
      <c r="S2361" s="272"/>
      <c r="T2361" s="273" t="str">
        <f t="shared" si="210"/>
        <v>-</v>
      </c>
    </row>
    <row r="2362" spans="9:20">
      <c r="I2362" s="213"/>
      <c r="J2362" s="213"/>
      <c r="L2362" s="272">
        <f t="shared" si="206"/>
        <v>1900</v>
      </c>
      <c r="M2362" s="272">
        <f t="shared" si="207"/>
        <v>1</v>
      </c>
      <c r="N2362" s="255"/>
      <c r="O2362" s="61">
        <f t="shared" si="208"/>
        <v>1900</v>
      </c>
      <c r="P2362" s="61">
        <f t="shared" si="209"/>
        <v>1</v>
      </c>
      <c r="R2362" s="272"/>
      <c r="S2362" s="272"/>
      <c r="T2362" s="273" t="str">
        <f t="shared" si="210"/>
        <v>-</v>
      </c>
    </row>
    <row r="2363" spans="9:20">
      <c r="I2363" s="213"/>
      <c r="J2363" s="213"/>
      <c r="L2363" s="272">
        <f t="shared" si="206"/>
        <v>1900</v>
      </c>
      <c r="M2363" s="272">
        <f t="shared" si="207"/>
        <v>1</v>
      </c>
      <c r="N2363" s="255"/>
      <c r="O2363" s="61">
        <f t="shared" si="208"/>
        <v>1900</v>
      </c>
      <c r="P2363" s="61">
        <f t="shared" si="209"/>
        <v>1</v>
      </c>
      <c r="R2363" s="272"/>
      <c r="S2363" s="272"/>
      <c r="T2363" s="273" t="str">
        <f t="shared" si="210"/>
        <v>-</v>
      </c>
    </row>
    <row r="2364" spans="9:20">
      <c r="I2364" s="213"/>
      <c r="J2364" s="213"/>
      <c r="L2364" s="272">
        <f t="shared" si="206"/>
        <v>1900</v>
      </c>
      <c r="M2364" s="272">
        <f t="shared" si="207"/>
        <v>1</v>
      </c>
      <c r="N2364" s="255"/>
      <c r="O2364" s="61">
        <f t="shared" si="208"/>
        <v>1900</v>
      </c>
      <c r="P2364" s="61">
        <f t="shared" si="209"/>
        <v>1</v>
      </c>
      <c r="R2364" s="272"/>
      <c r="S2364" s="272"/>
      <c r="T2364" s="273" t="str">
        <f t="shared" si="210"/>
        <v>-</v>
      </c>
    </row>
    <row r="2365" spans="9:20">
      <c r="I2365" s="213"/>
      <c r="J2365" s="213"/>
      <c r="L2365" s="272">
        <f t="shared" si="206"/>
        <v>1900</v>
      </c>
      <c r="M2365" s="272">
        <f t="shared" si="207"/>
        <v>1</v>
      </c>
      <c r="N2365" s="255"/>
      <c r="O2365" s="61">
        <f t="shared" si="208"/>
        <v>1900</v>
      </c>
      <c r="P2365" s="61">
        <f t="shared" si="209"/>
        <v>1</v>
      </c>
      <c r="R2365" s="272"/>
      <c r="S2365" s="272"/>
      <c r="T2365" s="273" t="str">
        <f t="shared" si="210"/>
        <v>-</v>
      </c>
    </row>
    <row r="2366" spans="9:20">
      <c r="I2366" s="213"/>
      <c r="J2366" s="213"/>
      <c r="L2366" s="272">
        <f t="shared" si="206"/>
        <v>1900</v>
      </c>
      <c r="M2366" s="272">
        <f t="shared" si="207"/>
        <v>1</v>
      </c>
      <c r="N2366" s="255"/>
      <c r="O2366" s="61">
        <f t="shared" si="208"/>
        <v>1900</v>
      </c>
      <c r="P2366" s="61">
        <f t="shared" si="209"/>
        <v>1</v>
      </c>
      <c r="R2366" s="272"/>
      <c r="S2366" s="272"/>
      <c r="T2366" s="273" t="str">
        <f t="shared" si="210"/>
        <v>-</v>
      </c>
    </row>
    <row r="2367" spans="9:20">
      <c r="I2367" s="213"/>
      <c r="J2367" s="213"/>
      <c r="L2367" s="272">
        <f t="shared" si="206"/>
        <v>1900</v>
      </c>
      <c r="M2367" s="272">
        <f t="shared" si="207"/>
        <v>1</v>
      </c>
      <c r="N2367" s="255"/>
      <c r="O2367" s="61">
        <f t="shared" si="208"/>
        <v>1900</v>
      </c>
      <c r="P2367" s="61">
        <f t="shared" si="209"/>
        <v>1</v>
      </c>
      <c r="R2367" s="272"/>
      <c r="S2367" s="272"/>
      <c r="T2367" s="273" t="str">
        <f t="shared" si="210"/>
        <v>-</v>
      </c>
    </row>
    <row r="2368" spans="9:20">
      <c r="I2368" s="213"/>
      <c r="J2368" s="213"/>
      <c r="L2368" s="272">
        <f t="shared" si="206"/>
        <v>1900</v>
      </c>
      <c r="M2368" s="272">
        <f t="shared" si="207"/>
        <v>1</v>
      </c>
      <c r="N2368" s="255"/>
      <c r="O2368" s="61">
        <f t="shared" si="208"/>
        <v>1900</v>
      </c>
      <c r="P2368" s="61">
        <f t="shared" si="209"/>
        <v>1</v>
      </c>
      <c r="R2368" s="272"/>
      <c r="S2368" s="272"/>
      <c r="T2368" s="273" t="str">
        <f t="shared" si="210"/>
        <v>-</v>
      </c>
    </row>
    <row r="2369" spans="9:20">
      <c r="I2369" s="213"/>
      <c r="J2369" s="213"/>
      <c r="L2369" s="272">
        <f t="shared" si="206"/>
        <v>1900</v>
      </c>
      <c r="M2369" s="272">
        <f t="shared" si="207"/>
        <v>1</v>
      </c>
      <c r="N2369" s="255"/>
      <c r="O2369" s="61">
        <f t="shared" si="208"/>
        <v>1900</v>
      </c>
      <c r="P2369" s="61">
        <f t="shared" si="209"/>
        <v>1</v>
      </c>
      <c r="R2369" s="272"/>
      <c r="S2369" s="272"/>
      <c r="T2369" s="273" t="str">
        <f t="shared" si="210"/>
        <v>-</v>
      </c>
    </row>
    <row r="2370" spans="9:20">
      <c r="I2370" s="213"/>
      <c r="J2370" s="213"/>
      <c r="L2370" s="272">
        <f t="shared" si="206"/>
        <v>1900</v>
      </c>
      <c r="M2370" s="272">
        <f t="shared" si="207"/>
        <v>1</v>
      </c>
      <c r="N2370" s="255"/>
      <c r="O2370" s="61">
        <f t="shared" si="208"/>
        <v>1900</v>
      </c>
      <c r="P2370" s="61">
        <f t="shared" si="209"/>
        <v>1</v>
      </c>
      <c r="R2370" s="272"/>
      <c r="S2370" s="272"/>
      <c r="T2370" s="273" t="str">
        <f t="shared" si="210"/>
        <v>-</v>
      </c>
    </row>
    <row r="2371" spans="9:20">
      <c r="I2371" s="213"/>
      <c r="J2371" s="213"/>
      <c r="L2371" s="272">
        <f t="shared" si="206"/>
        <v>1900</v>
      </c>
      <c r="M2371" s="272">
        <f t="shared" si="207"/>
        <v>1</v>
      </c>
      <c r="N2371" s="255"/>
      <c r="O2371" s="61">
        <f t="shared" si="208"/>
        <v>1900</v>
      </c>
      <c r="P2371" s="61">
        <f t="shared" si="209"/>
        <v>1</v>
      </c>
      <c r="R2371" s="272"/>
      <c r="S2371" s="272"/>
      <c r="T2371" s="273" t="str">
        <f t="shared" si="210"/>
        <v>-</v>
      </c>
    </row>
    <row r="2372" spans="9:20">
      <c r="I2372" s="213"/>
      <c r="J2372" s="213"/>
      <c r="L2372" s="272">
        <f t="shared" si="206"/>
        <v>1900</v>
      </c>
      <c r="M2372" s="272">
        <f t="shared" si="207"/>
        <v>1</v>
      </c>
      <c r="N2372" s="255"/>
      <c r="O2372" s="61">
        <f t="shared" si="208"/>
        <v>1900</v>
      </c>
      <c r="P2372" s="61">
        <f t="shared" si="209"/>
        <v>1</v>
      </c>
      <c r="R2372" s="272"/>
      <c r="S2372" s="272"/>
      <c r="T2372" s="273" t="str">
        <f t="shared" si="210"/>
        <v>-</v>
      </c>
    </row>
    <row r="2373" spans="9:20">
      <c r="I2373" s="213"/>
      <c r="J2373" s="213"/>
      <c r="L2373" s="272">
        <f t="shared" si="206"/>
        <v>1900</v>
      </c>
      <c r="M2373" s="272">
        <f t="shared" si="207"/>
        <v>1</v>
      </c>
      <c r="N2373" s="255"/>
      <c r="O2373" s="61">
        <f t="shared" si="208"/>
        <v>1900</v>
      </c>
      <c r="P2373" s="61">
        <f t="shared" si="209"/>
        <v>1</v>
      </c>
      <c r="R2373" s="272"/>
      <c r="S2373" s="272"/>
      <c r="T2373" s="273" t="str">
        <f t="shared" si="210"/>
        <v>-</v>
      </c>
    </row>
    <row r="2374" spans="9:20">
      <c r="I2374" s="213"/>
      <c r="J2374" s="213"/>
      <c r="L2374" s="272">
        <f t="shared" si="206"/>
        <v>1900</v>
      </c>
      <c r="M2374" s="272">
        <f t="shared" si="207"/>
        <v>1</v>
      </c>
      <c r="N2374" s="255"/>
      <c r="O2374" s="61">
        <f t="shared" si="208"/>
        <v>1900</v>
      </c>
      <c r="P2374" s="61">
        <f t="shared" si="209"/>
        <v>1</v>
      </c>
      <c r="R2374" s="272"/>
      <c r="S2374" s="272"/>
      <c r="T2374" s="273" t="str">
        <f t="shared" si="210"/>
        <v>-</v>
      </c>
    </row>
    <row r="2375" spans="9:20">
      <c r="I2375" s="213"/>
      <c r="J2375" s="213"/>
      <c r="L2375" s="272">
        <f t="shared" si="206"/>
        <v>1900</v>
      </c>
      <c r="M2375" s="272">
        <f t="shared" si="207"/>
        <v>1</v>
      </c>
      <c r="N2375" s="255"/>
      <c r="O2375" s="61">
        <f t="shared" si="208"/>
        <v>1900</v>
      </c>
      <c r="P2375" s="61">
        <f t="shared" si="209"/>
        <v>1</v>
      </c>
      <c r="R2375" s="272"/>
      <c r="S2375" s="272"/>
      <c r="T2375" s="273" t="str">
        <f t="shared" si="210"/>
        <v>-</v>
      </c>
    </row>
    <row r="2376" spans="9:20">
      <c r="I2376" s="213"/>
      <c r="J2376" s="213"/>
      <c r="L2376" s="272">
        <f t="shared" si="206"/>
        <v>1900</v>
      </c>
      <c r="M2376" s="272">
        <f t="shared" si="207"/>
        <v>1</v>
      </c>
      <c r="N2376" s="255"/>
      <c r="O2376" s="61">
        <f t="shared" si="208"/>
        <v>1900</v>
      </c>
      <c r="P2376" s="61">
        <f t="shared" si="209"/>
        <v>1</v>
      </c>
      <c r="R2376" s="272"/>
      <c r="S2376" s="272"/>
      <c r="T2376" s="273" t="str">
        <f t="shared" si="210"/>
        <v>-</v>
      </c>
    </row>
    <row r="2377" spans="9:20">
      <c r="I2377" s="213"/>
      <c r="J2377" s="213"/>
      <c r="L2377" s="272">
        <f t="shared" si="206"/>
        <v>1900</v>
      </c>
      <c r="M2377" s="272">
        <f t="shared" si="207"/>
        <v>1</v>
      </c>
      <c r="N2377" s="255"/>
      <c r="O2377" s="61">
        <f t="shared" si="208"/>
        <v>1900</v>
      </c>
      <c r="P2377" s="61">
        <f t="shared" si="209"/>
        <v>1</v>
      </c>
      <c r="R2377" s="272"/>
      <c r="S2377" s="272"/>
      <c r="T2377" s="273" t="str">
        <f t="shared" si="210"/>
        <v>-</v>
      </c>
    </row>
    <row r="2378" spans="9:20">
      <c r="I2378" s="213"/>
      <c r="J2378" s="213"/>
      <c r="L2378" s="272">
        <f t="shared" si="206"/>
        <v>1900</v>
      </c>
      <c r="M2378" s="272">
        <f t="shared" si="207"/>
        <v>1</v>
      </c>
      <c r="N2378" s="255"/>
      <c r="O2378" s="61">
        <f t="shared" si="208"/>
        <v>1900</v>
      </c>
      <c r="P2378" s="61">
        <f t="shared" si="209"/>
        <v>1</v>
      </c>
      <c r="R2378" s="272"/>
      <c r="S2378" s="272"/>
      <c r="T2378" s="273" t="str">
        <f t="shared" si="210"/>
        <v>-</v>
      </c>
    </row>
    <row r="2379" spans="9:20">
      <c r="I2379" s="213"/>
      <c r="J2379" s="213"/>
      <c r="L2379" s="272">
        <f t="shared" si="206"/>
        <v>1900</v>
      </c>
      <c r="M2379" s="272">
        <f t="shared" si="207"/>
        <v>1</v>
      </c>
      <c r="N2379" s="255"/>
      <c r="O2379" s="61">
        <f t="shared" si="208"/>
        <v>1900</v>
      </c>
      <c r="P2379" s="61">
        <f t="shared" si="209"/>
        <v>1</v>
      </c>
      <c r="R2379" s="272"/>
      <c r="S2379" s="272"/>
      <c r="T2379" s="273" t="str">
        <f t="shared" si="210"/>
        <v>-</v>
      </c>
    </row>
    <row r="2380" spans="9:20">
      <c r="I2380" s="213"/>
      <c r="J2380" s="213"/>
      <c r="L2380" s="272">
        <f t="shared" si="206"/>
        <v>1900</v>
      </c>
      <c r="M2380" s="272">
        <f t="shared" si="207"/>
        <v>1</v>
      </c>
      <c r="N2380" s="255"/>
      <c r="O2380" s="61">
        <f t="shared" si="208"/>
        <v>1900</v>
      </c>
      <c r="P2380" s="61">
        <f t="shared" si="209"/>
        <v>1</v>
      </c>
      <c r="R2380" s="272"/>
      <c r="S2380" s="272"/>
      <c r="T2380" s="273" t="str">
        <f t="shared" si="210"/>
        <v>-</v>
      </c>
    </row>
    <row r="2381" spans="9:20">
      <c r="I2381" s="213"/>
      <c r="J2381" s="213"/>
      <c r="L2381" s="272">
        <f t="shared" si="206"/>
        <v>1900</v>
      </c>
      <c r="M2381" s="272">
        <f t="shared" si="207"/>
        <v>1</v>
      </c>
      <c r="N2381" s="255"/>
      <c r="O2381" s="61">
        <f t="shared" si="208"/>
        <v>1900</v>
      </c>
      <c r="P2381" s="61">
        <f t="shared" si="209"/>
        <v>1</v>
      </c>
      <c r="R2381" s="272"/>
      <c r="S2381" s="272"/>
      <c r="T2381" s="273" t="str">
        <f t="shared" si="210"/>
        <v>-</v>
      </c>
    </row>
    <row r="2382" spans="9:20">
      <c r="I2382" s="213"/>
      <c r="J2382" s="213"/>
      <c r="L2382" s="272">
        <f t="shared" si="206"/>
        <v>1900</v>
      </c>
      <c r="M2382" s="272">
        <f t="shared" si="207"/>
        <v>1</v>
      </c>
      <c r="N2382" s="255"/>
      <c r="O2382" s="61">
        <f t="shared" si="208"/>
        <v>1900</v>
      </c>
      <c r="P2382" s="61">
        <f t="shared" si="209"/>
        <v>1</v>
      </c>
      <c r="R2382" s="272"/>
      <c r="S2382" s="272"/>
      <c r="T2382" s="273" t="str">
        <f t="shared" si="210"/>
        <v>-</v>
      </c>
    </row>
    <row r="2383" spans="9:20">
      <c r="I2383" s="213"/>
      <c r="J2383" s="213"/>
      <c r="L2383" s="272">
        <f t="shared" si="206"/>
        <v>1900</v>
      </c>
      <c r="M2383" s="272">
        <f t="shared" si="207"/>
        <v>1</v>
      </c>
      <c r="N2383" s="255"/>
      <c r="O2383" s="61">
        <f t="shared" si="208"/>
        <v>1900</v>
      </c>
      <c r="P2383" s="61">
        <f t="shared" si="209"/>
        <v>1</v>
      </c>
      <c r="R2383" s="272"/>
      <c r="S2383" s="272"/>
      <c r="T2383" s="273" t="str">
        <f t="shared" si="210"/>
        <v>-</v>
      </c>
    </row>
    <row r="2384" spans="9:20">
      <c r="I2384" s="213"/>
      <c r="J2384" s="213"/>
      <c r="L2384" s="272">
        <f t="shared" ref="L2384:L2447" si="211">YEAR(B2384)</f>
        <v>1900</v>
      </c>
      <c r="M2384" s="272">
        <f t="shared" ref="M2384:M2447" si="212">MONTH(B2384)</f>
        <v>1</v>
      </c>
      <c r="N2384" s="255"/>
      <c r="O2384" s="61">
        <f t="shared" ref="O2384:O2447" si="213">YEAR(B2384)</f>
        <v>1900</v>
      </c>
      <c r="P2384" s="61">
        <f t="shared" ref="P2384:P2447" si="214">MONTH(B2384)</f>
        <v>1</v>
      </c>
      <c r="R2384" s="272"/>
      <c r="S2384" s="272"/>
      <c r="T2384" s="273" t="str">
        <f t="shared" ref="T2384:T2447" si="215">IF($E2384&gt;0,IF((R2384+S2384)=$E2384,"OK","Error"),"-")</f>
        <v>-</v>
      </c>
    </row>
    <row r="2385" spans="9:20">
      <c r="I2385" s="213"/>
      <c r="J2385" s="213"/>
      <c r="L2385" s="272">
        <f t="shared" si="211"/>
        <v>1900</v>
      </c>
      <c r="M2385" s="272">
        <f t="shared" si="212"/>
        <v>1</v>
      </c>
      <c r="N2385" s="255"/>
      <c r="O2385" s="61">
        <f t="shared" si="213"/>
        <v>1900</v>
      </c>
      <c r="P2385" s="61">
        <f t="shared" si="214"/>
        <v>1</v>
      </c>
      <c r="R2385" s="272"/>
      <c r="S2385" s="272"/>
      <c r="T2385" s="273" t="str">
        <f t="shared" si="215"/>
        <v>-</v>
      </c>
    </row>
    <row r="2386" spans="9:20">
      <c r="I2386" s="213"/>
      <c r="J2386" s="213"/>
      <c r="L2386" s="272">
        <f t="shared" si="211"/>
        <v>1900</v>
      </c>
      <c r="M2386" s="272">
        <f t="shared" si="212"/>
        <v>1</v>
      </c>
      <c r="N2386" s="255"/>
      <c r="O2386" s="61">
        <f t="shared" si="213"/>
        <v>1900</v>
      </c>
      <c r="P2386" s="61">
        <f t="shared" si="214"/>
        <v>1</v>
      </c>
      <c r="R2386" s="272"/>
      <c r="S2386" s="272"/>
      <c r="T2386" s="273" t="str">
        <f t="shared" si="215"/>
        <v>-</v>
      </c>
    </row>
    <row r="2387" spans="9:20">
      <c r="I2387" s="213"/>
      <c r="J2387" s="213"/>
      <c r="L2387" s="272">
        <f t="shared" si="211"/>
        <v>1900</v>
      </c>
      <c r="M2387" s="272">
        <f t="shared" si="212"/>
        <v>1</v>
      </c>
      <c r="N2387" s="255"/>
      <c r="O2387" s="61">
        <f t="shared" si="213"/>
        <v>1900</v>
      </c>
      <c r="P2387" s="61">
        <f t="shared" si="214"/>
        <v>1</v>
      </c>
      <c r="R2387" s="272"/>
      <c r="S2387" s="272"/>
      <c r="T2387" s="273" t="str">
        <f t="shared" si="215"/>
        <v>-</v>
      </c>
    </row>
    <row r="2388" spans="9:20">
      <c r="I2388" s="213"/>
      <c r="J2388" s="213"/>
      <c r="L2388" s="272">
        <f t="shared" si="211"/>
        <v>1900</v>
      </c>
      <c r="M2388" s="272">
        <f t="shared" si="212"/>
        <v>1</v>
      </c>
      <c r="N2388" s="255"/>
      <c r="O2388" s="61">
        <f t="shared" si="213"/>
        <v>1900</v>
      </c>
      <c r="P2388" s="61">
        <f t="shared" si="214"/>
        <v>1</v>
      </c>
      <c r="R2388" s="272"/>
      <c r="S2388" s="272"/>
      <c r="T2388" s="273" t="str">
        <f t="shared" si="215"/>
        <v>-</v>
      </c>
    </row>
    <row r="2389" spans="9:20">
      <c r="I2389" s="213"/>
      <c r="J2389" s="213"/>
      <c r="L2389" s="272">
        <f t="shared" si="211"/>
        <v>1900</v>
      </c>
      <c r="M2389" s="272">
        <f t="shared" si="212"/>
        <v>1</v>
      </c>
      <c r="N2389" s="255"/>
      <c r="O2389" s="61">
        <f t="shared" si="213"/>
        <v>1900</v>
      </c>
      <c r="P2389" s="61">
        <f t="shared" si="214"/>
        <v>1</v>
      </c>
      <c r="R2389" s="272"/>
      <c r="S2389" s="272"/>
      <c r="T2389" s="273" t="str">
        <f t="shared" si="215"/>
        <v>-</v>
      </c>
    </row>
    <row r="2390" spans="9:20">
      <c r="I2390" s="213"/>
      <c r="J2390" s="213"/>
      <c r="L2390" s="272">
        <f t="shared" si="211"/>
        <v>1900</v>
      </c>
      <c r="M2390" s="272">
        <f t="shared" si="212"/>
        <v>1</v>
      </c>
      <c r="N2390" s="255"/>
      <c r="O2390" s="61">
        <f t="shared" si="213"/>
        <v>1900</v>
      </c>
      <c r="P2390" s="61">
        <f t="shared" si="214"/>
        <v>1</v>
      </c>
      <c r="R2390" s="272"/>
      <c r="S2390" s="272"/>
      <c r="T2390" s="273" t="str">
        <f t="shared" si="215"/>
        <v>-</v>
      </c>
    </row>
    <row r="2391" spans="9:20">
      <c r="I2391" s="213"/>
      <c r="J2391" s="213"/>
      <c r="L2391" s="272">
        <f t="shared" si="211"/>
        <v>1900</v>
      </c>
      <c r="M2391" s="272">
        <f t="shared" si="212"/>
        <v>1</v>
      </c>
      <c r="N2391" s="255"/>
      <c r="O2391" s="61">
        <f t="shared" si="213"/>
        <v>1900</v>
      </c>
      <c r="P2391" s="61">
        <f t="shared" si="214"/>
        <v>1</v>
      </c>
      <c r="R2391" s="272"/>
      <c r="S2391" s="272"/>
      <c r="T2391" s="273" t="str">
        <f t="shared" si="215"/>
        <v>-</v>
      </c>
    </row>
    <row r="2392" spans="9:20">
      <c r="I2392" s="213"/>
      <c r="J2392" s="213"/>
      <c r="L2392" s="272">
        <f t="shared" si="211"/>
        <v>1900</v>
      </c>
      <c r="M2392" s="272">
        <f t="shared" si="212"/>
        <v>1</v>
      </c>
      <c r="N2392" s="255"/>
      <c r="O2392" s="61">
        <f t="shared" si="213"/>
        <v>1900</v>
      </c>
      <c r="P2392" s="61">
        <f t="shared" si="214"/>
        <v>1</v>
      </c>
      <c r="R2392" s="272"/>
      <c r="S2392" s="272"/>
      <c r="T2392" s="273" t="str">
        <f t="shared" si="215"/>
        <v>-</v>
      </c>
    </row>
    <row r="2393" spans="9:20">
      <c r="I2393" s="213"/>
      <c r="J2393" s="213"/>
      <c r="L2393" s="272">
        <f t="shared" si="211"/>
        <v>1900</v>
      </c>
      <c r="M2393" s="272">
        <f t="shared" si="212"/>
        <v>1</v>
      </c>
      <c r="N2393" s="255"/>
      <c r="O2393" s="61">
        <f t="shared" si="213"/>
        <v>1900</v>
      </c>
      <c r="P2393" s="61">
        <f t="shared" si="214"/>
        <v>1</v>
      </c>
      <c r="R2393" s="272"/>
      <c r="S2393" s="272"/>
      <c r="T2393" s="273" t="str">
        <f t="shared" si="215"/>
        <v>-</v>
      </c>
    </row>
    <row r="2394" spans="9:20">
      <c r="I2394" s="213"/>
      <c r="J2394" s="213"/>
      <c r="L2394" s="272">
        <f t="shared" si="211"/>
        <v>1900</v>
      </c>
      <c r="M2394" s="272">
        <f t="shared" si="212"/>
        <v>1</v>
      </c>
      <c r="N2394" s="255"/>
      <c r="O2394" s="61">
        <f t="shared" si="213"/>
        <v>1900</v>
      </c>
      <c r="P2394" s="61">
        <f t="shared" si="214"/>
        <v>1</v>
      </c>
      <c r="R2394" s="272"/>
      <c r="S2394" s="272"/>
      <c r="T2394" s="273" t="str">
        <f t="shared" si="215"/>
        <v>-</v>
      </c>
    </row>
    <row r="2395" spans="9:20">
      <c r="I2395" s="213"/>
      <c r="J2395" s="213"/>
      <c r="L2395" s="272">
        <f t="shared" si="211"/>
        <v>1900</v>
      </c>
      <c r="M2395" s="272">
        <f t="shared" si="212"/>
        <v>1</v>
      </c>
      <c r="N2395" s="255"/>
      <c r="O2395" s="61">
        <f t="shared" si="213"/>
        <v>1900</v>
      </c>
      <c r="P2395" s="61">
        <f t="shared" si="214"/>
        <v>1</v>
      </c>
      <c r="R2395" s="272"/>
      <c r="S2395" s="272"/>
      <c r="T2395" s="273" t="str">
        <f t="shared" si="215"/>
        <v>-</v>
      </c>
    </row>
    <row r="2396" spans="9:20">
      <c r="I2396" s="213"/>
      <c r="J2396" s="213"/>
      <c r="L2396" s="272">
        <f t="shared" si="211"/>
        <v>1900</v>
      </c>
      <c r="M2396" s="272">
        <f t="shared" si="212"/>
        <v>1</v>
      </c>
      <c r="N2396" s="255"/>
      <c r="O2396" s="61">
        <f t="shared" si="213"/>
        <v>1900</v>
      </c>
      <c r="P2396" s="61">
        <f t="shared" si="214"/>
        <v>1</v>
      </c>
      <c r="R2396" s="272"/>
      <c r="S2396" s="272"/>
      <c r="T2396" s="273" t="str">
        <f t="shared" si="215"/>
        <v>-</v>
      </c>
    </row>
    <row r="2397" spans="9:20">
      <c r="I2397" s="213"/>
      <c r="J2397" s="213"/>
      <c r="L2397" s="272">
        <f t="shared" si="211"/>
        <v>1900</v>
      </c>
      <c r="M2397" s="272">
        <f t="shared" si="212"/>
        <v>1</v>
      </c>
      <c r="N2397" s="255"/>
      <c r="O2397" s="61">
        <f t="shared" si="213"/>
        <v>1900</v>
      </c>
      <c r="P2397" s="61">
        <f t="shared" si="214"/>
        <v>1</v>
      </c>
      <c r="R2397" s="272"/>
      <c r="S2397" s="272"/>
      <c r="T2397" s="273" t="str">
        <f t="shared" si="215"/>
        <v>-</v>
      </c>
    </row>
    <row r="2398" spans="9:20">
      <c r="I2398" s="213"/>
      <c r="J2398" s="213"/>
      <c r="L2398" s="272">
        <f t="shared" si="211"/>
        <v>1900</v>
      </c>
      <c r="M2398" s="272">
        <f t="shared" si="212"/>
        <v>1</v>
      </c>
      <c r="N2398" s="255"/>
      <c r="O2398" s="61">
        <f t="shared" si="213"/>
        <v>1900</v>
      </c>
      <c r="P2398" s="61">
        <f t="shared" si="214"/>
        <v>1</v>
      </c>
      <c r="R2398" s="272"/>
      <c r="S2398" s="272"/>
      <c r="T2398" s="273" t="str">
        <f t="shared" si="215"/>
        <v>-</v>
      </c>
    </row>
    <row r="2399" spans="9:20">
      <c r="I2399" s="213"/>
      <c r="J2399" s="213"/>
      <c r="L2399" s="272">
        <f t="shared" si="211"/>
        <v>1900</v>
      </c>
      <c r="M2399" s="272">
        <f t="shared" si="212"/>
        <v>1</v>
      </c>
      <c r="N2399" s="255"/>
      <c r="O2399" s="61">
        <f t="shared" si="213"/>
        <v>1900</v>
      </c>
      <c r="P2399" s="61">
        <f t="shared" si="214"/>
        <v>1</v>
      </c>
      <c r="R2399" s="272"/>
      <c r="S2399" s="272"/>
      <c r="T2399" s="273" t="str">
        <f t="shared" si="215"/>
        <v>-</v>
      </c>
    </row>
    <row r="2400" spans="9:20">
      <c r="I2400" s="213"/>
      <c r="J2400" s="213"/>
      <c r="L2400" s="272">
        <f t="shared" si="211"/>
        <v>1900</v>
      </c>
      <c r="M2400" s="272">
        <f t="shared" si="212"/>
        <v>1</v>
      </c>
      <c r="N2400" s="255"/>
      <c r="O2400" s="61">
        <f t="shared" si="213"/>
        <v>1900</v>
      </c>
      <c r="P2400" s="61">
        <f t="shared" si="214"/>
        <v>1</v>
      </c>
      <c r="R2400" s="272"/>
      <c r="S2400" s="272"/>
      <c r="T2400" s="273" t="str">
        <f t="shared" si="215"/>
        <v>-</v>
      </c>
    </row>
    <row r="2401" spans="9:20">
      <c r="I2401" s="213"/>
      <c r="J2401" s="213"/>
      <c r="L2401" s="272">
        <f t="shared" si="211"/>
        <v>1900</v>
      </c>
      <c r="M2401" s="272">
        <f t="shared" si="212"/>
        <v>1</v>
      </c>
      <c r="N2401" s="255"/>
      <c r="O2401" s="61">
        <f t="shared" si="213"/>
        <v>1900</v>
      </c>
      <c r="P2401" s="61">
        <f t="shared" si="214"/>
        <v>1</v>
      </c>
      <c r="R2401" s="272"/>
      <c r="S2401" s="272"/>
      <c r="T2401" s="273" t="str">
        <f t="shared" si="215"/>
        <v>-</v>
      </c>
    </row>
    <row r="2402" spans="9:20">
      <c r="I2402" s="213"/>
      <c r="J2402" s="213"/>
      <c r="L2402" s="272">
        <f t="shared" si="211"/>
        <v>1900</v>
      </c>
      <c r="M2402" s="272">
        <f t="shared" si="212"/>
        <v>1</v>
      </c>
      <c r="N2402" s="255"/>
      <c r="O2402" s="61">
        <f t="shared" si="213"/>
        <v>1900</v>
      </c>
      <c r="P2402" s="61">
        <f t="shared" si="214"/>
        <v>1</v>
      </c>
      <c r="R2402" s="272"/>
      <c r="S2402" s="272"/>
      <c r="T2402" s="273" t="str">
        <f t="shared" si="215"/>
        <v>-</v>
      </c>
    </row>
    <row r="2403" spans="9:20">
      <c r="I2403" s="213"/>
      <c r="J2403" s="213"/>
      <c r="L2403" s="272">
        <f t="shared" si="211"/>
        <v>1900</v>
      </c>
      <c r="M2403" s="272">
        <f t="shared" si="212"/>
        <v>1</v>
      </c>
      <c r="N2403" s="255"/>
      <c r="O2403" s="61">
        <f t="shared" si="213"/>
        <v>1900</v>
      </c>
      <c r="P2403" s="61">
        <f t="shared" si="214"/>
        <v>1</v>
      </c>
      <c r="R2403" s="272"/>
      <c r="S2403" s="272"/>
      <c r="T2403" s="273" t="str">
        <f t="shared" si="215"/>
        <v>-</v>
      </c>
    </row>
    <row r="2404" spans="9:20">
      <c r="I2404" s="213"/>
      <c r="J2404" s="213"/>
      <c r="L2404" s="272">
        <f t="shared" si="211"/>
        <v>1900</v>
      </c>
      <c r="M2404" s="272">
        <f t="shared" si="212"/>
        <v>1</v>
      </c>
      <c r="N2404" s="255"/>
      <c r="O2404" s="61">
        <f t="shared" si="213"/>
        <v>1900</v>
      </c>
      <c r="P2404" s="61">
        <f t="shared" si="214"/>
        <v>1</v>
      </c>
      <c r="R2404" s="272"/>
      <c r="S2404" s="272"/>
      <c r="T2404" s="273" t="str">
        <f t="shared" si="215"/>
        <v>-</v>
      </c>
    </row>
    <row r="2405" spans="9:20">
      <c r="I2405" s="213"/>
      <c r="J2405" s="213"/>
      <c r="L2405" s="272">
        <f t="shared" si="211"/>
        <v>1900</v>
      </c>
      <c r="M2405" s="272">
        <f t="shared" si="212"/>
        <v>1</v>
      </c>
      <c r="N2405" s="255"/>
      <c r="O2405" s="61">
        <f t="shared" si="213"/>
        <v>1900</v>
      </c>
      <c r="P2405" s="61">
        <f t="shared" si="214"/>
        <v>1</v>
      </c>
      <c r="R2405" s="272"/>
      <c r="S2405" s="272"/>
      <c r="T2405" s="273" t="str">
        <f t="shared" si="215"/>
        <v>-</v>
      </c>
    </row>
    <row r="2406" spans="9:20">
      <c r="I2406" s="213"/>
      <c r="J2406" s="213"/>
      <c r="L2406" s="272">
        <f t="shared" si="211"/>
        <v>1900</v>
      </c>
      <c r="M2406" s="272">
        <f t="shared" si="212"/>
        <v>1</v>
      </c>
      <c r="N2406" s="255"/>
      <c r="O2406" s="61">
        <f t="shared" si="213"/>
        <v>1900</v>
      </c>
      <c r="P2406" s="61">
        <f t="shared" si="214"/>
        <v>1</v>
      </c>
      <c r="R2406" s="272"/>
      <c r="S2406" s="272"/>
      <c r="T2406" s="273" t="str">
        <f t="shared" si="215"/>
        <v>-</v>
      </c>
    </row>
    <row r="2407" spans="9:20">
      <c r="I2407" s="213"/>
      <c r="J2407" s="213"/>
      <c r="L2407" s="272">
        <f t="shared" si="211"/>
        <v>1900</v>
      </c>
      <c r="M2407" s="272">
        <f t="shared" si="212"/>
        <v>1</v>
      </c>
      <c r="N2407" s="255"/>
      <c r="O2407" s="61">
        <f t="shared" si="213"/>
        <v>1900</v>
      </c>
      <c r="P2407" s="61">
        <f t="shared" si="214"/>
        <v>1</v>
      </c>
      <c r="R2407" s="272"/>
      <c r="S2407" s="272"/>
      <c r="T2407" s="273" t="str">
        <f t="shared" si="215"/>
        <v>-</v>
      </c>
    </row>
    <row r="2408" spans="9:20">
      <c r="I2408" s="213"/>
      <c r="J2408" s="213"/>
      <c r="L2408" s="272">
        <f t="shared" si="211"/>
        <v>1900</v>
      </c>
      <c r="M2408" s="272">
        <f t="shared" si="212"/>
        <v>1</v>
      </c>
      <c r="N2408" s="255"/>
      <c r="O2408" s="61">
        <f t="shared" si="213"/>
        <v>1900</v>
      </c>
      <c r="P2408" s="61">
        <f t="shared" si="214"/>
        <v>1</v>
      </c>
      <c r="R2408" s="272"/>
      <c r="S2408" s="272"/>
      <c r="T2408" s="273" t="str">
        <f t="shared" si="215"/>
        <v>-</v>
      </c>
    </row>
    <row r="2409" spans="9:20">
      <c r="I2409" s="213"/>
      <c r="J2409" s="213"/>
      <c r="L2409" s="272">
        <f t="shared" si="211"/>
        <v>1900</v>
      </c>
      <c r="M2409" s="272">
        <f t="shared" si="212"/>
        <v>1</v>
      </c>
      <c r="N2409" s="255"/>
      <c r="O2409" s="61">
        <f t="shared" si="213"/>
        <v>1900</v>
      </c>
      <c r="P2409" s="61">
        <f t="shared" si="214"/>
        <v>1</v>
      </c>
      <c r="R2409" s="272"/>
      <c r="S2409" s="272"/>
      <c r="T2409" s="273" t="str">
        <f t="shared" si="215"/>
        <v>-</v>
      </c>
    </row>
    <row r="2410" spans="9:20">
      <c r="I2410" s="213"/>
      <c r="J2410" s="213"/>
      <c r="L2410" s="272">
        <f t="shared" si="211"/>
        <v>1900</v>
      </c>
      <c r="M2410" s="272">
        <f t="shared" si="212"/>
        <v>1</v>
      </c>
      <c r="N2410" s="255"/>
      <c r="O2410" s="61">
        <f t="shared" si="213"/>
        <v>1900</v>
      </c>
      <c r="P2410" s="61">
        <f t="shared" si="214"/>
        <v>1</v>
      </c>
      <c r="R2410" s="272"/>
      <c r="S2410" s="272"/>
      <c r="T2410" s="273" t="str">
        <f t="shared" si="215"/>
        <v>-</v>
      </c>
    </row>
    <row r="2411" spans="9:20">
      <c r="I2411" s="213"/>
      <c r="J2411" s="213"/>
      <c r="L2411" s="272">
        <f t="shared" si="211"/>
        <v>1900</v>
      </c>
      <c r="M2411" s="272">
        <f t="shared" si="212"/>
        <v>1</v>
      </c>
      <c r="N2411" s="255"/>
      <c r="O2411" s="61">
        <f t="shared" si="213"/>
        <v>1900</v>
      </c>
      <c r="P2411" s="61">
        <f t="shared" si="214"/>
        <v>1</v>
      </c>
      <c r="R2411" s="272"/>
      <c r="S2411" s="272"/>
      <c r="T2411" s="273" t="str">
        <f t="shared" si="215"/>
        <v>-</v>
      </c>
    </row>
    <row r="2412" spans="9:20">
      <c r="I2412" s="213"/>
      <c r="J2412" s="213"/>
      <c r="L2412" s="272">
        <f t="shared" si="211"/>
        <v>1900</v>
      </c>
      <c r="M2412" s="272">
        <f t="shared" si="212"/>
        <v>1</v>
      </c>
      <c r="N2412" s="255"/>
      <c r="O2412" s="61">
        <f t="shared" si="213"/>
        <v>1900</v>
      </c>
      <c r="P2412" s="61">
        <f t="shared" si="214"/>
        <v>1</v>
      </c>
      <c r="R2412" s="272"/>
      <c r="S2412" s="272"/>
      <c r="T2412" s="273" t="str">
        <f t="shared" si="215"/>
        <v>-</v>
      </c>
    </row>
    <row r="2413" spans="9:20">
      <c r="I2413" s="213"/>
      <c r="J2413" s="213"/>
      <c r="L2413" s="272">
        <f t="shared" si="211"/>
        <v>1900</v>
      </c>
      <c r="M2413" s="272">
        <f t="shared" si="212"/>
        <v>1</v>
      </c>
      <c r="N2413" s="255"/>
      <c r="O2413" s="61">
        <f t="shared" si="213"/>
        <v>1900</v>
      </c>
      <c r="P2413" s="61">
        <f t="shared" si="214"/>
        <v>1</v>
      </c>
      <c r="R2413" s="272"/>
      <c r="S2413" s="272"/>
      <c r="T2413" s="273" t="str">
        <f t="shared" si="215"/>
        <v>-</v>
      </c>
    </row>
    <row r="2414" spans="9:20">
      <c r="I2414" s="213"/>
      <c r="J2414" s="213"/>
      <c r="L2414" s="272">
        <f t="shared" si="211"/>
        <v>1900</v>
      </c>
      <c r="M2414" s="272">
        <f t="shared" si="212"/>
        <v>1</v>
      </c>
      <c r="N2414" s="255"/>
      <c r="O2414" s="61">
        <f t="shared" si="213"/>
        <v>1900</v>
      </c>
      <c r="P2414" s="61">
        <f t="shared" si="214"/>
        <v>1</v>
      </c>
      <c r="R2414" s="272"/>
      <c r="S2414" s="272"/>
      <c r="T2414" s="273" t="str">
        <f t="shared" si="215"/>
        <v>-</v>
      </c>
    </row>
    <row r="2415" spans="9:20">
      <c r="I2415" s="213"/>
      <c r="J2415" s="213"/>
      <c r="L2415" s="272">
        <f t="shared" si="211"/>
        <v>1900</v>
      </c>
      <c r="M2415" s="272">
        <f t="shared" si="212"/>
        <v>1</v>
      </c>
      <c r="N2415" s="255"/>
      <c r="O2415" s="61">
        <f t="shared" si="213"/>
        <v>1900</v>
      </c>
      <c r="P2415" s="61">
        <f t="shared" si="214"/>
        <v>1</v>
      </c>
      <c r="R2415" s="272"/>
      <c r="S2415" s="272"/>
      <c r="T2415" s="273" t="str">
        <f t="shared" si="215"/>
        <v>-</v>
      </c>
    </row>
    <row r="2416" spans="9:20">
      <c r="I2416" s="213"/>
      <c r="J2416" s="213"/>
      <c r="L2416" s="272">
        <f t="shared" si="211"/>
        <v>1900</v>
      </c>
      <c r="M2416" s="272">
        <f t="shared" si="212"/>
        <v>1</v>
      </c>
      <c r="N2416" s="255"/>
      <c r="O2416" s="61">
        <f t="shared" si="213"/>
        <v>1900</v>
      </c>
      <c r="P2416" s="61">
        <f t="shared" si="214"/>
        <v>1</v>
      </c>
      <c r="R2416" s="272"/>
      <c r="S2416" s="272"/>
      <c r="T2416" s="273" t="str">
        <f t="shared" si="215"/>
        <v>-</v>
      </c>
    </row>
    <row r="2417" spans="9:20">
      <c r="I2417" s="213"/>
      <c r="J2417" s="213"/>
      <c r="L2417" s="272">
        <f t="shared" si="211"/>
        <v>1900</v>
      </c>
      <c r="M2417" s="272">
        <f t="shared" si="212"/>
        <v>1</v>
      </c>
      <c r="N2417" s="255"/>
      <c r="O2417" s="61">
        <f t="shared" si="213"/>
        <v>1900</v>
      </c>
      <c r="P2417" s="61">
        <f t="shared" si="214"/>
        <v>1</v>
      </c>
      <c r="R2417" s="272"/>
      <c r="S2417" s="272"/>
      <c r="T2417" s="273" t="str">
        <f t="shared" si="215"/>
        <v>-</v>
      </c>
    </row>
    <row r="2418" spans="9:20">
      <c r="I2418" s="213"/>
      <c r="J2418" s="213"/>
      <c r="L2418" s="272">
        <f t="shared" si="211"/>
        <v>1900</v>
      </c>
      <c r="M2418" s="272">
        <f t="shared" si="212"/>
        <v>1</v>
      </c>
      <c r="N2418" s="255"/>
      <c r="O2418" s="61">
        <f t="shared" si="213"/>
        <v>1900</v>
      </c>
      <c r="P2418" s="61">
        <f t="shared" si="214"/>
        <v>1</v>
      </c>
      <c r="R2418" s="272"/>
      <c r="S2418" s="272"/>
      <c r="T2418" s="273" t="str">
        <f t="shared" si="215"/>
        <v>-</v>
      </c>
    </row>
    <row r="2419" spans="9:20">
      <c r="I2419" s="213"/>
      <c r="J2419" s="213"/>
      <c r="L2419" s="272">
        <f t="shared" si="211"/>
        <v>1900</v>
      </c>
      <c r="M2419" s="272">
        <f t="shared" si="212"/>
        <v>1</v>
      </c>
      <c r="N2419" s="255"/>
      <c r="O2419" s="61">
        <f t="shared" si="213"/>
        <v>1900</v>
      </c>
      <c r="P2419" s="61">
        <f t="shared" si="214"/>
        <v>1</v>
      </c>
      <c r="R2419" s="272"/>
      <c r="S2419" s="272"/>
      <c r="T2419" s="273" t="str">
        <f t="shared" si="215"/>
        <v>-</v>
      </c>
    </row>
    <row r="2420" spans="9:20">
      <c r="I2420" s="213"/>
      <c r="J2420" s="213"/>
      <c r="L2420" s="272">
        <f t="shared" si="211"/>
        <v>1900</v>
      </c>
      <c r="M2420" s="272">
        <f t="shared" si="212"/>
        <v>1</v>
      </c>
      <c r="N2420" s="255"/>
      <c r="O2420" s="61">
        <f t="shared" si="213"/>
        <v>1900</v>
      </c>
      <c r="P2420" s="61">
        <f t="shared" si="214"/>
        <v>1</v>
      </c>
      <c r="R2420" s="272"/>
      <c r="S2420" s="272"/>
      <c r="T2420" s="273" t="str">
        <f t="shared" si="215"/>
        <v>-</v>
      </c>
    </row>
    <row r="2421" spans="9:20">
      <c r="I2421" s="213"/>
      <c r="J2421" s="213"/>
      <c r="L2421" s="272">
        <f t="shared" si="211"/>
        <v>1900</v>
      </c>
      <c r="M2421" s="272">
        <f t="shared" si="212"/>
        <v>1</v>
      </c>
      <c r="N2421" s="255"/>
      <c r="O2421" s="61">
        <f t="shared" si="213"/>
        <v>1900</v>
      </c>
      <c r="P2421" s="61">
        <f t="shared" si="214"/>
        <v>1</v>
      </c>
      <c r="R2421" s="272"/>
      <c r="S2421" s="272"/>
      <c r="T2421" s="273" t="str">
        <f t="shared" si="215"/>
        <v>-</v>
      </c>
    </row>
    <row r="2422" spans="9:20">
      <c r="I2422" s="213"/>
      <c r="J2422" s="213"/>
      <c r="L2422" s="272">
        <f t="shared" si="211"/>
        <v>1900</v>
      </c>
      <c r="M2422" s="272">
        <f t="shared" si="212"/>
        <v>1</v>
      </c>
      <c r="N2422" s="255"/>
      <c r="O2422" s="61">
        <f t="shared" si="213"/>
        <v>1900</v>
      </c>
      <c r="P2422" s="61">
        <f t="shared" si="214"/>
        <v>1</v>
      </c>
      <c r="R2422" s="272"/>
      <c r="S2422" s="272"/>
      <c r="T2422" s="273" t="str">
        <f t="shared" si="215"/>
        <v>-</v>
      </c>
    </row>
    <row r="2423" spans="9:20">
      <c r="I2423" s="213"/>
      <c r="J2423" s="213"/>
      <c r="L2423" s="272">
        <f t="shared" si="211"/>
        <v>1900</v>
      </c>
      <c r="M2423" s="272">
        <f t="shared" si="212"/>
        <v>1</v>
      </c>
      <c r="N2423" s="255"/>
      <c r="O2423" s="61">
        <f t="shared" si="213"/>
        <v>1900</v>
      </c>
      <c r="P2423" s="61">
        <f t="shared" si="214"/>
        <v>1</v>
      </c>
      <c r="R2423" s="272"/>
      <c r="S2423" s="272"/>
      <c r="T2423" s="273" t="str">
        <f t="shared" si="215"/>
        <v>-</v>
      </c>
    </row>
    <row r="2424" spans="9:20">
      <c r="I2424" s="213"/>
      <c r="J2424" s="213"/>
      <c r="L2424" s="272">
        <f t="shared" si="211"/>
        <v>1900</v>
      </c>
      <c r="M2424" s="272">
        <f t="shared" si="212"/>
        <v>1</v>
      </c>
      <c r="N2424" s="255"/>
      <c r="O2424" s="61">
        <f t="shared" si="213"/>
        <v>1900</v>
      </c>
      <c r="P2424" s="61">
        <f t="shared" si="214"/>
        <v>1</v>
      </c>
      <c r="R2424" s="272"/>
      <c r="S2424" s="272"/>
      <c r="T2424" s="273" t="str">
        <f t="shared" si="215"/>
        <v>-</v>
      </c>
    </row>
    <row r="2425" spans="9:20">
      <c r="I2425" s="213"/>
      <c r="J2425" s="213"/>
      <c r="L2425" s="272">
        <f t="shared" si="211"/>
        <v>1900</v>
      </c>
      <c r="M2425" s="272">
        <f t="shared" si="212"/>
        <v>1</v>
      </c>
      <c r="N2425" s="255"/>
      <c r="O2425" s="61">
        <f t="shared" si="213"/>
        <v>1900</v>
      </c>
      <c r="P2425" s="61">
        <f t="shared" si="214"/>
        <v>1</v>
      </c>
      <c r="R2425" s="272"/>
      <c r="S2425" s="272"/>
      <c r="T2425" s="273" t="str">
        <f t="shared" si="215"/>
        <v>-</v>
      </c>
    </row>
    <row r="2426" spans="9:20">
      <c r="I2426" s="213"/>
      <c r="J2426" s="213"/>
      <c r="L2426" s="272">
        <f t="shared" si="211"/>
        <v>1900</v>
      </c>
      <c r="M2426" s="272">
        <f t="shared" si="212"/>
        <v>1</v>
      </c>
      <c r="N2426" s="255"/>
      <c r="O2426" s="61">
        <f t="shared" si="213"/>
        <v>1900</v>
      </c>
      <c r="P2426" s="61">
        <f t="shared" si="214"/>
        <v>1</v>
      </c>
      <c r="R2426" s="272"/>
      <c r="S2426" s="272"/>
      <c r="T2426" s="273" t="str">
        <f t="shared" si="215"/>
        <v>-</v>
      </c>
    </row>
    <row r="2427" spans="9:20">
      <c r="I2427" s="213"/>
      <c r="J2427" s="213"/>
      <c r="L2427" s="272">
        <f t="shared" si="211"/>
        <v>1900</v>
      </c>
      <c r="M2427" s="272">
        <f t="shared" si="212"/>
        <v>1</v>
      </c>
      <c r="N2427" s="255"/>
      <c r="O2427" s="61">
        <f t="shared" si="213"/>
        <v>1900</v>
      </c>
      <c r="P2427" s="61">
        <f t="shared" si="214"/>
        <v>1</v>
      </c>
      <c r="R2427" s="272"/>
      <c r="S2427" s="272"/>
      <c r="T2427" s="273" t="str">
        <f t="shared" si="215"/>
        <v>-</v>
      </c>
    </row>
    <row r="2428" spans="9:20">
      <c r="I2428" s="213"/>
      <c r="J2428" s="213"/>
      <c r="L2428" s="272">
        <f t="shared" si="211"/>
        <v>1900</v>
      </c>
      <c r="M2428" s="272">
        <f t="shared" si="212"/>
        <v>1</v>
      </c>
      <c r="N2428" s="255"/>
      <c r="O2428" s="61">
        <f t="shared" si="213"/>
        <v>1900</v>
      </c>
      <c r="P2428" s="61">
        <f t="shared" si="214"/>
        <v>1</v>
      </c>
      <c r="R2428" s="272"/>
      <c r="S2428" s="272"/>
      <c r="T2428" s="273" t="str">
        <f t="shared" si="215"/>
        <v>-</v>
      </c>
    </row>
    <row r="2429" spans="9:20">
      <c r="I2429" s="213"/>
      <c r="J2429" s="213"/>
      <c r="L2429" s="272">
        <f t="shared" si="211"/>
        <v>1900</v>
      </c>
      <c r="M2429" s="272">
        <f t="shared" si="212"/>
        <v>1</v>
      </c>
      <c r="N2429" s="255"/>
      <c r="O2429" s="61">
        <f t="shared" si="213"/>
        <v>1900</v>
      </c>
      <c r="P2429" s="61">
        <f t="shared" si="214"/>
        <v>1</v>
      </c>
      <c r="R2429" s="272"/>
      <c r="S2429" s="272"/>
      <c r="T2429" s="273" t="str">
        <f t="shared" si="215"/>
        <v>-</v>
      </c>
    </row>
    <row r="2430" spans="9:20">
      <c r="I2430" s="213"/>
      <c r="J2430" s="213"/>
      <c r="L2430" s="272">
        <f t="shared" si="211"/>
        <v>1900</v>
      </c>
      <c r="M2430" s="272">
        <f t="shared" si="212"/>
        <v>1</v>
      </c>
      <c r="N2430" s="255"/>
      <c r="O2430" s="61">
        <f t="shared" si="213"/>
        <v>1900</v>
      </c>
      <c r="P2430" s="61">
        <f t="shared" si="214"/>
        <v>1</v>
      </c>
      <c r="R2430" s="272"/>
      <c r="S2430" s="272"/>
      <c r="T2430" s="273" t="str">
        <f t="shared" si="215"/>
        <v>-</v>
      </c>
    </row>
    <row r="2431" spans="9:20">
      <c r="I2431" s="213"/>
      <c r="J2431" s="213"/>
      <c r="L2431" s="272">
        <f t="shared" si="211"/>
        <v>1900</v>
      </c>
      <c r="M2431" s="272">
        <f t="shared" si="212"/>
        <v>1</v>
      </c>
      <c r="N2431" s="255"/>
      <c r="O2431" s="61">
        <f t="shared" si="213"/>
        <v>1900</v>
      </c>
      <c r="P2431" s="61">
        <f t="shared" si="214"/>
        <v>1</v>
      </c>
      <c r="R2431" s="272"/>
      <c r="S2431" s="272"/>
      <c r="T2431" s="273" t="str">
        <f t="shared" si="215"/>
        <v>-</v>
      </c>
    </row>
    <row r="2432" spans="9:20">
      <c r="I2432" s="213"/>
      <c r="J2432" s="213"/>
      <c r="L2432" s="272">
        <f t="shared" si="211"/>
        <v>1900</v>
      </c>
      <c r="M2432" s="272">
        <f t="shared" si="212"/>
        <v>1</v>
      </c>
      <c r="N2432" s="255"/>
      <c r="O2432" s="61">
        <f t="shared" si="213"/>
        <v>1900</v>
      </c>
      <c r="P2432" s="61">
        <f t="shared" si="214"/>
        <v>1</v>
      </c>
      <c r="R2432" s="272"/>
      <c r="S2432" s="272"/>
      <c r="T2432" s="273" t="str">
        <f t="shared" si="215"/>
        <v>-</v>
      </c>
    </row>
    <row r="2433" spans="9:20">
      <c r="I2433" s="213"/>
      <c r="J2433" s="213"/>
      <c r="L2433" s="272">
        <f t="shared" si="211"/>
        <v>1900</v>
      </c>
      <c r="M2433" s="272">
        <f t="shared" si="212"/>
        <v>1</v>
      </c>
      <c r="N2433" s="255"/>
      <c r="O2433" s="61">
        <f t="shared" si="213"/>
        <v>1900</v>
      </c>
      <c r="P2433" s="61">
        <f t="shared" si="214"/>
        <v>1</v>
      </c>
      <c r="R2433" s="272"/>
      <c r="S2433" s="272"/>
      <c r="T2433" s="273" t="str">
        <f t="shared" si="215"/>
        <v>-</v>
      </c>
    </row>
    <row r="2434" spans="9:20">
      <c r="I2434" s="213"/>
      <c r="J2434" s="213"/>
      <c r="L2434" s="272">
        <f t="shared" si="211"/>
        <v>1900</v>
      </c>
      <c r="M2434" s="272">
        <f t="shared" si="212"/>
        <v>1</v>
      </c>
      <c r="N2434" s="255"/>
      <c r="O2434" s="61">
        <f t="shared" si="213"/>
        <v>1900</v>
      </c>
      <c r="P2434" s="61">
        <f t="shared" si="214"/>
        <v>1</v>
      </c>
      <c r="R2434" s="272"/>
      <c r="S2434" s="272"/>
      <c r="T2434" s="273" t="str">
        <f t="shared" si="215"/>
        <v>-</v>
      </c>
    </row>
    <row r="2435" spans="9:20">
      <c r="I2435" s="213"/>
      <c r="J2435" s="213"/>
      <c r="L2435" s="272">
        <f t="shared" si="211"/>
        <v>1900</v>
      </c>
      <c r="M2435" s="272">
        <f t="shared" si="212"/>
        <v>1</v>
      </c>
      <c r="N2435" s="255"/>
      <c r="O2435" s="61">
        <f t="shared" si="213"/>
        <v>1900</v>
      </c>
      <c r="P2435" s="61">
        <f t="shared" si="214"/>
        <v>1</v>
      </c>
      <c r="R2435" s="272"/>
      <c r="S2435" s="272"/>
      <c r="T2435" s="273" t="str">
        <f t="shared" si="215"/>
        <v>-</v>
      </c>
    </row>
    <row r="2436" spans="9:20">
      <c r="I2436" s="213"/>
      <c r="J2436" s="213"/>
      <c r="L2436" s="272">
        <f t="shared" si="211"/>
        <v>1900</v>
      </c>
      <c r="M2436" s="272">
        <f t="shared" si="212"/>
        <v>1</v>
      </c>
      <c r="N2436" s="255"/>
      <c r="O2436" s="61">
        <f t="shared" si="213"/>
        <v>1900</v>
      </c>
      <c r="P2436" s="61">
        <f t="shared" si="214"/>
        <v>1</v>
      </c>
      <c r="R2436" s="272"/>
      <c r="S2436" s="272"/>
      <c r="T2436" s="273" t="str">
        <f t="shared" si="215"/>
        <v>-</v>
      </c>
    </row>
    <row r="2437" spans="9:20">
      <c r="I2437" s="213"/>
      <c r="J2437" s="213"/>
      <c r="L2437" s="272">
        <f t="shared" si="211"/>
        <v>1900</v>
      </c>
      <c r="M2437" s="272">
        <f t="shared" si="212"/>
        <v>1</v>
      </c>
      <c r="N2437" s="255"/>
      <c r="O2437" s="61">
        <f t="shared" si="213"/>
        <v>1900</v>
      </c>
      <c r="P2437" s="61">
        <f t="shared" si="214"/>
        <v>1</v>
      </c>
      <c r="R2437" s="272"/>
      <c r="S2437" s="272"/>
      <c r="T2437" s="273" t="str">
        <f t="shared" si="215"/>
        <v>-</v>
      </c>
    </row>
    <row r="2438" spans="9:20">
      <c r="I2438" s="213"/>
      <c r="J2438" s="213"/>
      <c r="L2438" s="272">
        <f t="shared" si="211"/>
        <v>1900</v>
      </c>
      <c r="M2438" s="272">
        <f t="shared" si="212"/>
        <v>1</v>
      </c>
      <c r="N2438" s="255"/>
      <c r="O2438" s="61">
        <f t="shared" si="213"/>
        <v>1900</v>
      </c>
      <c r="P2438" s="61">
        <f t="shared" si="214"/>
        <v>1</v>
      </c>
      <c r="R2438" s="272"/>
      <c r="S2438" s="272"/>
      <c r="T2438" s="273" t="str">
        <f t="shared" si="215"/>
        <v>-</v>
      </c>
    </row>
    <row r="2439" spans="9:20">
      <c r="I2439" s="213"/>
      <c r="J2439" s="213"/>
      <c r="L2439" s="272">
        <f t="shared" si="211"/>
        <v>1900</v>
      </c>
      <c r="M2439" s="272">
        <f t="shared" si="212"/>
        <v>1</v>
      </c>
      <c r="N2439" s="255"/>
      <c r="O2439" s="61">
        <f t="shared" si="213"/>
        <v>1900</v>
      </c>
      <c r="P2439" s="61">
        <f t="shared" si="214"/>
        <v>1</v>
      </c>
      <c r="R2439" s="272"/>
      <c r="S2439" s="272"/>
      <c r="T2439" s="273" t="str">
        <f t="shared" si="215"/>
        <v>-</v>
      </c>
    </row>
    <row r="2440" spans="9:20">
      <c r="I2440" s="213"/>
      <c r="J2440" s="213"/>
      <c r="L2440" s="272">
        <f t="shared" si="211"/>
        <v>1900</v>
      </c>
      <c r="M2440" s="272">
        <f t="shared" si="212"/>
        <v>1</v>
      </c>
      <c r="N2440" s="255"/>
      <c r="O2440" s="61">
        <f t="shared" si="213"/>
        <v>1900</v>
      </c>
      <c r="P2440" s="61">
        <f t="shared" si="214"/>
        <v>1</v>
      </c>
      <c r="R2440" s="272"/>
      <c r="S2440" s="272"/>
      <c r="T2440" s="273" t="str">
        <f t="shared" si="215"/>
        <v>-</v>
      </c>
    </row>
    <row r="2441" spans="9:20">
      <c r="I2441" s="213"/>
      <c r="J2441" s="213"/>
      <c r="L2441" s="272">
        <f t="shared" si="211"/>
        <v>1900</v>
      </c>
      <c r="M2441" s="272">
        <f t="shared" si="212"/>
        <v>1</v>
      </c>
      <c r="N2441" s="255"/>
      <c r="O2441" s="61">
        <f t="shared" si="213"/>
        <v>1900</v>
      </c>
      <c r="P2441" s="61">
        <f t="shared" si="214"/>
        <v>1</v>
      </c>
      <c r="R2441" s="272"/>
      <c r="S2441" s="272"/>
      <c r="T2441" s="273" t="str">
        <f t="shared" si="215"/>
        <v>-</v>
      </c>
    </row>
    <row r="2442" spans="9:20">
      <c r="I2442" s="213"/>
      <c r="J2442" s="213"/>
      <c r="L2442" s="272">
        <f t="shared" si="211"/>
        <v>1900</v>
      </c>
      <c r="M2442" s="272">
        <f t="shared" si="212"/>
        <v>1</v>
      </c>
      <c r="N2442" s="255"/>
      <c r="O2442" s="61">
        <f t="shared" si="213"/>
        <v>1900</v>
      </c>
      <c r="P2442" s="61">
        <f t="shared" si="214"/>
        <v>1</v>
      </c>
      <c r="R2442" s="272"/>
      <c r="S2442" s="272"/>
      <c r="T2442" s="273" t="str">
        <f t="shared" si="215"/>
        <v>-</v>
      </c>
    </row>
    <row r="2443" spans="9:20">
      <c r="I2443" s="213"/>
      <c r="J2443" s="213"/>
      <c r="L2443" s="272">
        <f t="shared" si="211"/>
        <v>1900</v>
      </c>
      <c r="M2443" s="272">
        <f t="shared" si="212"/>
        <v>1</v>
      </c>
      <c r="N2443" s="255"/>
      <c r="O2443" s="61">
        <f t="shared" si="213"/>
        <v>1900</v>
      </c>
      <c r="P2443" s="61">
        <f t="shared" si="214"/>
        <v>1</v>
      </c>
      <c r="R2443" s="272"/>
      <c r="S2443" s="272"/>
      <c r="T2443" s="273" t="str">
        <f t="shared" si="215"/>
        <v>-</v>
      </c>
    </row>
    <row r="2444" spans="9:20">
      <c r="I2444" s="213"/>
      <c r="J2444" s="213"/>
      <c r="L2444" s="272">
        <f t="shared" si="211"/>
        <v>1900</v>
      </c>
      <c r="M2444" s="272">
        <f t="shared" si="212"/>
        <v>1</v>
      </c>
      <c r="N2444" s="255"/>
      <c r="O2444" s="61">
        <f t="shared" si="213"/>
        <v>1900</v>
      </c>
      <c r="P2444" s="61">
        <f t="shared" si="214"/>
        <v>1</v>
      </c>
      <c r="R2444" s="272"/>
      <c r="S2444" s="272"/>
      <c r="T2444" s="273" t="str">
        <f t="shared" si="215"/>
        <v>-</v>
      </c>
    </row>
    <row r="2445" spans="9:20">
      <c r="I2445" s="213"/>
      <c r="J2445" s="213"/>
      <c r="L2445" s="272">
        <f t="shared" si="211"/>
        <v>1900</v>
      </c>
      <c r="M2445" s="272">
        <f t="shared" si="212"/>
        <v>1</v>
      </c>
      <c r="N2445" s="255"/>
      <c r="O2445" s="61">
        <f t="shared" si="213"/>
        <v>1900</v>
      </c>
      <c r="P2445" s="61">
        <f t="shared" si="214"/>
        <v>1</v>
      </c>
      <c r="R2445" s="272"/>
      <c r="S2445" s="272"/>
      <c r="T2445" s="273" t="str">
        <f t="shared" si="215"/>
        <v>-</v>
      </c>
    </row>
    <row r="2446" spans="9:20">
      <c r="I2446" s="213"/>
      <c r="J2446" s="213"/>
      <c r="L2446" s="272">
        <f t="shared" si="211"/>
        <v>1900</v>
      </c>
      <c r="M2446" s="272">
        <f t="shared" si="212"/>
        <v>1</v>
      </c>
      <c r="N2446" s="255"/>
      <c r="O2446" s="61">
        <f t="shared" si="213"/>
        <v>1900</v>
      </c>
      <c r="P2446" s="61">
        <f t="shared" si="214"/>
        <v>1</v>
      </c>
      <c r="R2446" s="272"/>
      <c r="S2446" s="272"/>
      <c r="T2446" s="273" t="str">
        <f t="shared" si="215"/>
        <v>-</v>
      </c>
    </row>
    <row r="2447" spans="9:20">
      <c r="I2447" s="213"/>
      <c r="J2447" s="213"/>
      <c r="L2447" s="272">
        <f t="shared" si="211"/>
        <v>1900</v>
      </c>
      <c r="M2447" s="272">
        <f t="shared" si="212"/>
        <v>1</v>
      </c>
      <c r="N2447" s="255"/>
      <c r="O2447" s="61">
        <f t="shared" si="213"/>
        <v>1900</v>
      </c>
      <c r="P2447" s="61">
        <f t="shared" si="214"/>
        <v>1</v>
      </c>
      <c r="R2447" s="272"/>
      <c r="S2447" s="272"/>
      <c r="T2447" s="273" t="str">
        <f t="shared" si="215"/>
        <v>-</v>
      </c>
    </row>
    <row r="2448" spans="9:20">
      <c r="I2448" s="213"/>
      <c r="J2448" s="213"/>
      <c r="L2448" s="272">
        <f t="shared" ref="L2448:L2511" si="216">YEAR(B2448)</f>
        <v>1900</v>
      </c>
      <c r="M2448" s="272">
        <f t="shared" ref="M2448:M2511" si="217">MONTH(B2448)</f>
        <v>1</v>
      </c>
      <c r="N2448" s="255"/>
      <c r="O2448" s="61">
        <f t="shared" ref="O2448:O2511" si="218">YEAR(B2448)</f>
        <v>1900</v>
      </c>
      <c r="P2448" s="61">
        <f t="shared" ref="P2448:P2511" si="219">MONTH(B2448)</f>
        <v>1</v>
      </c>
      <c r="R2448" s="272"/>
      <c r="S2448" s="272"/>
      <c r="T2448" s="273" t="str">
        <f t="shared" ref="T2448:T2511" si="220">IF($E2448&gt;0,IF((R2448+S2448)=$E2448,"OK","Error"),"-")</f>
        <v>-</v>
      </c>
    </row>
    <row r="2449" spans="9:20">
      <c r="I2449" s="213"/>
      <c r="J2449" s="213"/>
      <c r="L2449" s="272">
        <f t="shared" si="216"/>
        <v>1900</v>
      </c>
      <c r="M2449" s="272">
        <f t="shared" si="217"/>
        <v>1</v>
      </c>
      <c r="N2449" s="255"/>
      <c r="O2449" s="61">
        <f t="shared" si="218"/>
        <v>1900</v>
      </c>
      <c r="P2449" s="61">
        <f t="shared" si="219"/>
        <v>1</v>
      </c>
      <c r="R2449" s="272"/>
      <c r="S2449" s="272"/>
      <c r="T2449" s="273" t="str">
        <f t="shared" si="220"/>
        <v>-</v>
      </c>
    </row>
    <row r="2450" spans="9:20">
      <c r="I2450" s="213"/>
      <c r="J2450" s="213"/>
      <c r="L2450" s="272">
        <f t="shared" si="216"/>
        <v>1900</v>
      </c>
      <c r="M2450" s="272">
        <f t="shared" si="217"/>
        <v>1</v>
      </c>
      <c r="N2450" s="255"/>
      <c r="O2450" s="61">
        <f t="shared" si="218"/>
        <v>1900</v>
      </c>
      <c r="P2450" s="61">
        <f t="shared" si="219"/>
        <v>1</v>
      </c>
      <c r="R2450" s="272"/>
      <c r="S2450" s="272"/>
      <c r="T2450" s="273" t="str">
        <f t="shared" si="220"/>
        <v>-</v>
      </c>
    </row>
    <row r="2451" spans="9:20">
      <c r="I2451" s="213"/>
      <c r="J2451" s="213"/>
      <c r="L2451" s="272">
        <f t="shared" si="216"/>
        <v>1900</v>
      </c>
      <c r="M2451" s="272">
        <f t="shared" si="217"/>
        <v>1</v>
      </c>
      <c r="N2451" s="255"/>
      <c r="O2451" s="61">
        <f t="shared" si="218"/>
        <v>1900</v>
      </c>
      <c r="P2451" s="61">
        <f t="shared" si="219"/>
        <v>1</v>
      </c>
      <c r="R2451" s="272"/>
      <c r="S2451" s="272"/>
      <c r="T2451" s="273" t="str">
        <f t="shared" si="220"/>
        <v>-</v>
      </c>
    </row>
    <row r="2452" spans="9:20">
      <c r="I2452" s="213"/>
      <c r="J2452" s="213"/>
      <c r="L2452" s="272">
        <f t="shared" si="216"/>
        <v>1900</v>
      </c>
      <c r="M2452" s="272">
        <f t="shared" si="217"/>
        <v>1</v>
      </c>
      <c r="N2452" s="255"/>
      <c r="O2452" s="61">
        <f t="shared" si="218"/>
        <v>1900</v>
      </c>
      <c r="P2452" s="61">
        <f t="shared" si="219"/>
        <v>1</v>
      </c>
      <c r="R2452" s="272"/>
      <c r="S2452" s="272"/>
      <c r="T2452" s="273" t="str">
        <f t="shared" si="220"/>
        <v>-</v>
      </c>
    </row>
    <row r="2453" spans="9:20">
      <c r="I2453" s="213"/>
      <c r="J2453" s="213"/>
      <c r="L2453" s="272">
        <f t="shared" si="216"/>
        <v>1900</v>
      </c>
      <c r="M2453" s="272">
        <f t="shared" si="217"/>
        <v>1</v>
      </c>
      <c r="N2453" s="255"/>
      <c r="O2453" s="61">
        <f t="shared" si="218"/>
        <v>1900</v>
      </c>
      <c r="P2453" s="61">
        <f t="shared" si="219"/>
        <v>1</v>
      </c>
      <c r="R2453" s="272"/>
      <c r="S2453" s="272"/>
      <c r="T2453" s="273" t="str">
        <f t="shared" si="220"/>
        <v>-</v>
      </c>
    </row>
    <row r="2454" spans="9:20">
      <c r="I2454" s="213"/>
      <c r="J2454" s="213"/>
      <c r="L2454" s="272">
        <f t="shared" si="216"/>
        <v>1900</v>
      </c>
      <c r="M2454" s="272">
        <f t="shared" si="217"/>
        <v>1</v>
      </c>
      <c r="N2454" s="255"/>
      <c r="O2454" s="61">
        <f t="shared" si="218"/>
        <v>1900</v>
      </c>
      <c r="P2454" s="61">
        <f t="shared" si="219"/>
        <v>1</v>
      </c>
      <c r="R2454" s="272"/>
      <c r="S2454" s="272"/>
      <c r="T2454" s="273" t="str">
        <f t="shared" si="220"/>
        <v>-</v>
      </c>
    </row>
    <row r="2455" spans="9:20">
      <c r="I2455" s="213"/>
      <c r="J2455" s="213"/>
      <c r="L2455" s="272">
        <f t="shared" si="216"/>
        <v>1900</v>
      </c>
      <c r="M2455" s="272">
        <f t="shared" si="217"/>
        <v>1</v>
      </c>
      <c r="N2455" s="255"/>
      <c r="O2455" s="61">
        <f t="shared" si="218"/>
        <v>1900</v>
      </c>
      <c r="P2455" s="61">
        <f t="shared" si="219"/>
        <v>1</v>
      </c>
      <c r="R2455" s="272"/>
      <c r="S2455" s="272"/>
      <c r="T2455" s="273" t="str">
        <f t="shared" si="220"/>
        <v>-</v>
      </c>
    </row>
    <row r="2456" spans="9:20">
      <c r="I2456" s="213"/>
      <c r="J2456" s="213"/>
      <c r="L2456" s="272">
        <f t="shared" si="216"/>
        <v>1900</v>
      </c>
      <c r="M2456" s="272">
        <f t="shared" si="217"/>
        <v>1</v>
      </c>
      <c r="N2456" s="255"/>
      <c r="O2456" s="61">
        <f t="shared" si="218"/>
        <v>1900</v>
      </c>
      <c r="P2456" s="61">
        <f t="shared" si="219"/>
        <v>1</v>
      </c>
      <c r="R2456" s="272"/>
      <c r="S2456" s="272"/>
      <c r="T2456" s="273" t="str">
        <f t="shared" si="220"/>
        <v>-</v>
      </c>
    </row>
    <row r="2457" spans="9:20">
      <c r="I2457" s="213"/>
      <c r="J2457" s="213"/>
      <c r="L2457" s="272">
        <f t="shared" si="216"/>
        <v>1900</v>
      </c>
      <c r="M2457" s="272">
        <f t="shared" si="217"/>
        <v>1</v>
      </c>
      <c r="N2457" s="255"/>
      <c r="O2457" s="61">
        <f t="shared" si="218"/>
        <v>1900</v>
      </c>
      <c r="P2457" s="61">
        <f t="shared" si="219"/>
        <v>1</v>
      </c>
      <c r="R2457" s="272"/>
      <c r="S2457" s="272"/>
      <c r="T2457" s="273" t="str">
        <f t="shared" si="220"/>
        <v>-</v>
      </c>
    </row>
    <row r="2458" spans="9:20">
      <c r="I2458" s="213"/>
      <c r="J2458" s="213"/>
      <c r="L2458" s="272">
        <f t="shared" si="216"/>
        <v>1900</v>
      </c>
      <c r="M2458" s="272">
        <f t="shared" si="217"/>
        <v>1</v>
      </c>
      <c r="N2458" s="255"/>
      <c r="O2458" s="61">
        <f t="shared" si="218"/>
        <v>1900</v>
      </c>
      <c r="P2458" s="61">
        <f t="shared" si="219"/>
        <v>1</v>
      </c>
      <c r="R2458" s="272"/>
      <c r="S2458" s="272"/>
      <c r="T2458" s="273" t="str">
        <f t="shared" si="220"/>
        <v>-</v>
      </c>
    </row>
    <row r="2459" spans="9:20">
      <c r="I2459" s="213"/>
      <c r="J2459" s="213"/>
      <c r="L2459" s="272">
        <f t="shared" si="216"/>
        <v>1900</v>
      </c>
      <c r="M2459" s="272">
        <f t="shared" si="217"/>
        <v>1</v>
      </c>
      <c r="N2459" s="255"/>
      <c r="O2459" s="61">
        <f t="shared" si="218"/>
        <v>1900</v>
      </c>
      <c r="P2459" s="61">
        <f t="shared" si="219"/>
        <v>1</v>
      </c>
      <c r="R2459" s="272"/>
      <c r="S2459" s="272"/>
      <c r="T2459" s="273" t="str">
        <f t="shared" si="220"/>
        <v>-</v>
      </c>
    </row>
    <row r="2460" spans="9:20">
      <c r="I2460" s="213"/>
      <c r="J2460" s="213"/>
      <c r="L2460" s="272">
        <f t="shared" si="216"/>
        <v>1900</v>
      </c>
      <c r="M2460" s="272">
        <f t="shared" si="217"/>
        <v>1</v>
      </c>
      <c r="N2460" s="255"/>
      <c r="O2460" s="61">
        <f t="shared" si="218"/>
        <v>1900</v>
      </c>
      <c r="P2460" s="61">
        <f t="shared" si="219"/>
        <v>1</v>
      </c>
      <c r="R2460" s="272"/>
      <c r="S2460" s="272"/>
      <c r="T2460" s="273" t="str">
        <f t="shared" si="220"/>
        <v>-</v>
      </c>
    </row>
    <row r="2461" spans="9:20">
      <c r="I2461" s="213"/>
      <c r="J2461" s="213"/>
      <c r="L2461" s="272">
        <f t="shared" si="216"/>
        <v>1900</v>
      </c>
      <c r="M2461" s="272">
        <f t="shared" si="217"/>
        <v>1</v>
      </c>
      <c r="N2461" s="255"/>
      <c r="O2461" s="61">
        <f t="shared" si="218"/>
        <v>1900</v>
      </c>
      <c r="P2461" s="61">
        <f t="shared" si="219"/>
        <v>1</v>
      </c>
      <c r="R2461" s="272"/>
      <c r="S2461" s="272"/>
      <c r="T2461" s="273" t="str">
        <f t="shared" si="220"/>
        <v>-</v>
      </c>
    </row>
    <row r="2462" spans="9:20">
      <c r="I2462" s="213"/>
      <c r="J2462" s="213"/>
      <c r="L2462" s="272">
        <f t="shared" si="216"/>
        <v>1900</v>
      </c>
      <c r="M2462" s="272">
        <f t="shared" si="217"/>
        <v>1</v>
      </c>
      <c r="N2462" s="255"/>
      <c r="O2462" s="61">
        <f t="shared" si="218"/>
        <v>1900</v>
      </c>
      <c r="P2462" s="61">
        <f t="shared" si="219"/>
        <v>1</v>
      </c>
      <c r="R2462" s="272"/>
      <c r="S2462" s="272"/>
      <c r="T2462" s="273" t="str">
        <f t="shared" si="220"/>
        <v>-</v>
      </c>
    </row>
    <row r="2463" spans="9:20">
      <c r="I2463" s="213"/>
      <c r="J2463" s="213"/>
      <c r="L2463" s="272">
        <f t="shared" si="216"/>
        <v>1900</v>
      </c>
      <c r="M2463" s="272">
        <f t="shared" si="217"/>
        <v>1</v>
      </c>
      <c r="N2463" s="255"/>
      <c r="O2463" s="61">
        <f t="shared" si="218"/>
        <v>1900</v>
      </c>
      <c r="P2463" s="61">
        <f t="shared" si="219"/>
        <v>1</v>
      </c>
      <c r="R2463" s="272"/>
      <c r="S2463" s="272"/>
      <c r="T2463" s="273" t="str">
        <f t="shared" si="220"/>
        <v>-</v>
      </c>
    </row>
    <row r="2464" spans="9:20">
      <c r="I2464" s="213"/>
      <c r="J2464" s="213"/>
      <c r="L2464" s="272">
        <f t="shared" si="216"/>
        <v>1900</v>
      </c>
      <c r="M2464" s="272">
        <f t="shared" si="217"/>
        <v>1</v>
      </c>
      <c r="N2464" s="255"/>
      <c r="O2464" s="61">
        <f t="shared" si="218"/>
        <v>1900</v>
      </c>
      <c r="P2464" s="61">
        <f t="shared" si="219"/>
        <v>1</v>
      </c>
      <c r="R2464" s="272"/>
      <c r="S2464" s="272"/>
      <c r="T2464" s="273" t="str">
        <f t="shared" si="220"/>
        <v>-</v>
      </c>
    </row>
    <row r="2465" spans="9:20">
      <c r="I2465" s="213"/>
      <c r="J2465" s="213"/>
      <c r="L2465" s="272">
        <f t="shared" si="216"/>
        <v>1900</v>
      </c>
      <c r="M2465" s="272">
        <f t="shared" si="217"/>
        <v>1</v>
      </c>
      <c r="N2465" s="255"/>
      <c r="O2465" s="61">
        <f t="shared" si="218"/>
        <v>1900</v>
      </c>
      <c r="P2465" s="61">
        <f t="shared" si="219"/>
        <v>1</v>
      </c>
      <c r="R2465" s="272"/>
      <c r="S2465" s="272"/>
      <c r="T2465" s="273" t="str">
        <f t="shared" si="220"/>
        <v>-</v>
      </c>
    </row>
    <row r="2466" spans="9:20">
      <c r="I2466" s="213"/>
      <c r="J2466" s="213"/>
      <c r="L2466" s="272">
        <f t="shared" si="216"/>
        <v>1900</v>
      </c>
      <c r="M2466" s="272">
        <f t="shared" si="217"/>
        <v>1</v>
      </c>
      <c r="N2466" s="255"/>
      <c r="O2466" s="61">
        <f t="shared" si="218"/>
        <v>1900</v>
      </c>
      <c r="P2466" s="61">
        <f t="shared" si="219"/>
        <v>1</v>
      </c>
      <c r="R2466" s="272"/>
      <c r="S2466" s="272"/>
      <c r="T2466" s="273" t="str">
        <f t="shared" si="220"/>
        <v>-</v>
      </c>
    </row>
    <row r="2467" spans="9:20">
      <c r="I2467" s="213"/>
      <c r="J2467" s="213"/>
      <c r="L2467" s="272">
        <f t="shared" si="216"/>
        <v>1900</v>
      </c>
      <c r="M2467" s="272">
        <f t="shared" si="217"/>
        <v>1</v>
      </c>
      <c r="N2467" s="255"/>
      <c r="O2467" s="61">
        <f t="shared" si="218"/>
        <v>1900</v>
      </c>
      <c r="P2467" s="61">
        <f t="shared" si="219"/>
        <v>1</v>
      </c>
      <c r="R2467" s="272"/>
      <c r="S2467" s="272"/>
      <c r="T2467" s="273" t="str">
        <f t="shared" si="220"/>
        <v>-</v>
      </c>
    </row>
    <row r="2468" spans="9:20">
      <c r="I2468" s="213"/>
      <c r="J2468" s="213"/>
      <c r="L2468" s="272">
        <f t="shared" si="216"/>
        <v>1900</v>
      </c>
      <c r="M2468" s="272">
        <f t="shared" si="217"/>
        <v>1</v>
      </c>
      <c r="N2468" s="255"/>
      <c r="O2468" s="61">
        <f t="shared" si="218"/>
        <v>1900</v>
      </c>
      <c r="P2468" s="61">
        <f t="shared" si="219"/>
        <v>1</v>
      </c>
      <c r="R2468" s="272"/>
      <c r="S2468" s="272"/>
      <c r="T2468" s="273" t="str">
        <f t="shared" si="220"/>
        <v>-</v>
      </c>
    </row>
    <row r="2469" spans="9:20">
      <c r="I2469" s="213"/>
      <c r="J2469" s="213"/>
      <c r="L2469" s="272">
        <f t="shared" si="216"/>
        <v>1900</v>
      </c>
      <c r="M2469" s="272">
        <f t="shared" si="217"/>
        <v>1</v>
      </c>
      <c r="N2469" s="255"/>
      <c r="O2469" s="61">
        <f t="shared" si="218"/>
        <v>1900</v>
      </c>
      <c r="P2469" s="61">
        <f t="shared" si="219"/>
        <v>1</v>
      </c>
      <c r="R2469" s="272"/>
      <c r="S2469" s="272"/>
      <c r="T2469" s="273" t="str">
        <f t="shared" si="220"/>
        <v>-</v>
      </c>
    </row>
    <row r="2470" spans="9:20">
      <c r="I2470" s="213"/>
      <c r="J2470" s="213"/>
      <c r="L2470" s="272">
        <f t="shared" si="216"/>
        <v>1900</v>
      </c>
      <c r="M2470" s="272">
        <f t="shared" si="217"/>
        <v>1</v>
      </c>
      <c r="N2470" s="255"/>
      <c r="O2470" s="61">
        <f t="shared" si="218"/>
        <v>1900</v>
      </c>
      <c r="P2470" s="61">
        <f t="shared" si="219"/>
        <v>1</v>
      </c>
      <c r="R2470" s="272"/>
      <c r="S2470" s="272"/>
      <c r="T2470" s="273" t="str">
        <f t="shared" si="220"/>
        <v>-</v>
      </c>
    </row>
    <row r="2471" spans="9:20">
      <c r="I2471" s="213"/>
      <c r="J2471" s="213"/>
      <c r="L2471" s="272">
        <f t="shared" si="216"/>
        <v>1900</v>
      </c>
      <c r="M2471" s="272">
        <f t="shared" si="217"/>
        <v>1</v>
      </c>
      <c r="N2471" s="255"/>
      <c r="O2471" s="61">
        <f t="shared" si="218"/>
        <v>1900</v>
      </c>
      <c r="P2471" s="61">
        <f t="shared" si="219"/>
        <v>1</v>
      </c>
      <c r="R2471" s="272"/>
      <c r="S2471" s="272"/>
      <c r="T2471" s="273" t="str">
        <f t="shared" si="220"/>
        <v>-</v>
      </c>
    </row>
    <row r="2472" spans="9:20">
      <c r="I2472" s="213"/>
      <c r="J2472" s="213"/>
      <c r="L2472" s="272">
        <f t="shared" si="216"/>
        <v>1900</v>
      </c>
      <c r="M2472" s="272">
        <f t="shared" si="217"/>
        <v>1</v>
      </c>
      <c r="N2472" s="255"/>
      <c r="O2472" s="61">
        <f t="shared" si="218"/>
        <v>1900</v>
      </c>
      <c r="P2472" s="61">
        <f t="shared" si="219"/>
        <v>1</v>
      </c>
      <c r="R2472" s="272"/>
      <c r="S2472" s="272"/>
      <c r="T2472" s="273" t="str">
        <f t="shared" si="220"/>
        <v>-</v>
      </c>
    </row>
    <row r="2473" spans="9:20">
      <c r="I2473" s="213"/>
      <c r="J2473" s="213"/>
      <c r="L2473" s="272">
        <f t="shared" si="216"/>
        <v>1900</v>
      </c>
      <c r="M2473" s="272">
        <f t="shared" si="217"/>
        <v>1</v>
      </c>
      <c r="N2473" s="255"/>
      <c r="O2473" s="61">
        <f t="shared" si="218"/>
        <v>1900</v>
      </c>
      <c r="P2473" s="61">
        <f t="shared" si="219"/>
        <v>1</v>
      </c>
      <c r="R2473" s="272"/>
      <c r="S2473" s="272"/>
      <c r="T2473" s="273" t="str">
        <f t="shared" si="220"/>
        <v>-</v>
      </c>
    </row>
    <row r="2474" spans="9:20">
      <c r="I2474" s="213"/>
      <c r="J2474" s="213"/>
      <c r="L2474" s="272">
        <f t="shared" si="216"/>
        <v>1900</v>
      </c>
      <c r="M2474" s="272">
        <f t="shared" si="217"/>
        <v>1</v>
      </c>
      <c r="N2474" s="255"/>
      <c r="O2474" s="61">
        <f t="shared" si="218"/>
        <v>1900</v>
      </c>
      <c r="P2474" s="61">
        <f t="shared" si="219"/>
        <v>1</v>
      </c>
      <c r="R2474" s="272"/>
      <c r="S2474" s="272"/>
      <c r="T2474" s="273" t="str">
        <f t="shared" si="220"/>
        <v>-</v>
      </c>
    </row>
    <row r="2475" spans="9:20">
      <c r="I2475" s="213"/>
      <c r="J2475" s="213"/>
      <c r="L2475" s="272">
        <f t="shared" si="216"/>
        <v>1900</v>
      </c>
      <c r="M2475" s="272">
        <f t="shared" si="217"/>
        <v>1</v>
      </c>
      <c r="N2475" s="255"/>
      <c r="O2475" s="61">
        <f t="shared" si="218"/>
        <v>1900</v>
      </c>
      <c r="P2475" s="61">
        <f t="shared" si="219"/>
        <v>1</v>
      </c>
      <c r="R2475" s="272"/>
      <c r="S2475" s="272"/>
      <c r="T2475" s="273" t="str">
        <f t="shared" si="220"/>
        <v>-</v>
      </c>
    </row>
    <row r="2476" spans="9:20">
      <c r="I2476" s="213"/>
      <c r="J2476" s="213"/>
      <c r="L2476" s="272">
        <f t="shared" si="216"/>
        <v>1900</v>
      </c>
      <c r="M2476" s="272">
        <f t="shared" si="217"/>
        <v>1</v>
      </c>
      <c r="N2476" s="255"/>
      <c r="O2476" s="61">
        <f t="shared" si="218"/>
        <v>1900</v>
      </c>
      <c r="P2476" s="61">
        <f t="shared" si="219"/>
        <v>1</v>
      </c>
      <c r="R2476" s="272"/>
      <c r="S2476" s="272"/>
      <c r="T2476" s="273" t="str">
        <f t="shared" si="220"/>
        <v>-</v>
      </c>
    </row>
    <row r="2477" spans="9:20">
      <c r="I2477" s="213"/>
      <c r="J2477" s="213"/>
      <c r="L2477" s="272">
        <f t="shared" si="216"/>
        <v>1900</v>
      </c>
      <c r="M2477" s="272">
        <f t="shared" si="217"/>
        <v>1</v>
      </c>
      <c r="N2477" s="255"/>
      <c r="O2477" s="61">
        <f t="shared" si="218"/>
        <v>1900</v>
      </c>
      <c r="P2477" s="61">
        <f t="shared" si="219"/>
        <v>1</v>
      </c>
      <c r="R2477" s="272"/>
      <c r="S2477" s="272"/>
      <c r="T2477" s="273" t="str">
        <f t="shared" si="220"/>
        <v>-</v>
      </c>
    </row>
    <row r="2478" spans="9:20">
      <c r="I2478" s="213"/>
      <c r="J2478" s="213"/>
      <c r="L2478" s="272">
        <f t="shared" si="216"/>
        <v>1900</v>
      </c>
      <c r="M2478" s="272">
        <f t="shared" si="217"/>
        <v>1</v>
      </c>
      <c r="N2478" s="255"/>
      <c r="O2478" s="61">
        <f t="shared" si="218"/>
        <v>1900</v>
      </c>
      <c r="P2478" s="61">
        <f t="shared" si="219"/>
        <v>1</v>
      </c>
      <c r="R2478" s="272"/>
      <c r="S2478" s="272"/>
      <c r="T2478" s="273" t="str">
        <f t="shared" si="220"/>
        <v>-</v>
      </c>
    </row>
    <row r="2479" spans="9:20">
      <c r="I2479" s="213"/>
      <c r="J2479" s="213"/>
      <c r="L2479" s="272">
        <f t="shared" si="216"/>
        <v>1900</v>
      </c>
      <c r="M2479" s="272">
        <f t="shared" si="217"/>
        <v>1</v>
      </c>
      <c r="N2479" s="255"/>
      <c r="O2479" s="61">
        <f t="shared" si="218"/>
        <v>1900</v>
      </c>
      <c r="P2479" s="61">
        <f t="shared" si="219"/>
        <v>1</v>
      </c>
      <c r="R2479" s="272"/>
      <c r="S2479" s="272"/>
      <c r="T2479" s="273" t="str">
        <f t="shared" si="220"/>
        <v>-</v>
      </c>
    </row>
    <row r="2480" spans="9:20">
      <c r="I2480" s="213"/>
      <c r="J2480" s="213"/>
      <c r="L2480" s="272">
        <f t="shared" si="216"/>
        <v>1900</v>
      </c>
      <c r="M2480" s="272">
        <f t="shared" si="217"/>
        <v>1</v>
      </c>
      <c r="N2480" s="255"/>
      <c r="O2480" s="61">
        <f t="shared" si="218"/>
        <v>1900</v>
      </c>
      <c r="P2480" s="61">
        <f t="shared" si="219"/>
        <v>1</v>
      </c>
      <c r="R2480" s="272"/>
      <c r="S2480" s="272"/>
      <c r="T2480" s="273" t="str">
        <f t="shared" si="220"/>
        <v>-</v>
      </c>
    </row>
    <row r="2481" spans="9:20">
      <c r="I2481" s="213"/>
      <c r="J2481" s="213"/>
      <c r="L2481" s="272">
        <f t="shared" si="216"/>
        <v>1900</v>
      </c>
      <c r="M2481" s="272">
        <f t="shared" si="217"/>
        <v>1</v>
      </c>
      <c r="N2481" s="255"/>
      <c r="O2481" s="61">
        <f t="shared" si="218"/>
        <v>1900</v>
      </c>
      <c r="P2481" s="61">
        <f t="shared" si="219"/>
        <v>1</v>
      </c>
      <c r="R2481" s="272"/>
      <c r="S2481" s="272"/>
      <c r="T2481" s="273" t="str">
        <f t="shared" si="220"/>
        <v>-</v>
      </c>
    </row>
    <row r="2482" spans="9:20">
      <c r="I2482" s="213"/>
      <c r="J2482" s="213"/>
      <c r="L2482" s="272">
        <f t="shared" si="216"/>
        <v>1900</v>
      </c>
      <c r="M2482" s="272">
        <f t="shared" si="217"/>
        <v>1</v>
      </c>
      <c r="N2482" s="255"/>
      <c r="O2482" s="61">
        <f t="shared" si="218"/>
        <v>1900</v>
      </c>
      <c r="P2482" s="61">
        <f t="shared" si="219"/>
        <v>1</v>
      </c>
      <c r="R2482" s="272"/>
      <c r="S2482" s="272"/>
      <c r="T2482" s="273" t="str">
        <f t="shared" si="220"/>
        <v>-</v>
      </c>
    </row>
    <row r="2483" spans="9:20">
      <c r="I2483" s="213"/>
      <c r="J2483" s="213"/>
      <c r="L2483" s="272">
        <f t="shared" si="216"/>
        <v>1900</v>
      </c>
      <c r="M2483" s="272">
        <f t="shared" si="217"/>
        <v>1</v>
      </c>
      <c r="N2483" s="255"/>
      <c r="O2483" s="61">
        <f t="shared" si="218"/>
        <v>1900</v>
      </c>
      <c r="P2483" s="61">
        <f t="shared" si="219"/>
        <v>1</v>
      </c>
      <c r="R2483" s="272"/>
      <c r="S2483" s="272"/>
      <c r="T2483" s="273" t="str">
        <f t="shared" si="220"/>
        <v>-</v>
      </c>
    </row>
    <row r="2484" spans="9:20">
      <c r="I2484" s="213"/>
      <c r="J2484" s="213"/>
      <c r="L2484" s="272">
        <f t="shared" si="216"/>
        <v>1900</v>
      </c>
      <c r="M2484" s="272">
        <f t="shared" si="217"/>
        <v>1</v>
      </c>
      <c r="N2484" s="255"/>
      <c r="O2484" s="61">
        <f t="shared" si="218"/>
        <v>1900</v>
      </c>
      <c r="P2484" s="61">
        <f t="shared" si="219"/>
        <v>1</v>
      </c>
      <c r="R2484" s="272"/>
      <c r="S2484" s="272"/>
      <c r="T2484" s="273" t="str">
        <f t="shared" si="220"/>
        <v>-</v>
      </c>
    </row>
    <row r="2485" spans="9:20">
      <c r="I2485" s="213"/>
      <c r="J2485" s="213"/>
      <c r="L2485" s="272">
        <f t="shared" si="216"/>
        <v>1900</v>
      </c>
      <c r="M2485" s="272">
        <f t="shared" si="217"/>
        <v>1</v>
      </c>
      <c r="N2485" s="255"/>
      <c r="O2485" s="61">
        <f t="shared" si="218"/>
        <v>1900</v>
      </c>
      <c r="P2485" s="61">
        <f t="shared" si="219"/>
        <v>1</v>
      </c>
      <c r="R2485" s="272"/>
      <c r="S2485" s="272"/>
      <c r="T2485" s="273" t="str">
        <f t="shared" si="220"/>
        <v>-</v>
      </c>
    </row>
    <row r="2486" spans="9:20">
      <c r="I2486" s="213"/>
      <c r="J2486" s="213"/>
      <c r="L2486" s="272">
        <f t="shared" si="216"/>
        <v>1900</v>
      </c>
      <c r="M2486" s="272">
        <f t="shared" si="217"/>
        <v>1</v>
      </c>
      <c r="N2486" s="255"/>
      <c r="O2486" s="61">
        <f t="shared" si="218"/>
        <v>1900</v>
      </c>
      <c r="P2486" s="61">
        <f t="shared" si="219"/>
        <v>1</v>
      </c>
      <c r="R2486" s="272"/>
      <c r="S2486" s="272"/>
      <c r="T2486" s="273" t="str">
        <f t="shared" si="220"/>
        <v>-</v>
      </c>
    </row>
    <row r="2487" spans="9:20">
      <c r="I2487" s="213"/>
      <c r="J2487" s="213"/>
      <c r="L2487" s="272">
        <f t="shared" si="216"/>
        <v>1900</v>
      </c>
      <c r="M2487" s="272">
        <f t="shared" si="217"/>
        <v>1</v>
      </c>
      <c r="N2487" s="255"/>
      <c r="O2487" s="61">
        <f t="shared" si="218"/>
        <v>1900</v>
      </c>
      <c r="P2487" s="61">
        <f t="shared" si="219"/>
        <v>1</v>
      </c>
      <c r="R2487" s="272"/>
      <c r="S2487" s="272"/>
      <c r="T2487" s="273" t="str">
        <f t="shared" si="220"/>
        <v>-</v>
      </c>
    </row>
    <row r="2488" spans="9:20">
      <c r="I2488" s="213"/>
      <c r="J2488" s="213"/>
      <c r="L2488" s="272">
        <f t="shared" si="216"/>
        <v>1900</v>
      </c>
      <c r="M2488" s="272">
        <f t="shared" si="217"/>
        <v>1</v>
      </c>
      <c r="N2488" s="255"/>
      <c r="O2488" s="61">
        <f t="shared" si="218"/>
        <v>1900</v>
      </c>
      <c r="P2488" s="61">
        <f t="shared" si="219"/>
        <v>1</v>
      </c>
      <c r="R2488" s="272"/>
      <c r="S2488" s="272"/>
      <c r="T2488" s="273" t="str">
        <f t="shared" si="220"/>
        <v>-</v>
      </c>
    </row>
    <row r="2489" spans="9:20">
      <c r="I2489" s="213"/>
      <c r="J2489" s="213"/>
      <c r="L2489" s="272">
        <f t="shared" si="216"/>
        <v>1900</v>
      </c>
      <c r="M2489" s="272">
        <f t="shared" si="217"/>
        <v>1</v>
      </c>
      <c r="N2489" s="255"/>
      <c r="O2489" s="61">
        <f t="shared" si="218"/>
        <v>1900</v>
      </c>
      <c r="P2489" s="61">
        <f t="shared" si="219"/>
        <v>1</v>
      </c>
      <c r="R2489" s="272"/>
      <c r="S2489" s="272"/>
      <c r="T2489" s="273" t="str">
        <f t="shared" si="220"/>
        <v>-</v>
      </c>
    </row>
    <row r="2490" spans="9:20">
      <c r="I2490" s="213"/>
      <c r="J2490" s="213"/>
      <c r="L2490" s="272">
        <f t="shared" si="216"/>
        <v>1900</v>
      </c>
      <c r="M2490" s="272">
        <f t="shared" si="217"/>
        <v>1</v>
      </c>
      <c r="N2490" s="255"/>
      <c r="O2490" s="61">
        <f t="shared" si="218"/>
        <v>1900</v>
      </c>
      <c r="P2490" s="61">
        <f t="shared" si="219"/>
        <v>1</v>
      </c>
      <c r="R2490" s="272"/>
      <c r="S2490" s="272"/>
      <c r="T2490" s="273" t="str">
        <f t="shared" si="220"/>
        <v>-</v>
      </c>
    </row>
    <row r="2491" spans="9:20">
      <c r="I2491" s="213"/>
      <c r="J2491" s="213"/>
      <c r="L2491" s="272">
        <f t="shared" si="216"/>
        <v>1900</v>
      </c>
      <c r="M2491" s="272">
        <f t="shared" si="217"/>
        <v>1</v>
      </c>
      <c r="N2491" s="255"/>
      <c r="O2491" s="61">
        <f t="shared" si="218"/>
        <v>1900</v>
      </c>
      <c r="P2491" s="61">
        <f t="shared" si="219"/>
        <v>1</v>
      </c>
      <c r="R2491" s="272"/>
      <c r="S2491" s="272"/>
      <c r="T2491" s="273" t="str">
        <f t="shared" si="220"/>
        <v>-</v>
      </c>
    </row>
    <row r="2492" spans="9:20">
      <c r="I2492" s="213"/>
      <c r="J2492" s="213"/>
      <c r="L2492" s="272">
        <f t="shared" si="216"/>
        <v>1900</v>
      </c>
      <c r="M2492" s="272">
        <f t="shared" si="217"/>
        <v>1</v>
      </c>
      <c r="N2492" s="255"/>
      <c r="O2492" s="61">
        <f t="shared" si="218"/>
        <v>1900</v>
      </c>
      <c r="P2492" s="61">
        <f t="shared" si="219"/>
        <v>1</v>
      </c>
      <c r="R2492" s="272"/>
      <c r="S2492" s="272"/>
      <c r="T2492" s="273" t="str">
        <f t="shared" si="220"/>
        <v>-</v>
      </c>
    </row>
    <row r="2493" spans="9:20">
      <c r="I2493" s="213"/>
      <c r="J2493" s="213"/>
      <c r="L2493" s="272">
        <f t="shared" si="216"/>
        <v>1900</v>
      </c>
      <c r="M2493" s="272">
        <f t="shared" si="217"/>
        <v>1</v>
      </c>
      <c r="N2493" s="255"/>
      <c r="O2493" s="61">
        <f t="shared" si="218"/>
        <v>1900</v>
      </c>
      <c r="P2493" s="61">
        <f t="shared" si="219"/>
        <v>1</v>
      </c>
      <c r="R2493" s="272"/>
      <c r="S2493" s="272"/>
      <c r="T2493" s="273" t="str">
        <f t="shared" si="220"/>
        <v>-</v>
      </c>
    </row>
    <row r="2494" spans="9:20">
      <c r="I2494" s="213"/>
      <c r="J2494" s="213"/>
      <c r="L2494" s="272">
        <f t="shared" si="216"/>
        <v>1900</v>
      </c>
      <c r="M2494" s="272">
        <f t="shared" si="217"/>
        <v>1</v>
      </c>
      <c r="N2494" s="255"/>
      <c r="O2494" s="61">
        <f t="shared" si="218"/>
        <v>1900</v>
      </c>
      <c r="P2494" s="61">
        <f t="shared" si="219"/>
        <v>1</v>
      </c>
      <c r="R2494" s="272"/>
      <c r="S2494" s="272"/>
      <c r="T2494" s="273" t="str">
        <f t="shared" si="220"/>
        <v>-</v>
      </c>
    </row>
    <row r="2495" spans="9:20">
      <c r="I2495" s="213"/>
      <c r="J2495" s="213"/>
      <c r="L2495" s="272">
        <f t="shared" si="216"/>
        <v>1900</v>
      </c>
      <c r="M2495" s="272">
        <f t="shared" si="217"/>
        <v>1</v>
      </c>
      <c r="N2495" s="255"/>
      <c r="O2495" s="61">
        <f t="shared" si="218"/>
        <v>1900</v>
      </c>
      <c r="P2495" s="61">
        <f t="shared" si="219"/>
        <v>1</v>
      </c>
      <c r="R2495" s="272"/>
      <c r="S2495" s="272"/>
      <c r="T2495" s="273" t="str">
        <f t="shared" si="220"/>
        <v>-</v>
      </c>
    </row>
    <row r="2496" spans="9:20">
      <c r="I2496" s="213"/>
      <c r="J2496" s="213"/>
      <c r="L2496" s="272">
        <f t="shared" si="216"/>
        <v>1900</v>
      </c>
      <c r="M2496" s="272">
        <f t="shared" si="217"/>
        <v>1</v>
      </c>
      <c r="N2496" s="255"/>
      <c r="O2496" s="61">
        <f t="shared" si="218"/>
        <v>1900</v>
      </c>
      <c r="P2496" s="61">
        <f t="shared" si="219"/>
        <v>1</v>
      </c>
      <c r="R2496" s="272"/>
      <c r="S2496" s="272"/>
      <c r="T2496" s="273" t="str">
        <f t="shared" si="220"/>
        <v>-</v>
      </c>
    </row>
    <row r="2497" spans="9:20">
      <c r="I2497" s="213"/>
      <c r="J2497" s="213"/>
      <c r="L2497" s="272">
        <f t="shared" si="216"/>
        <v>1900</v>
      </c>
      <c r="M2497" s="272">
        <f t="shared" si="217"/>
        <v>1</v>
      </c>
      <c r="N2497" s="255"/>
      <c r="O2497" s="61">
        <f t="shared" si="218"/>
        <v>1900</v>
      </c>
      <c r="P2497" s="61">
        <f t="shared" si="219"/>
        <v>1</v>
      </c>
      <c r="R2497" s="272"/>
      <c r="S2497" s="272"/>
      <c r="T2497" s="273" t="str">
        <f t="shared" si="220"/>
        <v>-</v>
      </c>
    </row>
    <row r="2498" spans="9:20">
      <c r="I2498" s="213"/>
      <c r="J2498" s="213"/>
      <c r="L2498" s="272">
        <f t="shared" si="216"/>
        <v>1900</v>
      </c>
      <c r="M2498" s="272">
        <f t="shared" si="217"/>
        <v>1</v>
      </c>
      <c r="N2498" s="255"/>
      <c r="O2498" s="61">
        <f t="shared" si="218"/>
        <v>1900</v>
      </c>
      <c r="P2498" s="61">
        <f t="shared" si="219"/>
        <v>1</v>
      </c>
      <c r="R2498" s="272"/>
      <c r="S2498" s="272"/>
      <c r="T2498" s="273" t="str">
        <f t="shared" si="220"/>
        <v>-</v>
      </c>
    </row>
    <row r="2499" spans="9:20">
      <c r="I2499" s="213"/>
      <c r="J2499" s="213"/>
      <c r="L2499" s="272">
        <f t="shared" si="216"/>
        <v>1900</v>
      </c>
      <c r="M2499" s="272">
        <f t="shared" si="217"/>
        <v>1</v>
      </c>
      <c r="N2499" s="255"/>
      <c r="O2499" s="61">
        <f t="shared" si="218"/>
        <v>1900</v>
      </c>
      <c r="P2499" s="61">
        <f t="shared" si="219"/>
        <v>1</v>
      </c>
      <c r="R2499" s="272"/>
      <c r="S2499" s="272"/>
      <c r="T2499" s="273" t="str">
        <f t="shared" si="220"/>
        <v>-</v>
      </c>
    </row>
    <row r="2500" spans="9:20">
      <c r="I2500" s="213"/>
      <c r="J2500" s="213"/>
      <c r="L2500" s="272">
        <f t="shared" si="216"/>
        <v>1900</v>
      </c>
      <c r="M2500" s="272">
        <f t="shared" si="217"/>
        <v>1</v>
      </c>
      <c r="N2500" s="255"/>
      <c r="O2500" s="61">
        <f t="shared" si="218"/>
        <v>1900</v>
      </c>
      <c r="P2500" s="61">
        <f t="shared" si="219"/>
        <v>1</v>
      </c>
      <c r="R2500" s="272"/>
      <c r="S2500" s="272"/>
      <c r="T2500" s="273" t="str">
        <f t="shared" si="220"/>
        <v>-</v>
      </c>
    </row>
    <row r="2501" spans="9:20">
      <c r="I2501" s="213"/>
      <c r="J2501" s="213"/>
      <c r="L2501" s="272">
        <f t="shared" si="216"/>
        <v>1900</v>
      </c>
      <c r="M2501" s="272">
        <f t="shared" si="217"/>
        <v>1</v>
      </c>
      <c r="N2501" s="255"/>
      <c r="O2501" s="61">
        <f t="shared" si="218"/>
        <v>1900</v>
      </c>
      <c r="P2501" s="61">
        <f t="shared" si="219"/>
        <v>1</v>
      </c>
      <c r="R2501" s="272"/>
      <c r="S2501" s="272"/>
      <c r="T2501" s="273" t="str">
        <f t="shared" si="220"/>
        <v>-</v>
      </c>
    </row>
    <row r="2502" spans="9:20">
      <c r="I2502" s="213"/>
      <c r="J2502" s="213"/>
      <c r="L2502" s="272">
        <f t="shared" si="216"/>
        <v>1900</v>
      </c>
      <c r="M2502" s="272">
        <f t="shared" si="217"/>
        <v>1</v>
      </c>
      <c r="N2502" s="255"/>
      <c r="O2502" s="61">
        <f t="shared" si="218"/>
        <v>1900</v>
      </c>
      <c r="P2502" s="61">
        <f t="shared" si="219"/>
        <v>1</v>
      </c>
      <c r="R2502" s="272"/>
      <c r="S2502" s="272"/>
      <c r="T2502" s="273" t="str">
        <f t="shared" si="220"/>
        <v>-</v>
      </c>
    </row>
    <row r="2503" spans="9:20">
      <c r="I2503" s="213"/>
      <c r="J2503" s="213"/>
      <c r="L2503" s="272">
        <f t="shared" si="216"/>
        <v>1900</v>
      </c>
      <c r="M2503" s="272">
        <f t="shared" si="217"/>
        <v>1</v>
      </c>
      <c r="N2503" s="255"/>
      <c r="O2503" s="61">
        <f t="shared" si="218"/>
        <v>1900</v>
      </c>
      <c r="P2503" s="61">
        <f t="shared" si="219"/>
        <v>1</v>
      </c>
      <c r="R2503" s="272"/>
      <c r="S2503" s="272"/>
      <c r="T2503" s="273" t="str">
        <f t="shared" si="220"/>
        <v>-</v>
      </c>
    </row>
    <row r="2504" spans="9:20">
      <c r="I2504" s="213"/>
      <c r="J2504" s="213"/>
      <c r="L2504" s="272">
        <f t="shared" si="216"/>
        <v>1900</v>
      </c>
      <c r="M2504" s="272">
        <f t="shared" si="217"/>
        <v>1</v>
      </c>
      <c r="N2504" s="255"/>
      <c r="O2504" s="61">
        <f t="shared" si="218"/>
        <v>1900</v>
      </c>
      <c r="P2504" s="61">
        <f t="shared" si="219"/>
        <v>1</v>
      </c>
      <c r="R2504" s="272"/>
      <c r="S2504" s="272"/>
      <c r="T2504" s="273" t="str">
        <f t="shared" si="220"/>
        <v>-</v>
      </c>
    </row>
    <row r="2505" spans="9:20">
      <c r="I2505" s="213"/>
      <c r="J2505" s="213"/>
      <c r="L2505" s="272">
        <f t="shared" si="216"/>
        <v>1900</v>
      </c>
      <c r="M2505" s="272">
        <f t="shared" si="217"/>
        <v>1</v>
      </c>
      <c r="N2505" s="255"/>
      <c r="O2505" s="61">
        <f t="shared" si="218"/>
        <v>1900</v>
      </c>
      <c r="P2505" s="61">
        <f t="shared" si="219"/>
        <v>1</v>
      </c>
      <c r="R2505" s="272"/>
      <c r="S2505" s="272"/>
      <c r="T2505" s="273" t="str">
        <f t="shared" si="220"/>
        <v>-</v>
      </c>
    </row>
    <row r="2506" spans="9:20">
      <c r="I2506" s="213"/>
      <c r="J2506" s="213"/>
      <c r="L2506" s="272">
        <f t="shared" si="216"/>
        <v>1900</v>
      </c>
      <c r="M2506" s="272">
        <f t="shared" si="217"/>
        <v>1</v>
      </c>
      <c r="N2506" s="255"/>
      <c r="O2506" s="61">
        <f t="shared" si="218"/>
        <v>1900</v>
      </c>
      <c r="P2506" s="61">
        <f t="shared" si="219"/>
        <v>1</v>
      </c>
      <c r="R2506" s="272"/>
      <c r="S2506" s="272"/>
      <c r="T2506" s="273" t="str">
        <f t="shared" si="220"/>
        <v>-</v>
      </c>
    </row>
    <row r="2507" spans="9:20">
      <c r="I2507" s="213"/>
      <c r="J2507" s="213"/>
      <c r="L2507" s="272">
        <f t="shared" si="216"/>
        <v>1900</v>
      </c>
      <c r="M2507" s="272">
        <f t="shared" si="217"/>
        <v>1</v>
      </c>
      <c r="N2507" s="255"/>
      <c r="O2507" s="61">
        <f t="shared" si="218"/>
        <v>1900</v>
      </c>
      <c r="P2507" s="61">
        <f t="shared" si="219"/>
        <v>1</v>
      </c>
      <c r="R2507" s="272"/>
      <c r="S2507" s="272"/>
      <c r="T2507" s="273" t="str">
        <f t="shared" si="220"/>
        <v>-</v>
      </c>
    </row>
    <row r="2508" spans="9:20">
      <c r="I2508" s="213"/>
      <c r="J2508" s="213"/>
      <c r="L2508" s="272">
        <f t="shared" si="216"/>
        <v>1900</v>
      </c>
      <c r="M2508" s="272">
        <f t="shared" si="217"/>
        <v>1</v>
      </c>
      <c r="N2508" s="255"/>
      <c r="O2508" s="61">
        <f t="shared" si="218"/>
        <v>1900</v>
      </c>
      <c r="P2508" s="61">
        <f t="shared" si="219"/>
        <v>1</v>
      </c>
      <c r="R2508" s="272"/>
      <c r="S2508" s="272"/>
      <c r="T2508" s="273" t="str">
        <f t="shared" si="220"/>
        <v>-</v>
      </c>
    </row>
    <row r="2509" spans="9:20">
      <c r="I2509" s="213"/>
      <c r="J2509" s="213"/>
      <c r="L2509" s="272">
        <f t="shared" si="216"/>
        <v>1900</v>
      </c>
      <c r="M2509" s="272">
        <f t="shared" si="217"/>
        <v>1</v>
      </c>
      <c r="N2509" s="255"/>
      <c r="O2509" s="61">
        <f t="shared" si="218"/>
        <v>1900</v>
      </c>
      <c r="P2509" s="61">
        <f t="shared" si="219"/>
        <v>1</v>
      </c>
      <c r="R2509" s="272"/>
      <c r="S2509" s="272"/>
      <c r="T2509" s="273" t="str">
        <f t="shared" si="220"/>
        <v>-</v>
      </c>
    </row>
    <row r="2510" spans="9:20">
      <c r="I2510" s="213"/>
      <c r="J2510" s="213"/>
      <c r="L2510" s="272">
        <f t="shared" si="216"/>
        <v>1900</v>
      </c>
      <c r="M2510" s="272">
        <f t="shared" si="217"/>
        <v>1</v>
      </c>
      <c r="N2510" s="255"/>
      <c r="O2510" s="61">
        <f t="shared" si="218"/>
        <v>1900</v>
      </c>
      <c r="P2510" s="61">
        <f t="shared" si="219"/>
        <v>1</v>
      </c>
      <c r="R2510" s="272"/>
      <c r="S2510" s="272"/>
      <c r="T2510" s="273" t="str">
        <f t="shared" si="220"/>
        <v>-</v>
      </c>
    </row>
    <row r="2511" spans="9:20">
      <c r="I2511" s="213"/>
      <c r="J2511" s="213"/>
      <c r="L2511" s="272">
        <f t="shared" si="216"/>
        <v>1900</v>
      </c>
      <c r="M2511" s="272">
        <f t="shared" si="217"/>
        <v>1</v>
      </c>
      <c r="N2511" s="255"/>
      <c r="O2511" s="61">
        <f t="shared" si="218"/>
        <v>1900</v>
      </c>
      <c r="P2511" s="61">
        <f t="shared" si="219"/>
        <v>1</v>
      </c>
      <c r="R2511" s="272"/>
      <c r="S2511" s="272"/>
      <c r="T2511" s="273" t="str">
        <f t="shared" si="220"/>
        <v>-</v>
      </c>
    </row>
    <row r="2512" spans="9:20">
      <c r="I2512" s="213"/>
      <c r="J2512" s="213"/>
      <c r="L2512" s="272">
        <f t="shared" ref="L2512:L2575" si="221">YEAR(B2512)</f>
        <v>1900</v>
      </c>
      <c r="M2512" s="272">
        <f t="shared" ref="M2512:M2575" si="222">MONTH(B2512)</f>
        <v>1</v>
      </c>
      <c r="N2512" s="255"/>
      <c r="O2512" s="61">
        <f t="shared" ref="O2512:O2575" si="223">YEAR(B2512)</f>
        <v>1900</v>
      </c>
      <c r="P2512" s="61">
        <f t="shared" ref="P2512:P2575" si="224">MONTH(B2512)</f>
        <v>1</v>
      </c>
      <c r="R2512" s="272"/>
      <c r="S2512" s="272"/>
      <c r="T2512" s="273" t="str">
        <f t="shared" ref="T2512:T2575" si="225">IF($E2512&gt;0,IF((R2512+S2512)=$E2512,"OK","Error"),"-")</f>
        <v>-</v>
      </c>
    </row>
    <row r="2513" spans="9:20">
      <c r="I2513" s="213"/>
      <c r="J2513" s="213"/>
      <c r="L2513" s="272">
        <f t="shared" si="221"/>
        <v>1900</v>
      </c>
      <c r="M2513" s="272">
        <f t="shared" si="222"/>
        <v>1</v>
      </c>
      <c r="N2513" s="255"/>
      <c r="O2513" s="61">
        <f t="shared" si="223"/>
        <v>1900</v>
      </c>
      <c r="P2513" s="61">
        <f t="shared" si="224"/>
        <v>1</v>
      </c>
      <c r="R2513" s="272"/>
      <c r="S2513" s="272"/>
      <c r="T2513" s="273" t="str">
        <f t="shared" si="225"/>
        <v>-</v>
      </c>
    </row>
    <row r="2514" spans="9:20">
      <c r="I2514" s="213"/>
      <c r="J2514" s="213"/>
      <c r="L2514" s="272">
        <f t="shared" si="221"/>
        <v>1900</v>
      </c>
      <c r="M2514" s="272">
        <f t="shared" si="222"/>
        <v>1</v>
      </c>
      <c r="N2514" s="255"/>
      <c r="O2514" s="61">
        <f t="shared" si="223"/>
        <v>1900</v>
      </c>
      <c r="P2514" s="61">
        <f t="shared" si="224"/>
        <v>1</v>
      </c>
      <c r="R2514" s="272"/>
      <c r="S2514" s="272"/>
      <c r="T2514" s="273" t="str">
        <f t="shared" si="225"/>
        <v>-</v>
      </c>
    </row>
    <row r="2515" spans="9:20">
      <c r="I2515" s="213"/>
      <c r="J2515" s="213"/>
      <c r="L2515" s="272">
        <f t="shared" si="221"/>
        <v>1900</v>
      </c>
      <c r="M2515" s="272">
        <f t="shared" si="222"/>
        <v>1</v>
      </c>
      <c r="N2515" s="255"/>
      <c r="O2515" s="61">
        <f t="shared" si="223"/>
        <v>1900</v>
      </c>
      <c r="P2515" s="61">
        <f t="shared" si="224"/>
        <v>1</v>
      </c>
      <c r="R2515" s="272"/>
      <c r="S2515" s="272"/>
      <c r="T2515" s="273" t="str">
        <f t="shared" si="225"/>
        <v>-</v>
      </c>
    </row>
    <row r="2516" spans="9:20">
      <c r="I2516" s="213"/>
      <c r="J2516" s="213"/>
      <c r="L2516" s="272">
        <f t="shared" si="221"/>
        <v>1900</v>
      </c>
      <c r="M2516" s="272">
        <f t="shared" si="222"/>
        <v>1</v>
      </c>
      <c r="N2516" s="255"/>
      <c r="O2516" s="61">
        <f t="shared" si="223"/>
        <v>1900</v>
      </c>
      <c r="P2516" s="61">
        <f t="shared" si="224"/>
        <v>1</v>
      </c>
      <c r="R2516" s="272"/>
      <c r="S2516" s="272"/>
      <c r="T2516" s="273" t="str">
        <f t="shared" si="225"/>
        <v>-</v>
      </c>
    </row>
    <row r="2517" spans="9:20">
      <c r="I2517" s="213"/>
      <c r="J2517" s="213"/>
      <c r="L2517" s="272">
        <f t="shared" si="221"/>
        <v>1900</v>
      </c>
      <c r="M2517" s="272">
        <f t="shared" si="222"/>
        <v>1</v>
      </c>
      <c r="N2517" s="255"/>
      <c r="O2517" s="61">
        <f t="shared" si="223"/>
        <v>1900</v>
      </c>
      <c r="P2517" s="61">
        <f t="shared" si="224"/>
        <v>1</v>
      </c>
      <c r="R2517" s="272"/>
      <c r="S2517" s="272"/>
      <c r="T2517" s="273" t="str">
        <f t="shared" si="225"/>
        <v>-</v>
      </c>
    </row>
    <row r="2518" spans="9:20">
      <c r="I2518" s="213"/>
      <c r="J2518" s="213"/>
      <c r="L2518" s="272">
        <f t="shared" si="221"/>
        <v>1900</v>
      </c>
      <c r="M2518" s="272">
        <f t="shared" si="222"/>
        <v>1</v>
      </c>
      <c r="N2518" s="255"/>
      <c r="O2518" s="61">
        <f t="shared" si="223"/>
        <v>1900</v>
      </c>
      <c r="P2518" s="61">
        <f t="shared" si="224"/>
        <v>1</v>
      </c>
      <c r="R2518" s="272"/>
      <c r="S2518" s="272"/>
      <c r="T2518" s="273" t="str">
        <f t="shared" si="225"/>
        <v>-</v>
      </c>
    </row>
    <row r="2519" spans="9:20">
      <c r="I2519" s="213"/>
      <c r="J2519" s="213"/>
      <c r="L2519" s="272">
        <f t="shared" si="221"/>
        <v>1900</v>
      </c>
      <c r="M2519" s="272">
        <f t="shared" si="222"/>
        <v>1</v>
      </c>
      <c r="N2519" s="255"/>
      <c r="O2519" s="61">
        <f t="shared" si="223"/>
        <v>1900</v>
      </c>
      <c r="P2519" s="61">
        <f t="shared" si="224"/>
        <v>1</v>
      </c>
      <c r="R2519" s="272"/>
      <c r="S2519" s="272"/>
      <c r="T2519" s="273" t="str">
        <f t="shared" si="225"/>
        <v>-</v>
      </c>
    </row>
    <row r="2520" spans="9:20">
      <c r="I2520" s="213"/>
      <c r="J2520" s="213"/>
      <c r="L2520" s="272">
        <f t="shared" si="221"/>
        <v>1900</v>
      </c>
      <c r="M2520" s="272">
        <f t="shared" si="222"/>
        <v>1</v>
      </c>
      <c r="N2520" s="255"/>
      <c r="O2520" s="61">
        <f t="shared" si="223"/>
        <v>1900</v>
      </c>
      <c r="P2520" s="61">
        <f t="shared" si="224"/>
        <v>1</v>
      </c>
      <c r="R2520" s="272"/>
      <c r="S2520" s="272"/>
      <c r="T2520" s="273" t="str">
        <f t="shared" si="225"/>
        <v>-</v>
      </c>
    </row>
    <row r="2521" spans="9:20">
      <c r="I2521" s="213"/>
      <c r="J2521" s="213"/>
      <c r="L2521" s="272">
        <f t="shared" si="221"/>
        <v>1900</v>
      </c>
      <c r="M2521" s="272">
        <f t="shared" si="222"/>
        <v>1</v>
      </c>
      <c r="N2521" s="255"/>
      <c r="O2521" s="61">
        <f t="shared" si="223"/>
        <v>1900</v>
      </c>
      <c r="P2521" s="61">
        <f t="shared" si="224"/>
        <v>1</v>
      </c>
      <c r="R2521" s="272"/>
      <c r="S2521" s="272"/>
      <c r="T2521" s="273" t="str">
        <f t="shared" si="225"/>
        <v>-</v>
      </c>
    </row>
    <row r="2522" spans="9:20">
      <c r="I2522" s="213"/>
      <c r="J2522" s="213"/>
      <c r="L2522" s="272">
        <f t="shared" si="221"/>
        <v>1900</v>
      </c>
      <c r="M2522" s="272">
        <f t="shared" si="222"/>
        <v>1</v>
      </c>
      <c r="N2522" s="255"/>
      <c r="O2522" s="61">
        <f t="shared" si="223"/>
        <v>1900</v>
      </c>
      <c r="P2522" s="61">
        <f t="shared" si="224"/>
        <v>1</v>
      </c>
      <c r="R2522" s="272"/>
      <c r="S2522" s="272"/>
      <c r="T2522" s="273" t="str">
        <f t="shared" si="225"/>
        <v>-</v>
      </c>
    </row>
    <row r="2523" spans="9:20">
      <c r="I2523" s="213"/>
      <c r="J2523" s="213"/>
      <c r="L2523" s="272">
        <f t="shared" si="221"/>
        <v>1900</v>
      </c>
      <c r="M2523" s="272">
        <f t="shared" si="222"/>
        <v>1</v>
      </c>
      <c r="N2523" s="255"/>
      <c r="O2523" s="61">
        <f t="shared" si="223"/>
        <v>1900</v>
      </c>
      <c r="P2523" s="61">
        <f t="shared" si="224"/>
        <v>1</v>
      </c>
      <c r="R2523" s="272"/>
      <c r="S2523" s="272"/>
      <c r="T2523" s="273" t="str">
        <f t="shared" si="225"/>
        <v>-</v>
      </c>
    </row>
    <row r="2524" spans="9:20">
      <c r="I2524" s="213"/>
      <c r="J2524" s="213"/>
      <c r="L2524" s="272">
        <f t="shared" si="221"/>
        <v>1900</v>
      </c>
      <c r="M2524" s="272">
        <f t="shared" si="222"/>
        <v>1</v>
      </c>
      <c r="N2524" s="255"/>
      <c r="O2524" s="61">
        <f t="shared" si="223"/>
        <v>1900</v>
      </c>
      <c r="P2524" s="61">
        <f t="shared" si="224"/>
        <v>1</v>
      </c>
      <c r="R2524" s="272"/>
      <c r="S2524" s="272"/>
      <c r="T2524" s="273" t="str">
        <f t="shared" si="225"/>
        <v>-</v>
      </c>
    </row>
    <row r="2525" spans="9:20">
      <c r="I2525" s="213"/>
      <c r="J2525" s="213"/>
      <c r="L2525" s="272">
        <f t="shared" si="221"/>
        <v>1900</v>
      </c>
      <c r="M2525" s="272">
        <f t="shared" si="222"/>
        <v>1</v>
      </c>
      <c r="N2525" s="255"/>
      <c r="O2525" s="61">
        <f t="shared" si="223"/>
        <v>1900</v>
      </c>
      <c r="P2525" s="61">
        <f t="shared" si="224"/>
        <v>1</v>
      </c>
      <c r="R2525" s="272"/>
      <c r="S2525" s="272"/>
      <c r="T2525" s="273" t="str">
        <f t="shared" si="225"/>
        <v>-</v>
      </c>
    </row>
    <row r="2526" spans="9:20">
      <c r="I2526" s="213"/>
      <c r="J2526" s="213"/>
      <c r="L2526" s="272">
        <f t="shared" si="221"/>
        <v>1900</v>
      </c>
      <c r="M2526" s="272">
        <f t="shared" si="222"/>
        <v>1</v>
      </c>
      <c r="N2526" s="255"/>
      <c r="O2526" s="61">
        <f t="shared" si="223"/>
        <v>1900</v>
      </c>
      <c r="P2526" s="61">
        <f t="shared" si="224"/>
        <v>1</v>
      </c>
      <c r="R2526" s="272"/>
      <c r="S2526" s="272"/>
      <c r="T2526" s="273" t="str">
        <f t="shared" si="225"/>
        <v>-</v>
      </c>
    </row>
    <row r="2527" spans="9:20">
      <c r="I2527" s="213"/>
      <c r="J2527" s="213"/>
      <c r="L2527" s="272">
        <f t="shared" si="221"/>
        <v>1900</v>
      </c>
      <c r="M2527" s="272">
        <f t="shared" si="222"/>
        <v>1</v>
      </c>
      <c r="N2527" s="255"/>
      <c r="O2527" s="61">
        <f t="shared" si="223"/>
        <v>1900</v>
      </c>
      <c r="P2527" s="61">
        <f t="shared" si="224"/>
        <v>1</v>
      </c>
      <c r="R2527" s="272"/>
      <c r="S2527" s="272"/>
      <c r="T2527" s="273" t="str">
        <f t="shared" si="225"/>
        <v>-</v>
      </c>
    </row>
    <row r="2528" spans="9:20">
      <c r="I2528" s="213"/>
      <c r="J2528" s="213"/>
      <c r="L2528" s="272">
        <f t="shared" si="221"/>
        <v>1900</v>
      </c>
      <c r="M2528" s="272">
        <f t="shared" si="222"/>
        <v>1</v>
      </c>
      <c r="N2528" s="255"/>
      <c r="O2528" s="61">
        <f t="shared" si="223"/>
        <v>1900</v>
      </c>
      <c r="P2528" s="61">
        <f t="shared" si="224"/>
        <v>1</v>
      </c>
      <c r="R2528" s="272"/>
      <c r="S2528" s="272"/>
      <c r="T2528" s="273" t="str">
        <f t="shared" si="225"/>
        <v>-</v>
      </c>
    </row>
    <row r="2529" spans="9:20">
      <c r="I2529" s="213"/>
      <c r="J2529" s="213"/>
      <c r="L2529" s="272">
        <f t="shared" si="221"/>
        <v>1900</v>
      </c>
      <c r="M2529" s="272">
        <f t="shared" si="222"/>
        <v>1</v>
      </c>
      <c r="N2529" s="255"/>
      <c r="O2529" s="61">
        <f t="shared" si="223"/>
        <v>1900</v>
      </c>
      <c r="P2529" s="61">
        <f t="shared" si="224"/>
        <v>1</v>
      </c>
      <c r="R2529" s="272"/>
      <c r="S2529" s="272"/>
      <c r="T2529" s="273" t="str">
        <f t="shared" si="225"/>
        <v>-</v>
      </c>
    </row>
    <row r="2530" spans="9:20">
      <c r="I2530" s="213"/>
      <c r="J2530" s="213"/>
      <c r="L2530" s="272">
        <f t="shared" si="221"/>
        <v>1900</v>
      </c>
      <c r="M2530" s="272">
        <f t="shared" si="222"/>
        <v>1</v>
      </c>
      <c r="N2530" s="255"/>
      <c r="O2530" s="61">
        <f t="shared" si="223"/>
        <v>1900</v>
      </c>
      <c r="P2530" s="61">
        <f t="shared" si="224"/>
        <v>1</v>
      </c>
      <c r="R2530" s="272"/>
      <c r="S2530" s="272"/>
      <c r="T2530" s="273" t="str">
        <f t="shared" si="225"/>
        <v>-</v>
      </c>
    </row>
    <row r="2531" spans="9:20">
      <c r="I2531" s="213"/>
      <c r="J2531" s="213"/>
      <c r="L2531" s="272">
        <f t="shared" si="221"/>
        <v>1900</v>
      </c>
      <c r="M2531" s="272">
        <f t="shared" si="222"/>
        <v>1</v>
      </c>
      <c r="N2531" s="255"/>
      <c r="O2531" s="61">
        <f t="shared" si="223"/>
        <v>1900</v>
      </c>
      <c r="P2531" s="61">
        <f t="shared" si="224"/>
        <v>1</v>
      </c>
      <c r="R2531" s="272"/>
      <c r="S2531" s="272"/>
      <c r="T2531" s="273" t="str">
        <f t="shared" si="225"/>
        <v>-</v>
      </c>
    </row>
    <row r="2532" spans="9:20">
      <c r="I2532" s="213"/>
      <c r="J2532" s="213"/>
      <c r="L2532" s="272">
        <f t="shared" si="221"/>
        <v>1900</v>
      </c>
      <c r="M2532" s="272">
        <f t="shared" si="222"/>
        <v>1</v>
      </c>
      <c r="N2532" s="255"/>
      <c r="O2532" s="61">
        <f t="shared" si="223"/>
        <v>1900</v>
      </c>
      <c r="P2532" s="61">
        <f t="shared" si="224"/>
        <v>1</v>
      </c>
      <c r="R2532" s="272"/>
      <c r="S2532" s="272"/>
      <c r="T2532" s="273" t="str">
        <f t="shared" si="225"/>
        <v>-</v>
      </c>
    </row>
    <row r="2533" spans="9:20">
      <c r="I2533" s="213"/>
      <c r="J2533" s="213"/>
      <c r="L2533" s="272">
        <f t="shared" si="221"/>
        <v>1900</v>
      </c>
      <c r="M2533" s="272">
        <f t="shared" si="222"/>
        <v>1</v>
      </c>
      <c r="N2533" s="255"/>
      <c r="O2533" s="61">
        <f t="shared" si="223"/>
        <v>1900</v>
      </c>
      <c r="P2533" s="61">
        <f t="shared" si="224"/>
        <v>1</v>
      </c>
      <c r="R2533" s="272"/>
      <c r="S2533" s="272"/>
      <c r="T2533" s="273" t="str">
        <f t="shared" si="225"/>
        <v>-</v>
      </c>
    </row>
    <row r="2534" spans="9:20">
      <c r="I2534" s="213"/>
      <c r="J2534" s="213"/>
      <c r="L2534" s="272">
        <f t="shared" si="221"/>
        <v>1900</v>
      </c>
      <c r="M2534" s="272">
        <f t="shared" si="222"/>
        <v>1</v>
      </c>
      <c r="N2534" s="255"/>
      <c r="O2534" s="61">
        <f t="shared" si="223"/>
        <v>1900</v>
      </c>
      <c r="P2534" s="61">
        <f t="shared" si="224"/>
        <v>1</v>
      </c>
      <c r="R2534" s="272"/>
      <c r="S2534" s="272"/>
      <c r="T2534" s="273" t="str">
        <f t="shared" si="225"/>
        <v>-</v>
      </c>
    </row>
    <row r="2535" spans="9:20">
      <c r="I2535" s="213"/>
      <c r="J2535" s="213"/>
      <c r="L2535" s="272">
        <f t="shared" si="221"/>
        <v>1900</v>
      </c>
      <c r="M2535" s="272">
        <f t="shared" si="222"/>
        <v>1</v>
      </c>
      <c r="N2535" s="255"/>
      <c r="O2535" s="61">
        <f t="shared" si="223"/>
        <v>1900</v>
      </c>
      <c r="P2535" s="61">
        <f t="shared" si="224"/>
        <v>1</v>
      </c>
      <c r="R2535" s="272"/>
      <c r="S2535" s="272"/>
      <c r="T2535" s="273" t="str">
        <f t="shared" si="225"/>
        <v>-</v>
      </c>
    </row>
    <row r="2536" spans="9:20">
      <c r="I2536" s="213"/>
      <c r="J2536" s="213"/>
      <c r="L2536" s="272">
        <f t="shared" si="221"/>
        <v>1900</v>
      </c>
      <c r="M2536" s="272">
        <f t="shared" si="222"/>
        <v>1</v>
      </c>
      <c r="N2536" s="255"/>
      <c r="O2536" s="61">
        <f t="shared" si="223"/>
        <v>1900</v>
      </c>
      <c r="P2536" s="61">
        <f t="shared" si="224"/>
        <v>1</v>
      </c>
      <c r="R2536" s="272"/>
      <c r="S2536" s="272"/>
      <c r="T2536" s="273" t="str">
        <f t="shared" si="225"/>
        <v>-</v>
      </c>
    </row>
    <row r="2537" spans="9:20">
      <c r="I2537" s="213"/>
      <c r="J2537" s="213"/>
      <c r="L2537" s="272">
        <f t="shared" si="221"/>
        <v>1900</v>
      </c>
      <c r="M2537" s="272">
        <f t="shared" si="222"/>
        <v>1</v>
      </c>
      <c r="N2537" s="255"/>
      <c r="O2537" s="61">
        <f t="shared" si="223"/>
        <v>1900</v>
      </c>
      <c r="P2537" s="61">
        <f t="shared" si="224"/>
        <v>1</v>
      </c>
      <c r="R2537" s="272"/>
      <c r="S2537" s="272"/>
      <c r="T2537" s="273" t="str">
        <f t="shared" si="225"/>
        <v>-</v>
      </c>
    </row>
    <row r="2538" spans="9:20">
      <c r="I2538" s="213"/>
      <c r="J2538" s="213"/>
      <c r="L2538" s="272">
        <f t="shared" si="221"/>
        <v>1900</v>
      </c>
      <c r="M2538" s="272">
        <f t="shared" si="222"/>
        <v>1</v>
      </c>
      <c r="N2538" s="255"/>
      <c r="O2538" s="61">
        <f t="shared" si="223"/>
        <v>1900</v>
      </c>
      <c r="P2538" s="61">
        <f t="shared" si="224"/>
        <v>1</v>
      </c>
      <c r="R2538" s="272"/>
      <c r="S2538" s="272"/>
      <c r="T2538" s="273" t="str">
        <f t="shared" si="225"/>
        <v>-</v>
      </c>
    </row>
    <row r="2539" spans="9:20">
      <c r="I2539" s="213"/>
      <c r="J2539" s="213"/>
      <c r="L2539" s="272">
        <f t="shared" si="221"/>
        <v>1900</v>
      </c>
      <c r="M2539" s="272">
        <f t="shared" si="222"/>
        <v>1</v>
      </c>
      <c r="N2539" s="255"/>
      <c r="O2539" s="61">
        <f t="shared" si="223"/>
        <v>1900</v>
      </c>
      <c r="P2539" s="61">
        <f t="shared" si="224"/>
        <v>1</v>
      </c>
      <c r="R2539" s="272"/>
      <c r="S2539" s="272"/>
      <c r="T2539" s="273" t="str">
        <f t="shared" si="225"/>
        <v>-</v>
      </c>
    </row>
    <row r="2540" spans="9:20">
      <c r="I2540" s="213"/>
      <c r="J2540" s="213"/>
      <c r="L2540" s="272">
        <f t="shared" si="221"/>
        <v>1900</v>
      </c>
      <c r="M2540" s="272">
        <f t="shared" si="222"/>
        <v>1</v>
      </c>
      <c r="N2540" s="255"/>
      <c r="O2540" s="61">
        <f t="shared" si="223"/>
        <v>1900</v>
      </c>
      <c r="P2540" s="61">
        <f t="shared" si="224"/>
        <v>1</v>
      </c>
      <c r="R2540" s="272"/>
      <c r="S2540" s="272"/>
      <c r="T2540" s="273" t="str">
        <f t="shared" si="225"/>
        <v>-</v>
      </c>
    </row>
    <row r="2541" spans="9:20">
      <c r="I2541" s="213"/>
      <c r="J2541" s="213"/>
      <c r="L2541" s="272">
        <f t="shared" si="221"/>
        <v>1900</v>
      </c>
      <c r="M2541" s="272">
        <f t="shared" si="222"/>
        <v>1</v>
      </c>
      <c r="N2541" s="255"/>
      <c r="O2541" s="61">
        <f t="shared" si="223"/>
        <v>1900</v>
      </c>
      <c r="P2541" s="61">
        <f t="shared" si="224"/>
        <v>1</v>
      </c>
      <c r="R2541" s="272"/>
      <c r="S2541" s="272"/>
      <c r="T2541" s="273" t="str">
        <f t="shared" si="225"/>
        <v>-</v>
      </c>
    </row>
    <row r="2542" spans="9:20">
      <c r="I2542" s="213"/>
      <c r="J2542" s="213"/>
      <c r="L2542" s="272">
        <f t="shared" si="221"/>
        <v>1900</v>
      </c>
      <c r="M2542" s="272">
        <f t="shared" si="222"/>
        <v>1</v>
      </c>
      <c r="N2542" s="255"/>
      <c r="O2542" s="61">
        <f t="shared" si="223"/>
        <v>1900</v>
      </c>
      <c r="P2542" s="61">
        <f t="shared" si="224"/>
        <v>1</v>
      </c>
      <c r="R2542" s="272"/>
      <c r="S2542" s="272"/>
      <c r="T2542" s="273" t="str">
        <f t="shared" si="225"/>
        <v>-</v>
      </c>
    </row>
    <row r="2543" spans="9:20">
      <c r="I2543" s="213"/>
      <c r="J2543" s="213"/>
      <c r="L2543" s="272">
        <f t="shared" si="221"/>
        <v>1900</v>
      </c>
      <c r="M2543" s="272">
        <f t="shared" si="222"/>
        <v>1</v>
      </c>
      <c r="N2543" s="255"/>
      <c r="O2543" s="61">
        <f t="shared" si="223"/>
        <v>1900</v>
      </c>
      <c r="P2543" s="61">
        <f t="shared" si="224"/>
        <v>1</v>
      </c>
      <c r="R2543" s="272"/>
      <c r="S2543" s="272"/>
      <c r="T2543" s="273" t="str">
        <f t="shared" si="225"/>
        <v>-</v>
      </c>
    </row>
    <row r="2544" spans="9:20">
      <c r="I2544" s="213"/>
      <c r="J2544" s="213"/>
      <c r="L2544" s="272">
        <f t="shared" si="221"/>
        <v>1900</v>
      </c>
      <c r="M2544" s="272">
        <f t="shared" si="222"/>
        <v>1</v>
      </c>
      <c r="N2544" s="255"/>
      <c r="O2544" s="61">
        <f t="shared" si="223"/>
        <v>1900</v>
      </c>
      <c r="P2544" s="61">
        <f t="shared" si="224"/>
        <v>1</v>
      </c>
      <c r="R2544" s="272"/>
      <c r="S2544" s="272"/>
      <c r="T2544" s="273" t="str">
        <f t="shared" si="225"/>
        <v>-</v>
      </c>
    </row>
    <row r="2545" spans="9:20">
      <c r="I2545" s="213"/>
      <c r="J2545" s="213"/>
      <c r="L2545" s="272">
        <f t="shared" si="221"/>
        <v>1900</v>
      </c>
      <c r="M2545" s="272">
        <f t="shared" si="222"/>
        <v>1</v>
      </c>
      <c r="N2545" s="255"/>
      <c r="O2545" s="61">
        <f t="shared" si="223"/>
        <v>1900</v>
      </c>
      <c r="P2545" s="61">
        <f t="shared" si="224"/>
        <v>1</v>
      </c>
      <c r="R2545" s="272"/>
      <c r="S2545" s="272"/>
      <c r="T2545" s="273" t="str">
        <f t="shared" si="225"/>
        <v>-</v>
      </c>
    </row>
    <row r="2546" spans="9:20">
      <c r="I2546" s="213"/>
      <c r="J2546" s="213"/>
      <c r="L2546" s="272">
        <f t="shared" si="221"/>
        <v>1900</v>
      </c>
      <c r="M2546" s="272">
        <f t="shared" si="222"/>
        <v>1</v>
      </c>
      <c r="N2546" s="255"/>
      <c r="O2546" s="61">
        <f t="shared" si="223"/>
        <v>1900</v>
      </c>
      <c r="P2546" s="61">
        <f t="shared" si="224"/>
        <v>1</v>
      </c>
      <c r="R2546" s="272"/>
      <c r="S2546" s="272"/>
      <c r="T2546" s="273" t="str">
        <f t="shared" si="225"/>
        <v>-</v>
      </c>
    </row>
    <row r="2547" spans="9:20">
      <c r="I2547" s="213"/>
      <c r="J2547" s="213"/>
      <c r="L2547" s="272">
        <f t="shared" si="221"/>
        <v>1900</v>
      </c>
      <c r="M2547" s="272">
        <f t="shared" si="222"/>
        <v>1</v>
      </c>
      <c r="N2547" s="255"/>
      <c r="O2547" s="61">
        <f t="shared" si="223"/>
        <v>1900</v>
      </c>
      <c r="P2547" s="61">
        <f t="shared" si="224"/>
        <v>1</v>
      </c>
      <c r="R2547" s="272"/>
      <c r="S2547" s="272"/>
      <c r="T2547" s="273" t="str">
        <f t="shared" si="225"/>
        <v>-</v>
      </c>
    </row>
    <row r="2548" spans="9:20">
      <c r="I2548" s="213"/>
      <c r="J2548" s="213"/>
      <c r="L2548" s="272">
        <f t="shared" si="221"/>
        <v>1900</v>
      </c>
      <c r="M2548" s="272">
        <f t="shared" si="222"/>
        <v>1</v>
      </c>
      <c r="N2548" s="255"/>
      <c r="O2548" s="61">
        <f t="shared" si="223"/>
        <v>1900</v>
      </c>
      <c r="P2548" s="61">
        <f t="shared" si="224"/>
        <v>1</v>
      </c>
      <c r="R2548" s="272"/>
      <c r="S2548" s="272"/>
      <c r="T2548" s="273" t="str">
        <f t="shared" si="225"/>
        <v>-</v>
      </c>
    </row>
    <row r="2549" spans="9:20">
      <c r="I2549" s="213"/>
      <c r="J2549" s="213"/>
      <c r="L2549" s="272">
        <f t="shared" si="221"/>
        <v>1900</v>
      </c>
      <c r="M2549" s="272">
        <f t="shared" si="222"/>
        <v>1</v>
      </c>
      <c r="N2549" s="255"/>
      <c r="O2549" s="61">
        <f t="shared" si="223"/>
        <v>1900</v>
      </c>
      <c r="P2549" s="61">
        <f t="shared" si="224"/>
        <v>1</v>
      </c>
      <c r="R2549" s="272"/>
      <c r="S2549" s="272"/>
      <c r="T2549" s="273" t="str">
        <f t="shared" si="225"/>
        <v>-</v>
      </c>
    </row>
    <row r="2550" spans="9:20">
      <c r="I2550" s="213"/>
      <c r="J2550" s="213"/>
      <c r="L2550" s="272">
        <f t="shared" si="221"/>
        <v>1900</v>
      </c>
      <c r="M2550" s="272">
        <f t="shared" si="222"/>
        <v>1</v>
      </c>
      <c r="N2550" s="255"/>
      <c r="O2550" s="61">
        <f t="shared" si="223"/>
        <v>1900</v>
      </c>
      <c r="P2550" s="61">
        <f t="shared" si="224"/>
        <v>1</v>
      </c>
      <c r="R2550" s="272"/>
      <c r="S2550" s="272"/>
      <c r="T2550" s="273" t="str">
        <f t="shared" si="225"/>
        <v>-</v>
      </c>
    </row>
    <row r="2551" spans="9:20">
      <c r="I2551" s="213"/>
      <c r="J2551" s="213"/>
      <c r="L2551" s="272">
        <f t="shared" si="221"/>
        <v>1900</v>
      </c>
      <c r="M2551" s="272">
        <f t="shared" si="222"/>
        <v>1</v>
      </c>
      <c r="N2551" s="255"/>
      <c r="O2551" s="61">
        <f t="shared" si="223"/>
        <v>1900</v>
      </c>
      <c r="P2551" s="61">
        <f t="shared" si="224"/>
        <v>1</v>
      </c>
      <c r="R2551" s="272"/>
      <c r="S2551" s="272"/>
      <c r="T2551" s="273" t="str">
        <f t="shared" si="225"/>
        <v>-</v>
      </c>
    </row>
    <row r="2552" spans="9:20">
      <c r="I2552" s="213"/>
      <c r="J2552" s="213"/>
      <c r="L2552" s="272">
        <f t="shared" si="221"/>
        <v>1900</v>
      </c>
      <c r="M2552" s="272">
        <f t="shared" si="222"/>
        <v>1</v>
      </c>
      <c r="N2552" s="255"/>
      <c r="O2552" s="61">
        <f t="shared" si="223"/>
        <v>1900</v>
      </c>
      <c r="P2552" s="61">
        <f t="shared" si="224"/>
        <v>1</v>
      </c>
      <c r="R2552" s="272"/>
      <c r="S2552" s="272"/>
      <c r="T2552" s="273" t="str">
        <f t="shared" si="225"/>
        <v>-</v>
      </c>
    </row>
    <row r="2553" spans="9:20">
      <c r="I2553" s="213"/>
      <c r="J2553" s="213"/>
      <c r="L2553" s="272">
        <f t="shared" si="221"/>
        <v>1900</v>
      </c>
      <c r="M2553" s="272">
        <f t="shared" si="222"/>
        <v>1</v>
      </c>
      <c r="N2553" s="255"/>
      <c r="O2553" s="61">
        <f t="shared" si="223"/>
        <v>1900</v>
      </c>
      <c r="P2553" s="61">
        <f t="shared" si="224"/>
        <v>1</v>
      </c>
      <c r="R2553" s="272"/>
      <c r="S2553" s="272"/>
      <c r="T2553" s="273" t="str">
        <f t="shared" si="225"/>
        <v>-</v>
      </c>
    </row>
    <row r="2554" spans="9:20">
      <c r="I2554" s="213"/>
      <c r="J2554" s="213"/>
      <c r="L2554" s="272">
        <f t="shared" si="221"/>
        <v>1900</v>
      </c>
      <c r="M2554" s="272">
        <f t="shared" si="222"/>
        <v>1</v>
      </c>
      <c r="N2554" s="255"/>
      <c r="O2554" s="61">
        <f t="shared" si="223"/>
        <v>1900</v>
      </c>
      <c r="P2554" s="61">
        <f t="shared" si="224"/>
        <v>1</v>
      </c>
      <c r="R2554" s="272"/>
      <c r="S2554" s="272"/>
      <c r="T2554" s="273" t="str">
        <f t="shared" si="225"/>
        <v>-</v>
      </c>
    </row>
    <row r="2555" spans="9:20">
      <c r="I2555" s="213"/>
      <c r="J2555" s="213"/>
      <c r="L2555" s="272">
        <f t="shared" si="221"/>
        <v>1900</v>
      </c>
      <c r="M2555" s="272">
        <f t="shared" si="222"/>
        <v>1</v>
      </c>
      <c r="N2555" s="255"/>
      <c r="O2555" s="61">
        <f t="shared" si="223"/>
        <v>1900</v>
      </c>
      <c r="P2555" s="61">
        <f t="shared" si="224"/>
        <v>1</v>
      </c>
      <c r="R2555" s="272"/>
      <c r="S2555" s="272"/>
      <c r="T2555" s="273" t="str">
        <f t="shared" si="225"/>
        <v>-</v>
      </c>
    </row>
    <row r="2556" spans="9:20">
      <c r="I2556" s="213"/>
      <c r="J2556" s="213"/>
      <c r="L2556" s="272">
        <f t="shared" si="221"/>
        <v>1900</v>
      </c>
      <c r="M2556" s="272">
        <f t="shared" si="222"/>
        <v>1</v>
      </c>
      <c r="N2556" s="255"/>
      <c r="O2556" s="61">
        <f t="shared" si="223"/>
        <v>1900</v>
      </c>
      <c r="P2556" s="61">
        <f t="shared" si="224"/>
        <v>1</v>
      </c>
      <c r="R2556" s="272"/>
      <c r="S2556" s="272"/>
      <c r="T2556" s="273" t="str">
        <f t="shared" si="225"/>
        <v>-</v>
      </c>
    </row>
    <row r="2557" spans="9:20">
      <c r="I2557" s="213"/>
      <c r="J2557" s="213"/>
      <c r="L2557" s="272">
        <f t="shared" si="221"/>
        <v>1900</v>
      </c>
      <c r="M2557" s="272">
        <f t="shared" si="222"/>
        <v>1</v>
      </c>
      <c r="N2557" s="255"/>
      <c r="O2557" s="61">
        <f t="shared" si="223"/>
        <v>1900</v>
      </c>
      <c r="P2557" s="61">
        <f t="shared" si="224"/>
        <v>1</v>
      </c>
      <c r="R2557" s="272"/>
      <c r="S2557" s="272"/>
      <c r="T2557" s="273" t="str">
        <f t="shared" si="225"/>
        <v>-</v>
      </c>
    </row>
    <row r="2558" spans="9:20">
      <c r="I2558" s="213"/>
      <c r="J2558" s="213"/>
      <c r="L2558" s="272">
        <f t="shared" si="221"/>
        <v>1900</v>
      </c>
      <c r="M2558" s="272">
        <f t="shared" si="222"/>
        <v>1</v>
      </c>
      <c r="N2558" s="255"/>
      <c r="O2558" s="61">
        <f t="shared" si="223"/>
        <v>1900</v>
      </c>
      <c r="P2558" s="61">
        <f t="shared" si="224"/>
        <v>1</v>
      </c>
      <c r="R2558" s="272"/>
      <c r="S2558" s="272"/>
      <c r="T2558" s="273" t="str">
        <f t="shared" si="225"/>
        <v>-</v>
      </c>
    </row>
    <row r="2559" spans="9:20">
      <c r="I2559" s="213"/>
      <c r="J2559" s="213"/>
      <c r="L2559" s="272">
        <f t="shared" si="221"/>
        <v>1900</v>
      </c>
      <c r="M2559" s="272">
        <f t="shared" si="222"/>
        <v>1</v>
      </c>
      <c r="N2559" s="255"/>
      <c r="O2559" s="61">
        <f t="shared" si="223"/>
        <v>1900</v>
      </c>
      <c r="P2559" s="61">
        <f t="shared" si="224"/>
        <v>1</v>
      </c>
      <c r="R2559" s="272"/>
      <c r="S2559" s="272"/>
      <c r="T2559" s="273" t="str">
        <f t="shared" si="225"/>
        <v>-</v>
      </c>
    </row>
    <row r="2560" spans="9:20">
      <c r="I2560" s="213"/>
      <c r="J2560" s="213"/>
      <c r="L2560" s="272">
        <f t="shared" si="221"/>
        <v>1900</v>
      </c>
      <c r="M2560" s="272">
        <f t="shared" si="222"/>
        <v>1</v>
      </c>
      <c r="N2560" s="255"/>
      <c r="O2560" s="61">
        <f t="shared" si="223"/>
        <v>1900</v>
      </c>
      <c r="P2560" s="61">
        <f t="shared" si="224"/>
        <v>1</v>
      </c>
      <c r="R2560" s="272"/>
      <c r="S2560" s="272"/>
      <c r="T2560" s="273" t="str">
        <f t="shared" si="225"/>
        <v>-</v>
      </c>
    </row>
    <row r="2561" spans="9:20">
      <c r="I2561" s="213"/>
      <c r="J2561" s="213"/>
      <c r="L2561" s="272">
        <f t="shared" si="221"/>
        <v>1900</v>
      </c>
      <c r="M2561" s="272">
        <f t="shared" si="222"/>
        <v>1</v>
      </c>
      <c r="N2561" s="255"/>
      <c r="O2561" s="61">
        <f t="shared" si="223"/>
        <v>1900</v>
      </c>
      <c r="P2561" s="61">
        <f t="shared" si="224"/>
        <v>1</v>
      </c>
      <c r="R2561" s="272"/>
      <c r="S2561" s="272"/>
      <c r="T2561" s="273" t="str">
        <f t="shared" si="225"/>
        <v>-</v>
      </c>
    </row>
    <row r="2562" spans="9:20">
      <c r="I2562" s="213"/>
      <c r="J2562" s="213"/>
      <c r="L2562" s="272">
        <f t="shared" si="221"/>
        <v>1900</v>
      </c>
      <c r="M2562" s="272">
        <f t="shared" si="222"/>
        <v>1</v>
      </c>
      <c r="N2562" s="255"/>
      <c r="O2562" s="61">
        <f t="shared" si="223"/>
        <v>1900</v>
      </c>
      <c r="P2562" s="61">
        <f t="shared" si="224"/>
        <v>1</v>
      </c>
      <c r="R2562" s="272"/>
      <c r="S2562" s="272"/>
      <c r="T2562" s="273" t="str">
        <f t="shared" si="225"/>
        <v>-</v>
      </c>
    </row>
    <row r="2563" spans="9:20">
      <c r="I2563" s="213"/>
      <c r="J2563" s="213"/>
      <c r="L2563" s="272">
        <f t="shared" si="221"/>
        <v>1900</v>
      </c>
      <c r="M2563" s="272">
        <f t="shared" si="222"/>
        <v>1</v>
      </c>
      <c r="N2563" s="255"/>
      <c r="O2563" s="61">
        <f t="shared" si="223"/>
        <v>1900</v>
      </c>
      <c r="P2563" s="61">
        <f t="shared" si="224"/>
        <v>1</v>
      </c>
      <c r="R2563" s="272"/>
      <c r="S2563" s="272"/>
      <c r="T2563" s="273" t="str">
        <f t="shared" si="225"/>
        <v>-</v>
      </c>
    </row>
    <row r="2564" spans="9:20">
      <c r="I2564" s="213"/>
      <c r="J2564" s="213"/>
      <c r="L2564" s="272">
        <f t="shared" si="221"/>
        <v>1900</v>
      </c>
      <c r="M2564" s="272">
        <f t="shared" si="222"/>
        <v>1</v>
      </c>
      <c r="N2564" s="255"/>
      <c r="O2564" s="61">
        <f t="shared" si="223"/>
        <v>1900</v>
      </c>
      <c r="P2564" s="61">
        <f t="shared" si="224"/>
        <v>1</v>
      </c>
      <c r="R2564" s="272"/>
      <c r="S2564" s="272"/>
      <c r="T2564" s="273" t="str">
        <f t="shared" si="225"/>
        <v>-</v>
      </c>
    </row>
    <row r="2565" spans="9:20">
      <c r="I2565" s="213"/>
      <c r="J2565" s="213"/>
      <c r="L2565" s="272">
        <f t="shared" si="221"/>
        <v>1900</v>
      </c>
      <c r="M2565" s="272">
        <f t="shared" si="222"/>
        <v>1</v>
      </c>
      <c r="N2565" s="255"/>
      <c r="O2565" s="61">
        <f t="shared" si="223"/>
        <v>1900</v>
      </c>
      <c r="P2565" s="61">
        <f t="shared" si="224"/>
        <v>1</v>
      </c>
      <c r="R2565" s="272"/>
      <c r="S2565" s="272"/>
      <c r="T2565" s="273" t="str">
        <f t="shared" si="225"/>
        <v>-</v>
      </c>
    </row>
    <row r="2566" spans="9:20">
      <c r="I2566" s="213"/>
      <c r="J2566" s="213"/>
      <c r="L2566" s="272">
        <f t="shared" si="221"/>
        <v>1900</v>
      </c>
      <c r="M2566" s="272">
        <f t="shared" si="222"/>
        <v>1</v>
      </c>
      <c r="N2566" s="255"/>
      <c r="O2566" s="61">
        <f t="shared" si="223"/>
        <v>1900</v>
      </c>
      <c r="P2566" s="61">
        <f t="shared" si="224"/>
        <v>1</v>
      </c>
      <c r="R2566" s="272"/>
      <c r="S2566" s="272"/>
      <c r="T2566" s="273" t="str">
        <f t="shared" si="225"/>
        <v>-</v>
      </c>
    </row>
    <row r="2567" spans="9:20">
      <c r="I2567" s="213"/>
      <c r="J2567" s="213"/>
      <c r="L2567" s="272">
        <f t="shared" si="221"/>
        <v>1900</v>
      </c>
      <c r="M2567" s="272">
        <f t="shared" si="222"/>
        <v>1</v>
      </c>
      <c r="N2567" s="255"/>
      <c r="O2567" s="61">
        <f t="shared" si="223"/>
        <v>1900</v>
      </c>
      <c r="P2567" s="61">
        <f t="shared" si="224"/>
        <v>1</v>
      </c>
      <c r="R2567" s="272"/>
      <c r="S2567" s="272"/>
      <c r="T2567" s="273" t="str">
        <f t="shared" si="225"/>
        <v>-</v>
      </c>
    </row>
    <row r="2568" spans="9:20">
      <c r="I2568" s="213"/>
      <c r="J2568" s="213"/>
      <c r="L2568" s="272">
        <f t="shared" si="221"/>
        <v>1900</v>
      </c>
      <c r="M2568" s="272">
        <f t="shared" si="222"/>
        <v>1</v>
      </c>
      <c r="N2568" s="255"/>
      <c r="O2568" s="61">
        <f t="shared" si="223"/>
        <v>1900</v>
      </c>
      <c r="P2568" s="61">
        <f t="shared" si="224"/>
        <v>1</v>
      </c>
      <c r="R2568" s="272"/>
      <c r="S2568" s="272"/>
      <c r="T2568" s="273" t="str">
        <f t="shared" si="225"/>
        <v>-</v>
      </c>
    </row>
    <row r="2569" spans="9:20">
      <c r="I2569" s="213"/>
      <c r="J2569" s="213"/>
      <c r="L2569" s="272">
        <f t="shared" si="221"/>
        <v>1900</v>
      </c>
      <c r="M2569" s="272">
        <f t="shared" si="222"/>
        <v>1</v>
      </c>
      <c r="N2569" s="255"/>
      <c r="O2569" s="61">
        <f t="shared" si="223"/>
        <v>1900</v>
      </c>
      <c r="P2569" s="61">
        <f t="shared" si="224"/>
        <v>1</v>
      </c>
      <c r="R2569" s="272"/>
      <c r="S2569" s="272"/>
      <c r="T2569" s="273" t="str">
        <f t="shared" si="225"/>
        <v>-</v>
      </c>
    </row>
    <row r="2570" spans="9:20">
      <c r="I2570" s="213"/>
      <c r="J2570" s="213"/>
      <c r="L2570" s="272">
        <f t="shared" si="221"/>
        <v>1900</v>
      </c>
      <c r="M2570" s="272">
        <f t="shared" si="222"/>
        <v>1</v>
      </c>
      <c r="N2570" s="255"/>
      <c r="O2570" s="61">
        <f t="shared" si="223"/>
        <v>1900</v>
      </c>
      <c r="P2570" s="61">
        <f t="shared" si="224"/>
        <v>1</v>
      </c>
      <c r="R2570" s="272"/>
      <c r="S2570" s="272"/>
      <c r="T2570" s="273" t="str">
        <f t="shared" si="225"/>
        <v>-</v>
      </c>
    </row>
    <row r="2571" spans="9:20">
      <c r="I2571" s="213"/>
      <c r="J2571" s="213"/>
      <c r="L2571" s="272">
        <f t="shared" si="221"/>
        <v>1900</v>
      </c>
      <c r="M2571" s="272">
        <f t="shared" si="222"/>
        <v>1</v>
      </c>
      <c r="N2571" s="255"/>
      <c r="O2571" s="61">
        <f t="shared" si="223"/>
        <v>1900</v>
      </c>
      <c r="P2571" s="61">
        <f t="shared" si="224"/>
        <v>1</v>
      </c>
      <c r="R2571" s="272"/>
      <c r="S2571" s="272"/>
      <c r="T2571" s="273" t="str">
        <f t="shared" si="225"/>
        <v>-</v>
      </c>
    </row>
    <row r="2572" spans="9:20">
      <c r="I2572" s="213"/>
      <c r="J2572" s="213"/>
      <c r="L2572" s="272">
        <f t="shared" si="221"/>
        <v>1900</v>
      </c>
      <c r="M2572" s="272">
        <f t="shared" si="222"/>
        <v>1</v>
      </c>
      <c r="N2572" s="255"/>
      <c r="O2572" s="61">
        <f t="shared" si="223"/>
        <v>1900</v>
      </c>
      <c r="P2572" s="61">
        <f t="shared" si="224"/>
        <v>1</v>
      </c>
      <c r="R2572" s="272"/>
      <c r="S2572" s="272"/>
      <c r="T2572" s="273" t="str">
        <f t="shared" si="225"/>
        <v>-</v>
      </c>
    </row>
    <row r="2573" spans="9:20">
      <c r="I2573" s="213"/>
      <c r="J2573" s="213"/>
      <c r="L2573" s="272">
        <f t="shared" si="221"/>
        <v>1900</v>
      </c>
      <c r="M2573" s="272">
        <f t="shared" si="222"/>
        <v>1</v>
      </c>
      <c r="N2573" s="255"/>
      <c r="O2573" s="61">
        <f t="shared" si="223"/>
        <v>1900</v>
      </c>
      <c r="P2573" s="61">
        <f t="shared" si="224"/>
        <v>1</v>
      </c>
      <c r="R2573" s="272"/>
      <c r="S2573" s="272"/>
      <c r="T2573" s="273" t="str">
        <f t="shared" si="225"/>
        <v>-</v>
      </c>
    </row>
    <row r="2574" spans="9:20">
      <c r="I2574" s="213"/>
      <c r="J2574" s="213"/>
      <c r="L2574" s="272">
        <f t="shared" si="221"/>
        <v>1900</v>
      </c>
      <c r="M2574" s="272">
        <f t="shared" si="222"/>
        <v>1</v>
      </c>
      <c r="N2574" s="255"/>
      <c r="O2574" s="61">
        <f t="shared" si="223"/>
        <v>1900</v>
      </c>
      <c r="P2574" s="61">
        <f t="shared" si="224"/>
        <v>1</v>
      </c>
      <c r="R2574" s="272"/>
      <c r="S2574" s="272"/>
      <c r="T2574" s="273" t="str">
        <f t="shared" si="225"/>
        <v>-</v>
      </c>
    </row>
    <row r="2575" spans="9:20">
      <c r="I2575" s="213"/>
      <c r="J2575" s="213"/>
      <c r="L2575" s="272">
        <f t="shared" si="221"/>
        <v>1900</v>
      </c>
      <c r="M2575" s="272">
        <f t="shared" si="222"/>
        <v>1</v>
      </c>
      <c r="N2575" s="255"/>
      <c r="O2575" s="61">
        <f t="shared" si="223"/>
        <v>1900</v>
      </c>
      <c r="P2575" s="61">
        <f t="shared" si="224"/>
        <v>1</v>
      </c>
      <c r="R2575" s="272"/>
      <c r="S2575" s="272"/>
      <c r="T2575" s="273" t="str">
        <f t="shared" si="225"/>
        <v>-</v>
      </c>
    </row>
    <row r="2576" spans="9:20">
      <c r="I2576" s="213"/>
      <c r="J2576" s="213"/>
      <c r="L2576" s="272">
        <f t="shared" ref="L2576:L2639" si="226">YEAR(B2576)</f>
        <v>1900</v>
      </c>
      <c r="M2576" s="272">
        <f t="shared" ref="M2576:M2639" si="227">MONTH(B2576)</f>
        <v>1</v>
      </c>
      <c r="N2576" s="255"/>
      <c r="O2576" s="61">
        <f t="shared" ref="O2576:O2639" si="228">YEAR(B2576)</f>
        <v>1900</v>
      </c>
      <c r="P2576" s="61">
        <f t="shared" ref="P2576:P2639" si="229">MONTH(B2576)</f>
        <v>1</v>
      </c>
      <c r="R2576" s="272"/>
      <c r="S2576" s="272"/>
      <c r="T2576" s="273" t="str">
        <f t="shared" ref="T2576:T2639" si="230">IF($E2576&gt;0,IF((R2576+S2576)=$E2576,"OK","Error"),"-")</f>
        <v>-</v>
      </c>
    </row>
    <row r="2577" spans="9:20">
      <c r="I2577" s="213"/>
      <c r="J2577" s="213"/>
      <c r="L2577" s="272">
        <f t="shared" si="226"/>
        <v>1900</v>
      </c>
      <c r="M2577" s="272">
        <f t="shared" si="227"/>
        <v>1</v>
      </c>
      <c r="N2577" s="255"/>
      <c r="O2577" s="61">
        <f t="shared" si="228"/>
        <v>1900</v>
      </c>
      <c r="P2577" s="61">
        <f t="shared" si="229"/>
        <v>1</v>
      </c>
      <c r="R2577" s="272"/>
      <c r="S2577" s="272"/>
      <c r="T2577" s="273" t="str">
        <f t="shared" si="230"/>
        <v>-</v>
      </c>
    </row>
    <row r="2578" spans="9:20">
      <c r="I2578" s="213"/>
      <c r="J2578" s="213"/>
      <c r="L2578" s="272">
        <f t="shared" si="226"/>
        <v>1900</v>
      </c>
      <c r="M2578" s="272">
        <f t="shared" si="227"/>
        <v>1</v>
      </c>
      <c r="N2578" s="255"/>
      <c r="O2578" s="61">
        <f t="shared" si="228"/>
        <v>1900</v>
      </c>
      <c r="P2578" s="61">
        <f t="shared" si="229"/>
        <v>1</v>
      </c>
      <c r="R2578" s="272"/>
      <c r="S2578" s="272"/>
      <c r="T2578" s="273" t="str">
        <f t="shared" si="230"/>
        <v>-</v>
      </c>
    </row>
    <row r="2579" spans="9:20">
      <c r="I2579" s="213"/>
      <c r="J2579" s="213"/>
      <c r="L2579" s="272">
        <f t="shared" si="226"/>
        <v>1900</v>
      </c>
      <c r="M2579" s="272">
        <f t="shared" si="227"/>
        <v>1</v>
      </c>
      <c r="N2579" s="255"/>
      <c r="O2579" s="61">
        <f t="shared" si="228"/>
        <v>1900</v>
      </c>
      <c r="P2579" s="61">
        <f t="shared" si="229"/>
        <v>1</v>
      </c>
      <c r="R2579" s="272"/>
      <c r="S2579" s="272"/>
      <c r="T2579" s="273" t="str">
        <f t="shared" si="230"/>
        <v>-</v>
      </c>
    </row>
    <row r="2580" spans="9:20">
      <c r="I2580" s="213"/>
      <c r="J2580" s="213"/>
      <c r="L2580" s="272">
        <f t="shared" si="226"/>
        <v>1900</v>
      </c>
      <c r="M2580" s="272">
        <f t="shared" si="227"/>
        <v>1</v>
      </c>
      <c r="N2580" s="255"/>
      <c r="O2580" s="61">
        <f t="shared" si="228"/>
        <v>1900</v>
      </c>
      <c r="P2580" s="61">
        <f t="shared" si="229"/>
        <v>1</v>
      </c>
      <c r="R2580" s="272"/>
      <c r="S2580" s="272"/>
      <c r="T2580" s="273" t="str">
        <f t="shared" si="230"/>
        <v>-</v>
      </c>
    </row>
    <row r="2581" spans="9:20">
      <c r="I2581" s="213"/>
      <c r="J2581" s="213"/>
      <c r="L2581" s="272">
        <f t="shared" si="226"/>
        <v>1900</v>
      </c>
      <c r="M2581" s="272">
        <f t="shared" si="227"/>
        <v>1</v>
      </c>
      <c r="N2581" s="255"/>
      <c r="O2581" s="61">
        <f t="shared" si="228"/>
        <v>1900</v>
      </c>
      <c r="P2581" s="61">
        <f t="shared" si="229"/>
        <v>1</v>
      </c>
      <c r="R2581" s="272"/>
      <c r="S2581" s="272"/>
      <c r="T2581" s="273" t="str">
        <f t="shared" si="230"/>
        <v>-</v>
      </c>
    </row>
    <row r="2582" spans="9:20">
      <c r="I2582" s="213"/>
      <c r="J2582" s="213"/>
      <c r="L2582" s="272">
        <f t="shared" si="226"/>
        <v>1900</v>
      </c>
      <c r="M2582" s="272">
        <f t="shared" si="227"/>
        <v>1</v>
      </c>
      <c r="N2582" s="255"/>
      <c r="O2582" s="61">
        <f t="shared" si="228"/>
        <v>1900</v>
      </c>
      <c r="P2582" s="61">
        <f t="shared" si="229"/>
        <v>1</v>
      </c>
      <c r="R2582" s="272"/>
      <c r="S2582" s="272"/>
      <c r="T2582" s="273" t="str">
        <f t="shared" si="230"/>
        <v>-</v>
      </c>
    </row>
    <row r="2583" spans="9:20">
      <c r="I2583" s="213"/>
      <c r="J2583" s="213"/>
      <c r="L2583" s="272">
        <f t="shared" si="226"/>
        <v>1900</v>
      </c>
      <c r="M2583" s="272">
        <f t="shared" si="227"/>
        <v>1</v>
      </c>
      <c r="N2583" s="255"/>
      <c r="O2583" s="61">
        <f t="shared" si="228"/>
        <v>1900</v>
      </c>
      <c r="P2583" s="61">
        <f t="shared" si="229"/>
        <v>1</v>
      </c>
      <c r="R2583" s="272"/>
      <c r="S2583" s="272"/>
      <c r="T2583" s="273" t="str">
        <f t="shared" si="230"/>
        <v>-</v>
      </c>
    </row>
    <row r="2584" spans="9:20">
      <c r="I2584" s="213"/>
      <c r="J2584" s="213"/>
      <c r="L2584" s="272">
        <f t="shared" si="226"/>
        <v>1900</v>
      </c>
      <c r="M2584" s="272">
        <f t="shared" si="227"/>
        <v>1</v>
      </c>
      <c r="N2584" s="255"/>
      <c r="O2584" s="61">
        <f t="shared" si="228"/>
        <v>1900</v>
      </c>
      <c r="P2584" s="61">
        <f t="shared" si="229"/>
        <v>1</v>
      </c>
      <c r="R2584" s="272"/>
      <c r="S2584" s="272"/>
      <c r="T2584" s="273" t="str">
        <f t="shared" si="230"/>
        <v>-</v>
      </c>
    </row>
    <row r="2585" spans="9:20">
      <c r="I2585" s="213"/>
      <c r="J2585" s="213"/>
      <c r="L2585" s="272">
        <f t="shared" si="226"/>
        <v>1900</v>
      </c>
      <c r="M2585" s="272">
        <f t="shared" si="227"/>
        <v>1</v>
      </c>
      <c r="N2585" s="255"/>
      <c r="O2585" s="61">
        <f t="shared" si="228"/>
        <v>1900</v>
      </c>
      <c r="P2585" s="61">
        <f t="shared" si="229"/>
        <v>1</v>
      </c>
      <c r="R2585" s="272"/>
      <c r="S2585" s="272"/>
      <c r="T2585" s="273" t="str">
        <f t="shared" si="230"/>
        <v>-</v>
      </c>
    </row>
    <row r="2586" spans="9:20">
      <c r="I2586" s="213"/>
      <c r="J2586" s="213"/>
      <c r="L2586" s="272">
        <f t="shared" si="226"/>
        <v>1900</v>
      </c>
      <c r="M2586" s="272">
        <f t="shared" si="227"/>
        <v>1</v>
      </c>
      <c r="N2586" s="255"/>
      <c r="O2586" s="61">
        <f t="shared" si="228"/>
        <v>1900</v>
      </c>
      <c r="P2586" s="61">
        <f t="shared" si="229"/>
        <v>1</v>
      </c>
      <c r="R2586" s="272"/>
      <c r="S2586" s="272"/>
      <c r="T2586" s="273" t="str">
        <f t="shared" si="230"/>
        <v>-</v>
      </c>
    </row>
    <row r="2587" spans="9:20">
      <c r="I2587" s="213"/>
      <c r="J2587" s="213"/>
      <c r="L2587" s="272">
        <f t="shared" si="226"/>
        <v>1900</v>
      </c>
      <c r="M2587" s="272">
        <f t="shared" si="227"/>
        <v>1</v>
      </c>
      <c r="N2587" s="255"/>
      <c r="O2587" s="61">
        <f t="shared" si="228"/>
        <v>1900</v>
      </c>
      <c r="P2587" s="61">
        <f t="shared" si="229"/>
        <v>1</v>
      </c>
      <c r="R2587" s="272"/>
      <c r="S2587" s="272"/>
      <c r="T2587" s="273" t="str">
        <f t="shared" si="230"/>
        <v>-</v>
      </c>
    </row>
    <row r="2588" spans="9:20">
      <c r="I2588" s="213"/>
      <c r="J2588" s="213"/>
      <c r="L2588" s="272">
        <f t="shared" si="226"/>
        <v>1900</v>
      </c>
      <c r="M2588" s="272">
        <f t="shared" si="227"/>
        <v>1</v>
      </c>
      <c r="N2588" s="255"/>
      <c r="O2588" s="61">
        <f t="shared" si="228"/>
        <v>1900</v>
      </c>
      <c r="P2588" s="61">
        <f t="shared" si="229"/>
        <v>1</v>
      </c>
      <c r="R2588" s="272"/>
      <c r="S2588" s="272"/>
      <c r="T2588" s="273" t="str">
        <f t="shared" si="230"/>
        <v>-</v>
      </c>
    </row>
    <row r="2589" spans="9:20">
      <c r="I2589" s="213"/>
      <c r="J2589" s="213"/>
      <c r="L2589" s="272">
        <f t="shared" si="226"/>
        <v>1900</v>
      </c>
      <c r="M2589" s="272">
        <f t="shared" si="227"/>
        <v>1</v>
      </c>
      <c r="N2589" s="255"/>
      <c r="O2589" s="61">
        <f t="shared" si="228"/>
        <v>1900</v>
      </c>
      <c r="P2589" s="61">
        <f t="shared" si="229"/>
        <v>1</v>
      </c>
      <c r="R2589" s="272"/>
      <c r="S2589" s="272"/>
      <c r="T2589" s="273" t="str">
        <f t="shared" si="230"/>
        <v>-</v>
      </c>
    </row>
    <row r="2590" spans="9:20">
      <c r="I2590" s="213"/>
      <c r="J2590" s="213"/>
      <c r="L2590" s="272">
        <f t="shared" si="226"/>
        <v>1900</v>
      </c>
      <c r="M2590" s="272">
        <f t="shared" si="227"/>
        <v>1</v>
      </c>
      <c r="N2590" s="255"/>
      <c r="O2590" s="61">
        <f t="shared" si="228"/>
        <v>1900</v>
      </c>
      <c r="P2590" s="61">
        <f t="shared" si="229"/>
        <v>1</v>
      </c>
      <c r="R2590" s="272"/>
      <c r="S2590" s="272"/>
      <c r="T2590" s="273" t="str">
        <f t="shared" si="230"/>
        <v>-</v>
      </c>
    </row>
    <row r="2591" spans="9:20">
      <c r="I2591" s="213"/>
      <c r="J2591" s="213"/>
      <c r="L2591" s="272">
        <f t="shared" si="226"/>
        <v>1900</v>
      </c>
      <c r="M2591" s="272">
        <f t="shared" si="227"/>
        <v>1</v>
      </c>
      <c r="N2591" s="255"/>
      <c r="O2591" s="61">
        <f t="shared" si="228"/>
        <v>1900</v>
      </c>
      <c r="P2591" s="61">
        <f t="shared" si="229"/>
        <v>1</v>
      </c>
      <c r="R2591" s="272"/>
      <c r="S2591" s="272"/>
      <c r="T2591" s="273" t="str">
        <f t="shared" si="230"/>
        <v>-</v>
      </c>
    </row>
    <row r="2592" spans="9:20">
      <c r="I2592" s="213"/>
      <c r="J2592" s="213"/>
      <c r="L2592" s="272">
        <f t="shared" si="226"/>
        <v>1900</v>
      </c>
      <c r="M2592" s="272">
        <f t="shared" si="227"/>
        <v>1</v>
      </c>
      <c r="N2592" s="255"/>
      <c r="O2592" s="61">
        <f t="shared" si="228"/>
        <v>1900</v>
      </c>
      <c r="P2592" s="61">
        <f t="shared" si="229"/>
        <v>1</v>
      </c>
      <c r="R2592" s="272"/>
      <c r="S2592" s="272"/>
      <c r="T2592" s="273" t="str">
        <f t="shared" si="230"/>
        <v>-</v>
      </c>
    </row>
    <row r="2593" spans="9:20">
      <c r="I2593" s="213"/>
      <c r="J2593" s="213"/>
      <c r="L2593" s="272">
        <f t="shared" si="226"/>
        <v>1900</v>
      </c>
      <c r="M2593" s="272">
        <f t="shared" si="227"/>
        <v>1</v>
      </c>
      <c r="N2593" s="255"/>
      <c r="O2593" s="61">
        <f t="shared" si="228"/>
        <v>1900</v>
      </c>
      <c r="P2593" s="61">
        <f t="shared" si="229"/>
        <v>1</v>
      </c>
      <c r="R2593" s="272"/>
      <c r="S2593" s="272"/>
      <c r="T2593" s="273" t="str">
        <f t="shared" si="230"/>
        <v>-</v>
      </c>
    </row>
    <row r="2594" spans="9:20">
      <c r="I2594" s="213"/>
      <c r="J2594" s="213"/>
      <c r="L2594" s="272">
        <f t="shared" si="226"/>
        <v>1900</v>
      </c>
      <c r="M2594" s="272">
        <f t="shared" si="227"/>
        <v>1</v>
      </c>
      <c r="N2594" s="255"/>
      <c r="O2594" s="61">
        <f t="shared" si="228"/>
        <v>1900</v>
      </c>
      <c r="P2594" s="61">
        <f t="shared" si="229"/>
        <v>1</v>
      </c>
      <c r="R2594" s="272"/>
      <c r="S2594" s="272"/>
      <c r="T2594" s="273" t="str">
        <f t="shared" si="230"/>
        <v>-</v>
      </c>
    </row>
    <row r="2595" spans="9:20">
      <c r="I2595" s="213"/>
      <c r="J2595" s="213"/>
      <c r="L2595" s="272">
        <f t="shared" si="226"/>
        <v>1900</v>
      </c>
      <c r="M2595" s="272">
        <f t="shared" si="227"/>
        <v>1</v>
      </c>
      <c r="N2595" s="255"/>
      <c r="O2595" s="61">
        <f t="shared" si="228"/>
        <v>1900</v>
      </c>
      <c r="P2595" s="61">
        <f t="shared" si="229"/>
        <v>1</v>
      </c>
      <c r="R2595" s="272"/>
      <c r="S2595" s="272"/>
      <c r="T2595" s="273" t="str">
        <f t="shared" si="230"/>
        <v>-</v>
      </c>
    </row>
    <row r="2596" spans="9:20">
      <c r="I2596" s="213"/>
      <c r="J2596" s="213"/>
      <c r="L2596" s="272">
        <f t="shared" si="226"/>
        <v>1900</v>
      </c>
      <c r="M2596" s="272">
        <f t="shared" si="227"/>
        <v>1</v>
      </c>
      <c r="N2596" s="255"/>
      <c r="O2596" s="61">
        <f t="shared" si="228"/>
        <v>1900</v>
      </c>
      <c r="P2596" s="61">
        <f t="shared" si="229"/>
        <v>1</v>
      </c>
      <c r="R2596" s="272"/>
      <c r="S2596" s="272"/>
      <c r="T2596" s="273" t="str">
        <f t="shared" si="230"/>
        <v>-</v>
      </c>
    </row>
    <row r="2597" spans="9:20">
      <c r="I2597" s="213"/>
      <c r="J2597" s="213"/>
      <c r="L2597" s="272">
        <f t="shared" si="226"/>
        <v>1900</v>
      </c>
      <c r="M2597" s="272">
        <f t="shared" si="227"/>
        <v>1</v>
      </c>
      <c r="N2597" s="255"/>
      <c r="O2597" s="61">
        <f t="shared" si="228"/>
        <v>1900</v>
      </c>
      <c r="P2597" s="61">
        <f t="shared" si="229"/>
        <v>1</v>
      </c>
      <c r="R2597" s="272"/>
      <c r="S2597" s="272"/>
      <c r="T2597" s="273" t="str">
        <f t="shared" si="230"/>
        <v>-</v>
      </c>
    </row>
    <row r="2598" spans="9:20">
      <c r="I2598" s="213"/>
      <c r="J2598" s="213"/>
      <c r="L2598" s="272">
        <f t="shared" si="226"/>
        <v>1900</v>
      </c>
      <c r="M2598" s="272">
        <f t="shared" si="227"/>
        <v>1</v>
      </c>
      <c r="N2598" s="255"/>
      <c r="O2598" s="61">
        <f t="shared" si="228"/>
        <v>1900</v>
      </c>
      <c r="P2598" s="61">
        <f t="shared" si="229"/>
        <v>1</v>
      </c>
      <c r="R2598" s="272"/>
      <c r="S2598" s="272"/>
      <c r="T2598" s="273" t="str">
        <f t="shared" si="230"/>
        <v>-</v>
      </c>
    </row>
    <row r="2599" spans="9:20">
      <c r="I2599" s="213"/>
      <c r="J2599" s="213"/>
      <c r="L2599" s="272">
        <f t="shared" si="226"/>
        <v>1900</v>
      </c>
      <c r="M2599" s="272">
        <f t="shared" si="227"/>
        <v>1</v>
      </c>
      <c r="N2599" s="255"/>
      <c r="O2599" s="61">
        <f t="shared" si="228"/>
        <v>1900</v>
      </c>
      <c r="P2599" s="61">
        <f t="shared" si="229"/>
        <v>1</v>
      </c>
      <c r="R2599" s="272"/>
      <c r="S2599" s="272"/>
      <c r="T2599" s="273" t="str">
        <f t="shared" si="230"/>
        <v>-</v>
      </c>
    </row>
    <row r="2600" spans="9:20">
      <c r="I2600" s="213"/>
      <c r="J2600" s="213"/>
      <c r="L2600" s="272">
        <f t="shared" si="226"/>
        <v>1900</v>
      </c>
      <c r="M2600" s="272">
        <f t="shared" si="227"/>
        <v>1</v>
      </c>
      <c r="N2600" s="255"/>
      <c r="O2600" s="61">
        <f t="shared" si="228"/>
        <v>1900</v>
      </c>
      <c r="P2600" s="61">
        <f t="shared" si="229"/>
        <v>1</v>
      </c>
      <c r="R2600" s="272"/>
      <c r="S2600" s="272"/>
      <c r="T2600" s="273" t="str">
        <f t="shared" si="230"/>
        <v>-</v>
      </c>
    </row>
    <row r="2601" spans="9:20">
      <c r="I2601" s="213"/>
      <c r="J2601" s="213"/>
      <c r="L2601" s="272">
        <f t="shared" si="226"/>
        <v>1900</v>
      </c>
      <c r="M2601" s="272">
        <f t="shared" si="227"/>
        <v>1</v>
      </c>
      <c r="N2601" s="255"/>
      <c r="O2601" s="61">
        <f t="shared" si="228"/>
        <v>1900</v>
      </c>
      <c r="P2601" s="61">
        <f t="shared" si="229"/>
        <v>1</v>
      </c>
      <c r="R2601" s="272"/>
      <c r="S2601" s="272"/>
      <c r="T2601" s="273" t="str">
        <f t="shared" si="230"/>
        <v>-</v>
      </c>
    </row>
    <row r="2602" spans="9:20">
      <c r="I2602" s="213"/>
      <c r="J2602" s="213"/>
      <c r="L2602" s="272">
        <f t="shared" si="226"/>
        <v>1900</v>
      </c>
      <c r="M2602" s="272">
        <f t="shared" si="227"/>
        <v>1</v>
      </c>
      <c r="N2602" s="255"/>
      <c r="O2602" s="61">
        <f t="shared" si="228"/>
        <v>1900</v>
      </c>
      <c r="P2602" s="61">
        <f t="shared" si="229"/>
        <v>1</v>
      </c>
      <c r="R2602" s="272"/>
      <c r="S2602" s="272"/>
      <c r="T2602" s="273" t="str">
        <f t="shared" si="230"/>
        <v>-</v>
      </c>
    </row>
    <row r="2603" spans="9:20">
      <c r="I2603" s="213"/>
      <c r="J2603" s="213"/>
      <c r="L2603" s="272">
        <f t="shared" si="226"/>
        <v>1900</v>
      </c>
      <c r="M2603" s="272">
        <f t="shared" si="227"/>
        <v>1</v>
      </c>
      <c r="N2603" s="255"/>
      <c r="O2603" s="61">
        <f t="shared" si="228"/>
        <v>1900</v>
      </c>
      <c r="P2603" s="61">
        <f t="shared" si="229"/>
        <v>1</v>
      </c>
      <c r="R2603" s="272"/>
      <c r="S2603" s="272"/>
      <c r="T2603" s="273" t="str">
        <f t="shared" si="230"/>
        <v>-</v>
      </c>
    </row>
    <row r="2604" spans="9:20">
      <c r="I2604" s="213"/>
      <c r="J2604" s="213"/>
      <c r="L2604" s="272">
        <f t="shared" si="226"/>
        <v>1900</v>
      </c>
      <c r="M2604" s="272">
        <f t="shared" si="227"/>
        <v>1</v>
      </c>
      <c r="N2604" s="255"/>
      <c r="O2604" s="61">
        <f t="shared" si="228"/>
        <v>1900</v>
      </c>
      <c r="P2604" s="61">
        <f t="shared" si="229"/>
        <v>1</v>
      </c>
      <c r="R2604" s="272"/>
      <c r="S2604" s="272"/>
      <c r="T2604" s="273" t="str">
        <f t="shared" si="230"/>
        <v>-</v>
      </c>
    </row>
    <row r="2605" spans="9:20">
      <c r="I2605" s="213"/>
      <c r="J2605" s="213"/>
      <c r="L2605" s="272">
        <f t="shared" si="226"/>
        <v>1900</v>
      </c>
      <c r="M2605" s="272">
        <f t="shared" si="227"/>
        <v>1</v>
      </c>
      <c r="N2605" s="255"/>
      <c r="O2605" s="61">
        <f t="shared" si="228"/>
        <v>1900</v>
      </c>
      <c r="P2605" s="61">
        <f t="shared" si="229"/>
        <v>1</v>
      </c>
      <c r="R2605" s="272"/>
      <c r="S2605" s="272"/>
      <c r="T2605" s="273" t="str">
        <f t="shared" si="230"/>
        <v>-</v>
      </c>
    </row>
    <row r="2606" spans="9:20">
      <c r="I2606" s="213"/>
      <c r="J2606" s="213"/>
      <c r="L2606" s="272">
        <f t="shared" si="226"/>
        <v>1900</v>
      </c>
      <c r="M2606" s="272">
        <f t="shared" si="227"/>
        <v>1</v>
      </c>
      <c r="N2606" s="255"/>
      <c r="O2606" s="61">
        <f t="shared" si="228"/>
        <v>1900</v>
      </c>
      <c r="P2606" s="61">
        <f t="shared" si="229"/>
        <v>1</v>
      </c>
      <c r="R2606" s="272"/>
      <c r="S2606" s="272"/>
      <c r="T2606" s="273" t="str">
        <f t="shared" si="230"/>
        <v>-</v>
      </c>
    </row>
    <row r="2607" spans="9:20">
      <c r="I2607" s="213"/>
      <c r="J2607" s="213"/>
      <c r="L2607" s="272">
        <f t="shared" si="226"/>
        <v>1900</v>
      </c>
      <c r="M2607" s="272">
        <f t="shared" si="227"/>
        <v>1</v>
      </c>
      <c r="N2607" s="255"/>
      <c r="O2607" s="61">
        <f t="shared" si="228"/>
        <v>1900</v>
      </c>
      <c r="P2607" s="61">
        <f t="shared" si="229"/>
        <v>1</v>
      </c>
      <c r="R2607" s="272"/>
      <c r="S2607" s="272"/>
      <c r="T2607" s="273" t="str">
        <f t="shared" si="230"/>
        <v>-</v>
      </c>
    </row>
    <row r="2608" spans="9:20">
      <c r="I2608" s="213"/>
      <c r="J2608" s="213"/>
      <c r="L2608" s="272">
        <f t="shared" si="226"/>
        <v>1900</v>
      </c>
      <c r="M2608" s="272">
        <f t="shared" si="227"/>
        <v>1</v>
      </c>
      <c r="N2608" s="255"/>
      <c r="O2608" s="61">
        <f t="shared" si="228"/>
        <v>1900</v>
      </c>
      <c r="P2608" s="61">
        <f t="shared" si="229"/>
        <v>1</v>
      </c>
      <c r="R2608" s="272"/>
      <c r="S2608" s="272"/>
      <c r="T2608" s="273" t="str">
        <f t="shared" si="230"/>
        <v>-</v>
      </c>
    </row>
    <row r="2609" spans="9:20">
      <c r="I2609" s="213"/>
      <c r="J2609" s="213"/>
      <c r="L2609" s="272">
        <f t="shared" si="226"/>
        <v>1900</v>
      </c>
      <c r="M2609" s="272">
        <f t="shared" si="227"/>
        <v>1</v>
      </c>
      <c r="N2609" s="255"/>
      <c r="O2609" s="61">
        <f t="shared" si="228"/>
        <v>1900</v>
      </c>
      <c r="P2609" s="61">
        <f t="shared" si="229"/>
        <v>1</v>
      </c>
      <c r="R2609" s="272"/>
      <c r="S2609" s="272"/>
      <c r="T2609" s="273" t="str">
        <f t="shared" si="230"/>
        <v>-</v>
      </c>
    </row>
    <row r="2610" spans="9:20">
      <c r="I2610" s="213"/>
      <c r="J2610" s="213"/>
      <c r="L2610" s="272">
        <f t="shared" si="226"/>
        <v>1900</v>
      </c>
      <c r="M2610" s="272">
        <f t="shared" si="227"/>
        <v>1</v>
      </c>
      <c r="N2610" s="255"/>
      <c r="O2610" s="61">
        <f t="shared" si="228"/>
        <v>1900</v>
      </c>
      <c r="P2610" s="61">
        <f t="shared" si="229"/>
        <v>1</v>
      </c>
      <c r="R2610" s="272"/>
      <c r="S2610" s="272"/>
      <c r="T2610" s="273" t="str">
        <f t="shared" si="230"/>
        <v>-</v>
      </c>
    </row>
    <row r="2611" spans="9:20">
      <c r="I2611" s="213"/>
      <c r="J2611" s="213"/>
      <c r="L2611" s="272">
        <f t="shared" si="226"/>
        <v>1900</v>
      </c>
      <c r="M2611" s="272">
        <f t="shared" si="227"/>
        <v>1</v>
      </c>
      <c r="N2611" s="255"/>
      <c r="O2611" s="61">
        <f t="shared" si="228"/>
        <v>1900</v>
      </c>
      <c r="P2611" s="61">
        <f t="shared" si="229"/>
        <v>1</v>
      </c>
      <c r="R2611" s="272"/>
      <c r="S2611" s="272"/>
      <c r="T2611" s="273" t="str">
        <f t="shared" si="230"/>
        <v>-</v>
      </c>
    </row>
    <row r="2612" spans="9:20">
      <c r="I2612" s="213"/>
      <c r="J2612" s="213"/>
      <c r="L2612" s="272">
        <f t="shared" si="226"/>
        <v>1900</v>
      </c>
      <c r="M2612" s="272">
        <f t="shared" si="227"/>
        <v>1</v>
      </c>
      <c r="N2612" s="255"/>
      <c r="O2612" s="61">
        <f t="shared" si="228"/>
        <v>1900</v>
      </c>
      <c r="P2612" s="61">
        <f t="shared" si="229"/>
        <v>1</v>
      </c>
      <c r="R2612" s="272"/>
      <c r="S2612" s="272"/>
      <c r="T2612" s="273" t="str">
        <f t="shared" si="230"/>
        <v>-</v>
      </c>
    </row>
    <row r="2613" spans="9:20">
      <c r="I2613" s="213"/>
      <c r="J2613" s="213"/>
      <c r="L2613" s="272">
        <f t="shared" si="226"/>
        <v>1900</v>
      </c>
      <c r="M2613" s="272">
        <f t="shared" si="227"/>
        <v>1</v>
      </c>
      <c r="N2613" s="255"/>
      <c r="O2613" s="61">
        <f t="shared" si="228"/>
        <v>1900</v>
      </c>
      <c r="P2613" s="61">
        <f t="shared" si="229"/>
        <v>1</v>
      </c>
      <c r="R2613" s="272"/>
      <c r="S2613" s="272"/>
      <c r="T2613" s="273" t="str">
        <f t="shared" si="230"/>
        <v>-</v>
      </c>
    </row>
    <row r="2614" spans="9:20">
      <c r="I2614" s="213"/>
      <c r="J2614" s="213"/>
      <c r="L2614" s="272">
        <f t="shared" si="226"/>
        <v>1900</v>
      </c>
      <c r="M2614" s="272">
        <f t="shared" si="227"/>
        <v>1</v>
      </c>
      <c r="N2614" s="255"/>
      <c r="O2614" s="61">
        <f t="shared" si="228"/>
        <v>1900</v>
      </c>
      <c r="P2614" s="61">
        <f t="shared" si="229"/>
        <v>1</v>
      </c>
      <c r="R2614" s="272"/>
      <c r="S2614" s="272"/>
      <c r="T2614" s="273" t="str">
        <f t="shared" si="230"/>
        <v>-</v>
      </c>
    </row>
    <row r="2615" spans="9:20">
      <c r="I2615" s="213"/>
      <c r="J2615" s="213"/>
      <c r="L2615" s="272">
        <f t="shared" si="226"/>
        <v>1900</v>
      </c>
      <c r="M2615" s="272">
        <f t="shared" si="227"/>
        <v>1</v>
      </c>
      <c r="N2615" s="255"/>
      <c r="O2615" s="61">
        <f t="shared" si="228"/>
        <v>1900</v>
      </c>
      <c r="P2615" s="61">
        <f t="shared" si="229"/>
        <v>1</v>
      </c>
      <c r="R2615" s="272"/>
      <c r="S2615" s="272"/>
      <c r="T2615" s="273" t="str">
        <f t="shared" si="230"/>
        <v>-</v>
      </c>
    </row>
    <row r="2616" spans="9:20">
      <c r="I2616" s="213"/>
      <c r="J2616" s="213"/>
      <c r="L2616" s="272">
        <f t="shared" si="226"/>
        <v>1900</v>
      </c>
      <c r="M2616" s="272">
        <f t="shared" si="227"/>
        <v>1</v>
      </c>
      <c r="N2616" s="255"/>
      <c r="O2616" s="61">
        <f t="shared" si="228"/>
        <v>1900</v>
      </c>
      <c r="P2616" s="61">
        <f t="shared" si="229"/>
        <v>1</v>
      </c>
      <c r="R2616" s="272"/>
      <c r="S2616" s="272"/>
      <c r="T2616" s="273" t="str">
        <f t="shared" si="230"/>
        <v>-</v>
      </c>
    </row>
    <row r="2617" spans="9:20">
      <c r="I2617" s="213"/>
      <c r="J2617" s="213"/>
      <c r="L2617" s="272">
        <f t="shared" si="226"/>
        <v>1900</v>
      </c>
      <c r="M2617" s="272">
        <f t="shared" si="227"/>
        <v>1</v>
      </c>
      <c r="N2617" s="255"/>
      <c r="O2617" s="61">
        <f t="shared" si="228"/>
        <v>1900</v>
      </c>
      <c r="P2617" s="61">
        <f t="shared" si="229"/>
        <v>1</v>
      </c>
      <c r="R2617" s="272"/>
      <c r="S2617" s="272"/>
      <c r="T2617" s="273" t="str">
        <f t="shared" si="230"/>
        <v>-</v>
      </c>
    </row>
    <row r="2618" spans="9:20">
      <c r="I2618" s="213"/>
      <c r="J2618" s="213"/>
      <c r="L2618" s="272">
        <f t="shared" si="226"/>
        <v>1900</v>
      </c>
      <c r="M2618" s="272">
        <f t="shared" si="227"/>
        <v>1</v>
      </c>
      <c r="N2618" s="255"/>
      <c r="O2618" s="61">
        <f t="shared" si="228"/>
        <v>1900</v>
      </c>
      <c r="P2618" s="61">
        <f t="shared" si="229"/>
        <v>1</v>
      </c>
      <c r="R2618" s="272"/>
      <c r="S2618" s="272"/>
      <c r="T2618" s="273" t="str">
        <f t="shared" si="230"/>
        <v>-</v>
      </c>
    </row>
    <row r="2619" spans="9:20">
      <c r="I2619" s="213"/>
      <c r="J2619" s="213"/>
      <c r="L2619" s="272">
        <f t="shared" si="226"/>
        <v>1900</v>
      </c>
      <c r="M2619" s="272">
        <f t="shared" si="227"/>
        <v>1</v>
      </c>
      <c r="N2619" s="255"/>
      <c r="O2619" s="61">
        <f t="shared" si="228"/>
        <v>1900</v>
      </c>
      <c r="P2619" s="61">
        <f t="shared" si="229"/>
        <v>1</v>
      </c>
      <c r="R2619" s="272"/>
      <c r="S2619" s="272"/>
      <c r="T2619" s="273" t="str">
        <f t="shared" si="230"/>
        <v>-</v>
      </c>
    </row>
    <row r="2620" spans="9:20">
      <c r="I2620" s="213"/>
      <c r="J2620" s="213"/>
      <c r="L2620" s="272">
        <f t="shared" si="226"/>
        <v>1900</v>
      </c>
      <c r="M2620" s="272">
        <f t="shared" si="227"/>
        <v>1</v>
      </c>
      <c r="N2620" s="255"/>
      <c r="O2620" s="61">
        <f t="shared" si="228"/>
        <v>1900</v>
      </c>
      <c r="P2620" s="61">
        <f t="shared" si="229"/>
        <v>1</v>
      </c>
      <c r="R2620" s="272"/>
      <c r="S2620" s="272"/>
      <c r="T2620" s="273" t="str">
        <f t="shared" si="230"/>
        <v>-</v>
      </c>
    </row>
    <row r="2621" spans="9:20">
      <c r="I2621" s="213"/>
      <c r="J2621" s="213"/>
      <c r="L2621" s="272">
        <f t="shared" si="226"/>
        <v>1900</v>
      </c>
      <c r="M2621" s="272">
        <f t="shared" si="227"/>
        <v>1</v>
      </c>
      <c r="N2621" s="255"/>
      <c r="O2621" s="61">
        <f t="shared" si="228"/>
        <v>1900</v>
      </c>
      <c r="P2621" s="61">
        <f t="shared" si="229"/>
        <v>1</v>
      </c>
      <c r="R2621" s="272"/>
      <c r="S2621" s="272"/>
      <c r="T2621" s="273" t="str">
        <f t="shared" si="230"/>
        <v>-</v>
      </c>
    </row>
    <row r="2622" spans="9:20">
      <c r="I2622" s="213"/>
      <c r="J2622" s="213"/>
      <c r="L2622" s="272">
        <f t="shared" si="226"/>
        <v>1900</v>
      </c>
      <c r="M2622" s="272">
        <f t="shared" si="227"/>
        <v>1</v>
      </c>
      <c r="N2622" s="255"/>
      <c r="O2622" s="61">
        <f t="shared" si="228"/>
        <v>1900</v>
      </c>
      <c r="P2622" s="61">
        <f t="shared" si="229"/>
        <v>1</v>
      </c>
      <c r="R2622" s="272"/>
      <c r="S2622" s="272"/>
      <c r="T2622" s="273" t="str">
        <f t="shared" si="230"/>
        <v>-</v>
      </c>
    </row>
    <row r="2623" spans="9:20">
      <c r="I2623" s="213"/>
      <c r="J2623" s="213"/>
      <c r="L2623" s="272">
        <f t="shared" si="226"/>
        <v>1900</v>
      </c>
      <c r="M2623" s="272">
        <f t="shared" si="227"/>
        <v>1</v>
      </c>
      <c r="N2623" s="255"/>
      <c r="O2623" s="61">
        <f t="shared" si="228"/>
        <v>1900</v>
      </c>
      <c r="P2623" s="61">
        <f t="shared" si="229"/>
        <v>1</v>
      </c>
      <c r="R2623" s="272"/>
      <c r="S2623" s="272"/>
      <c r="T2623" s="273" t="str">
        <f t="shared" si="230"/>
        <v>-</v>
      </c>
    </row>
    <row r="2624" spans="9:20">
      <c r="I2624" s="213"/>
      <c r="J2624" s="213"/>
      <c r="L2624" s="272">
        <f t="shared" si="226"/>
        <v>1900</v>
      </c>
      <c r="M2624" s="272">
        <f t="shared" si="227"/>
        <v>1</v>
      </c>
      <c r="N2624" s="255"/>
      <c r="O2624" s="61">
        <f t="shared" si="228"/>
        <v>1900</v>
      </c>
      <c r="P2624" s="61">
        <f t="shared" si="229"/>
        <v>1</v>
      </c>
      <c r="R2624" s="272"/>
      <c r="S2624" s="272"/>
      <c r="T2624" s="273" t="str">
        <f t="shared" si="230"/>
        <v>-</v>
      </c>
    </row>
    <row r="2625" spans="9:20">
      <c r="I2625" s="213"/>
      <c r="J2625" s="213"/>
      <c r="L2625" s="272">
        <f t="shared" si="226"/>
        <v>1900</v>
      </c>
      <c r="M2625" s="272">
        <f t="shared" si="227"/>
        <v>1</v>
      </c>
      <c r="N2625" s="255"/>
      <c r="O2625" s="61">
        <f t="shared" si="228"/>
        <v>1900</v>
      </c>
      <c r="P2625" s="61">
        <f t="shared" si="229"/>
        <v>1</v>
      </c>
      <c r="R2625" s="272"/>
      <c r="S2625" s="272"/>
      <c r="T2625" s="273" t="str">
        <f t="shared" si="230"/>
        <v>-</v>
      </c>
    </row>
    <row r="2626" spans="9:20">
      <c r="I2626" s="213"/>
      <c r="J2626" s="213"/>
      <c r="L2626" s="272">
        <f t="shared" si="226"/>
        <v>1900</v>
      </c>
      <c r="M2626" s="272">
        <f t="shared" si="227"/>
        <v>1</v>
      </c>
      <c r="N2626" s="255"/>
      <c r="O2626" s="61">
        <f t="shared" si="228"/>
        <v>1900</v>
      </c>
      <c r="P2626" s="61">
        <f t="shared" si="229"/>
        <v>1</v>
      </c>
      <c r="R2626" s="272"/>
      <c r="S2626" s="272"/>
      <c r="T2626" s="273" t="str">
        <f t="shared" si="230"/>
        <v>-</v>
      </c>
    </row>
    <row r="2627" spans="9:20">
      <c r="I2627" s="213"/>
      <c r="J2627" s="213"/>
      <c r="L2627" s="272">
        <f t="shared" si="226"/>
        <v>1900</v>
      </c>
      <c r="M2627" s="272">
        <f t="shared" si="227"/>
        <v>1</v>
      </c>
      <c r="N2627" s="255"/>
      <c r="O2627" s="61">
        <f t="shared" si="228"/>
        <v>1900</v>
      </c>
      <c r="P2627" s="61">
        <f t="shared" si="229"/>
        <v>1</v>
      </c>
      <c r="R2627" s="272"/>
      <c r="S2627" s="272"/>
      <c r="T2627" s="273" t="str">
        <f t="shared" si="230"/>
        <v>-</v>
      </c>
    </row>
    <row r="2628" spans="9:20">
      <c r="I2628" s="213"/>
      <c r="J2628" s="213"/>
      <c r="L2628" s="272">
        <f t="shared" si="226"/>
        <v>1900</v>
      </c>
      <c r="M2628" s="272">
        <f t="shared" si="227"/>
        <v>1</v>
      </c>
      <c r="N2628" s="255"/>
      <c r="O2628" s="61">
        <f t="shared" si="228"/>
        <v>1900</v>
      </c>
      <c r="P2628" s="61">
        <f t="shared" si="229"/>
        <v>1</v>
      </c>
      <c r="R2628" s="272"/>
      <c r="S2628" s="272"/>
      <c r="T2628" s="273" t="str">
        <f t="shared" si="230"/>
        <v>-</v>
      </c>
    </row>
    <row r="2629" spans="9:20">
      <c r="I2629" s="213"/>
      <c r="J2629" s="213"/>
      <c r="L2629" s="272">
        <f t="shared" si="226"/>
        <v>1900</v>
      </c>
      <c r="M2629" s="272">
        <f t="shared" si="227"/>
        <v>1</v>
      </c>
      <c r="N2629" s="255"/>
      <c r="O2629" s="61">
        <f t="shared" si="228"/>
        <v>1900</v>
      </c>
      <c r="P2629" s="61">
        <f t="shared" si="229"/>
        <v>1</v>
      </c>
      <c r="R2629" s="272"/>
      <c r="S2629" s="272"/>
      <c r="T2629" s="273" t="str">
        <f t="shared" si="230"/>
        <v>-</v>
      </c>
    </row>
    <row r="2630" spans="9:20">
      <c r="I2630" s="213"/>
      <c r="J2630" s="213"/>
      <c r="L2630" s="272">
        <f t="shared" si="226"/>
        <v>1900</v>
      </c>
      <c r="M2630" s="272">
        <f t="shared" si="227"/>
        <v>1</v>
      </c>
      <c r="N2630" s="255"/>
      <c r="O2630" s="61">
        <f t="shared" si="228"/>
        <v>1900</v>
      </c>
      <c r="P2630" s="61">
        <f t="shared" si="229"/>
        <v>1</v>
      </c>
      <c r="R2630" s="272"/>
      <c r="S2630" s="272"/>
      <c r="T2630" s="273" t="str">
        <f t="shared" si="230"/>
        <v>-</v>
      </c>
    </row>
    <row r="2631" spans="9:20">
      <c r="I2631" s="213"/>
      <c r="J2631" s="213"/>
      <c r="L2631" s="272">
        <f t="shared" si="226"/>
        <v>1900</v>
      </c>
      <c r="M2631" s="272">
        <f t="shared" si="227"/>
        <v>1</v>
      </c>
      <c r="N2631" s="255"/>
      <c r="O2631" s="61">
        <f t="shared" si="228"/>
        <v>1900</v>
      </c>
      <c r="P2631" s="61">
        <f t="shared" si="229"/>
        <v>1</v>
      </c>
      <c r="R2631" s="272"/>
      <c r="S2631" s="272"/>
      <c r="T2631" s="273" t="str">
        <f t="shared" si="230"/>
        <v>-</v>
      </c>
    </row>
    <row r="2632" spans="9:20">
      <c r="I2632" s="213"/>
      <c r="J2632" s="213"/>
      <c r="L2632" s="272">
        <f t="shared" si="226"/>
        <v>1900</v>
      </c>
      <c r="M2632" s="272">
        <f t="shared" si="227"/>
        <v>1</v>
      </c>
      <c r="N2632" s="255"/>
      <c r="O2632" s="61">
        <f t="shared" si="228"/>
        <v>1900</v>
      </c>
      <c r="P2632" s="61">
        <f t="shared" si="229"/>
        <v>1</v>
      </c>
      <c r="R2632" s="272"/>
      <c r="S2632" s="272"/>
      <c r="T2632" s="273" t="str">
        <f t="shared" si="230"/>
        <v>-</v>
      </c>
    </row>
    <row r="2633" spans="9:20">
      <c r="I2633" s="213"/>
      <c r="J2633" s="213"/>
      <c r="L2633" s="272">
        <f t="shared" si="226"/>
        <v>1900</v>
      </c>
      <c r="M2633" s="272">
        <f t="shared" si="227"/>
        <v>1</v>
      </c>
      <c r="N2633" s="255"/>
      <c r="O2633" s="61">
        <f t="shared" si="228"/>
        <v>1900</v>
      </c>
      <c r="P2633" s="61">
        <f t="shared" si="229"/>
        <v>1</v>
      </c>
      <c r="R2633" s="272"/>
      <c r="S2633" s="272"/>
      <c r="T2633" s="273" t="str">
        <f t="shared" si="230"/>
        <v>-</v>
      </c>
    </row>
    <row r="2634" spans="9:20">
      <c r="I2634" s="213"/>
      <c r="J2634" s="213"/>
      <c r="L2634" s="272">
        <f t="shared" si="226"/>
        <v>1900</v>
      </c>
      <c r="M2634" s="272">
        <f t="shared" si="227"/>
        <v>1</v>
      </c>
      <c r="N2634" s="255"/>
      <c r="O2634" s="61">
        <f t="shared" si="228"/>
        <v>1900</v>
      </c>
      <c r="P2634" s="61">
        <f t="shared" si="229"/>
        <v>1</v>
      </c>
      <c r="R2634" s="272"/>
      <c r="S2634" s="272"/>
      <c r="T2634" s="273" t="str">
        <f t="shared" si="230"/>
        <v>-</v>
      </c>
    </row>
    <row r="2635" spans="9:20">
      <c r="I2635" s="213"/>
      <c r="J2635" s="213"/>
      <c r="L2635" s="272">
        <f t="shared" si="226"/>
        <v>1900</v>
      </c>
      <c r="M2635" s="272">
        <f t="shared" si="227"/>
        <v>1</v>
      </c>
      <c r="N2635" s="255"/>
      <c r="O2635" s="61">
        <f t="shared" si="228"/>
        <v>1900</v>
      </c>
      <c r="P2635" s="61">
        <f t="shared" si="229"/>
        <v>1</v>
      </c>
      <c r="R2635" s="272"/>
      <c r="S2635" s="272"/>
      <c r="T2635" s="273" t="str">
        <f t="shared" si="230"/>
        <v>-</v>
      </c>
    </row>
    <row r="2636" spans="9:20">
      <c r="I2636" s="213"/>
      <c r="J2636" s="213"/>
      <c r="L2636" s="272">
        <f t="shared" si="226"/>
        <v>1900</v>
      </c>
      <c r="M2636" s="272">
        <f t="shared" si="227"/>
        <v>1</v>
      </c>
      <c r="N2636" s="255"/>
      <c r="O2636" s="61">
        <f t="shared" si="228"/>
        <v>1900</v>
      </c>
      <c r="P2636" s="61">
        <f t="shared" si="229"/>
        <v>1</v>
      </c>
      <c r="R2636" s="272"/>
      <c r="S2636" s="272"/>
      <c r="T2636" s="273" t="str">
        <f t="shared" si="230"/>
        <v>-</v>
      </c>
    </row>
    <row r="2637" spans="9:20">
      <c r="I2637" s="213"/>
      <c r="J2637" s="213"/>
      <c r="L2637" s="272">
        <f t="shared" si="226"/>
        <v>1900</v>
      </c>
      <c r="M2637" s="272">
        <f t="shared" si="227"/>
        <v>1</v>
      </c>
      <c r="N2637" s="255"/>
      <c r="O2637" s="61">
        <f t="shared" si="228"/>
        <v>1900</v>
      </c>
      <c r="P2637" s="61">
        <f t="shared" si="229"/>
        <v>1</v>
      </c>
      <c r="R2637" s="272"/>
      <c r="S2637" s="272"/>
      <c r="T2637" s="273" t="str">
        <f t="shared" si="230"/>
        <v>-</v>
      </c>
    </row>
    <row r="2638" spans="9:20">
      <c r="I2638" s="213"/>
      <c r="J2638" s="213"/>
      <c r="L2638" s="272">
        <f t="shared" si="226"/>
        <v>1900</v>
      </c>
      <c r="M2638" s="272">
        <f t="shared" si="227"/>
        <v>1</v>
      </c>
      <c r="N2638" s="255"/>
      <c r="O2638" s="61">
        <f t="shared" si="228"/>
        <v>1900</v>
      </c>
      <c r="P2638" s="61">
        <f t="shared" si="229"/>
        <v>1</v>
      </c>
      <c r="R2638" s="272"/>
      <c r="S2638" s="272"/>
      <c r="T2638" s="273" t="str">
        <f t="shared" si="230"/>
        <v>-</v>
      </c>
    </row>
    <row r="2639" spans="9:20">
      <c r="I2639" s="213"/>
      <c r="J2639" s="213"/>
      <c r="L2639" s="272">
        <f t="shared" si="226"/>
        <v>1900</v>
      </c>
      <c r="M2639" s="272">
        <f t="shared" si="227"/>
        <v>1</v>
      </c>
      <c r="N2639" s="255"/>
      <c r="O2639" s="61">
        <f t="shared" si="228"/>
        <v>1900</v>
      </c>
      <c r="P2639" s="61">
        <f t="shared" si="229"/>
        <v>1</v>
      </c>
      <c r="R2639" s="272"/>
      <c r="S2639" s="272"/>
      <c r="T2639" s="273" t="str">
        <f t="shared" si="230"/>
        <v>-</v>
      </c>
    </row>
    <row r="2640" spans="9:20">
      <c r="I2640" s="213"/>
      <c r="J2640" s="213"/>
      <c r="L2640" s="272">
        <f t="shared" ref="L2640:L2703" si="231">YEAR(B2640)</f>
        <v>1900</v>
      </c>
      <c r="M2640" s="272">
        <f t="shared" ref="M2640:M2703" si="232">MONTH(B2640)</f>
        <v>1</v>
      </c>
      <c r="N2640" s="255"/>
      <c r="O2640" s="61">
        <f t="shared" ref="O2640:O2703" si="233">YEAR(B2640)</f>
        <v>1900</v>
      </c>
      <c r="P2640" s="61">
        <f t="shared" ref="P2640:P2703" si="234">MONTH(B2640)</f>
        <v>1</v>
      </c>
      <c r="R2640" s="272"/>
      <c r="S2640" s="272"/>
      <c r="T2640" s="273" t="str">
        <f t="shared" ref="T2640:T2703" si="235">IF($E2640&gt;0,IF((R2640+S2640)=$E2640,"OK","Error"),"-")</f>
        <v>-</v>
      </c>
    </row>
    <row r="2641" spans="9:20">
      <c r="I2641" s="213"/>
      <c r="J2641" s="213"/>
      <c r="L2641" s="272">
        <f t="shared" si="231"/>
        <v>1900</v>
      </c>
      <c r="M2641" s="272">
        <f t="shared" si="232"/>
        <v>1</v>
      </c>
      <c r="N2641" s="255"/>
      <c r="O2641" s="61">
        <f t="shared" si="233"/>
        <v>1900</v>
      </c>
      <c r="P2641" s="61">
        <f t="shared" si="234"/>
        <v>1</v>
      </c>
      <c r="R2641" s="272"/>
      <c r="S2641" s="272"/>
      <c r="T2641" s="273" t="str">
        <f t="shared" si="235"/>
        <v>-</v>
      </c>
    </row>
    <row r="2642" spans="9:20">
      <c r="I2642" s="213"/>
      <c r="J2642" s="213"/>
      <c r="L2642" s="272">
        <f t="shared" si="231"/>
        <v>1900</v>
      </c>
      <c r="M2642" s="272">
        <f t="shared" si="232"/>
        <v>1</v>
      </c>
      <c r="N2642" s="255"/>
      <c r="O2642" s="61">
        <f t="shared" si="233"/>
        <v>1900</v>
      </c>
      <c r="P2642" s="61">
        <f t="shared" si="234"/>
        <v>1</v>
      </c>
      <c r="R2642" s="272"/>
      <c r="S2642" s="272"/>
      <c r="T2642" s="273" t="str">
        <f t="shared" si="235"/>
        <v>-</v>
      </c>
    </row>
    <row r="2643" spans="9:20">
      <c r="I2643" s="213"/>
      <c r="J2643" s="213"/>
      <c r="L2643" s="272">
        <f t="shared" si="231"/>
        <v>1900</v>
      </c>
      <c r="M2643" s="272">
        <f t="shared" si="232"/>
        <v>1</v>
      </c>
      <c r="N2643" s="255"/>
      <c r="O2643" s="61">
        <f t="shared" si="233"/>
        <v>1900</v>
      </c>
      <c r="P2643" s="61">
        <f t="shared" si="234"/>
        <v>1</v>
      </c>
      <c r="R2643" s="272"/>
      <c r="S2643" s="272"/>
      <c r="T2643" s="273" t="str">
        <f t="shared" si="235"/>
        <v>-</v>
      </c>
    </row>
    <row r="2644" spans="9:20">
      <c r="I2644" s="213"/>
      <c r="J2644" s="213"/>
      <c r="L2644" s="272">
        <f t="shared" si="231"/>
        <v>1900</v>
      </c>
      <c r="M2644" s="272">
        <f t="shared" si="232"/>
        <v>1</v>
      </c>
      <c r="N2644" s="255"/>
      <c r="O2644" s="61">
        <f t="shared" si="233"/>
        <v>1900</v>
      </c>
      <c r="P2644" s="61">
        <f t="shared" si="234"/>
        <v>1</v>
      </c>
      <c r="R2644" s="272"/>
      <c r="S2644" s="272"/>
      <c r="T2644" s="273" t="str">
        <f t="shared" si="235"/>
        <v>-</v>
      </c>
    </row>
    <row r="2645" spans="9:20">
      <c r="I2645" s="213"/>
      <c r="J2645" s="213"/>
      <c r="L2645" s="272">
        <f t="shared" si="231"/>
        <v>1900</v>
      </c>
      <c r="M2645" s="272">
        <f t="shared" si="232"/>
        <v>1</v>
      </c>
      <c r="N2645" s="255"/>
      <c r="O2645" s="61">
        <f t="shared" si="233"/>
        <v>1900</v>
      </c>
      <c r="P2645" s="61">
        <f t="shared" si="234"/>
        <v>1</v>
      </c>
      <c r="R2645" s="272"/>
      <c r="S2645" s="272"/>
      <c r="T2645" s="273" t="str">
        <f t="shared" si="235"/>
        <v>-</v>
      </c>
    </row>
    <row r="2646" spans="9:20">
      <c r="I2646" s="213"/>
      <c r="J2646" s="213"/>
      <c r="L2646" s="272">
        <f t="shared" si="231"/>
        <v>1900</v>
      </c>
      <c r="M2646" s="272">
        <f t="shared" si="232"/>
        <v>1</v>
      </c>
      <c r="N2646" s="255"/>
      <c r="O2646" s="61">
        <f t="shared" si="233"/>
        <v>1900</v>
      </c>
      <c r="P2646" s="61">
        <f t="shared" si="234"/>
        <v>1</v>
      </c>
      <c r="R2646" s="272"/>
      <c r="S2646" s="272"/>
      <c r="T2646" s="273" t="str">
        <f t="shared" si="235"/>
        <v>-</v>
      </c>
    </row>
    <row r="2647" spans="9:20">
      <c r="I2647" s="213"/>
      <c r="J2647" s="213"/>
      <c r="L2647" s="272">
        <f t="shared" si="231"/>
        <v>1900</v>
      </c>
      <c r="M2647" s="272">
        <f t="shared" si="232"/>
        <v>1</v>
      </c>
      <c r="N2647" s="255"/>
      <c r="O2647" s="61">
        <f t="shared" si="233"/>
        <v>1900</v>
      </c>
      <c r="P2647" s="61">
        <f t="shared" si="234"/>
        <v>1</v>
      </c>
      <c r="R2647" s="272"/>
      <c r="S2647" s="272"/>
      <c r="T2647" s="273" t="str">
        <f t="shared" si="235"/>
        <v>-</v>
      </c>
    </row>
    <row r="2648" spans="9:20">
      <c r="I2648" s="213"/>
      <c r="J2648" s="213"/>
      <c r="L2648" s="272">
        <f t="shared" si="231"/>
        <v>1900</v>
      </c>
      <c r="M2648" s="272">
        <f t="shared" si="232"/>
        <v>1</v>
      </c>
      <c r="N2648" s="255"/>
      <c r="O2648" s="61">
        <f t="shared" si="233"/>
        <v>1900</v>
      </c>
      <c r="P2648" s="61">
        <f t="shared" si="234"/>
        <v>1</v>
      </c>
      <c r="R2648" s="272"/>
      <c r="S2648" s="272"/>
      <c r="T2648" s="273" t="str">
        <f t="shared" si="235"/>
        <v>-</v>
      </c>
    </row>
    <row r="2649" spans="9:20">
      <c r="I2649" s="213"/>
      <c r="J2649" s="213"/>
      <c r="L2649" s="272">
        <f t="shared" si="231"/>
        <v>1900</v>
      </c>
      <c r="M2649" s="272">
        <f t="shared" si="232"/>
        <v>1</v>
      </c>
      <c r="N2649" s="255"/>
      <c r="O2649" s="61">
        <f t="shared" si="233"/>
        <v>1900</v>
      </c>
      <c r="P2649" s="61">
        <f t="shared" si="234"/>
        <v>1</v>
      </c>
      <c r="R2649" s="272"/>
      <c r="S2649" s="272"/>
      <c r="T2649" s="273" t="str">
        <f t="shared" si="235"/>
        <v>-</v>
      </c>
    </row>
    <row r="2650" spans="9:20">
      <c r="I2650" s="213"/>
      <c r="J2650" s="213"/>
      <c r="L2650" s="272">
        <f t="shared" si="231"/>
        <v>1900</v>
      </c>
      <c r="M2650" s="272">
        <f t="shared" si="232"/>
        <v>1</v>
      </c>
      <c r="N2650" s="255"/>
      <c r="O2650" s="61">
        <f t="shared" si="233"/>
        <v>1900</v>
      </c>
      <c r="P2650" s="61">
        <f t="shared" si="234"/>
        <v>1</v>
      </c>
      <c r="R2650" s="272"/>
      <c r="S2650" s="272"/>
      <c r="T2650" s="273" t="str">
        <f t="shared" si="235"/>
        <v>-</v>
      </c>
    </row>
    <row r="2651" spans="9:20">
      <c r="I2651" s="213"/>
      <c r="J2651" s="213"/>
      <c r="L2651" s="272">
        <f t="shared" si="231"/>
        <v>1900</v>
      </c>
      <c r="M2651" s="272">
        <f t="shared" si="232"/>
        <v>1</v>
      </c>
      <c r="N2651" s="255"/>
      <c r="O2651" s="61">
        <f t="shared" si="233"/>
        <v>1900</v>
      </c>
      <c r="P2651" s="61">
        <f t="shared" si="234"/>
        <v>1</v>
      </c>
      <c r="R2651" s="272"/>
      <c r="S2651" s="272"/>
      <c r="T2651" s="273" t="str">
        <f t="shared" si="235"/>
        <v>-</v>
      </c>
    </row>
    <row r="2652" spans="9:20">
      <c r="I2652" s="213"/>
      <c r="J2652" s="213"/>
      <c r="L2652" s="272">
        <f t="shared" si="231"/>
        <v>1900</v>
      </c>
      <c r="M2652" s="272">
        <f t="shared" si="232"/>
        <v>1</v>
      </c>
      <c r="N2652" s="255"/>
      <c r="O2652" s="61">
        <f t="shared" si="233"/>
        <v>1900</v>
      </c>
      <c r="P2652" s="61">
        <f t="shared" si="234"/>
        <v>1</v>
      </c>
      <c r="R2652" s="272"/>
      <c r="S2652" s="272"/>
      <c r="T2652" s="273" t="str">
        <f t="shared" si="235"/>
        <v>-</v>
      </c>
    </row>
    <row r="2653" spans="9:20">
      <c r="I2653" s="213"/>
      <c r="J2653" s="213"/>
      <c r="L2653" s="272">
        <f t="shared" si="231"/>
        <v>1900</v>
      </c>
      <c r="M2653" s="272">
        <f t="shared" si="232"/>
        <v>1</v>
      </c>
      <c r="N2653" s="255"/>
      <c r="O2653" s="61">
        <f t="shared" si="233"/>
        <v>1900</v>
      </c>
      <c r="P2653" s="61">
        <f t="shared" si="234"/>
        <v>1</v>
      </c>
      <c r="R2653" s="272"/>
      <c r="S2653" s="272"/>
      <c r="T2653" s="273" t="str">
        <f t="shared" si="235"/>
        <v>-</v>
      </c>
    </row>
    <row r="2654" spans="9:20">
      <c r="I2654" s="213"/>
      <c r="J2654" s="213"/>
      <c r="L2654" s="272">
        <f t="shared" si="231"/>
        <v>1900</v>
      </c>
      <c r="M2654" s="272">
        <f t="shared" si="232"/>
        <v>1</v>
      </c>
      <c r="N2654" s="255"/>
      <c r="O2654" s="61">
        <f t="shared" si="233"/>
        <v>1900</v>
      </c>
      <c r="P2654" s="61">
        <f t="shared" si="234"/>
        <v>1</v>
      </c>
      <c r="R2654" s="272"/>
      <c r="S2654" s="272"/>
      <c r="T2654" s="273" t="str">
        <f t="shared" si="235"/>
        <v>-</v>
      </c>
    </row>
    <row r="2655" spans="9:20">
      <c r="I2655" s="213"/>
      <c r="J2655" s="213"/>
      <c r="L2655" s="272">
        <f t="shared" si="231"/>
        <v>1900</v>
      </c>
      <c r="M2655" s="272">
        <f t="shared" si="232"/>
        <v>1</v>
      </c>
      <c r="N2655" s="255"/>
      <c r="O2655" s="61">
        <f t="shared" si="233"/>
        <v>1900</v>
      </c>
      <c r="P2655" s="61">
        <f t="shared" si="234"/>
        <v>1</v>
      </c>
      <c r="R2655" s="272"/>
      <c r="S2655" s="272"/>
      <c r="T2655" s="273" t="str">
        <f t="shared" si="235"/>
        <v>-</v>
      </c>
    </row>
    <row r="2656" spans="9:20">
      <c r="I2656" s="213"/>
      <c r="J2656" s="213"/>
      <c r="L2656" s="272">
        <f t="shared" si="231"/>
        <v>1900</v>
      </c>
      <c r="M2656" s="272">
        <f t="shared" si="232"/>
        <v>1</v>
      </c>
      <c r="N2656" s="255"/>
      <c r="O2656" s="61">
        <f t="shared" si="233"/>
        <v>1900</v>
      </c>
      <c r="P2656" s="61">
        <f t="shared" si="234"/>
        <v>1</v>
      </c>
      <c r="R2656" s="272"/>
      <c r="S2656" s="272"/>
      <c r="T2656" s="273" t="str">
        <f t="shared" si="235"/>
        <v>-</v>
      </c>
    </row>
    <row r="2657" spans="9:20">
      <c r="I2657" s="213"/>
      <c r="J2657" s="213"/>
      <c r="L2657" s="272">
        <f t="shared" si="231"/>
        <v>1900</v>
      </c>
      <c r="M2657" s="272">
        <f t="shared" si="232"/>
        <v>1</v>
      </c>
      <c r="N2657" s="255"/>
      <c r="O2657" s="61">
        <f t="shared" si="233"/>
        <v>1900</v>
      </c>
      <c r="P2657" s="61">
        <f t="shared" si="234"/>
        <v>1</v>
      </c>
      <c r="R2657" s="272"/>
      <c r="S2657" s="272"/>
      <c r="T2657" s="273" t="str">
        <f t="shared" si="235"/>
        <v>-</v>
      </c>
    </row>
    <row r="2658" spans="9:20">
      <c r="I2658" s="213"/>
      <c r="J2658" s="213"/>
      <c r="L2658" s="272">
        <f t="shared" si="231"/>
        <v>1900</v>
      </c>
      <c r="M2658" s="272">
        <f t="shared" si="232"/>
        <v>1</v>
      </c>
      <c r="N2658" s="255"/>
      <c r="O2658" s="61">
        <f t="shared" si="233"/>
        <v>1900</v>
      </c>
      <c r="P2658" s="61">
        <f t="shared" si="234"/>
        <v>1</v>
      </c>
      <c r="R2658" s="272"/>
      <c r="S2658" s="272"/>
      <c r="T2658" s="273" t="str">
        <f t="shared" si="235"/>
        <v>-</v>
      </c>
    </row>
    <row r="2659" spans="9:20">
      <c r="I2659" s="213"/>
      <c r="J2659" s="213"/>
      <c r="L2659" s="272">
        <f t="shared" si="231"/>
        <v>1900</v>
      </c>
      <c r="M2659" s="272">
        <f t="shared" si="232"/>
        <v>1</v>
      </c>
      <c r="N2659" s="255"/>
      <c r="O2659" s="61">
        <f t="shared" si="233"/>
        <v>1900</v>
      </c>
      <c r="P2659" s="61">
        <f t="shared" si="234"/>
        <v>1</v>
      </c>
      <c r="R2659" s="272"/>
      <c r="S2659" s="272"/>
      <c r="T2659" s="273" t="str">
        <f t="shared" si="235"/>
        <v>-</v>
      </c>
    </row>
    <row r="2660" spans="9:20">
      <c r="I2660" s="213"/>
      <c r="J2660" s="213"/>
      <c r="L2660" s="272">
        <f t="shared" si="231"/>
        <v>1900</v>
      </c>
      <c r="M2660" s="272">
        <f t="shared" si="232"/>
        <v>1</v>
      </c>
      <c r="N2660" s="255"/>
      <c r="O2660" s="61">
        <f t="shared" si="233"/>
        <v>1900</v>
      </c>
      <c r="P2660" s="61">
        <f t="shared" si="234"/>
        <v>1</v>
      </c>
      <c r="R2660" s="272"/>
      <c r="S2660" s="272"/>
      <c r="T2660" s="273" t="str">
        <f t="shared" si="235"/>
        <v>-</v>
      </c>
    </row>
    <row r="2661" spans="9:20">
      <c r="I2661" s="213"/>
      <c r="J2661" s="213"/>
      <c r="L2661" s="272">
        <f t="shared" si="231"/>
        <v>1900</v>
      </c>
      <c r="M2661" s="272">
        <f t="shared" si="232"/>
        <v>1</v>
      </c>
      <c r="N2661" s="255"/>
      <c r="O2661" s="61">
        <f t="shared" si="233"/>
        <v>1900</v>
      </c>
      <c r="P2661" s="61">
        <f t="shared" si="234"/>
        <v>1</v>
      </c>
      <c r="R2661" s="272"/>
      <c r="S2661" s="272"/>
      <c r="T2661" s="273" t="str">
        <f t="shared" si="235"/>
        <v>-</v>
      </c>
    </row>
    <row r="2662" spans="9:20">
      <c r="I2662" s="213"/>
      <c r="J2662" s="213"/>
      <c r="L2662" s="272">
        <f t="shared" si="231"/>
        <v>1900</v>
      </c>
      <c r="M2662" s="272">
        <f t="shared" si="232"/>
        <v>1</v>
      </c>
      <c r="N2662" s="255"/>
      <c r="O2662" s="61">
        <f t="shared" si="233"/>
        <v>1900</v>
      </c>
      <c r="P2662" s="61">
        <f t="shared" si="234"/>
        <v>1</v>
      </c>
      <c r="R2662" s="272"/>
      <c r="S2662" s="272"/>
      <c r="T2662" s="273" t="str">
        <f t="shared" si="235"/>
        <v>-</v>
      </c>
    </row>
    <row r="2663" spans="9:20">
      <c r="I2663" s="213"/>
      <c r="J2663" s="213"/>
      <c r="L2663" s="272">
        <f t="shared" si="231"/>
        <v>1900</v>
      </c>
      <c r="M2663" s="272">
        <f t="shared" si="232"/>
        <v>1</v>
      </c>
      <c r="N2663" s="255"/>
      <c r="O2663" s="61">
        <f t="shared" si="233"/>
        <v>1900</v>
      </c>
      <c r="P2663" s="61">
        <f t="shared" si="234"/>
        <v>1</v>
      </c>
      <c r="R2663" s="272"/>
      <c r="S2663" s="272"/>
      <c r="T2663" s="273" t="str">
        <f t="shared" si="235"/>
        <v>-</v>
      </c>
    </row>
    <row r="2664" spans="9:20">
      <c r="I2664" s="213"/>
      <c r="J2664" s="213"/>
      <c r="L2664" s="272">
        <f t="shared" si="231"/>
        <v>1900</v>
      </c>
      <c r="M2664" s="272">
        <f t="shared" si="232"/>
        <v>1</v>
      </c>
      <c r="N2664" s="255"/>
      <c r="O2664" s="61">
        <f t="shared" si="233"/>
        <v>1900</v>
      </c>
      <c r="P2664" s="61">
        <f t="shared" si="234"/>
        <v>1</v>
      </c>
      <c r="R2664" s="272"/>
      <c r="S2664" s="272"/>
      <c r="T2664" s="273" t="str">
        <f t="shared" si="235"/>
        <v>-</v>
      </c>
    </row>
    <row r="2665" spans="9:20">
      <c r="I2665" s="213"/>
      <c r="J2665" s="213"/>
      <c r="L2665" s="272">
        <f t="shared" si="231"/>
        <v>1900</v>
      </c>
      <c r="M2665" s="272">
        <f t="shared" si="232"/>
        <v>1</v>
      </c>
      <c r="N2665" s="255"/>
      <c r="O2665" s="61">
        <f t="shared" si="233"/>
        <v>1900</v>
      </c>
      <c r="P2665" s="61">
        <f t="shared" si="234"/>
        <v>1</v>
      </c>
      <c r="R2665" s="272"/>
      <c r="S2665" s="272"/>
      <c r="T2665" s="273" t="str">
        <f t="shared" si="235"/>
        <v>-</v>
      </c>
    </row>
    <row r="2666" spans="9:20">
      <c r="I2666" s="213"/>
      <c r="J2666" s="213"/>
      <c r="L2666" s="272">
        <f t="shared" si="231"/>
        <v>1900</v>
      </c>
      <c r="M2666" s="272">
        <f t="shared" si="232"/>
        <v>1</v>
      </c>
      <c r="N2666" s="255"/>
      <c r="O2666" s="61">
        <f t="shared" si="233"/>
        <v>1900</v>
      </c>
      <c r="P2666" s="61">
        <f t="shared" si="234"/>
        <v>1</v>
      </c>
      <c r="R2666" s="272"/>
      <c r="S2666" s="272"/>
      <c r="T2666" s="273" t="str">
        <f t="shared" si="235"/>
        <v>-</v>
      </c>
    </row>
    <row r="2667" spans="9:20">
      <c r="I2667" s="213"/>
      <c r="J2667" s="213"/>
      <c r="L2667" s="272">
        <f t="shared" si="231"/>
        <v>1900</v>
      </c>
      <c r="M2667" s="272">
        <f t="shared" si="232"/>
        <v>1</v>
      </c>
      <c r="N2667" s="255"/>
      <c r="O2667" s="61">
        <f t="shared" si="233"/>
        <v>1900</v>
      </c>
      <c r="P2667" s="61">
        <f t="shared" si="234"/>
        <v>1</v>
      </c>
      <c r="R2667" s="272"/>
      <c r="S2667" s="272"/>
      <c r="T2667" s="273" t="str">
        <f t="shared" si="235"/>
        <v>-</v>
      </c>
    </row>
    <row r="2668" spans="9:20">
      <c r="I2668" s="213"/>
      <c r="J2668" s="213"/>
      <c r="L2668" s="272">
        <f t="shared" si="231"/>
        <v>1900</v>
      </c>
      <c r="M2668" s="272">
        <f t="shared" si="232"/>
        <v>1</v>
      </c>
      <c r="N2668" s="255"/>
      <c r="O2668" s="61">
        <f t="shared" si="233"/>
        <v>1900</v>
      </c>
      <c r="P2668" s="61">
        <f t="shared" si="234"/>
        <v>1</v>
      </c>
      <c r="R2668" s="272"/>
      <c r="S2668" s="272"/>
      <c r="T2668" s="273" t="str">
        <f t="shared" si="235"/>
        <v>-</v>
      </c>
    </row>
    <row r="2669" spans="9:20">
      <c r="I2669" s="213"/>
      <c r="J2669" s="213"/>
      <c r="L2669" s="272">
        <f t="shared" si="231"/>
        <v>1900</v>
      </c>
      <c r="M2669" s="272">
        <f t="shared" si="232"/>
        <v>1</v>
      </c>
      <c r="N2669" s="255"/>
      <c r="O2669" s="61">
        <f t="shared" si="233"/>
        <v>1900</v>
      </c>
      <c r="P2669" s="61">
        <f t="shared" si="234"/>
        <v>1</v>
      </c>
      <c r="R2669" s="272"/>
      <c r="S2669" s="272"/>
      <c r="T2669" s="273" t="str">
        <f t="shared" si="235"/>
        <v>-</v>
      </c>
    </row>
    <row r="2670" spans="9:20">
      <c r="I2670" s="213"/>
      <c r="J2670" s="213"/>
      <c r="L2670" s="272">
        <f t="shared" si="231"/>
        <v>1900</v>
      </c>
      <c r="M2670" s="272">
        <f t="shared" si="232"/>
        <v>1</v>
      </c>
      <c r="N2670" s="255"/>
      <c r="O2670" s="61">
        <f t="shared" si="233"/>
        <v>1900</v>
      </c>
      <c r="P2670" s="61">
        <f t="shared" si="234"/>
        <v>1</v>
      </c>
      <c r="R2670" s="272"/>
      <c r="S2670" s="272"/>
      <c r="T2670" s="273" t="str">
        <f t="shared" si="235"/>
        <v>-</v>
      </c>
    </row>
    <row r="2671" spans="9:20">
      <c r="I2671" s="213"/>
      <c r="J2671" s="213"/>
      <c r="L2671" s="272">
        <f t="shared" si="231"/>
        <v>1900</v>
      </c>
      <c r="M2671" s="272">
        <f t="shared" si="232"/>
        <v>1</v>
      </c>
      <c r="N2671" s="255"/>
      <c r="O2671" s="61">
        <f t="shared" si="233"/>
        <v>1900</v>
      </c>
      <c r="P2671" s="61">
        <f t="shared" si="234"/>
        <v>1</v>
      </c>
      <c r="R2671" s="272"/>
      <c r="S2671" s="272"/>
      <c r="T2671" s="273" t="str">
        <f t="shared" si="235"/>
        <v>-</v>
      </c>
    </row>
    <row r="2672" spans="9:20">
      <c r="I2672" s="213"/>
      <c r="J2672" s="213"/>
      <c r="L2672" s="272">
        <f t="shared" si="231"/>
        <v>1900</v>
      </c>
      <c r="M2672" s="272">
        <f t="shared" si="232"/>
        <v>1</v>
      </c>
      <c r="N2672" s="255"/>
      <c r="O2672" s="61">
        <f t="shared" si="233"/>
        <v>1900</v>
      </c>
      <c r="P2672" s="61">
        <f t="shared" si="234"/>
        <v>1</v>
      </c>
      <c r="R2672" s="272"/>
      <c r="S2672" s="272"/>
      <c r="T2672" s="273" t="str">
        <f t="shared" si="235"/>
        <v>-</v>
      </c>
    </row>
    <row r="2673" spans="9:20">
      <c r="I2673" s="213"/>
      <c r="J2673" s="213"/>
      <c r="L2673" s="272">
        <f t="shared" si="231"/>
        <v>1900</v>
      </c>
      <c r="M2673" s="272">
        <f t="shared" si="232"/>
        <v>1</v>
      </c>
      <c r="N2673" s="255"/>
      <c r="O2673" s="61">
        <f t="shared" si="233"/>
        <v>1900</v>
      </c>
      <c r="P2673" s="61">
        <f t="shared" si="234"/>
        <v>1</v>
      </c>
      <c r="R2673" s="272"/>
      <c r="S2673" s="272"/>
      <c r="T2673" s="273" t="str">
        <f t="shared" si="235"/>
        <v>-</v>
      </c>
    </row>
    <row r="2674" spans="9:20">
      <c r="I2674" s="213"/>
      <c r="J2674" s="213"/>
      <c r="L2674" s="272">
        <f t="shared" si="231"/>
        <v>1900</v>
      </c>
      <c r="M2674" s="272">
        <f t="shared" si="232"/>
        <v>1</v>
      </c>
      <c r="N2674" s="255"/>
      <c r="O2674" s="61">
        <f t="shared" si="233"/>
        <v>1900</v>
      </c>
      <c r="P2674" s="61">
        <f t="shared" si="234"/>
        <v>1</v>
      </c>
      <c r="R2674" s="272"/>
      <c r="S2674" s="272"/>
      <c r="T2674" s="273" t="str">
        <f t="shared" si="235"/>
        <v>-</v>
      </c>
    </row>
    <row r="2675" spans="9:20">
      <c r="I2675" s="213"/>
      <c r="J2675" s="213"/>
      <c r="L2675" s="272">
        <f t="shared" si="231"/>
        <v>1900</v>
      </c>
      <c r="M2675" s="272">
        <f t="shared" si="232"/>
        <v>1</v>
      </c>
      <c r="N2675" s="255"/>
      <c r="O2675" s="61">
        <f t="shared" si="233"/>
        <v>1900</v>
      </c>
      <c r="P2675" s="61">
        <f t="shared" si="234"/>
        <v>1</v>
      </c>
      <c r="R2675" s="272"/>
      <c r="S2675" s="272"/>
      <c r="T2675" s="273" t="str">
        <f t="shared" si="235"/>
        <v>-</v>
      </c>
    </row>
    <row r="2676" spans="9:20">
      <c r="I2676" s="213"/>
      <c r="J2676" s="213"/>
      <c r="L2676" s="272">
        <f t="shared" si="231"/>
        <v>1900</v>
      </c>
      <c r="M2676" s="272">
        <f t="shared" si="232"/>
        <v>1</v>
      </c>
      <c r="N2676" s="255"/>
      <c r="O2676" s="61">
        <f t="shared" si="233"/>
        <v>1900</v>
      </c>
      <c r="P2676" s="61">
        <f t="shared" si="234"/>
        <v>1</v>
      </c>
      <c r="R2676" s="272"/>
      <c r="S2676" s="272"/>
      <c r="T2676" s="273" t="str">
        <f t="shared" si="235"/>
        <v>-</v>
      </c>
    </row>
    <row r="2677" spans="9:20">
      <c r="I2677" s="213"/>
      <c r="J2677" s="213"/>
      <c r="L2677" s="272">
        <f t="shared" si="231"/>
        <v>1900</v>
      </c>
      <c r="M2677" s="272">
        <f t="shared" si="232"/>
        <v>1</v>
      </c>
      <c r="N2677" s="255"/>
      <c r="O2677" s="61">
        <f t="shared" si="233"/>
        <v>1900</v>
      </c>
      <c r="P2677" s="61">
        <f t="shared" si="234"/>
        <v>1</v>
      </c>
      <c r="R2677" s="272"/>
      <c r="S2677" s="272"/>
      <c r="T2677" s="273" t="str">
        <f t="shared" si="235"/>
        <v>-</v>
      </c>
    </row>
    <row r="2678" spans="9:20">
      <c r="I2678" s="213"/>
      <c r="J2678" s="213"/>
      <c r="L2678" s="272">
        <f t="shared" si="231"/>
        <v>1900</v>
      </c>
      <c r="M2678" s="272">
        <f t="shared" si="232"/>
        <v>1</v>
      </c>
      <c r="N2678" s="255"/>
      <c r="O2678" s="61">
        <f t="shared" si="233"/>
        <v>1900</v>
      </c>
      <c r="P2678" s="61">
        <f t="shared" si="234"/>
        <v>1</v>
      </c>
      <c r="R2678" s="272"/>
      <c r="S2678" s="272"/>
      <c r="T2678" s="273" t="str">
        <f t="shared" si="235"/>
        <v>-</v>
      </c>
    </row>
    <row r="2679" spans="9:20">
      <c r="I2679" s="213"/>
      <c r="J2679" s="213"/>
      <c r="L2679" s="272">
        <f t="shared" si="231"/>
        <v>1900</v>
      </c>
      <c r="M2679" s="272">
        <f t="shared" si="232"/>
        <v>1</v>
      </c>
      <c r="N2679" s="255"/>
      <c r="O2679" s="61">
        <f t="shared" si="233"/>
        <v>1900</v>
      </c>
      <c r="P2679" s="61">
        <f t="shared" si="234"/>
        <v>1</v>
      </c>
      <c r="R2679" s="272"/>
      <c r="S2679" s="272"/>
      <c r="T2679" s="273" t="str">
        <f t="shared" si="235"/>
        <v>-</v>
      </c>
    </row>
    <row r="2680" spans="9:20">
      <c r="I2680" s="213"/>
      <c r="J2680" s="213"/>
      <c r="L2680" s="272">
        <f t="shared" si="231"/>
        <v>1900</v>
      </c>
      <c r="M2680" s="272">
        <f t="shared" si="232"/>
        <v>1</v>
      </c>
      <c r="N2680" s="255"/>
      <c r="O2680" s="61">
        <f t="shared" si="233"/>
        <v>1900</v>
      </c>
      <c r="P2680" s="61">
        <f t="shared" si="234"/>
        <v>1</v>
      </c>
      <c r="R2680" s="272"/>
      <c r="S2680" s="272"/>
      <c r="T2680" s="273" t="str">
        <f t="shared" si="235"/>
        <v>-</v>
      </c>
    </row>
    <row r="2681" spans="9:20">
      <c r="I2681" s="213"/>
      <c r="J2681" s="213"/>
      <c r="L2681" s="272">
        <f t="shared" si="231"/>
        <v>1900</v>
      </c>
      <c r="M2681" s="272">
        <f t="shared" si="232"/>
        <v>1</v>
      </c>
      <c r="N2681" s="255"/>
      <c r="O2681" s="61">
        <f t="shared" si="233"/>
        <v>1900</v>
      </c>
      <c r="P2681" s="61">
        <f t="shared" si="234"/>
        <v>1</v>
      </c>
      <c r="R2681" s="272"/>
      <c r="S2681" s="272"/>
      <c r="T2681" s="273" t="str">
        <f t="shared" si="235"/>
        <v>-</v>
      </c>
    </row>
    <row r="2682" spans="9:20">
      <c r="I2682" s="213"/>
      <c r="J2682" s="213"/>
      <c r="L2682" s="272">
        <f t="shared" si="231"/>
        <v>1900</v>
      </c>
      <c r="M2682" s="272">
        <f t="shared" si="232"/>
        <v>1</v>
      </c>
      <c r="N2682" s="255"/>
      <c r="O2682" s="61">
        <f t="shared" si="233"/>
        <v>1900</v>
      </c>
      <c r="P2682" s="61">
        <f t="shared" si="234"/>
        <v>1</v>
      </c>
      <c r="R2682" s="272"/>
      <c r="S2682" s="272"/>
      <c r="T2682" s="273" t="str">
        <f t="shared" si="235"/>
        <v>-</v>
      </c>
    </row>
    <row r="2683" spans="9:20">
      <c r="I2683" s="213"/>
      <c r="J2683" s="213"/>
      <c r="L2683" s="272">
        <f t="shared" si="231"/>
        <v>1900</v>
      </c>
      <c r="M2683" s="272">
        <f t="shared" si="232"/>
        <v>1</v>
      </c>
      <c r="N2683" s="255"/>
      <c r="O2683" s="61">
        <f t="shared" si="233"/>
        <v>1900</v>
      </c>
      <c r="P2683" s="61">
        <f t="shared" si="234"/>
        <v>1</v>
      </c>
      <c r="R2683" s="272"/>
      <c r="S2683" s="272"/>
      <c r="T2683" s="273" t="str">
        <f t="shared" si="235"/>
        <v>-</v>
      </c>
    </row>
    <row r="2684" spans="9:20">
      <c r="I2684" s="213"/>
      <c r="J2684" s="213"/>
      <c r="L2684" s="272">
        <f t="shared" si="231"/>
        <v>1900</v>
      </c>
      <c r="M2684" s="272">
        <f t="shared" si="232"/>
        <v>1</v>
      </c>
      <c r="N2684" s="255"/>
      <c r="O2684" s="61">
        <f t="shared" si="233"/>
        <v>1900</v>
      </c>
      <c r="P2684" s="61">
        <f t="shared" si="234"/>
        <v>1</v>
      </c>
      <c r="R2684" s="272"/>
      <c r="S2684" s="272"/>
      <c r="T2684" s="273" t="str">
        <f t="shared" si="235"/>
        <v>-</v>
      </c>
    </row>
    <row r="2685" spans="9:20">
      <c r="I2685" s="213"/>
      <c r="J2685" s="213"/>
      <c r="L2685" s="272">
        <f t="shared" si="231"/>
        <v>1900</v>
      </c>
      <c r="M2685" s="272">
        <f t="shared" si="232"/>
        <v>1</v>
      </c>
      <c r="N2685" s="255"/>
      <c r="O2685" s="61">
        <f t="shared" si="233"/>
        <v>1900</v>
      </c>
      <c r="P2685" s="61">
        <f t="shared" si="234"/>
        <v>1</v>
      </c>
      <c r="R2685" s="272"/>
      <c r="S2685" s="272"/>
      <c r="T2685" s="273" t="str">
        <f t="shared" si="235"/>
        <v>-</v>
      </c>
    </row>
    <row r="2686" spans="9:20">
      <c r="I2686" s="213"/>
      <c r="J2686" s="213"/>
      <c r="L2686" s="272">
        <f t="shared" si="231"/>
        <v>1900</v>
      </c>
      <c r="M2686" s="272">
        <f t="shared" si="232"/>
        <v>1</v>
      </c>
      <c r="N2686" s="255"/>
      <c r="O2686" s="61">
        <f t="shared" si="233"/>
        <v>1900</v>
      </c>
      <c r="P2686" s="61">
        <f t="shared" si="234"/>
        <v>1</v>
      </c>
      <c r="R2686" s="272"/>
      <c r="S2686" s="272"/>
      <c r="T2686" s="273" t="str">
        <f t="shared" si="235"/>
        <v>-</v>
      </c>
    </row>
    <row r="2687" spans="9:20">
      <c r="I2687" s="213"/>
      <c r="J2687" s="213"/>
      <c r="L2687" s="272">
        <f t="shared" si="231"/>
        <v>1900</v>
      </c>
      <c r="M2687" s="272">
        <f t="shared" si="232"/>
        <v>1</v>
      </c>
      <c r="N2687" s="255"/>
      <c r="O2687" s="61">
        <f t="shared" si="233"/>
        <v>1900</v>
      </c>
      <c r="P2687" s="61">
        <f t="shared" si="234"/>
        <v>1</v>
      </c>
      <c r="R2687" s="272"/>
      <c r="S2687" s="272"/>
      <c r="T2687" s="273" t="str">
        <f t="shared" si="235"/>
        <v>-</v>
      </c>
    </row>
    <row r="2688" spans="9:20">
      <c r="I2688" s="213"/>
      <c r="J2688" s="213"/>
      <c r="L2688" s="272">
        <f t="shared" si="231"/>
        <v>1900</v>
      </c>
      <c r="M2688" s="272">
        <f t="shared" si="232"/>
        <v>1</v>
      </c>
      <c r="N2688" s="255"/>
      <c r="O2688" s="61">
        <f t="shared" si="233"/>
        <v>1900</v>
      </c>
      <c r="P2688" s="61">
        <f t="shared" si="234"/>
        <v>1</v>
      </c>
      <c r="R2688" s="272"/>
      <c r="S2688" s="272"/>
      <c r="T2688" s="273" t="str">
        <f t="shared" si="235"/>
        <v>-</v>
      </c>
    </row>
    <row r="2689" spans="9:20">
      <c r="I2689" s="213"/>
      <c r="J2689" s="213"/>
      <c r="L2689" s="272">
        <f t="shared" si="231"/>
        <v>1900</v>
      </c>
      <c r="M2689" s="272">
        <f t="shared" si="232"/>
        <v>1</v>
      </c>
      <c r="N2689" s="255"/>
      <c r="O2689" s="61">
        <f t="shared" si="233"/>
        <v>1900</v>
      </c>
      <c r="P2689" s="61">
        <f t="shared" si="234"/>
        <v>1</v>
      </c>
      <c r="R2689" s="272"/>
      <c r="S2689" s="272"/>
      <c r="T2689" s="273" t="str">
        <f t="shared" si="235"/>
        <v>-</v>
      </c>
    </row>
    <row r="2690" spans="9:20">
      <c r="I2690" s="213"/>
      <c r="J2690" s="213"/>
      <c r="L2690" s="272">
        <f t="shared" si="231"/>
        <v>1900</v>
      </c>
      <c r="M2690" s="272">
        <f t="shared" si="232"/>
        <v>1</v>
      </c>
      <c r="N2690" s="255"/>
      <c r="O2690" s="61">
        <f t="shared" si="233"/>
        <v>1900</v>
      </c>
      <c r="P2690" s="61">
        <f t="shared" si="234"/>
        <v>1</v>
      </c>
      <c r="R2690" s="272"/>
      <c r="S2690" s="272"/>
      <c r="T2690" s="273" t="str">
        <f t="shared" si="235"/>
        <v>-</v>
      </c>
    </row>
    <row r="2691" spans="9:20">
      <c r="I2691" s="213"/>
      <c r="J2691" s="213"/>
      <c r="L2691" s="272">
        <f t="shared" si="231"/>
        <v>1900</v>
      </c>
      <c r="M2691" s="272">
        <f t="shared" si="232"/>
        <v>1</v>
      </c>
      <c r="N2691" s="255"/>
      <c r="O2691" s="61">
        <f t="shared" si="233"/>
        <v>1900</v>
      </c>
      <c r="P2691" s="61">
        <f t="shared" si="234"/>
        <v>1</v>
      </c>
      <c r="R2691" s="272"/>
      <c r="S2691" s="272"/>
      <c r="T2691" s="273" t="str">
        <f t="shared" si="235"/>
        <v>-</v>
      </c>
    </row>
    <row r="2692" spans="9:20">
      <c r="I2692" s="213"/>
      <c r="J2692" s="213"/>
      <c r="L2692" s="272">
        <f t="shared" si="231"/>
        <v>1900</v>
      </c>
      <c r="M2692" s="272">
        <f t="shared" si="232"/>
        <v>1</v>
      </c>
      <c r="N2692" s="255"/>
      <c r="O2692" s="61">
        <f t="shared" si="233"/>
        <v>1900</v>
      </c>
      <c r="P2692" s="61">
        <f t="shared" si="234"/>
        <v>1</v>
      </c>
      <c r="R2692" s="272"/>
      <c r="S2692" s="272"/>
      <c r="T2692" s="273" t="str">
        <f t="shared" si="235"/>
        <v>-</v>
      </c>
    </row>
    <row r="2693" spans="9:20">
      <c r="I2693" s="213"/>
      <c r="J2693" s="213"/>
      <c r="L2693" s="272">
        <f t="shared" si="231"/>
        <v>1900</v>
      </c>
      <c r="M2693" s="272">
        <f t="shared" si="232"/>
        <v>1</v>
      </c>
      <c r="N2693" s="255"/>
      <c r="O2693" s="61">
        <f t="shared" si="233"/>
        <v>1900</v>
      </c>
      <c r="P2693" s="61">
        <f t="shared" si="234"/>
        <v>1</v>
      </c>
      <c r="R2693" s="272"/>
      <c r="S2693" s="272"/>
      <c r="T2693" s="273" t="str">
        <f t="shared" si="235"/>
        <v>-</v>
      </c>
    </row>
    <row r="2694" spans="9:20">
      <c r="I2694" s="213"/>
      <c r="J2694" s="213"/>
      <c r="L2694" s="272">
        <f t="shared" si="231"/>
        <v>1900</v>
      </c>
      <c r="M2694" s="272">
        <f t="shared" si="232"/>
        <v>1</v>
      </c>
      <c r="N2694" s="255"/>
      <c r="O2694" s="61">
        <f t="shared" si="233"/>
        <v>1900</v>
      </c>
      <c r="P2694" s="61">
        <f t="shared" si="234"/>
        <v>1</v>
      </c>
      <c r="R2694" s="272"/>
      <c r="S2694" s="272"/>
      <c r="T2694" s="273" t="str">
        <f t="shared" si="235"/>
        <v>-</v>
      </c>
    </row>
    <row r="2695" spans="9:20">
      <c r="I2695" s="213"/>
      <c r="J2695" s="213"/>
      <c r="L2695" s="272">
        <f t="shared" si="231"/>
        <v>1900</v>
      </c>
      <c r="M2695" s="272">
        <f t="shared" si="232"/>
        <v>1</v>
      </c>
      <c r="N2695" s="255"/>
      <c r="O2695" s="61">
        <f t="shared" si="233"/>
        <v>1900</v>
      </c>
      <c r="P2695" s="61">
        <f t="shared" si="234"/>
        <v>1</v>
      </c>
      <c r="R2695" s="272"/>
      <c r="S2695" s="272"/>
      <c r="T2695" s="273" t="str">
        <f t="shared" si="235"/>
        <v>-</v>
      </c>
    </row>
    <row r="2696" spans="9:20">
      <c r="I2696" s="213"/>
      <c r="J2696" s="213"/>
      <c r="L2696" s="272">
        <f t="shared" si="231"/>
        <v>1900</v>
      </c>
      <c r="M2696" s="272">
        <f t="shared" si="232"/>
        <v>1</v>
      </c>
      <c r="N2696" s="255"/>
      <c r="O2696" s="61">
        <f t="shared" si="233"/>
        <v>1900</v>
      </c>
      <c r="P2696" s="61">
        <f t="shared" si="234"/>
        <v>1</v>
      </c>
      <c r="R2696" s="272"/>
      <c r="S2696" s="272"/>
      <c r="T2696" s="273" t="str">
        <f t="shared" si="235"/>
        <v>-</v>
      </c>
    </row>
    <row r="2697" spans="9:20">
      <c r="I2697" s="213"/>
      <c r="J2697" s="213"/>
      <c r="L2697" s="272">
        <f t="shared" si="231"/>
        <v>1900</v>
      </c>
      <c r="M2697" s="272">
        <f t="shared" si="232"/>
        <v>1</v>
      </c>
      <c r="N2697" s="255"/>
      <c r="O2697" s="61">
        <f t="shared" si="233"/>
        <v>1900</v>
      </c>
      <c r="P2697" s="61">
        <f t="shared" si="234"/>
        <v>1</v>
      </c>
      <c r="R2697" s="272"/>
      <c r="S2697" s="272"/>
      <c r="T2697" s="273" t="str">
        <f t="shared" si="235"/>
        <v>-</v>
      </c>
    </row>
    <row r="2698" spans="9:20">
      <c r="I2698" s="213"/>
      <c r="J2698" s="213"/>
      <c r="L2698" s="272">
        <f t="shared" si="231"/>
        <v>1900</v>
      </c>
      <c r="M2698" s="272">
        <f t="shared" si="232"/>
        <v>1</v>
      </c>
      <c r="N2698" s="255"/>
      <c r="O2698" s="61">
        <f t="shared" si="233"/>
        <v>1900</v>
      </c>
      <c r="P2698" s="61">
        <f t="shared" si="234"/>
        <v>1</v>
      </c>
      <c r="R2698" s="272"/>
      <c r="S2698" s="272"/>
      <c r="T2698" s="273" t="str">
        <f t="shared" si="235"/>
        <v>-</v>
      </c>
    </row>
    <row r="2699" spans="9:20">
      <c r="I2699" s="213"/>
      <c r="J2699" s="213"/>
      <c r="L2699" s="272">
        <f t="shared" si="231"/>
        <v>1900</v>
      </c>
      <c r="M2699" s="272">
        <f t="shared" si="232"/>
        <v>1</v>
      </c>
      <c r="N2699" s="255"/>
      <c r="O2699" s="61">
        <f t="shared" si="233"/>
        <v>1900</v>
      </c>
      <c r="P2699" s="61">
        <f t="shared" si="234"/>
        <v>1</v>
      </c>
      <c r="R2699" s="272"/>
      <c r="S2699" s="272"/>
      <c r="T2699" s="273" t="str">
        <f t="shared" si="235"/>
        <v>-</v>
      </c>
    </row>
    <row r="2700" spans="9:20">
      <c r="I2700" s="213"/>
      <c r="J2700" s="213"/>
      <c r="L2700" s="272">
        <f t="shared" si="231"/>
        <v>1900</v>
      </c>
      <c r="M2700" s="272">
        <f t="shared" si="232"/>
        <v>1</v>
      </c>
      <c r="N2700" s="255"/>
      <c r="O2700" s="61">
        <f t="shared" si="233"/>
        <v>1900</v>
      </c>
      <c r="P2700" s="61">
        <f t="shared" si="234"/>
        <v>1</v>
      </c>
      <c r="R2700" s="272"/>
      <c r="S2700" s="272"/>
      <c r="T2700" s="273" t="str">
        <f t="shared" si="235"/>
        <v>-</v>
      </c>
    </row>
    <row r="2701" spans="9:20">
      <c r="I2701" s="213"/>
      <c r="J2701" s="213"/>
      <c r="L2701" s="272">
        <f t="shared" si="231"/>
        <v>1900</v>
      </c>
      <c r="M2701" s="272">
        <f t="shared" si="232"/>
        <v>1</v>
      </c>
      <c r="N2701" s="255"/>
      <c r="O2701" s="61">
        <f t="shared" si="233"/>
        <v>1900</v>
      </c>
      <c r="P2701" s="61">
        <f t="shared" si="234"/>
        <v>1</v>
      </c>
      <c r="R2701" s="272"/>
      <c r="S2701" s="272"/>
      <c r="T2701" s="273" t="str">
        <f t="shared" si="235"/>
        <v>-</v>
      </c>
    </row>
    <row r="2702" spans="9:20">
      <c r="I2702" s="213"/>
      <c r="J2702" s="213"/>
      <c r="L2702" s="272">
        <f t="shared" si="231"/>
        <v>1900</v>
      </c>
      <c r="M2702" s="272">
        <f t="shared" si="232"/>
        <v>1</v>
      </c>
      <c r="N2702" s="255"/>
      <c r="O2702" s="61">
        <f t="shared" si="233"/>
        <v>1900</v>
      </c>
      <c r="P2702" s="61">
        <f t="shared" si="234"/>
        <v>1</v>
      </c>
      <c r="R2702" s="272"/>
      <c r="S2702" s="272"/>
      <c r="T2702" s="273" t="str">
        <f t="shared" si="235"/>
        <v>-</v>
      </c>
    </row>
    <row r="2703" spans="9:20">
      <c r="I2703" s="213"/>
      <c r="J2703" s="213"/>
      <c r="L2703" s="272">
        <f t="shared" si="231"/>
        <v>1900</v>
      </c>
      <c r="M2703" s="272">
        <f t="shared" si="232"/>
        <v>1</v>
      </c>
      <c r="N2703" s="255"/>
      <c r="O2703" s="61">
        <f t="shared" si="233"/>
        <v>1900</v>
      </c>
      <c r="P2703" s="61">
        <f t="shared" si="234"/>
        <v>1</v>
      </c>
      <c r="R2703" s="272"/>
      <c r="S2703" s="272"/>
      <c r="T2703" s="273" t="str">
        <f t="shared" si="235"/>
        <v>-</v>
      </c>
    </row>
    <row r="2704" spans="9:20">
      <c r="I2704" s="213"/>
      <c r="J2704" s="213"/>
      <c r="L2704" s="272">
        <f t="shared" ref="L2704:L2767" si="236">YEAR(B2704)</f>
        <v>1900</v>
      </c>
      <c r="M2704" s="272">
        <f t="shared" ref="M2704:M2767" si="237">MONTH(B2704)</f>
        <v>1</v>
      </c>
      <c r="N2704" s="255"/>
      <c r="O2704" s="61">
        <f t="shared" ref="O2704:O2767" si="238">YEAR(B2704)</f>
        <v>1900</v>
      </c>
      <c r="P2704" s="61">
        <f t="shared" ref="P2704:P2767" si="239">MONTH(B2704)</f>
        <v>1</v>
      </c>
      <c r="R2704" s="272"/>
      <c r="S2704" s="272"/>
      <c r="T2704" s="273" t="str">
        <f t="shared" ref="T2704:T2767" si="240">IF($E2704&gt;0,IF((R2704+S2704)=$E2704,"OK","Error"),"-")</f>
        <v>-</v>
      </c>
    </row>
    <row r="2705" spans="9:20">
      <c r="I2705" s="213"/>
      <c r="J2705" s="213"/>
      <c r="L2705" s="272">
        <f t="shared" si="236"/>
        <v>1900</v>
      </c>
      <c r="M2705" s="272">
        <f t="shared" si="237"/>
        <v>1</v>
      </c>
      <c r="N2705" s="255"/>
      <c r="O2705" s="61">
        <f t="shared" si="238"/>
        <v>1900</v>
      </c>
      <c r="P2705" s="61">
        <f t="shared" si="239"/>
        <v>1</v>
      </c>
      <c r="R2705" s="272"/>
      <c r="S2705" s="272"/>
      <c r="T2705" s="273" t="str">
        <f t="shared" si="240"/>
        <v>-</v>
      </c>
    </row>
    <row r="2706" spans="9:20">
      <c r="I2706" s="213"/>
      <c r="J2706" s="213"/>
      <c r="L2706" s="272">
        <f t="shared" si="236"/>
        <v>1900</v>
      </c>
      <c r="M2706" s="272">
        <f t="shared" si="237"/>
        <v>1</v>
      </c>
      <c r="N2706" s="255"/>
      <c r="O2706" s="61">
        <f t="shared" si="238"/>
        <v>1900</v>
      </c>
      <c r="P2706" s="61">
        <f t="shared" si="239"/>
        <v>1</v>
      </c>
      <c r="R2706" s="272"/>
      <c r="S2706" s="272"/>
      <c r="T2706" s="273" t="str">
        <f t="shared" si="240"/>
        <v>-</v>
      </c>
    </row>
    <row r="2707" spans="9:20">
      <c r="I2707" s="213"/>
      <c r="J2707" s="213"/>
      <c r="L2707" s="272">
        <f t="shared" si="236"/>
        <v>1900</v>
      </c>
      <c r="M2707" s="272">
        <f t="shared" si="237"/>
        <v>1</v>
      </c>
      <c r="N2707" s="255"/>
      <c r="O2707" s="61">
        <f t="shared" si="238"/>
        <v>1900</v>
      </c>
      <c r="P2707" s="61">
        <f t="shared" si="239"/>
        <v>1</v>
      </c>
      <c r="R2707" s="272"/>
      <c r="S2707" s="272"/>
      <c r="T2707" s="273" t="str">
        <f t="shared" si="240"/>
        <v>-</v>
      </c>
    </row>
    <row r="2708" spans="9:20">
      <c r="I2708" s="213"/>
      <c r="J2708" s="213"/>
      <c r="L2708" s="272">
        <f t="shared" si="236"/>
        <v>1900</v>
      </c>
      <c r="M2708" s="272">
        <f t="shared" si="237"/>
        <v>1</v>
      </c>
      <c r="N2708" s="255"/>
      <c r="O2708" s="61">
        <f t="shared" si="238"/>
        <v>1900</v>
      </c>
      <c r="P2708" s="61">
        <f t="shared" si="239"/>
        <v>1</v>
      </c>
      <c r="R2708" s="272"/>
      <c r="S2708" s="272"/>
      <c r="T2708" s="273" t="str">
        <f t="shared" si="240"/>
        <v>-</v>
      </c>
    </row>
    <row r="2709" spans="9:20">
      <c r="I2709" s="213"/>
      <c r="J2709" s="213"/>
      <c r="L2709" s="272">
        <f t="shared" si="236"/>
        <v>1900</v>
      </c>
      <c r="M2709" s="272">
        <f t="shared" si="237"/>
        <v>1</v>
      </c>
      <c r="N2709" s="255"/>
      <c r="O2709" s="61">
        <f t="shared" si="238"/>
        <v>1900</v>
      </c>
      <c r="P2709" s="61">
        <f t="shared" si="239"/>
        <v>1</v>
      </c>
      <c r="R2709" s="272"/>
      <c r="S2709" s="272"/>
      <c r="T2709" s="273" t="str">
        <f t="shared" si="240"/>
        <v>-</v>
      </c>
    </row>
    <row r="2710" spans="9:20">
      <c r="I2710" s="213"/>
      <c r="J2710" s="213"/>
      <c r="L2710" s="272">
        <f t="shared" si="236"/>
        <v>1900</v>
      </c>
      <c r="M2710" s="272">
        <f t="shared" si="237"/>
        <v>1</v>
      </c>
      <c r="N2710" s="255"/>
      <c r="O2710" s="61">
        <f t="shared" si="238"/>
        <v>1900</v>
      </c>
      <c r="P2710" s="61">
        <f t="shared" si="239"/>
        <v>1</v>
      </c>
      <c r="R2710" s="272"/>
      <c r="S2710" s="272"/>
      <c r="T2710" s="273" t="str">
        <f t="shared" si="240"/>
        <v>-</v>
      </c>
    </row>
    <row r="2711" spans="9:20">
      <c r="I2711" s="213"/>
      <c r="J2711" s="213"/>
      <c r="L2711" s="272">
        <f t="shared" si="236"/>
        <v>1900</v>
      </c>
      <c r="M2711" s="272">
        <f t="shared" si="237"/>
        <v>1</v>
      </c>
      <c r="N2711" s="255"/>
      <c r="O2711" s="61">
        <f t="shared" si="238"/>
        <v>1900</v>
      </c>
      <c r="P2711" s="61">
        <f t="shared" si="239"/>
        <v>1</v>
      </c>
      <c r="R2711" s="272"/>
      <c r="S2711" s="272"/>
      <c r="T2711" s="273" t="str">
        <f t="shared" si="240"/>
        <v>-</v>
      </c>
    </row>
    <row r="2712" spans="9:20">
      <c r="I2712" s="213"/>
      <c r="J2712" s="213"/>
      <c r="L2712" s="272">
        <f t="shared" si="236"/>
        <v>1900</v>
      </c>
      <c r="M2712" s="272">
        <f t="shared" si="237"/>
        <v>1</v>
      </c>
      <c r="N2712" s="255"/>
      <c r="O2712" s="61">
        <f t="shared" si="238"/>
        <v>1900</v>
      </c>
      <c r="P2712" s="61">
        <f t="shared" si="239"/>
        <v>1</v>
      </c>
      <c r="R2712" s="272"/>
      <c r="S2712" s="272"/>
      <c r="T2712" s="273" t="str">
        <f t="shared" si="240"/>
        <v>-</v>
      </c>
    </row>
    <row r="2713" spans="9:20">
      <c r="I2713" s="213"/>
      <c r="J2713" s="213"/>
      <c r="L2713" s="272">
        <f t="shared" si="236"/>
        <v>1900</v>
      </c>
      <c r="M2713" s="272">
        <f t="shared" si="237"/>
        <v>1</v>
      </c>
      <c r="N2713" s="255"/>
      <c r="O2713" s="61">
        <f t="shared" si="238"/>
        <v>1900</v>
      </c>
      <c r="P2713" s="61">
        <f t="shared" si="239"/>
        <v>1</v>
      </c>
      <c r="R2713" s="272"/>
      <c r="S2713" s="272"/>
      <c r="T2713" s="273" t="str">
        <f t="shared" si="240"/>
        <v>-</v>
      </c>
    </row>
    <row r="2714" spans="9:20">
      <c r="I2714" s="213"/>
      <c r="J2714" s="213"/>
      <c r="L2714" s="272">
        <f t="shared" si="236"/>
        <v>1900</v>
      </c>
      <c r="M2714" s="272">
        <f t="shared" si="237"/>
        <v>1</v>
      </c>
      <c r="N2714" s="255"/>
      <c r="O2714" s="61">
        <f t="shared" si="238"/>
        <v>1900</v>
      </c>
      <c r="P2714" s="61">
        <f t="shared" si="239"/>
        <v>1</v>
      </c>
      <c r="R2714" s="272"/>
      <c r="S2714" s="272"/>
      <c r="T2714" s="273" t="str">
        <f t="shared" si="240"/>
        <v>-</v>
      </c>
    </row>
    <row r="2715" spans="9:20">
      <c r="I2715" s="213"/>
      <c r="J2715" s="213"/>
      <c r="L2715" s="272">
        <f t="shared" si="236"/>
        <v>1900</v>
      </c>
      <c r="M2715" s="272">
        <f t="shared" si="237"/>
        <v>1</v>
      </c>
      <c r="N2715" s="255"/>
      <c r="O2715" s="61">
        <f t="shared" si="238"/>
        <v>1900</v>
      </c>
      <c r="P2715" s="61">
        <f t="shared" si="239"/>
        <v>1</v>
      </c>
      <c r="R2715" s="272"/>
      <c r="S2715" s="272"/>
      <c r="T2715" s="273" t="str">
        <f t="shared" si="240"/>
        <v>-</v>
      </c>
    </row>
    <row r="2716" spans="9:20">
      <c r="I2716" s="213"/>
      <c r="J2716" s="213"/>
      <c r="L2716" s="272">
        <f t="shared" si="236"/>
        <v>1900</v>
      </c>
      <c r="M2716" s="272">
        <f t="shared" si="237"/>
        <v>1</v>
      </c>
      <c r="N2716" s="255"/>
      <c r="O2716" s="61">
        <f t="shared" si="238"/>
        <v>1900</v>
      </c>
      <c r="P2716" s="61">
        <f t="shared" si="239"/>
        <v>1</v>
      </c>
      <c r="R2716" s="272"/>
      <c r="S2716" s="272"/>
      <c r="T2716" s="273" t="str">
        <f t="shared" si="240"/>
        <v>-</v>
      </c>
    </row>
    <row r="2717" spans="9:20">
      <c r="I2717" s="213"/>
      <c r="J2717" s="213"/>
      <c r="L2717" s="272">
        <f t="shared" si="236"/>
        <v>1900</v>
      </c>
      <c r="M2717" s="272">
        <f t="shared" si="237"/>
        <v>1</v>
      </c>
      <c r="N2717" s="255"/>
      <c r="O2717" s="61">
        <f t="shared" si="238"/>
        <v>1900</v>
      </c>
      <c r="P2717" s="61">
        <f t="shared" si="239"/>
        <v>1</v>
      </c>
      <c r="R2717" s="272"/>
      <c r="S2717" s="272"/>
      <c r="T2717" s="273" t="str">
        <f t="shared" si="240"/>
        <v>-</v>
      </c>
    </row>
    <row r="2718" spans="9:20">
      <c r="I2718" s="213"/>
      <c r="J2718" s="213"/>
      <c r="L2718" s="272">
        <f t="shared" si="236"/>
        <v>1900</v>
      </c>
      <c r="M2718" s="272">
        <f t="shared" si="237"/>
        <v>1</v>
      </c>
      <c r="N2718" s="255"/>
      <c r="O2718" s="61">
        <f t="shared" si="238"/>
        <v>1900</v>
      </c>
      <c r="P2718" s="61">
        <f t="shared" si="239"/>
        <v>1</v>
      </c>
      <c r="R2718" s="272"/>
      <c r="S2718" s="272"/>
      <c r="T2718" s="273" t="str">
        <f t="shared" si="240"/>
        <v>-</v>
      </c>
    </row>
    <row r="2719" spans="9:20">
      <c r="I2719" s="213"/>
      <c r="J2719" s="213"/>
      <c r="L2719" s="272">
        <f t="shared" si="236"/>
        <v>1900</v>
      </c>
      <c r="M2719" s="272">
        <f t="shared" si="237"/>
        <v>1</v>
      </c>
      <c r="N2719" s="255"/>
      <c r="O2719" s="61">
        <f t="shared" si="238"/>
        <v>1900</v>
      </c>
      <c r="P2719" s="61">
        <f t="shared" si="239"/>
        <v>1</v>
      </c>
      <c r="R2719" s="272"/>
      <c r="S2719" s="272"/>
      <c r="T2719" s="273" t="str">
        <f t="shared" si="240"/>
        <v>-</v>
      </c>
    </row>
    <row r="2720" spans="9:20">
      <c r="I2720" s="213"/>
      <c r="J2720" s="213"/>
      <c r="L2720" s="272">
        <f t="shared" si="236"/>
        <v>1900</v>
      </c>
      <c r="M2720" s="272">
        <f t="shared" si="237"/>
        <v>1</v>
      </c>
      <c r="N2720" s="255"/>
      <c r="O2720" s="61">
        <f t="shared" si="238"/>
        <v>1900</v>
      </c>
      <c r="P2720" s="61">
        <f t="shared" si="239"/>
        <v>1</v>
      </c>
      <c r="R2720" s="272"/>
      <c r="S2720" s="272"/>
      <c r="T2720" s="273" t="str">
        <f t="shared" si="240"/>
        <v>-</v>
      </c>
    </row>
    <row r="2721" spans="9:20">
      <c r="I2721" s="213"/>
      <c r="J2721" s="213"/>
      <c r="L2721" s="272">
        <f t="shared" si="236"/>
        <v>1900</v>
      </c>
      <c r="M2721" s="272">
        <f t="shared" si="237"/>
        <v>1</v>
      </c>
      <c r="N2721" s="255"/>
      <c r="O2721" s="61">
        <f t="shared" si="238"/>
        <v>1900</v>
      </c>
      <c r="P2721" s="61">
        <f t="shared" si="239"/>
        <v>1</v>
      </c>
      <c r="R2721" s="272"/>
      <c r="S2721" s="272"/>
      <c r="T2721" s="273" t="str">
        <f t="shared" si="240"/>
        <v>-</v>
      </c>
    </row>
    <row r="2722" spans="9:20">
      <c r="I2722" s="213"/>
      <c r="J2722" s="213"/>
      <c r="L2722" s="272">
        <f t="shared" si="236"/>
        <v>1900</v>
      </c>
      <c r="M2722" s="272">
        <f t="shared" si="237"/>
        <v>1</v>
      </c>
      <c r="N2722" s="255"/>
      <c r="O2722" s="61">
        <f t="shared" si="238"/>
        <v>1900</v>
      </c>
      <c r="P2722" s="61">
        <f t="shared" si="239"/>
        <v>1</v>
      </c>
      <c r="R2722" s="272"/>
      <c r="S2722" s="272"/>
      <c r="T2722" s="273" t="str">
        <f t="shared" si="240"/>
        <v>-</v>
      </c>
    </row>
    <row r="2723" spans="9:20">
      <c r="I2723" s="213"/>
      <c r="J2723" s="213"/>
      <c r="L2723" s="272">
        <f t="shared" si="236"/>
        <v>1900</v>
      </c>
      <c r="M2723" s="272">
        <f t="shared" si="237"/>
        <v>1</v>
      </c>
      <c r="N2723" s="255"/>
      <c r="O2723" s="61">
        <f t="shared" si="238"/>
        <v>1900</v>
      </c>
      <c r="P2723" s="61">
        <f t="shared" si="239"/>
        <v>1</v>
      </c>
      <c r="R2723" s="272"/>
      <c r="S2723" s="272"/>
      <c r="T2723" s="273" t="str">
        <f t="shared" si="240"/>
        <v>-</v>
      </c>
    </row>
    <row r="2724" spans="9:20">
      <c r="I2724" s="213"/>
      <c r="J2724" s="213"/>
      <c r="L2724" s="272">
        <f t="shared" si="236"/>
        <v>1900</v>
      </c>
      <c r="M2724" s="272">
        <f t="shared" si="237"/>
        <v>1</v>
      </c>
      <c r="N2724" s="255"/>
      <c r="O2724" s="61">
        <f t="shared" si="238"/>
        <v>1900</v>
      </c>
      <c r="P2724" s="61">
        <f t="shared" si="239"/>
        <v>1</v>
      </c>
      <c r="R2724" s="272"/>
      <c r="S2724" s="272"/>
      <c r="T2724" s="273" t="str">
        <f t="shared" si="240"/>
        <v>-</v>
      </c>
    </row>
    <row r="2725" spans="9:20">
      <c r="I2725" s="213"/>
      <c r="J2725" s="213"/>
      <c r="L2725" s="272">
        <f t="shared" si="236"/>
        <v>1900</v>
      </c>
      <c r="M2725" s="272">
        <f t="shared" si="237"/>
        <v>1</v>
      </c>
      <c r="N2725" s="255"/>
      <c r="O2725" s="61">
        <f t="shared" si="238"/>
        <v>1900</v>
      </c>
      <c r="P2725" s="61">
        <f t="shared" si="239"/>
        <v>1</v>
      </c>
      <c r="R2725" s="272"/>
      <c r="S2725" s="272"/>
      <c r="T2725" s="273" t="str">
        <f t="shared" si="240"/>
        <v>-</v>
      </c>
    </row>
    <row r="2726" spans="9:20">
      <c r="I2726" s="213"/>
      <c r="J2726" s="213"/>
      <c r="L2726" s="272">
        <f t="shared" si="236"/>
        <v>1900</v>
      </c>
      <c r="M2726" s="272">
        <f t="shared" si="237"/>
        <v>1</v>
      </c>
      <c r="N2726" s="255"/>
      <c r="O2726" s="61">
        <f t="shared" si="238"/>
        <v>1900</v>
      </c>
      <c r="P2726" s="61">
        <f t="shared" si="239"/>
        <v>1</v>
      </c>
      <c r="R2726" s="272"/>
      <c r="S2726" s="272"/>
      <c r="T2726" s="273" t="str">
        <f t="shared" si="240"/>
        <v>-</v>
      </c>
    </row>
    <row r="2727" spans="9:20">
      <c r="I2727" s="213"/>
      <c r="J2727" s="213"/>
      <c r="L2727" s="272">
        <f t="shared" si="236"/>
        <v>1900</v>
      </c>
      <c r="M2727" s="272">
        <f t="shared" si="237"/>
        <v>1</v>
      </c>
      <c r="N2727" s="255"/>
      <c r="O2727" s="61">
        <f t="shared" si="238"/>
        <v>1900</v>
      </c>
      <c r="P2727" s="61">
        <f t="shared" si="239"/>
        <v>1</v>
      </c>
      <c r="R2727" s="272"/>
      <c r="S2727" s="272"/>
      <c r="T2727" s="273" t="str">
        <f t="shared" si="240"/>
        <v>-</v>
      </c>
    </row>
    <row r="2728" spans="9:20">
      <c r="I2728" s="213"/>
      <c r="J2728" s="213"/>
      <c r="L2728" s="272">
        <f t="shared" si="236"/>
        <v>1900</v>
      </c>
      <c r="M2728" s="272">
        <f t="shared" si="237"/>
        <v>1</v>
      </c>
      <c r="N2728" s="255"/>
      <c r="O2728" s="61">
        <f t="shared" si="238"/>
        <v>1900</v>
      </c>
      <c r="P2728" s="61">
        <f t="shared" si="239"/>
        <v>1</v>
      </c>
      <c r="R2728" s="272"/>
      <c r="S2728" s="272"/>
      <c r="T2728" s="273" t="str">
        <f t="shared" si="240"/>
        <v>-</v>
      </c>
    </row>
    <row r="2729" spans="9:20">
      <c r="I2729" s="213"/>
      <c r="J2729" s="213"/>
      <c r="L2729" s="272">
        <f t="shared" si="236"/>
        <v>1900</v>
      </c>
      <c r="M2729" s="272">
        <f t="shared" si="237"/>
        <v>1</v>
      </c>
      <c r="N2729" s="255"/>
      <c r="O2729" s="61">
        <f t="shared" si="238"/>
        <v>1900</v>
      </c>
      <c r="P2729" s="61">
        <f t="shared" si="239"/>
        <v>1</v>
      </c>
      <c r="R2729" s="272"/>
      <c r="S2729" s="272"/>
      <c r="T2729" s="273" t="str">
        <f t="shared" si="240"/>
        <v>-</v>
      </c>
    </row>
    <row r="2730" spans="9:20">
      <c r="I2730" s="213"/>
      <c r="J2730" s="213"/>
      <c r="L2730" s="272">
        <f t="shared" si="236"/>
        <v>1900</v>
      </c>
      <c r="M2730" s="272">
        <f t="shared" si="237"/>
        <v>1</v>
      </c>
      <c r="N2730" s="255"/>
      <c r="O2730" s="61">
        <f t="shared" si="238"/>
        <v>1900</v>
      </c>
      <c r="P2730" s="61">
        <f t="shared" si="239"/>
        <v>1</v>
      </c>
      <c r="R2730" s="272"/>
      <c r="S2730" s="272"/>
      <c r="T2730" s="273" t="str">
        <f t="shared" si="240"/>
        <v>-</v>
      </c>
    </row>
    <row r="2731" spans="9:20">
      <c r="I2731" s="213"/>
      <c r="J2731" s="213"/>
      <c r="L2731" s="272">
        <f t="shared" si="236"/>
        <v>1900</v>
      </c>
      <c r="M2731" s="272">
        <f t="shared" si="237"/>
        <v>1</v>
      </c>
      <c r="N2731" s="255"/>
      <c r="O2731" s="61">
        <f t="shared" si="238"/>
        <v>1900</v>
      </c>
      <c r="P2731" s="61">
        <f t="shared" si="239"/>
        <v>1</v>
      </c>
      <c r="R2731" s="272"/>
      <c r="S2731" s="272"/>
      <c r="T2731" s="273" t="str">
        <f t="shared" si="240"/>
        <v>-</v>
      </c>
    </row>
    <row r="2732" spans="9:20">
      <c r="I2732" s="213"/>
      <c r="J2732" s="213"/>
      <c r="L2732" s="272">
        <f t="shared" si="236"/>
        <v>1900</v>
      </c>
      <c r="M2732" s="272">
        <f t="shared" si="237"/>
        <v>1</v>
      </c>
      <c r="N2732" s="255"/>
      <c r="O2732" s="61">
        <f t="shared" si="238"/>
        <v>1900</v>
      </c>
      <c r="P2732" s="61">
        <f t="shared" si="239"/>
        <v>1</v>
      </c>
      <c r="R2732" s="272"/>
      <c r="S2732" s="272"/>
      <c r="T2732" s="273" t="str">
        <f t="shared" si="240"/>
        <v>-</v>
      </c>
    </row>
    <row r="2733" spans="9:20">
      <c r="I2733" s="213"/>
      <c r="J2733" s="213"/>
      <c r="L2733" s="272">
        <f t="shared" si="236"/>
        <v>1900</v>
      </c>
      <c r="M2733" s="272">
        <f t="shared" si="237"/>
        <v>1</v>
      </c>
      <c r="N2733" s="255"/>
      <c r="O2733" s="61">
        <f t="shared" si="238"/>
        <v>1900</v>
      </c>
      <c r="P2733" s="61">
        <f t="shared" si="239"/>
        <v>1</v>
      </c>
      <c r="R2733" s="272"/>
      <c r="S2733" s="272"/>
      <c r="T2733" s="273" t="str">
        <f t="shared" si="240"/>
        <v>-</v>
      </c>
    </row>
    <row r="2734" spans="9:20">
      <c r="I2734" s="213"/>
      <c r="J2734" s="213"/>
      <c r="L2734" s="272">
        <f t="shared" si="236"/>
        <v>1900</v>
      </c>
      <c r="M2734" s="272">
        <f t="shared" si="237"/>
        <v>1</v>
      </c>
      <c r="N2734" s="255"/>
      <c r="O2734" s="61">
        <f t="shared" si="238"/>
        <v>1900</v>
      </c>
      <c r="P2734" s="61">
        <f t="shared" si="239"/>
        <v>1</v>
      </c>
      <c r="R2734" s="272"/>
      <c r="S2734" s="272"/>
      <c r="T2734" s="273" t="str">
        <f t="shared" si="240"/>
        <v>-</v>
      </c>
    </row>
    <row r="2735" spans="9:20">
      <c r="I2735" s="213"/>
      <c r="J2735" s="213"/>
      <c r="L2735" s="272">
        <f t="shared" si="236"/>
        <v>1900</v>
      </c>
      <c r="M2735" s="272">
        <f t="shared" si="237"/>
        <v>1</v>
      </c>
      <c r="N2735" s="255"/>
      <c r="O2735" s="61">
        <f t="shared" si="238"/>
        <v>1900</v>
      </c>
      <c r="P2735" s="61">
        <f t="shared" si="239"/>
        <v>1</v>
      </c>
      <c r="R2735" s="272"/>
      <c r="S2735" s="272"/>
      <c r="T2735" s="273" t="str">
        <f t="shared" si="240"/>
        <v>-</v>
      </c>
    </row>
    <row r="2736" spans="9:20">
      <c r="I2736" s="213"/>
      <c r="J2736" s="213"/>
      <c r="L2736" s="272">
        <f t="shared" si="236"/>
        <v>1900</v>
      </c>
      <c r="M2736" s="272">
        <f t="shared" si="237"/>
        <v>1</v>
      </c>
      <c r="N2736" s="255"/>
      <c r="O2736" s="61">
        <f t="shared" si="238"/>
        <v>1900</v>
      </c>
      <c r="P2736" s="61">
        <f t="shared" si="239"/>
        <v>1</v>
      </c>
      <c r="R2736" s="272"/>
      <c r="S2736" s="272"/>
      <c r="T2736" s="273" t="str">
        <f t="shared" si="240"/>
        <v>-</v>
      </c>
    </row>
    <row r="2737" spans="9:20">
      <c r="I2737" s="213"/>
      <c r="J2737" s="213"/>
      <c r="L2737" s="272">
        <f t="shared" si="236"/>
        <v>1900</v>
      </c>
      <c r="M2737" s="272">
        <f t="shared" si="237"/>
        <v>1</v>
      </c>
      <c r="N2737" s="255"/>
      <c r="O2737" s="61">
        <f t="shared" si="238"/>
        <v>1900</v>
      </c>
      <c r="P2737" s="61">
        <f t="shared" si="239"/>
        <v>1</v>
      </c>
      <c r="R2737" s="272"/>
      <c r="S2737" s="272"/>
      <c r="T2737" s="273" t="str">
        <f t="shared" si="240"/>
        <v>-</v>
      </c>
    </row>
    <row r="2738" spans="9:20">
      <c r="I2738" s="213"/>
      <c r="J2738" s="213"/>
      <c r="L2738" s="272">
        <f t="shared" si="236"/>
        <v>1900</v>
      </c>
      <c r="M2738" s="272">
        <f t="shared" si="237"/>
        <v>1</v>
      </c>
      <c r="N2738" s="255"/>
      <c r="O2738" s="61">
        <f t="shared" si="238"/>
        <v>1900</v>
      </c>
      <c r="P2738" s="61">
        <f t="shared" si="239"/>
        <v>1</v>
      </c>
      <c r="R2738" s="272"/>
      <c r="S2738" s="272"/>
      <c r="T2738" s="273" t="str">
        <f t="shared" si="240"/>
        <v>-</v>
      </c>
    </row>
    <row r="2739" spans="9:20">
      <c r="I2739" s="213"/>
      <c r="J2739" s="213"/>
      <c r="L2739" s="272">
        <f t="shared" si="236"/>
        <v>1900</v>
      </c>
      <c r="M2739" s="272">
        <f t="shared" si="237"/>
        <v>1</v>
      </c>
      <c r="N2739" s="255"/>
      <c r="O2739" s="61">
        <f t="shared" si="238"/>
        <v>1900</v>
      </c>
      <c r="P2739" s="61">
        <f t="shared" si="239"/>
        <v>1</v>
      </c>
      <c r="R2739" s="272"/>
      <c r="S2739" s="272"/>
      <c r="T2739" s="273" t="str">
        <f t="shared" si="240"/>
        <v>-</v>
      </c>
    </row>
    <row r="2740" spans="9:20">
      <c r="I2740" s="213"/>
      <c r="J2740" s="213"/>
      <c r="L2740" s="272">
        <f t="shared" si="236"/>
        <v>1900</v>
      </c>
      <c r="M2740" s="272">
        <f t="shared" si="237"/>
        <v>1</v>
      </c>
      <c r="N2740" s="255"/>
      <c r="O2740" s="61">
        <f t="shared" si="238"/>
        <v>1900</v>
      </c>
      <c r="P2740" s="61">
        <f t="shared" si="239"/>
        <v>1</v>
      </c>
      <c r="R2740" s="272"/>
      <c r="S2740" s="272"/>
      <c r="T2740" s="273" t="str">
        <f t="shared" si="240"/>
        <v>-</v>
      </c>
    </row>
    <row r="2741" spans="9:20">
      <c r="I2741" s="213"/>
      <c r="J2741" s="213"/>
      <c r="L2741" s="272">
        <f t="shared" si="236"/>
        <v>1900</v>
      </c>
      <c r="M2741" s="272">
        <f t="shared" si="237"/>
        <v>1</v>
      </c>
      <c r="N2741" s="255"/>
      <c r="O2741" s="61">
        <f t="shared" si="238"/>
        <v>1900</v>
      </c>
      <c r="P2741" s="61">
        <f t="shared" si="239"/>
        <v>1</v>
      </c>
      <c r="R2741" s="272"/>
      <c r="S2741" s="272"/>
      <c r="T2741" s="273" t="str">
        <f t="shared" si="240"/>
        <v>-</v>
      </c>
    </row>
    <row r="2742" spans="9:20">
      <c r="I2742" s="213"/>
      <c r="J2742" s="213"/>
      <c r="L2742" s="272">
        <f t="shared" si="236"/>
        <v>1900</v>
      </c>
      <c r="M2742" s="272">
        <f t="shared" si="237"/>
        <v>1</v>
      </c>
      <c r="N2742" s="255"/>
      <c r="O2742" s="61">
        <f t="shared" si="238"/>
        <v>1900</v>
      </c>
      <c r="P2742" s="61">
        <f t="shared" si="239"/>
        <v>1</v>
      </c>
      <c r="R2742" s="272"/>
      <c r="S2742" s="272"/>
      <c r="T2742" s="273" t="str">
        <f t="shared" si="240"/>
        <v>-</v>
      </c>
    </row>
    <row r="2743" spans="9:20">
      <c r="I2743" s="213"/>
      <c r="J2743" s="213"/>
      <c r="L2743" s="272">
        <f t="shared" si="236"/>
        <v>1900</v>
      </c>
      <c r="M2743" s="272">
        <f t="shared" si="237"/>
        <v>1</v>
      </c>
      <c r="N2743" s="255"/>
      <c r="O2743" s="61">
        <f t="shared" si="238"/>
        <v>1900</v>
      </c>
      <c r="P2743" s="61">
        <f t="shared" si="239"/>
        <v>1</v>
      </c>
      <c r="R2743" s="272"/>
      <c r="S2743" s="272"/>
      <c r="T2743" s="273" t="str">
        <f t="shared" si="240"/>
        <v>-</v>
      </c>
    </row>
    <row r="2744" spans="9:20">
      <c r="I2744" s="213"/>
      <c r="J2744" s="213"/>
      <c r="L2744" s="272">
        <f t="shared" si="236"/>
        <v>1900</v>
      </c>
      <c r="M2744" s="272">
        <f t="shared" si="237"/>
        <v>1</v>
      </c>
      <c r="N2744" s="255"/>
      <c r="O2744" s="61">
        <f t="shared" si="238"/>
        <v>1900</v>
      </c>
      <c r="P2744" s="61">
        <f t="shared" si="239"/>
        <v>1</v>
      </c>
      <c r="R2744" s="272"/>
      <c r="S2744" s="272"/>
      <c r="T2744" s="273" t="str">
        <f t="shared" si="240"/>
        <v>-</v>
      </c>
    </row>
    <row r="2745" spans="9:20">
      <c r="I2745" s="213"/>
      <c r="J2745" s="213"/>
      <c r="L2745" s="272">
        <f t="shared" si="236"/>
        <v>1900</v>
      </c>
      <c r="M2745" s="272">
        <f t="shared" si="237"/>
        <v>1</v>
      </c>
      <c r="N2745" s="255"/>
      <c r="O2745" s="61">
        <f t="shared" si="238"/>
        <v>1900</v>
      </c>
      <c r="P2745" s="61">
        <f t="shared" si="239"/>
        <v>1</v>
      </c>
      <c r="R2745" s="272"/>
      <c r="S2745" s="272"/>
      <c r="T2745" s="273" t="str">
        <f t="shared" si="240"/>
        <v>-</v>
      </c>
    </row>
    <row r="2746" spans="9:20">
      <c r="I2746" s="213"/>
      <c r="J2746" s="213"/>
      <c r="L2746" s="272">
        <f t="shared" si="236"/>
        <v>1900</v>
      </c>
      <c r="M2746" s="272">
        <f t="shared" si="237"/>
        <v>1</v>
      </c>
      <c r="N2746" s="255"/>
      <c r="O2746" s="61">
        <f t="shared" si="238"/>
        <v>1900</v>
      </c>
      <c r="P2746" s="61">
        <f t="shared" si="239"/>
        <v>1</v>
      </c>
      <c r="R2746" s="272"/>
      <c r="S2746" s="272"/>
      <c r="T2746" s="273" t="str">
        <f t="shared" si="240"/>
        <v>-</v>
      </c>
    </row>
    <row r="2747" spans="9:20">
      <c r="I2747" s="213"/>
      <c r="J2747" s="213"/>
      <c r="L2747" s="272">
        <f t="shared" si="236"/>
        <v>1900</v>
      </c>
      <c r="M2747" s="272">
        <f t="shared" si="237"/>
        <v>1</v>
      </c>
      <c r="N2747" s="255"/>
      <c r="O2747" s="61">
        <f t="shared" si="238"/>
        <v>1900</v>
      </c>
      <c r="P2747" s="61">
        <f t="shared" si="239"/>
        <v>1</v>
      </c>
      <c r="R2747" s="272"/>
      <c r="S2747" s="272"/>
      <c r="T2747" s="273" t="str">
        <f t="shared" si="240"/>
        <v>-</v>
      </c>
    </row>
    <row r="2748" spans="9:20">
      <c r="I2748" s="213"/>
      <c r="J2748" s="213"/>
      <c r="L2748" s="272">
        <f t="shared" si="236"/>
        <v>1900</v>
      </c>
      <c r="M2748" s="272">
        <f t="shared" si="237"/>
        <v>1</v>
      </c>
      <c r="N2748" s="255"/>
      <c r="O2748" s="61">
        <f t="shared" si="238"/>
        <v>1900</v>
      </c>
      <c r="P2748" s="61">
        <f t="shared" si="239"/>
        <v>1</v>
      </c>
      <c r="R2748" s="272"/>
      <c r="S2748" s="272"/>
      <c r="T2748" s="273" t="str">
        <f t="shared" si="240"/>
        <v>-</v>
      </c>
    </row>
    <row r="2749" spans="9:20">
      <c r="I2749" s="213"/>
      <c r="J2749" s="213"/>
      <c r="L2749" s="272">
        <f t="shared" si="236"/>
        <v>1900</v>
      </c>
      <c r="M2749" s="272">
        <f t="shared" si="237"/>
        <v>1</v>
      </c>
      <c r="N2749" s="255"/>
      <c r="O2749" s="61">
        <f t="shared" si="238"/>
        <v>1900</v>
      </c>
      <c r="P2749" s="61">
        <f t="shared" si="239"/>
        <v>1</v>
      </c>
      <c r="R2749" s="272"/>
      <c r="S2749" s="272"/>
      <c r="T2749" s="273" t="str">
        <f t="shared" si="240"/>
        <v>-</v>
      </c>
    </row>
    <row r="2750" spans="9:20">
      <c r="I2750" s="213"/>
      <c r="J2750" s="213"/>
      <c r="L2750" s="272">
        <f t="shared" si="236"/>
        <v>1900</v>
      </c>
      <c r="M2750" s="272">
        <f t="shared" si="237"/>
        <v>1</v>
      </c>
      <c r="N2750" s="255"/>
      <c r="O2750" s="61">
        <f t="shared" si="238"/>
        <v>1900</v>
      </c>
      <c r="P2750" s="61">
        <f t="shared" si="239"/>
        <v>1</v>
      </c>
      <c r="R2750" s="272"/>
      <c r="S2750" s="272"/>
      <c r="T2750" s="273" t="str">
        <f t="shared" si="240"/>
        <v>-</v>
      </c>
    </row>
    <row r="2751" spans="9:20">
      <c r="I2751" s="213"/>
      <c r="J2751" s="213"/>
      <c r="L2751" s="272">
        <f t="shared" si="236"/>
        <v>1900</v>
      </c>
      <c r="M2751" s="272">
        <f t="shared" si="237"/>
        <v>1</v>
      </c>
      <c r="N2751" s="255"/>
      <c r="O2751" s="61">
        <f t="shared" si="238"/>
        <v>1900</v>
      </c>
      <c r="P2751" s="61">
        <f t="shared" si="239"/>
        <v>1</v>
      </c>
      <c r="R2751" s="272"/>
      <c r="S2751" s="272"/>
      <c r="T2751" s="273" t="str">
        <f t="shared" si="240"/>
        <v>-</v>
      </c>
    </row>
    <row r="2752" spans="9:20">
      <c r="I2752" s="213"/>
      <c r="J2752" s="213"/>
      <c r="L2752" s="272">
        <f t="shared" si="236"/>
        <v>1900</v>
      </c>
      <c r="M2752" s="272">
        <f t="shared" si="237"/>
        <v>1</v>
      </c>
      <c r="N2752" s="255"/>
      <c r="O2752" s="61">
        <f t="shared" si="238"/>
        <v>1900</v>
      </c>
      <c r="P2752" s="61">
        <f t="shared" si="239"/>
        <v>1</v>
      </c>
      <c r="R2752" s="272"/>
      <c r="S2752" s="272"/>
      <c r="T2752" s="273" t="str">
        <f t="shared" si="240"/>
        <v>-</v>
      </c>
    </row>
    <row r="2753" spans="9:20">
      <c r="I2753" s="213"/>
      <c r="J2753" s="213"/>
      <c r="L2753" s="272">
        <f t="shared" si="236"/>
        <v>1900</v>
      </c>
      <c r="M2753" s="272">
        <f t="shared" si="237"/>
        <v>1</v>
      </c>
      <c r="N2753" s="255"/>
      <c r="O2753" s="61">
        <f t="shared" si="238"/>
        <v>1900</v>
      </c>
      <c r="P2753" s="61">
        <f t="shared" si="239"/>
        <v>1</v>
      </c>
      <c r="R2753" s="272"/>
      <c r="S2753" s="272"/>
      <c r="T2753" s="273" t="str">
        <f t="shared" si="240"/>
        <v>-</v>
      </c>
    </row>
    <row r="2754" spans="9:20">
      <c r="I2754" s="213"/>
      <c r="J2754" s="213"/>
      <c r="L2754" s="272">
        <f t="shared" si="236"/>
        <v>1900</v>
      </c>
      <c r="M2754" s="272">
        <f t="shared" si="237"/>
        <v>1</v>
      </c>
      <c r="N2754" s="255"/>
      <c r="O2754" s="61">
        <f t="shared" si="238"/>
        <v>1900</v>
      </c>
      <c r="P2754" s="61">
        <f t="shared" si="239"/>
        <v>1</v>
      </c>
      <c r="R2754" s="272"/>
      <c r="S2754" s="272"/>
      <c r="T2754" s="273" t="str">
        <f t="shared" si="240"/>
        <v>-</v>
      </c>
    </row>
    <row r="2755" spans="9:20">
      <c r="I2755" s="213"/>
      <c r="J2755" s="213"/>
      <c r="L2755" s="272">
        <f t="shared" si="236"/>
        <v>1900</v>
      </c>
      <c r="M2755" s="272">
        <f t="shared" si="237"/>
        <v>1</v>
      </c>
      <c r="N2755" s="255"/>
      <c r="O2755" s="61">
        <f t="shared" si="238"/>
        <v>1900</v>
      </c>
      <c r="P2755" s="61">
        <f t="shared" si="239"/>
        <v>1</v>
      </c>
      <c r="R2755" s="272"/>
      <c r="S2755" s="272"/>
      <c r="T2755" s="273" t="str">
        <f t="shared" si="240"/>
        <v>-</v>
      </c>
    </row>
    <row r="2756" spans="9:20">
      <c r="I2756" s="213"/>
      <c r="J2756" s="213"/>
      <c r="L2756" s="272">
        <f t="shared" si="236"/>
        <v>1900</v>
      </c>
      <c r="M2756" s="272">
        <f t="shared" si="237"/>
        <v>1</v>
      </c>
      <c r="N2756" s="255"/>
      <c r="O2756" s="61">
        <f t="shared" si="238"/>
        <v>1900</v>
      </c>
      <c r="P2756" s="61">
        <f t="shared" si="239"/>
        <v>1</v>
      </c>
      <c r="R2756" s="272"/>
      <c r="S2756" s="272"/>
      <c r="T2756" s="273" t="str">
        <f t="shared" si="240"/>
        <v>-</v>
      </c>
    </row>
    <row r="2757" spans="9:20">
      <c r="I2757" s="213"/>
      <c r="J2757" s="213"/>
      <c r="L2757" s="272">
        <f t="shared" si="236"/>
        <v>1900</v>
      </c>
      <c r="M2757" s="272">
        <f t="shared" si="237"/>
        <v>1</v>
      </c>
      <c r="N2757" s="255"/>
      <c r="O2757" s="61">
        <f t="shared" si="238"/>
        <v>1900</v>
      </c>
      <c r="P2757" s="61">
        <f t="shared" si="239"/>
        <v>1</v>
      </c>
      <c r="R2757" s="272"/>
      <c r="S2757" s="272"/>
      <c r="T2757" s="273" t="str">
        <f t="shared" si="240"/>
        <v>-</v>
      </c>
    </row>
    <row r="2758" spans="9:20">
      <c r="I2758" s="213"/>
      <c r="J2758" s="213"/>
      <c r="L2758" s="272">
        <f t="shared" si="236"/>
        <v>1900</v>
      </c>
      <c r="M2758" s="272">
        <f t="shared" si="237"/>
        <v>1</v>
      </c>
      <c r="N2758" s="255"/>
      <c r="O2758" s="61">
        <f t="shared" si="238"/>
        <v>1900</v>
      </c>
      <c r="P2758" s="61">
        <f t="shared" si="239"/>
        <v>1</v>
      </c>
      <c r="R2758" s="272"/>
      <c r="S2758" s="272"/>
      <c r="T2758" s="273" t="str">
        <f t="shared" si="240"/>
        <v>-</v>
      </c>
    </row>
    <row r="2759" spans="9:20">
      <c r="I2759" s="213"/>
      <c r="J2759" s="213"/>
      <c r="L2759" s="272">
        <f t="shared" si="236"/>
        <v>1900</v>
      </c>
      <c r="M2759" s="272">
        <f t="shared" si="237"/>
        <v>1</v>
      </c>
      <c r="N2759" s="255"/>
      <c r="O2759" s="61">
        <f t="shared" si="238"/>
        <v>1900</v>
      </c>
      <c r="P2759" s="61">
        <f t="shared" si="239"/>
        <v>1</v>
      </c>
      <c r="R2759" s="272"/>
      <c r="S2759" s="272"/>
      <c r="T2759" s="273" t="str">
        <f t="shared" si="240"/>
        <v>-</v>
      </c>
    </row>
    <row r="2760" spans="9:20">
      <c r="I2760" s="213"/>
      <c r="J2760" s="213"/>
      <c r="L2760" s="272">
        <f t="shared" si="236"/>
        <v>1900</v>
      </c>
      <c r="M2760" s="272">
        <f t="shared" si="237"/>
        <v>1</v>
      </c>
      <c r="N2760" s="255"/>
      <c r="O2760" s="61">
        <f t="shared" si="238"/>
        <v>1900</v>
      </c>
      <c r="P2760" s="61">
        <f t="shared" si="239"/>
        <v>1</v>
      </c>
      <c r="R2760" s="272"/>
      <c r="S2760" s="272"/>
      <c r="T2760" s="273" t="str">
        <f t="shared" si="240"/>
        <v>-</v>
      </c>
    </row>
    <row r="2761" spans="9:20">
      <c r="I2761" s="213"/>
      <c r="J2761" s="213"/>
      <c r="L2761" s="272">
        <f t="shared" si="236"/>
        <v>1900</v>
      </c>
      <c r="M2761" s="272">
        <f t="shared" si="237"/>
        <v>1</v>
      </c>
      <c r="N2761" s="255"/>
      <c r="O2761" s="61">
        <f t="shared" si="238"/>
        <v>1900</v>
      </c>
      <c r="P2761" s="61">
        <f t="shared" si="239"/>
        <v>1</v>
      </c>
      <c r="R2761" s="272"/>
      <c r="S2761" s="272"/>
      <c r="T2761" s="273" t="str">
        <f t="shared" si="240"/>
        <v>-</v>
      </c>
    </row>
    <row r="2762" spans="9:20">
      <c r="I2762" s="213"/>
      <c r="J2762" s="213"/>
      <c r="L2762" s="272">
        <f t="shared" si="236"/>
        <v>1900</v>
      </c>
      <c r="M2762" s="272">
        <f t="shared" si="237"/>
        <v>1</v>
      </c>
      <c r="N2762" s="255"/>
      <c r="O2762" s="61">
        <f t="shared" si="238"/>
        <v>1900</v>
      </c>
      <c r="P2762" s="61">
        <f t="shared" si="239"/>
        <v>1</v>
      </c>
      <c r="R2762" s="272"/>
      <c r="S2762" s="272"/>
      <c r="T2762" s="273" t="str">
        <f t="shared" si="240"/>
        <v>-</v>
      </c>
    </row>
    <row r="2763" spans="9:20">
      <c r="I2763" s="213"/>
      <c r="J2763" s="213"/>
      <c r="L2763" s="272">
        <f t="shared" si="236"/>
        <v>1900</v>
      </c>
      <c r="M2763" s="272">
        <f t="shared" si="237"/>
        <v>1</v>
      </c>
      <c r="N2763" s="255"/>
      <c r="O2763" s="61">
        <f t="shared" si="238"/>
        <v>1900</v>
      </c>
      <c r="P2763" s="61">
        <f t="shared" si="239"/>
        <v>1</v>
      </c>
      <c r="R2763" s="272"/>
      <c r="S2763" s="272"/>
      <c r="T2763" s="273" t="str">
        <f t="shared" si="240"/>
        <v>-</v>
      </c>
    </row>
    <row r="2764" spans="9:20">
      <c r="I2764" s="213"/>
      <c r="J2764" s="213"/>
      <c r="L2764" s="272">
        <f t="shared" si="236"/>
        <v>1900</v>
      </c>
      <c r="M2764" s="272">
        <f t="shared" si="237"/>
        <v>1</v>
      </c>
      <c r="N2764" s="255"/>
      <c r="O2764" s="61">
        <f t="shared" si="238"/>
        <v>1900</v>
      </c>
      <c r="P2764" s="61">
        <f t="shared" si="239"/>
        <v>1</v>
      </c>
      <c r="R2764" s="272"/>
      <c r="S2764" s="272"/>
      <c r="T2764" s="273" t="str">
        <f t="shared" si="240"/>
        <v>-</v>
      </c>
    </row>
    <row r="2765" spans="9:20">
      <c r="I2765" s="213"/>
      <c r="J2765" s="213"/>
      <c r="L2765" s="272">
        <f t="shared" si="236"/>
        <v>1900</v>
      </c>
      <c r="M2765" s="272">
        <f t="shared" si="237"/>
        <v>1</v>
      </c>
      <c r="N2765" s="255"/>
      <c r="O2765" s="61">
        <f t="shared" si="238"/>
        <v>1900</v>
      </c>
      <c r="P2765" s="61">
        <f t="shared" si="239"/>
        <v>1</v>
      </c>
      <c r="R2765" s="272"/>
      <c r="S2765" s="272"/>
      <c r="T2765" s="273" t="str">
        <f t="shared" si="240"/>
        <v>-</v>
      </c>
    </row>
    <row r="2766" spans="9:20">
      <c r="I2766" s="213"/>
      <c r="J2766" s="213"/>
      <c r="L2766" s="272">
        <f t="shared" si="236"/>
        <v>1900</v>
      </c>
      <c r="M2766" s="272">
        <f t="shared" si="237"/>
        <v>1</v>
      </c>
      <c r="N2766" s="255"/>
      <c r="O2766" s="61">
        <f t="shared" si="238"/>
        <v>1900</v>
      </c>
      <c r="P2766" s="61">
        <f t="shared" si="239"/>
        <v>1</v>
      </c>
      <c r="R2766" s="272"/>
      <c r="S2766" s="272"/>
      <c r="T2766" s="273" t="str">
        <f t="shared" si="240"/>
        <v>-</v>
      </c>
    </row>
    <row r="2767" spans="9:20">
      <c r="I2767" s="213"/>
      <c r="J2767" s="213"/>
      <c r="L2767" s="272">
        <f t="shared" si="236"/>
        <v>1900</v>
      </c>
      <c r="M2767" s="272">
        <f t="shared" si="237"/>
        <v>1</v>
      </c>
      <c r="N2767" s="255"/>
      <c r="O2767" s="61">
        <f t="shared" si="238"/>
        <v>1900</v>
      </c>
      <c r="P2767" s="61">
        <f t="shared" si="239"/>
        <v>1</v>
      </c>
      <c r="R2767" s="272"/>
      <c r="S2767" s="272"/>
      <c r="T2767" s="273" t="str">
        <f t="shared" si="240"/>
        <v>-</v>
      </c>
    </row>
    <row r="2768" spans="9:20">
      <c r="I2768" s="213"/>
      <c r="J2768" s="213"/>
      <c r="L2768" s="272">
        <f t="shared" ref="L2768:L2831" si="241">YEAR(B2768)</f>
        <v>1900</v>
      </c>
      <c r="M2768" s="272">
        <f t="shared" ref="M2768:M2831" si="242">MONTH(B2768)</f>
        <v>1</v>
      </c>
      <c r="N2768" s="255"/>
      <c r="O2768" s="61">
        <f t="shared" ref="O2768:O2831" si="243">YEAR(B2768)</f>
        <v>1900</v>
      </c>
      <c r="P2768" s="61">
        <f t="shared" ref="P2768:P2831" si="244">MONTH(B2768)</f>
        <v>1</v>
      </c>
      <c r="R2768" s="272"/>
      <c r="S2768" s="272"/>
      <c r="T2768" s="273" t="str">
        <f t="shared" ref="T2768:T2831" si="245">IF($E2768&gt;0,IF((R2768+S2768)=$E2768,"OK","Error"),"-")</f>
        <v>-</v>
      </c>
    </row>
    <row r="2769" spans="9:20">
      <c r="I2769" s="213"/>
      <c r="J2769" s="213"/>
      <c r="L2769" s="272">
        <f t="shared" si="241"/>
        <v>1900</v>
      </c>
      <c r="M2769" s="272">
        <f t="shared" si="242"/>
        <v>1</v>
      </c>
      <c r="N2769" s="255"/>
      <c r="O2769" s="61">
        <f t="shared" si="243"/>
        <v>1900</v>
      </c>
      <c r="P2769" s="61">
        <f t="shared" si="244"/>
        <v>1</v>
      </c>
      <c r="R2769" s="272"/>
      <c r="S2769" s="272"/>
      <c r="T2769" s="273" t="str">
        <f t="shared" si="245"/>
        <v>-</v>
      </c>
    </row>
    <row r="2770" spans="9:20">
      <c r="I2770" s="213"/>
      <c r="J2770" s="213"/>
      <c r="L2770" s="272">
        <f t="shared" si="241"/>
        <v>1900</v>
      </c>
      <c r="M2770" s="272">
        <f t="shared" si="242"/>
        <v>1</v>
      </c>
      <c r="N2770" s="255"/>
      <c r="O2770" s="61">
        <f t="shared" si="243"/>
        <v>1900</v>
      </c>
      <c r="P2770" s="61">
        <f t="shared" si="244"/>
        <v>1</v>
      </c>
      <c r="R2770" s="272"/>
      <c r="S2770" s="272"/>
      <c r="T2770" s="273" t="str">
        <f t="shared" si="245"/>
        <v>-</v>
      </c>
    </row>
    <row r="2771" spans="9:20">
      <c r="I2771" s="213"/>
      <c r="J2771" s="213"/>
      <c r="L2771" s="272">
        <f t="shared" si="241"/>
        <v>1900</v>
      </c>
      <c r="M2771" s="272">
        <f t="shared" si="242"/>
        <v>1</v>
      </c>
      <c r="N2771" s="255"/>
      <c r="O2771" s="61">
        <f t="shared" si="243"/>
        <v>1900</v>
      </c>
      <c r="P2771" s="61">
        <f t="shared" si="244"/>
        <v>1</v>
      </c>
      <c r="R2771" s="272"/>
      <c r="S2771" s="272"/>
      <c r="T2771" s="273" t="str">
        <f t="shared" si="245"/>
        <v>-</v>
      </c>
    </row>
    <row r="2772" spans="9:20">
      <c r="I2772" s="213"/>
      <c r="J2772" s="213"/>
      <c r="L2772" s="272">
        <f t="shared" si="241"/>
        <v>1900</v>
      </c>
      <c r="M2772" s="272">
        <f t="shared" si="242"/>
        <v>1</v>
      </c>
      <c r="N2772" s="255"/>
      <c r="O2772" s="61">
        <f t="shared" si="243"/>
        <v>1900</v>
      </c>
      <c r="P2772" s="61">
        <f t="shared" si="244"/>
        <v>1</v>
      </c>
      <c r="R2772" s="272"/>
      <c r="S2772" s="272"/>
      <c r="T2772" s="273" t="str">
        <f t="shared" si="245"/>
        <v>-</v>
      </c>
    </row>
    <row r="2773" spans="9:20">
      <c r="I2773" s="213"/>
      <c r="J2773" s="213"/>
      <c r="L2773" s="272">
        <f t="shared" si="241"/>
        <v>1900</v>
      </c>
      <c r="M2773" s="272">
        <f t="shared" si="242"/>
        <v>1</v>
      </c>
      <c r="N2773" s="255"/>
      <c r="O2773" s="61">
        <f t="shared" si="243"/>
        <v>1900</v>
      </c>
      <c r="P2773" s="61">
        <f t="shared" si="244"/>
        <v>1</v>
      </c>
      <c r="R2773" s="272"/>
      <c r="S2773" s="272"/>
      <c r="T2773" s="273" t="str">
        <f t="shared" si="245"/>
        <v>-</v>
      </c>
    </row>
    <row r="2774" spans="9:20">
      <c r="I2774" s="213"/>
      <c r="J2774" s="213"/>
      <c r="L2774" s="272">
        <f t="shared" si="241"/>
        <v>1900</v>
      </c>
      <c r="M2774" s="272">
        <f t="shared" si="242"/>
        <v>1</v>
      </c>
      <c r="N2774" s="255"/>
      <c r="O2774" s="61">
        <f t="shared" si="243"/>
        <v>1900</v>
      </c>
      <c r="P2774" s="61">
        <f t="shared" si="244"/>
        <v>1</v>
      </c>
      <c r="R2774" s="272"/>
      <c r="S2774" s="272"/>
      <c r="T2774" s="273" t="str">
        <f t="shared" si="245"/>
        <v>-</v>
      </c>
    </row>
    <row r="2775" spans="9:20">
      <c r="I2775" s="213"/>
      <c r="J2775" s="213"/>
      <c r="L2775" s="272">
        <f t="shared" si="241"/>
        <v>1900</v>
      </c>
      <c r="M2775" s="272">
        <f t="shared" si="242"/>
        <v>1</v>
      </c>
      <c r="N2775" s="255"/>
      <c r="O2775" s="61">
        <f t="shared" si="243"/>
        <v>1900</v>
      </c>
      <c r="P2775" s="61">
        <f t="shared" si="244"/>
        <v>1</v>
      </c>
      <c r="R2775" s="272"/>
      <c r="S2775" s="272"/>
      <c r="T2775" s="273" t="str">
        <f t="shared" si="245"/>
        <v>-</v>
      </c>
    </row>
    <row r="2776" spans="9:20">
      <c r="I2776" s="213"/>
      <c r="J2776" s="213"/>
      <c r="L2776" s="272">
        <f t="shared" si="241"/>
        <v>1900</v>
      </c>
      <c r="M2776" s="272">
        <f t="shared" si="242"/>
        <v>1</v>
      </c>
      <c r="N2776" s="255"/>
      <c r="O2776" s="61">
        <f t="shared" si="243"/>
        <v>1900</v>
      </c>
      <c r="P2776" s="61">
        <f t="shared" si="244"/>
        <v>1</v>
      </c>
      <c r="R2776" s="272"/>
      <c r="S2776" s="272"/>
      <c r="T2776" s="273" t="str">
        <f t="shared" si="245"/>
        <v>-</v>
      </c>
    </row>
    <row r="2777" spans="9:20">
      <c r="I2777" s="213"/>
      <c r="J2777" s="213"/>
      <c r="L2777" s="272">
        <f t="shared" si="241"/>
        <v>1900</v>
      </c>
      <c r="M2777" s="272">
        <f t="shared" si="242"/>
        <v>1</v>
      </c>
      <c r="N2777" s="255"/>
      <c r="O2777" s="61">
        <f t="shared" si="243"/>
        <v>1900</v>
      </c>
      <c r="P2777" s="61">
        <f t="shared" si="244"/>
        <v>1</v>
      </c>
      <c r="R2777" s="272"/>
      <c r="S2777" s="272"/>
      <c r="T2777" s="273" t="str">
        <f t="shared" si="245"/>
        <v>-</v>
      </c>
    </row>
    <row r="2778" spans="9:20">
      <c r="I2778" s="213"/>
      <c r="J2778" s="213"/>
      <c r="L2778" s="272">
        <f t="shared" si="241"/>
        <v>1900</v>
      </c>
      <c r="M2778" s="272">
        <f t="shared" si="242"/>
        <v>1</v>
      </c>
      <c r="N2778" s="255"/>
      <c r="O2778" s="61">
        <f t="shared" si="243"/>
        <v>1900</v>
      </c>
      <c r="P2778" s="61">
        <f t="shared" si="244"/>
        <v>1</v>
      </c>
      <c r="R2778" s="272"/>
      <c r="S2778" s="272"/>
      <c r="T2778" s="273" t="str">
        <f t="shared" si="245"/>
        <v>-</v>
      </c>
    </row>
    <row r="2779" spans="9:20">
      <c r="I2779" s="213"/>
      <c r="J2779" s="213"/>
      <c r="L2779" s="272">
        <f t="shared" si="241"/>
        <v>1900</v>
      </c>
      <c r="M2779" s="272">
        <f t="shared" si="242"/>
        <v>1</v>
      </c>
      <c r="N2779" s="255"/>
      <c r="O2779" s="61">
        <f t="shared" si="243"/>
        <v>1900</v>
      </c>
      <c r="P2779" s="61">
        <f t="shared" si="244"/>
        <v>1</v>
      </c>
      <c r="R2779" s="272"/>
      <c r="S2779" s="272"/>
      <c r="T2779" s="273" t="str">
        <f t="shared" si="245"/>
        <v>-</v>
      </c>
    </row>
    <row r="2780" spans="9:20">
      <c r="I2780" s="213"/>
      <c r="J2780" s="213"/>
      <c r="L2780" s="272">
        <f t="shared" si="241"/>
        <v>1900</v>
      </c>
      <c r="M2780" s="272">
        <f t="shared" si="242"/>
        <v>1</v>
      </c>
      <c r="N2780" s="255"/>
      <c r="O2780" s="61">
        <f t="shared" si="243"/>
        <v>1900</v>
      </c>
      <c r="P2780" s="61">
        <f t="shared" si="244"/>
        <v>1</v>
      </c>
      <c r="R2780" s="272"/>
      <c r="S2780" s="272"/>
      <c r="T2780" s="273" t="str">
        <f t="shared" si="245"/>
        <v>-</v>
      </c>
    </row>
    <row r="2781" spans="9:20">
      <c r="I2781" s="213"/>
      <c r="J2781" s="213"/>
      <c r="L2781" s="272">
        <f t="shared" si="241"/>
        <v>1900</v>
      </c>
      <c r="M2781" s="272">
        <f t="shared" si="242"/>
        <v>1</v>
      </c>
      <c r="N2781" s="255"/>
      <c r="O2781" s="61">
        <f t="shared" si="243"/>
        <v>1900</v>
      </c>
      <c r="P2781" s="61">
        <f t="shared" si="244"/>
        <v>1</v>
      </c>
      <c r="R2781" s="272"/>
      <c r="S2781" s="272"/>
      <c r="T2781" s="273" t="str">
        <f t="shared" si="245"/>
        <v>-</v>
      </c>
    </row>
    <row r="2782" spans="9:20">
      <c r="I2782" s="213"/>
      <c r="J2782" s="213"/>
      <c r="L2782" s="272">
        <f t="shared" si="241"/>
        <v>1900</v>
      </c>
      <c r="M2782" s="272">
        <f t="shared" si="242"/>
        <v>1</v>
      </c>
      <c r="N2782" s="255"/>
      <c r="O2782" s="61">
        <f t="shared" si="243"/>
        <v>1900</v>
      </c>
      <c r="P2782" s="61">
        <f t="shared" si="244"/>
        <v>1</v>
      </c>
      <c r="R2782" s="272"/>
      <c r="S2782" s="272"/>
      <c r="T2782" s="273" t="str">
        <f t="shared" si="245"/>
        <v>-</v>
      </c>
    </row>
    <row r="2783" spans="9:20">
      <c r="I2783" s="213"/>
      <c r="J2783" s="213"/>
      <c r="L2783" s="272">
        <f t="shared" si="241"/>
        <v>1900</v>
      </c>
      <c r="M2783" s="272">
        <f t="shared" si="242"/>
        <v>1</v>
      </c>
      <c r="N2783" s="255"/>
      <c r="O2783" s="61">
        <f t="shared" si="243"/>
        <v>1900</v>
      </c>
      <c r="P2783" s="61">
        <f t="shared" si="244"/>
        <v>1</v>
      </c>
      <c r="R2783" s="272"/>
      <c r="S2783" s="272"/>
      <c r="T2783" s="273" t="str">
        <f t="shared" si="245"/>
        <v>-</v>
      </c>
    </row>
    <row r="2784" spans="9:20">
      <c r="I2784" s="213"/>
      <c r="J2784" s="213"/>
      <c r="L2784" s="272">
        <f t="shared" si="241"/>
        <v>1900</v>
      </c>
      <c r="M2784" s="272">
        <f t="shared" si="242"/>
        <v>1</v>
      </c>
      <c r="N2784" s="255"/>
      <c r="O2784" s="61">
        <f t="shared" si="243"/>
        <v>1900</v>
      </c>
      <c r="P2784" s="61">
        <f t="shared" si="244"/>
        <v>1</v>
      </c>
      <c r="R2784" s="272"/>
      <c r="S2784" s="272"/>
      <c r="T2784" s="273" t="str">
        <f t="shared" si="245"/>
        <v>-</v>
      </c>
    </row>
    <row r="2785" spans="9:20">
      <c r="I2785" s="213"/>
      <c r="J2785" s="213"/>
      <c r="L2785" s="272">
        <f t="shared" si="241"/>
        <v>1900</v>
      </c>
      <c r="M2785" s="272">
        <f t="shared" si="242"/>
        <v>1</v>
      </c>
      <c r="N2785" s="255"/>
      <c r="O2785" s="61">
        <f t="shared" si="243"/>
        <v>1900</v>
      </c>
      <c r="P2785" s="61">
        <f t="shared" si="244"/>
        <v>1</v>
      </c>
      <c r="R2785" s="272"/>
      <c r="S2785" s="272"/>
      <c r="T2785" s="273" t="str">
        <f t="shared" si="245"/>
        <v>-</v>
      </c>
    </row>
    <row r="2786" spans="9:20">
      <c r="I2786" s="213"/>
      <c r="J2786" s="213"/>
      <c r="L2786" s="272">
        <f t="shared" si="241"/>
        <v>1900</v>
      </c>
      <c r="M2786" s="272">
        <f t="shared" si="242"/>
        <v>1</v>
      </c>
      <c r="N2786" s="255"/>
      <c r="O2786" s="61">
        <f t="shared" si="243"/>
        <v>1900</v>
      </c>
      <c r="P2786" s="61">
        <f t="shared" si="244"/>
        <v>1</v>
      </c>
      <c r="R2786" s="272"/>
      <c r="S2786" s="272"/>
      <c r="T2786" s="273" t="str">
        <f t="shared" si="245"/>
        <v>-</v>
      </c>
    </row>
    <row r="2787" spans="9:20">
      <c r="I2787" s="213"/>
      <c r="J2787" s="213"/>
      <c r="L2787" s="272">
        <f t="shared" si="241"/>
        <v>1900</v>
      </c>
      <c r="M2787" s="272">
        <f t="shared" si="242"/>
        <v>1</v>
      </c>
      <c r="N2787" s="255"/>
      <c r="O2787" s="61">
        <f t="shared" si="243"/>
        <v>1900</v>
      </c>
      <c r="P2787" s="61">
        <f t="shared" si="244"/>
        <v>1</v>
      </c>
      <c r="R2787" s="272"/>
      <c r="S2787" s="272"/>
      <c r="T2787" s="273" t="str">
        <f t="shared" si="245"/>
        <v>-</v>
      </c>
    </row>
    <row r="2788" spans="9:20">
      <c r="I2788" s="213"/>
      <c r="J2788" s="213"/>
      <c r="L2788" s="272">
        <f t="shared" si="241"/>
        <v>1900</v>
      </c>
      <c r="M2788" s="272">
        <f t="shared" si="242"/>
        <v>1</v>
      </c>
      <c r="N2788" s="255"/>
      <c r="O2788" s="61">
        <f t="shared" si="243"/>
        <v>1900</v>
      </c>
      <c r="P2788" s="61">
        <f t="shared" si="244"/>
        <v>1</v>
      </c>
      <c r="R2788" s="272"/>
      <c r="S2788" s="272"/>
      <c r="T2788" s="273" t="str">
        <f t="shared" si="245"/>
        <v>-</v>
      </c>
    </row>
    <row r="2789" spans="9:20">
      <c r="I2789" s="213"/>
      <c r="J2789" s="213"/>
      <c r="L2789" s="272">
        <f t="shared" si="241"/>
        <v>1900</v>
      </c>
      <c r="M2789" s="272">
        <f t="shared" si="242"/>
        <v>1</v>
      </c>
      <c r="N2789" s="255"/>
      <c r="O2789" s="61">
        <f t="shared" si="243"/>
        <v>1900</v>
      </c>
      <c r="P2789" s="61">
        <f t="shared" si="244"/>
        <v>1</v>
      </c>
      <c r="R2789" s="272"/>
      <c r="S2789" s="272"/>
      <c r="T2789" s="273" t="str">
        <f t="shared" si="245"/>
        <v>-</v>
      </c>
    </row>
    <row r="2790" spans="9:20">
      <c r="I2790" s="213"/>
      <c r="J2790" s="213"/>
      <c r="L2790" s="272">
        <f t="shared" si="241"/>
        <v>1900</v>
      </c>
      <c r="M2790" s="272">
        <f t="shared" si="242"/>
        <v>1</v>
      </c>
      <c r="N2790" s="255"/>
      <c r="O2790" s="61">
        <f t="shared" si="243"/>
        <v>1900</v>
      </c>
      <c r="P2790" s="61">
        <f t="shared" si="244"/>
        <v>1</v>
      </c>
      <c r="R2790" s="272"/>
      <c r="S2790" s="272"/>
      <c r="T2790" s="273" t="str">
        <f t="shared" si="245"/>
        <v>-</v>
      </c>
    </row>
    <row r="2791" spans="9:20">
      <c r="I2791" s="213"/>
      <c r="J2791" s="213"/>
      <c r="L2791" s="272">
        <f t="shared" si="241"/>
        <v>1900</v>
      </c>
      <c r="M2791" s="272">
        <f t="shared" si="242"/>
        <v>1</v>
      </c>
      <c r="N2791" s="255"/>
      <c r="O2791" s="61">
        <f t="shared" si="243"/>
        <v>1900</v>
      </c>
      <c r="P2791" s="61">
        <f t="shared" si="244"/>
        <v>1</v>
      </c>
      <c r="R2791" s="272"/>
      <c r="S2791" s="272"/>
      <c r="T2791" s="273" t="str">
        <f t="shared" si="245"/>
        <v>-</v>
      </c>
    </row>
    <row r="2792" spans="9:20">
      <c r="I2792" s="213"/>
      <c r="J2792" s="213"/>
      <c r="L2792" s="272">
        <f t="shared" si="241"/>
        <v>1900</v>
      </c>
      <c r="M2792" s="272">
        <f t="shared" si="242"/>
        <v>1</v>
      </c>
      <c r="N2792" s="255"/>
      <c r="O2792" s="61">
        <f t="shared" si="243"/>
        <v>1900</v>
      </c>
      <c r="P2792" s="61">
        <f t="shared" si="244"/>
        <v>1</v>
      </c>
      <c r="R2792" s="272"/>
      <c r="S2792" s="272"/>
      <c r="T2792" s="273" t="str">
        <f t="shared" si="245"/>
        <v>-</v>
      </c>
    </row>
    <row r="2793" spans="9:20">
      <c r="I2793" s="213"/>
      <c r="J2793" s="213"/>
      <c r="L2793" s="272">
        <f t="shared" si="241"/>
        <v>1900</v>
      </c>
      <c r="M2793" s="272">
        <f t="shared" si="242"/>
        <v>1</v>
      </c>
      <c r="N2793" s="255"/>
      <c r="O2793" s="61">
        <f t="shared" si="243"/>
        <v>1900</v>
      </c>
      <c r="P2793" s="61">
        <f t="shared" si="244"/>
        <v>1</v>
      </c>
      <c r="R2793" s="272"/>
      <c r="S2793" s="272"/>
      <c r="T2793" s="273" t="str">
        <f t="shared" si="245"/>
        <v>-</v>
      </c>
    </row>
    <row r="2794" spans="9:20">
      <c r="I2794" s="213"/>
      <c r="J2794" s="213"/>
      <c r="L2794" s="272">
        <f t="shared" si="241"/>
        <v>1900</v>
      </c>
      <c r="M2794" s="272">
        <f t="shared" si="242"/>
        <v>1</v>
      </c>
      <c r="N2794" s="255"/>
      <c r="O2794" s="61">
        <f t="shared" si="243"/>
        <v>1900</v>
      </c>
      <c r="P2794" s="61">
        <f t="shared" si="244"/>
        <v>1</v>
      </c>
      <c r="R2794" s="272"/>
      <c r="S2794" s="272"/>
      <c r="T2794" s="273" t="str">
        <f t="shared" si="245"/>
        <v>-</v>
      </c>
    </row>
    <row r="2795" spans="9:20">
      <c r="I2795" s="213"/>
      <c r="J2795" s="213"/>
      <c r="L2795" s="272">
        <f t="shared" si="241"/>
        <v>1900</v>
      </c>
      <c r="M2795" s="272">
        <f t="shared" si="242"/>
        <v>1</v>
      </c>
      <c r="N2795" s="255"/>
      <c r="O2795" s="61">
        <f t="shared" si="243"/>
        <v>1900</v>
      </c>
      <c r="P2795" s="61">
        <f t="shared" si="244"/>
        <v>1</v>
      </c>
      <c r="R2795" s="272"/>
      <c r="S2795" s="272"/>
      <c r="T2795" s="273" t="str">
        <f t="shared" si="245"/>
        <v>-</v>
      </c>
    </row>
    <row r="2796" spans="9:20">
      <c r="I2796" s="213"/>
      <c r="J2796" s="213"/>
      <c r="L2796" s="272">
        <f t="shared" si="241"/>
        <v>1900</v>
      </c>
      <c r="M2796" s="272">
        <f t="shared" si="242"/>
        <v>1</v>
      </c>
      <c r="N2796" s="255"/>
      <c r="O2796" s="61">
        <f t="shared" si="243"/>
        <v>1900</v>
      </c>
      <c r="P2796" s="61">
        <f t="shared" si="244"/>
        <v>1</v>
      </c>
      <c r="R2796" s="272"/>
      <c r="S2796" s="272"/>
      <c r="T2796" s="273" t="str">
        <f t="shared" si="245"/>
        <v>-</v>
      </c>
    </row>
    <row r="2797" spans="9:20">
      <c r="I2797" s="213"/>
      <c r="J2797" s="213"/>
      <c r="L2797" s="272">
        <f t="shared" si="241"/>
        <v>1900</v>
      </c>
      <c r="M2797" s="272">
        <f t="shared" si="242"/>
        <v>1</v>
      </c>
      <c r="N2797" s="255"/>
      <c r="O2797" s="61">
        <f t="shared" si="243"/>
        <v>1900</v>
      </c>
      <c r="P2797" s="61">
        <f t="shared" si="244"/>
        <v>1</v>
      </c>
      <c r="R2797" s="272"/>
      <c r="S2797" s="272"/>
      <c r="T2797" s="273" t="str">
        <f t="shared" si="245"/>
        <v>-</v>
      </c>
    </row>
    <row r="2798" spans="9:20">
      <c r="I2798" s="213"/>
      <c r="J2798" s="213"/>
      <c r="L2798" s="272">
        <f t="shared" si="241"/>
        <v>1900</v>
      </c>
      <c r="M2798" s="272">
        <f t="shared" si="242"/>
        <v>1</v>
      </c>
      <c r="N2798" s="255"/>
      <c r="O2798" s="61">
        <f t="shared" si="243"/>
        <v>1900</v>
      </c>
      <c r="P2798" s="61">
        <f t="shared" si="244"/>
        <v>1</v>
      </c>
      <c r="R2798" s="272"/>
      <c r="S2798" s="272"/>
      <c r="T2798" s="273" t="str">
        <f t="shared" si="245"/>
        <v>-</v>
      </c>
    </row>
    <row r="2799" spans="9:20">
      <c r="I2799" s="213"/>
      <c r="J2799" s="213"/>
      <c r="L2799" s="272">
        <f t="shared" si="241"/>
        <v>1900</v>
      </c>
      <c r="M2799" s="272">
        <f t="shared" si="242"/>
        <v>1</v>
      </c>
      <c r="N2799" s="255"/>
      <c r="O2799" s="61">
        <f t="shared" si="243"/>
        <v>1900</v>
      </c>
      <c r="P2799" s="61">
        <f t="shared" si="244"/>
        <v>1</v>
      </c>
      <c r="R2799" s="272"/>
      <c r="S2799" s="272"/>
      <c r="T2799" s="273" t="str">
        <f t="shared" si="245"/>
        <v>-</v>
      </c>
    </row>
    <row r="2800" spans="9:20">
      <c r="I2800" s="213"/>
      <c r="J2800" s="213"/>
      <c r="L2800" s="272">
        <f t="shared" si="241"/>
        <v>1900</v>
      </c>
      <c r="M2800" s="272">
        <f t="shared" si="242"/>
        <v>1</v>
      </c>
      <c r="N2800" s="255"/>
      <c r="O2800" s="61">
        <f t="shared" si="243"/>
        <v>1900</v>
      </c>
      <c r="P2800" s="61">
        <f t="shared" si="244"/>
        <v>1</v>
      </c>
      <c r="R2800" s="272"/>
      <c r="S2800" s="272"/>
      <c r="T2800" s="273" t="str">
        <f t="shared" si="245"/>
        <v>-</v>
      </c>
    </row>
    <row r="2801" spans="9:20">
      <c r="I2801" s="213"/>
      <c r="J2801" s="213"/>
      <c r="L2801" s="272">
        <f t="shared" si="241"/>
        <v>1900</v>
      </c>
      <c r="M2801" s="272">
        <f t="shared" si="242"/>
        <v>1</v>
      </c>
      <c r="N2801" s="255"/>
      <c r="O2801" s="61">
        <f t="shared" si="243"/>
        <v>1900</v>
      </c>
      <c r="P2801" s="61">
        <f t="shared" si="244"/>
        <v>1</v>
      </c>
      <c r="R2801" s="272"/>
      <c r="S2801" s="272"/>
      <c r="T2801" s="273" t="str">
        <f t="shared" si="245"/>
        <v>-</v>
      </c>
    </row>
    <row r="2802" spans="9:20">
      <c r="I2802" s="213"/>
      <c r="J2802" s="213"/>
      <c r="L2802" s="272">
        <f t="shared" si="241"/>
        <v>1900</v>
      </c>
      <c r="M2802" s="272">
        <f t="shared" si="242"/>
        <v>1</v>
      </c>
      <c r="N2802" s="255"/>
      <c r="O2802" s="61">
        <f t="shared" si="243"/>
        <v>1900</v>
      </c>
      <c r="P2802" s="61">
        <f t="shared" si="244"/>
        <v>1</v>
      </c>
      <c r="R2802" s="272"/>
      <c r="S2802" s="272"/>
      <c r="T2802" s="273" t="str">
        <f t="shared" si="245"/>
        <v>-</v>
      </c>
    </row>
    <row r="2803" spans="9:20">
      <c r="I2803" s="213"/>
      <c r="J2803" s="213"/>
      <c r="L2803" s="272">
        <f t="shared" si="241"/>
        <v>1900</v>
      </c>
      <c r="M2803" s="272">
        <f t="shared" si="242"/>
        <v>1</v>
      </c>
      <c r="N2803" s="255"/>
      <c r="O2803" s="61">
        <f t="shared" si="243"/>
        <v>1900</v>
      </c>
      <c r="P2803" s="61">
        <f t="shared" si="244"/>
        <v>1</v>
      </c>
      <c r="R2803" s="272"/>
      <c r="S2803" s="272"/>
      <c r="T2803" s="273" t="str">
        <f t="shared" si="245"/>
        <v>-</v>
      </c>
    </row>
    <row r="2804" spans="9:20">
      <c r="I2804" s="213"/>
      <c r="J2804" s="213"/>
      <c r="L2804" s="272">
        <f t="shared" si="241"/>
        <v>1900</v>
      </c>
      <c r="M2804" s="272">
        <f t="shared" si="242"/>
        <v>1</v>
      </c>
      <c r="N2804" s="255"/>
      <c r="O2804" s="61">
        <f t="shared" si="243"/>
        <v>1900</v>
      </c>
      <c r="P2804" s="61">
        <f t="shared" si="244"/>
        <v>1</v>
      </c>
      <c r="R2804" s="272"/>
      <c r="S2804" s="272"/>
      <c r="T2804" s="273" t="str">
        <f t="shared" si="245"/>
        <v>-</v>
      </c>
    </row>
    <row r="2805" spans="9:20">
      <c r="I2805" s="213"/>
      <c r="J2805" s="213"/>
      <c r="L2805" s="272">
        <f t="shared" si="241"/>
        <v>1900</v>
      </c>
      <c r="M2805" s="272">
        <f t="shared" si="242"/>
        <v>1</v>
      </c>
      <c r="N2805" s="255"/>
      <c r="O2805" s="61">
        <f t="shared" si="243"/>
        <v>1900</v>
      </c>
      <c r="P2805" s="61">
        <f t="shared" si="244"/>
        <v>1</v>
      </c>
      <c r="R2805" s="272"/>
      <c r="S2805" s="272"/>
      <c r="T2805" s="273" t="str">
        <f t="shared" si="245"/>
        <v>-</v>
      </c>
    </row>
    <row r="2806" spans="9:20">
      <c r="I2806" s="213"/>
      <c r="J2806" s="213"/>
      <c r="L2806" s="272">
        <f t="shared" si="241"/>
        <v>1900</v>
      </c>
      <c r="M2806" s="272">
        <f t="shared" si="242"/>
        <v>1</v>
      </c>
      <c r="N2806" s="255"/>
      <c r="O2806" s="61">
        <f t="shared" si="243"/>
        <v>1900</v>
      </c>
      <c r="P2806" s="61">
        <f t="shared" si="244"/>
        <v>1</v>
      </c>
      <c r="R2806" s="272"/>
      <c r="S2806" s="272"/>
      <c r="T2806" s="273" t="str">
        <f t="shared" si="245"/>
        <v>-</v>
      </c>
    </row>
    <row r="2807" spans="9:20">
      <c r="I2807" s="213"/>
      <c r="J2807" s="213"/>
      <c r="L2807" s="272">
        <f t="shared" si="241"/>
        <v>1900</v>
      </c>
      <c r="M2807" s="272">
        <f t="shared" si="242"/>
        <v>1</v>
      </c>
      <c r="N2807" s="255"/>
      <c r="O2807" s="61">
        <f t="shared" si="243"/>
        <v>1900</v>
      </c>
      <c r="P2807" s="61">
        <f t="shared" si="244"/>
        <v>1</v>
      </c>
      <c r="R2807" s="272"/>
      <c r="S2807" s="272"/>
      <c r="T2807" s="273" t="str">
        <f t="shared" si="245"/>
        <v>-</v>
      </c>
    </row>
    <row r="2808" spans="9:20">
      <c r="I2808" s="213"/>
      <c r="J2808" s="213"/>
      <c r="L2808" s="272">
        <f t="shared" si="241"/>
        <v>1900</v>
      </c>
      <c r="M2808" s="272">
        <f t="shared" si="242"/>
        <v>1</v>
      </c>
      <c r="N2808" s="255"/>
      <c r="O2808" s="61">
        <f t="shared" si="243"/>
        <v>1900</v>
      </c>
      <c r="P2808" s="61">
        <f t="shared" si="244"/>
        <v>1</v>
      </c>
      <c r="R2808" s="272"/>
      <c r="S2808" s="272"/>
      <c r="T2808" s="273" t="str">
        <f t="shared" si="245"/>
        <v>-</v>
      </c>
    </row>
    <row r="2809" spans="9:20">
      <c r="I2809" s="213"/>
      <c r="J2809" s="213"/>
      <c r="L2809" s="272">
        <f t="shared" si="241"/>
        <v>1900</v>
      </c>
      <c r="M2809" s="272">
        <f t="shared" si="242"/>
        <v>1</v>
      </c>
      <c r="N2809" s="255"/>
      <c r="O2809" s="61">
        <f t="shared" si="243"/>
        <v>1900</v>
      </c>
      <c r="P2809" s="61">
        <f t="shared" si="244"/>
        <v>1</v>
      </c>
      <c r="R2809" s="272"/>
      <c r="S2809" s="272"/>
      <c r="T2809" s="273" t="str">
        <f t="shared" si="245"/>
        <v>-</v>
      </c>
    </row>
    <row r="2810" spans="9:20">
      <c r="I2810" s="213"/>
      <c r="J2810" s="213"/>
      <c r="L2810" s="272">
        <f t="shared" si="241"/>
        <v>1900</v>
      </c>
      <c r="M2810" s="272">
        <f t="shared" si="242"/>
        <v>1</v>
      </c>
      <c r="N2810" s="255"/>
      <c r="O2810" s="61">
        <f t="shared" si="243"/>
        <v>1900</v>
      </c>
      <c r="P2810" s="61">
        <f t="shared" si="244"/>
        <v>1</v>
      </c>
      <c r="R2810" s="272"/>
      <c r="S2810" s="272"/>
      <c r="T2810" s="273" t="str">
        <f t="shared" si="245"/>
        <v>-</v>
      </c>
    </row>
    <row r="2811" spans="9:20">
      <c r="I2811" s="213"/>
      <c r="J2811" s="213"/>
      <c r="L2811" s="272">
        <f t="shared" si="241"/>
        <v>1900</v>
      </c>
      <c r="M2811" s="272">
        <f t="shared" si="242"/>
        <v>1</v>
      </c>
      <c r="N2811" s="255"/>
      <c r="O2811" s="61">
        <f t="shared" si="243"/>
        <v>1900</v>
      </c>
      <c r="P2811" s="61">
        <f t="shared" si="244"/>
        <v>1</v>
      </c>
      <c r="R2811" s="272"/>
      <c r="S2811" s="272"/>
      <c r="T2811" s="273" t="str">
        <f t="shared" si="245"/>
        <v>-</v>
      </c>
    </row>
    <row r="2812" spans="9:20">
      <c r="I2812" s="213"/>
      <c r="J2812" s="213"/>
      <c r="L2812" s="272">
        <f t="shared" si="241"/>
        <v>1900</v>
      </c>
      <c r="M2812" s="272">
        <f t="shared" si="242"/>
        <v>1</v>
      </c>
      <c r="N2812" s="255"/>
      <c r="O2812" s="61">
        <f t="shared" si="243"/>
        <v>1900</v>
      </c>
      <c r="P2812" s="61">
        <f t="shared" si="244"/>
        <v>1</v>
      </c>
      <c r="R2812" s="272"/>
      <c r="S2812" s="272"/>
      <c r="T2812" s="273" t="str">
        <f t="shared" si="245"/>
        <v>-</v>
      </c>
    </row>
    <row r="2813" spans="9:20">
      <c r="I2813" s="213"/>
      <c r="J2813" s="213"/>
      <c r="L2813" s="272">
        <f t="shared" si="241"/>
        <v>1900</v>
      </c>
      <c r="M2813" s="272">
        <f t="shared" si="242"/>
        <v>1</v>
      </c>
      <c r="N2813" s="255"/>
      <c r="O2813" s="61">
        <f t="shared" si="243"/>
        <v>1900</v>
      </c>
      <c r="P2813" s="61">
        <f t="shared" si="244"/>
        <v>1</v>
      </c>
      <c r="R2813" s="272"/>
      <c r="S2813" s="272"/>
      <c r="T2813" s="273" t="str">
        <f t="shared" si="245"/>
        <v>-</v>
      </c>
    </row>
    <row r="2814" spans="9:20">
      <c r="I2814" s="213"/>
      <c r="J2814" s="213"/>
      <c r="L2814" s="272">
        <f t="shared" si="241"/>
        <v>1900</v>
      </c>
      <c r="M2814" s="272">
        <f t="shared" si="242"/>
        <v>1</v>
      </c>
      <c r="N2814" s="255"/>
      <c r="O2814" s="61">
        <f t="shared" si="243"/>
        <v>1900</v>
      </c>
      <c r="P2814" s="61">
        <f t="shared" si="244"/>
        <v>1</v>
      </c>
      <c r="R2814" s="272"/>
      <c r="S2814" s="272"/>
      <c r="T2814" s="273" t="str">
        <f t="shared" si="245"/>
        <v>-</v>
      </c>
    </row>
    <row r="2815" spans="9:20">
      <c r="I2815" s="213"/>
      <c r="J2815" s="213"/>
      <c r="L2815" s="272">
        <f t="shared" si="241"/>
        <v>1900</v>
      </c>
      <c r="M2815" s="272">
        <f t="shared" si="242"/>
        <v>1</v>
      </c>
      <c r="N2815" s="255"/>
      <c r="O2815" s="61">
        <f t="shared" si="243"/>
        <v>1900</v>
      </c>
      <c r="P2815" s="61">
        <f t="shared" si="244"/>
        <v>1</v>
      </c>
      <c r="R2815" s="272"/>
      <c r="S2815" s="272"/>
      <c r="T2815" s="273" t="str">
        <f t="shared" si="245"/>
        <v>-</v>
      </c>
    </row>
    <row r="2816" spans="9:20">
      <c r="I2816" s="213"/>
      <c r="J2816" s="213"/>
      <c r="L2816" s="272">
        <f t="shared" si="241"/>
        <v>1900</v>
      </c>
      <c r="M2816" s="272">
        <f t="shared" si="242"/>
        <v>1</v>
      </c>
      <c r="N2816" s="255"/>
      <c r="O2816" s="61">
        <f t="shared" si="243"/>
        <v>1900</v>
      </c>
      <c r="P2816" s="61">
        <f t="shared" si="244"/>
        <v>1</v>
      </c>
      <c r="R2816" s="272"/>
      <c r="S2816" s="272"/>
      <c r="T2816" s="273" t="str">
        <f t="shared" si="245"/>
        <v>-</v>
      </c>
    </row>
    <row r="2817" spans="9:20">
      <c r="I2817" s="213"/>
      <c r="J2817" s="213"/>
      <c r="L2817" s="272">
        <f t="shared" si="241"/>
        <v>1900</v>
      </c>
      <c r="M2817" s="272">
        <f t="shared" si="242"/>
        <v>1</v>
      </c>
      <c r="N2817" s="255"/>
      <c r="O2817" s="61">
        <f t="shared" si="243"/>
        <v>1900</v>
      </c>
      <c r="P2817" s="61">
        <f t="shared" si="244"/>
        <v>1</v>
      </c>
      <c r="R2817" s="272"/>
      <c r="S2817" s="272"/>
      <c r="T2817" s="273" t="str">
        <f t="shared" si="245"/>
        <v>-</v>
      </c>
    </row>
    <row r="2818" spans="9:20">
      <c r="I2818" s="213"/>
      <c r="J2818" s="213"/>
      <c r="L2818" s="272">
        <f t="shared" si="241"/>
        <v>1900</v>
      </c>
      <c r="M2818" s="272">
        <f t="shared" si="242"/>
        <v>1</v>
      </c>
      <c r="N2818" s="255"/>
      <c r="O2818" s="61">
        <f t="shared" si="243"/>
        <v>1900</v>
      </c>
      <c r="P2818" s="61">
        <f t="shared" si="244"/>
        <v>1</v>
      </c>
      <c r="R2818" s="272"/>
      <c r="S2818" s="272"/>
      <c r="T2818" s="273" t="str">
        <f t="shared" si="245"/>
        <v>-</v>
      </c>
    </row>
    <row r="2819" spans="9:20">
      <c r="I2819" s="213"/>
      <c r="J2819" s="213"/>
      <c r="L2819" s="272">
        <f t="shared" si="241"/>
        <v>1900</v>
      </c>
      <c r="M2819" s="272">
        <f t="shared" si="242"/>
        <v>1</v>
      </c>
      <c r="N2819" s="255"/>
      <c r="O2819" s="61">
        <f t="shared" si="243"/>
        <v>1900</v>
      </c>
      <c r="P2819" s="61">
        <f t="shared" si="244"/>
        <v>1</v>
      </c>
      <c r="R2819" s="272"/>
      <c r="S2819" s="272"/>
      <c r="T2819" s="273" t="str">
        <f t="shared" si="245"/>
        <v>-</v>
      </c>
    </row>
    <row r="2820" spans="9:20">
      <c r="I2820" s="213"/>
      <c r="J2820" s="213"/>
      <c r="L2820" s="272">
        <f t="shared" si="241"/>
        <v>1900</v>
      </c>
      <c r="M2820" s="272">
        <f t="shared" si="242"/>
        <v>1</v>
      </c>
      <c r="N2820" s="255"/>
      <c r="O2820" s="61">
        <f t="shared" si="243"/>
        <v>1900</v>
      </c>
      <c r="P2820" s="61">
        <f t="shared" si="244"/>
        <v>1</v>
      </c>
      <c r="R2820" s="272"/>
      <c r="S2820" s="272"/>
      <c r="T2820" s="273" t="str">
        <f t="shared" si="245"/>
        <v>-</v>
      </c>
    </row>
    <row r="2821" spans="9:20">
      <c r="I2821" s="213"/>
      <c r="J2821" s="213"/>
      <c r="L2821" s="272">
        <f t="shared" si="241"/>
        <v>1900</v>
      </c>
      <c r="M2821" s="272">
        <f t="shared" si="242"/>
        <v>1</v>
      </c>
      <c r="N2821" s="255"/>
      <c r="O2821" s="61">
        <f t="shared" si="243"/>
        <v>1900</v>
      </c>
      <c r="P2821" s="61">
        <f t="shared" si="244"/>
        <v>1</v>
      </c>
      <c r="R2821" s="272"/>
      <c r="S2821" s="272"/>
      <c r="T2821" s="273" t="str">
        <f t="shared" si="245"/>
        <v>-</v>
      </c>
    </row>
    <row r="2822" spans="9:20">
      <c r="I2822" s="213"/>
      <c r="J2822" s="213"/>
      <c r="L2822" s="272">
        <f t="shared" si="241"/>
        <v>1900</v>
      </c>
      <c r="M2822" s="272">
        <f t="shared" si="242"/>
        <v>1</v>
      </c>
      <c r="N2822" s="255"/>
      <c r="O2822" s="61">
        <f t="shared" si="243"/>
        <v>1900</v>
      </c>
      <c r="P2822" s="61">
        <f t="shared" si="244"/>
        <v>1</v>
      </c>
      <c r="R2822" s="272"/>
      <c r="S2822" s="272"/>
      <c r="T2822" s="273" t="str">
        <f t="shared" si="245"/>
        <v>-</v>
      </c>
    </row>
    <row r="2823" spans="9:20">
      <c r="I2823" s="213"/>
      <c r="J2823" s="213"/>
      <c r="L2823" s="272">
        <f t="shared" si="241"/>
        <v>1900</v>
      </c>
      <c r="M2823" s="272">
        <f t="shared" si="242"/>
        <v>1</v>
      </c>
      <c r="N2823" s="255"/>
      <c r="O2823" s="61">
        <f t="shared" si="243"/>
        <v>1900</v>
      </c>
      <c r="P2823" s="61">
        <f t="shared" si="244"/>
        <v>1</v>
      </c>
      <c r="R2823" s="272"/>
      <c r="S2823" s="272"/>
      <c r="T2823" s="273" t="str">
        <f t="shared" si="245"/>
        <v>-</v>
      </c>
    </row>
    <row r="2824" spans="9:20">
      <c r="I2824" s="213"/>
      <c r="J2824" s="213"/>
      <c r="L2824" s="272">
        <f t="shared" si="241"/>
        <v>1900</v>
      </c>
      <c r="M2824" s="272">
        <f t="shared" si="242"/>
        <v>1</v>
      </c>
      <c r="N2824" s="255"/>
      <c r="O2824" s="61">
        <f t="shared" si="243"/>
        <v>1900</v>
      </c>
      <c r="P2824" s="61">
        <f t="shared" si="244"/>
        <v>1</v>
      </c>
      <c r="R2824" s="272"/>
      <c r="S2824" s="272"/>
      <c r="T2824" s="273" t="str">
        <f t="shared" si="245"/>
        <v>-</v>
      </c>
    </row>
    <row r="2825" spans="9:20">
      <c r="I2825" s="213"/>
      <c r="J2825" s="213"/>
      <c r="L2825" s="272">
        <f t="shared" si="241"/>
        <v>1900</v>
      </c>
      <c r="M2825" s="272">
        <f t="shared" si="242"/>
        <v>1</v>
      </c>
      <c r="N2825" s="255"/>
      <c r="O2825" s="61">
        <f t="shared" si="243"/>
        <v>1900</v>
      </c>
      <c r="P2825" s="61">
        <f t="shared" si="244"/>
        <v>1</v>
      </c>
      <c r="R2825" s="272"/>
      <c r="S2825" s="272"/>
      <c r="T2825" s="273" t="str">
        <f t="shared" si="245"/>
        <v>-</v>
      </c>
    </row>
    <row r="2826" spans="9:20">
      <c r="I2826" s="213"/>
      <c r="J2826" s="213"/>
      <c r="L2826" s="272">
        <f t="shared" si="241"/>
        <v>1900</v>
      </c>
      <c r="M2826" s="272">
        <f t="shared" si="242"/>
        <v>1</v>
      </c>
      <c r="N2826" s="255"/>
      <c r="O2826" s="61">
        <f t="shared" si="243"/>
        <v>1900</v>
      </c>
      <c r="P2826" s="61">
        <f t="shared" si="244"/>
        <v>1</v>
      </c>
      <c r="R2826" s="272"/>
      <c r="S2826" s="272"/>
      <c r="T2826" s="273" t="str">
        <f t="shared" si="245"/>
        <v>-</v>
      </c>
    </row>
    <row r="2827" spans="9:20">
      <c r="I2827" s="213"/>
      <c r="J2827" s="213"/>
      <c r="L2827" s="272">
        <f t="shared" si="241"/>
        <v>1900</v>
      </c>
      <c r="M2827" s="272">
        <f t="shared" si="242"/>
        <v>1</v>
      </c>
      <c r="N2827" s="255"/>
      <c r="O2827" s="61">
        <f t="shared" si="243"/>
        <v>1900</v>
      </c>
      <c r="P2827" s="61">
        <f t="shared" si="244"/>
        <v>1</v>
      </c>
      <c r="R2827" s="272"/>
      <c r="S2827" s="272"/>
      <c r="T2827" s="273" t="str">
        <f t="shared" si="245"/>
        <v>-</v>
      </c>
    </row>
    <row r="2828" spans="9:20">
      <c r="I2828" s="213"/>
      <c r="J2828" s="213"/>
      <c r="L2828" s="272">
        <f t="shared" si="241"/>
        <v>1900</v>
      </c>
      <c r="M2828" s="272">
        <f t="shared" si="242"/>
        <v>1</v>
      </c>
      <c r="N2828" s="255"/>
      <c r="O2828" s="61">
        <f t="shared" si="243"/>
        <v>1900</v>
      </c>
      <c r="P2828" s="61">
        <f t="shared" si="244"/>
        <v>1</v>
      </c>
      <c r="R2828" s="272"/>
      <c r="S2828" s="272"/>
      <c r="T2828" s="273" t="str">
        <f t="shared" si="245"/>
        <v>-</v>
      </c>
    </row>
    <row r="2829" spans="9:20">
      <c r="I2829" s="213"/>
      <c r="J2829" s="213"/>
      <c r="L2829" s="272">
        <f t="shared" si="241"/>
        <v>1900</v>
      </c>
      <c r="M2829" s="272">
        <f t="shared" si="242"/>
        <v>1</v>
      </c>
      <c r="N2829" s="255"/>
      <c r="O2829" s="61">
        <f t="shared" si="243"/>
        <v>1900</v>
      </c>
      <c r="P2829" s="61">
        <f t="shared" si="244"/>
        <v>1</v>
      </c>
      <c r="R2829" s="272"/>
      <c r="S2829" s="272"/>
      <c r="T2829" s="273" t="str">
        <f t="shared" si="245"/>
        <v>-</v>
      </c>
    </row>
    <row r="2830" spans="9:20">
      <c r="I2830" s="213"/>
      <c r="J2830" s="213"/>
      <c r="L2830" s="272">
        <f t="shared" si="241"/>
        <v>1900</v>
      </c>
      <c r="M2830" s="272">
        <f t="shared" si="242"/>
        <v>1</v>
      </c>
      <c r="N2830" s="255"/>
      <c r="O2830" s="61">
        <f t="shared" si="243"/>
        <v>1900</v>
      </c>
      <c r="P2830" s="61">
        <f t="shared" si="244"/>
        <v>1</v>
      </c>
      <c r="R2830" s="272"/>
      <c r="S2830" s="272"/>
      <c r="T2830" s="273" t="str">
        <f t="shared" si="245"/>
        <v>-</v>
      </c>
    </row>
    <row r="2831" spans="9:20">
      <c r="I2831" s="213"/>
      <c r="J2831" s="213"/>
      <c r="L2831" s="272">
        <f t="shared" si="241"/>
        <v>1900</v>
      </c>
      <c r="M2831" s="272">
        <f t="shared" si="242"/>
        <v>1</v>
      </c>
      <c r="N2831" s="255"/>
      <c r="O2831" s="61">
        <f t="shared" si="243"/>
        <v>1900</v>
      </c>
      <c r="P2831" s="61">
        <f t="shared" si="244"/>
        <v>1</v>
      </c>
      <c r="R2831" s="272"/>
      <c r="S2831" s="272"/>
      <c r="T2831" s="273" t="str">
        <f t="shared" si="245"/>
        <v>-</v>
      </c>
    </row>
    <row r="2832" spans="9:20">
      <c r="I2832" s="213"/>
      <c r="J2832" s="213"/>
      <c r="L2832" s="272">
        <f t="shared" ref="L2832:L2895" si="246">YEAR(B2832)</f>
        <v>1900</v>
      </c>
      <c r="M2832" s="272">
        <f t="shared" ref="M2832:M2895" si="247">MONTH(B2832)</f>
        <v>1</v>
      </c>
      <c r="N2832" s="255"/>
      <c r="O2832" s="61">
        <f t="shared" ref="O2832:O2895" si="248">YEAR(B2832)</f>
        <v>1900</v>
      </c>
      <c r="P2832" s="61">
        <f t="shared" ref="P2832:P2895" si="249">MONTH(B2832)</f>
        <v>1</v>
      </c>
      <c r="R2832" s="272"/>
      <c r="S2832" s="272"/>
      <c r="T2832" s="273" t="str">
        <f t="shared" ref="T2832:T2895" si="250">IF($E2832&gt;0,IF((R2832+S2832)=$E2832,"OK","Error"),"-")</f>
        <v>-</v>
      </c>
    </row>
    <row r="2833" spans="9:20">
      <c r="I2833" s="213"/>
      <c r="J2833" s="213"/>
      <c r="L2833" s="272">
        <f t="shared" si="246"/>
        <v>1900</v>
      </c>
      <c r="M2833" s="272">
        <f t="shared" si="247"/>
        <v>1</v>
      </c>
      <c r="N2833" s="255"/>
      <c r="O2833" s="61">
        <f t="shared" si="248"/>
        <v>1900</v>
      </c>
      <c r="P2833" s="61">
        <f t="shared" si="249"/>
        <v>1</v>
      </c>
      <c r="R2833" s="272"/>
      <c r="S2833" s="272"/>
      <c r="T2833" s="273" t="str">
        <f t="shared" si="250"/>
        <v>-</v>
      </c>
    </row>
    <row r="2834" spans="9:20">
      <c r="I2834" s="213"/>
      <c r="J2834" s="213"/>
      <c r="L2834" s="272">
        <f t="shared" si="246"/>
        <v>1900</v>
      </c>
      <c r="M2834" s="272">
        <f t="shared" si="247"/>
        <v>1</v>
      </c>
      <c r="N2834" s="255"/>
      <c r="O2834" s="61">
        <f t="shared" si="248"/>
        <v>1900</v>
      </c>
      <c r="P2834" s="61">
        <f t="shared" si="249"/>
        <v>1</v>
      </c>
      <c r="R2834" s="272"/>
      <c r="S2834" s="272"/>
      <c r="T2834" s="273" t="str">
        <f t="shared" si="250"/>
        <v>-</v>
      </c>
    </row>
    <row r="2835" spans="9:20">
      <c r="I2835" s="213"/>
      <c r="J2835" s="213"/>
      <c r="L2835" s="272">
        <f t="shared" si="246"/>
        <v>1900</v>
      </c>
      <c r="M2835" s="272">
        <f t="shared" si="247"/>
        <v>1</v>
      </c>
      <c r="N2835" s="255"/>
      <c r="O2835" s="61">
        <f t="shared" si="248"/>
        <v>1900</v>
      </c>
      <c r="P2835" s="61">
        <f t="shared" si="249"/>
        <v>1</v>
      </c>
      <c r="R2835" s="272"/>
      <c r="S2835" s="272"/>
      <c r="T2835" s="273" t="str">
        <f t="shared" si="250"/>
        <v>-</v>
      </c>
    </row>
    <row r="2836" spans="9:20">
      <c r="I2836" s="213"/>
      <c r="J2836" s="213"/>
      <c r="L2836" s="272">
        <f t="shared" si="246"/>
        <v>1900</v>
      </c>
      <c r="M2836" s="272">
        <f t="shared" si="247"/>
        <v>1</v>
      </c>
      <c r="N2836" s="255"/>
      <c r="O2836" s="61">
        <f t="shared" si="248"/>
        <v>1900</v>
      </c>
      <c r="P2836" s="61">
        <f t="shared" si="249"/>
        <v>1</v>
      </c>
      <c r="R2836" s="272"/>
      <c r="S2836" s="272"/>
      <c r="T2836" s="273" t="str">
        <f t="shared" si="250"/>
        <v>-</v>
      </c>
    </row>
    <row r="2837" spans="9:20">
      <c r="I2837" s="213"/>
      <c r="J2837" s="213"/>
      <c r="L2837" s="272">
        <f t="shared" si="246"/>
        <v>1900</v>
      </c>
      <c r="M2837" s="272">
        <f t="shared" si="247"/>
        <v>1</v>
      </c>
      <c r="N2837" s="255"/>
      <c r="O2837" s="61">
        <f t="shared" si="248"/>
        <v>1900</v>
      </c>
      <c r="P2837" s="61">
        <f t="shared" si="249"/>
        <v>1</v>
      </c>
      <c r="R2837" s="272"/>
      <c r="S2837" s="272"/>
      <c r="T2837" s="273" t="str">
        <f t="shared" si="250"/>
        <v>-</v>
      </c>
    </row>
    <row r="2838" spans="9:20">
      <c r="I2838" s="213"/>
      <c r="J2838" s="213"/>
      <c r="L2838" s="272">
        <f t="shared" si="246"/>
        <v>1900</v>
      </c>
      <c r="M2838" s="272">
        <f t="shared" si="247"/>
        <v>1</v>
      </c>
      <c r="N2838" s="255"/>
      <c r="O2838" s="61">
        <f t="shared" si="248"/>
        <v>1900</v>
      </c>
      <c r="P2838" s="61">
        <f t="shared" si="249"/>
        <v>1</v>
      </c>
      <c r="R2838" s="272"/>
      <c r="S2838" s="272"/>
      <c r="T2838" s="273" t="str">
        <f t="shared" si="250"/>
        <v>-</v>
      </c>
    </row>
    <row r="2839" spans="9:20">
      <c r="I2839" s="213"/>
      <c r="J2839" s="213"/>
      <c r="L2839" s="272">
        <f t="shared" si="246"/>
        <v>1900</v>
      </c>
      <c r="M2839" s="272">
        <f t="shared" si="247"/>
        <v>1</v>
      </c>
      <c r="N2839" s="255"/>
      <c r="O2839" s="61">
        <f t="shared" si="248"/>
        <v>1900</v>
      </c>
      <c r="P2839" s="61">
        <f t="shared" si="249"/>
        <v>1</v>
      </c>
      <c r="R2839" s="272"/>
      <c r="S2839" s="272"/>
      <c r="T2839" s="273" t="str">
        <f t="shared" si="250"/>
        <v>-</v>
      </c>
    </row>
    <row r="2840" spans="9:20">
      <c r="I2840" s="213"/>
      <c r="J2840" s="213"/>
      <c r="L2840" s="272">
        <f t="shared" si="246"/>
        <v>1900</v>
      </c>
      <c r="M2840" s="272">
        <f t="shared" si="247"/>
        <v>1</v>
      </c>
      <c r="N2840" s="255"/>
      <c r="O2840" s="61">
        <f t="shared" si="248"/>
        <v>1900</v>
      </c>
      <c r="P2840" s="61">
        <f t="shared" si="249"/>
        <v>1</v>
      </c>
      <c r="R2840" s="272"/>
      <c r="S2840" s="272"/>
      <c r="T2840" s="273" t="str">
        <f t="shared" si="250"/>
        <v>-</v>
      </c>
    </row>
    <row r="2841" spans="9:20">
      <c r="I2841" s="213"/>
      <c r="J2841" s="213"/>
      <c r="L2841" s="272">
        <f t="shared" si="246"/>
        <v>1900</v>
      </c>
      <c r="M2841" s="272">
        <f t="shared" si="247"/>
        <v>1</v>
      </c>
      <c r="N2841" s="255"/>
      <c r="O2841" s="61">
        <f t="shared" si="248"/>
        <v>1900</v>
      </c>
      <c r="P2841" s="61">
        <f t="shared" si="249"/>
        <v>1</v>
      </c>
      <c r="R2841" s="272"/>
      <c r="S2841" s="272"/>
      <c r="T2841" s="273" t="str">
        <f t="shared" si="250"/>
        <v>-</v>
      </c>
    </row>
    <row r="2842" spans="9:20">
      <c r="I2842" s="213"/>
      <c r="J2842" s="213"/>
      <c r="L2842" s="272">
        <f t="shared" si="246"/>
        <v>1900</v>
      </c>
      <c r="M2842" s="272">
        <f t="shared" si="247"/>
        <v>1</v>
      </c>
      <c r="N2842" s="255"/>
      <c r="O2842" s="61">
        <f t="shared" si="248"/>
        <v>1900</v>
      </c>
      <c r="P2842" s="61">
        <f t="shared" si="249"/>
        <v>1</v>
      </c>
      <c r="R2842" s="272"/>
      <c r="S2842" s="272"/>
      <c r="T2842" s="273" t="str">
        <f t="shared" si="250"/>
        <v>-</v>
      </c>
    </row>
    <row r="2843" spans="9:20">
      <c r="I2843" s="213"/>
      <c r="J2843" s="213"/>
      <c r="L2843" s="272">
        <f t="shared" si="246"/>
        <v>1900</v>
      </c>
      <c r="M2843" s="272">
        <f t="shared" si="247"/>
        <v>1</v>
      </c>
      <c r="N2843" s="255"/>
      <c r="O2843" s="61">
        <f t="shared" si="248"/>
        <v>1900</v>
      </c>
      <c r="P2843" s="61">
        <f t="shared" si="249"/>
        <v>1</v>
      </c>
      <c r="R2843" s="272"/>
      <c r="S2843" s="272"/>
      <c r="T2843" s="273" t="str">
        <f t="shared" si="250"/>
        <v>-</v>
      </c>
    </row>
    <row r="2844" spans="9:20">
      <c r="I2844" s="213"/>
      <c r="J2844" s="213"/>
      <c r="L2844" s="272">
        <f t="shared" si="246"/>
        <v>1900</v>
      </c>
      <c r="M2844" s="272">
        <f t="shared" si="247"/>
        <v>1</v>
      </c>
      <c r="N2844" s="255"/>
      <c r="O2844" s="61">
        <f t="shared" si="248"/>
        <v>1900</v>
      </c>
      <c r="P2844" s="61">
        <f t="shared" si="249"/>
        <v>1</v>
      </c>
      <c r="R2844" s="272"/>
      <c r="S2844" s="272"/>
      <c r="T2844" s="273" t="str">
        <f t="shared" si="250"/>
        <v>-</v>
      </c>
    </row>
    <row r="2845" spans="9:20">
      <c r="I2845" s="213"/>
      <c r="J2845" s="213"/>
      <c r="L2845" s="272">
        <f t="shared" si="246"/>
        <v>1900</v>
      </c>
      <c r="M2845" s="272">
        <f t="shared" si="247"/>
        <v>1</v>
      </c>
      <c r="N2845" s="255"/>
      <c r="O2845" s="61">
        <f t="shared" si="248"/>
        <v>1900</v>
      </c>
      <c r="P2845" s="61">
        <f t="shared" si="249"/>
        <v>1</v>
      </c>
      <c r="R2845" s="272"/>
      <c r="S2845" s="272"/>
      <c r="T2845" s="273" t="str">
        <f t="shared" si="250"/>
        <v>-</v>
      </c>
    </row>
    <row r="2846" spans="9:20">
      <c r="I2846" s="213"/>
      <c r="J2846" s="213"/>
      <c r="L2846" s="272">
        <f t="shared" si="246"/>
        <v>1900</v>
      </c>
      <c r="M2846" s="272">
        <f t="shared" si="247"/>
        <v>1</v>
      </c>
      <c r="N2846" s="255"/>
      <c r="O2846" s="61">
        <f t="shared" si="248"/>
        <v>1900</v>
      </c>
      <c r="P2846" s="61">
        <f t="shared" si="249"/>
        <v>1</v>
      </c>
      <c r="R2846" s="272"/>
      <c r="S2846" s="272"/>
      <c r="T2846" s="273" t="str">
        <f t="shared" si="250"/>
        <v>-</v>
      </c>
    </row>
    <row r="2847" spans="9:20">
      <c r="I2847" s="213"/>
      <c r="J2847" s="213"/>
      <c r="L2847" s="272">
        <f t="shared" si="246"/>
        <v>1900</v>
      </c>
      <c r="M2847" s="272">
        <f t="shared" si="247"/>
        <v>1</v>
      </c>
      <c r="N2847" s="255"/>
      <c r="O2847" s="61">
        <f t="shared" si="248"/>
        <v>1900</v>
      </c>
      <c r="P2847" s="61">
        <f t="shared" si="249"/>
        <v>1</v>
      </c>
      <c r="R2847" s="272"/>
      <c r="S2847" s="272"/>
      <c r="T2847" s="273" t="str">
        <f t="shared" si="250"/>
        <v>-</v>
      </c>
    </row>
    <row r="2848" spans="9:20">
      <c r="I2848" s="213"/>
      <c r="J2848" s="213"/>
      <c r="L2848" s="272">
        <f t="shared" si="246"/>
        <v>1900</v>
      </c>
      <c r="M2848" s="272">
        <f t="shared" si="247"/>
        <v>1</v>
      </c>
      <c r="N2848" s="255"/>
      <c r="O2848" s="61">
        <f t="shared" si="248"/>
        <v>1900</v>
      </c>
      <c r="P2848" s="61">
        <f t="shared" si="249"/>
        <v>1</v>
      </c>
      <c r="R2848" s="272"/>
      <c r="S2848" s="272"/>
      <c r="T2848" s="273" t="str">
        <f t="shared" si="250"/>
        <v>-</v>
      </c>
    </row>
    <row r="2849" spans="9:20">
      <c r="I2849" s="213"/>
      <c r="J2849" s="213"/>
      <c r="L2849" s="272">
        <f t="shared" si="246"/>
        <v>1900</v>
      </c>
      <c r="M2849" s="272">
        <f t="shared" si="247"/>
        <v>1</v>
      </c>
      <c r="N2849" s="255"/>
      <c r="O2849" s="61">
        <f t="shared" si="248"/>
        <v>1900</v>
      </c>
      <c r="P2849" s="61">
        <f t="shared" si="249"/>
        <v>1</v>
      </c>
      <c r="R2849" s="272"/>
      <c r="S2849" s="272"/>
      <c r="T2849" s="273" t="str">
        <f t="shared" si="250"/>
        <v>-</v>
      </c>
    </row>
    <row r="2850" spans="9:20">
      <c r="I2850" s="213"/>
      <c r="J2850" s="213"/>
      <c r="L2850" s="272">
        <f t="shared" si="246"/>
        <v>1900</v>
      </c>
      <c r="M2850" s="272">
        <f t="shared" si="247"/>
        <v>1</v>
      </c>
      <c r="N2850" s="255"/>
      <c r="O2850" s="61">
        <f t="shared" si="248"/>
        <v>1900</v>
      </c>
      <c r="P2850" s="61">
        <f t="shared" si="249"/>
        <v>1</v>
      </c>
      <c r="R2850" s="272"/>
      <c r="S2850" s="272"/>
      <c r="T2850" s="273" t="str">
        <f t="shared" si="250"/>
        <v>-</v>
      </c>
    </row>
    <row r="2851" spans="9:20">
      <c r="I2851" s="213"/>
      <c r="J2851" s="213"/>
      <c r="L2851" s="272">
        <f t="shared" si="246"/>
        <v>1900</v>
      </c>
      <c r="M2851" s="272">
        <f t="shared" si="247"/>
        <v>1</v>
      </c>
      <c r="N2851" s="255"/>
      <c r="O2851" s="61">
        <f t="shared" si="248"/>
        <v>1900</v>
      </c>
      <c r="P2851" s="61">
        <f t="shared" si="249"/>
        <v>1</v>
      </c>
      <c r="R2851" s="272"/>
      <c r="S2851" s="272"/>
      <c r="T2851" s="273" t="str">
        <f t="shared" si="250"/>
        <v>-</v>
      </c>
    </row>
    <row r="2852" spans="9:20">
      <c r="I2852" s="213"/>
      <c r="J2852" s="213"/>
      <c r="L2852" s="272">
        <f t="shared" si="246"/>
        <v>1900</v>
      </c>
      <c r="M2852" s="272">
        <f t="shared" si="247"/>
        <v>1</v>
      </c>
      <c r="N2852" s="255"/>
      <c r="O2852" s="61">
        <f t="shared" si="248"/>
        <v>1900</v>
      </c>
      <c r="P2852" s="61">
        <f t="shared" si="249"/>
        <v>1</v>
      </c>
      <c r="R2852" s="272"/>
      <c r="S2852" s="272"/>
      <c r="T2852" s="273" t="str">
        <f t="shared" si="250"/>
        <v>-</v>
      </c>
    </row>
    <row r="2853" spans="9:20">
      <c r="I2853" s="213"/>
      <c r="J2853" s="213"/>
      <c r="L2853" s="272">
        <f t="shared" si="246"/>
        <v>1900</v>
      </c>
      <c r="M2853" s="272">
        <f t="shared" si="247"/>
        <v>1</v>
      </c>
      <c r="N2853" s="255"/>
      <c r="O2853" s="61">
        <f t="shared" si="248"/>
        <v>1900</v>
      </c>
      <c r="P2853" s="61">
        <f t="shared" si="249"/>
        <v>1</v>
      </c>
      <c r="R2853" s="272"/>
      <c r="S2853" s="272"/>
      <c r="T2853" s="273" t="str">
        <f t="shared" si="250"/>
        <v>-</v>
      </c>
    </row>
    <row r="2854" spans="9:20">
      <c r="I2854" s="213"/>
      <c r="J2854" s="213"/>
      <c r="L2854" s="272">
        <f t="shared" si="246"/>
        <v>1900</v>
      </c>
      <c r="M2854" s="272">
        <f t="shared" si="247"/>
        <v>1</v>
      </c>
      <c r="N2854" s="255"/>
      <c r="O2854" s="61">
        <f t="shared" si="248"/>
        <v>1900</v>
      </c>
      <c r="P2854" s="61">
        <f t="shared" si="249"/>
        <v>1</v>
      </c>
      <c r="R2854" s="272"/>
      <c r="S2854" s="272"/>
      <c r="T2854" s="273" t="str">
        <f t="shared" si="250"/>
        <v>-</v>
      </c>
    </row>
    <row r="2855" spans="9:20">
      <c r="I2855" s="213"/>
      <c r="J2855" s="213"/>
      <c r="L2855" s="272">
        <f t="shared" si="246"/>
        <v>1900</v>
      </c>
      <c r="M2855" s="272">
        <f t="shared" si="247"/>
        <v>1</v>
      </c>
      <c r="N2855" s="255"/>
      <c r="O2855" s="61">
        <f t="shared" si="248"/>
        <v>1900</v>
      </c>
      <c r="P2855" s="61">
        <f t="shared" si="249"/>
        <v>1</v>
      </c>
      <c r="R2855" s="272"/>
      <c r="S2855" s="272"/>
      <c r="T2855" s="273" t="str">
        <f t="shared" si="250"/>
        <v>-</v>
      </c>
    </row>
    <row r="2856" spans="9:20">
      <c r="I2856" s="213"/>
      <c r="J2856" s="213"/>
      <c r="L2856" s="272">
        <f t="shared" si="246"/>
        <v>1900</v>
      </c>
      <c r="M2856" s="272">
        <f t="shared" si="247"/>
        <v>1</v>
      </c>
      <c r="N2856" s="255"/>
      <c r="O2856" s="61">
        <f t="shared" si="248"/>
        <v>1900</v>
      </c>
      <c r="P2856" s="61">
        <f t="shared" si="249"/>
        <v>1</v>
      </c>
      <c r="R2856" s="272"/>
      <c r="S2856" s="272"/>
      <c r="T2856" s="273" t="str">
        <f t="shared" si="250"/>
        <v>-</v>
      </c>
    </row>
    <row r="2857" spans="9:20">
      <c r="I2857" s="213"/>
      <c r="J2857" s="213"/>
      <c r="L2857" s="272">
        <f t="shared" si="246"/>
        <v>1900</v>
      </c>
      <c r="M2857" s="272">
        <f t="shared" si="247"/>
        <v>1</v>
      </c>
      <c r="N2857" s="255"/>
      <c r="O2857" s="61">
        <f t="shared" si="248"/>
        <v>1900</v>
      </c>
      <c r="P2857" s="61">
        <f t="shared" si="249"/>
        <v>1</v>
      </c>
      <c r="R2857" s="272"/>
      <c r="S2857" s="272"/>
      <c r="T2857" s="273" t="str">
        <f t="shared" si="250"/>
        <v>-</v>
      </c>
    </row>
    <row r="2858" spans="9:20">
      <c r="I2858" s="213"/>
      <c r="J2858" s="213"/>
      <c r="L2858" s="272">
        <f t="shared" si="246"/>
        <v>1900</v>
      </c>
      <c r="M2858" s="272">
        <f t="shared" si="247"/>
        <v>1</v>
      </c>
      <c r="N2858" s="255"/>
      <c r="O2858" s="61">
        <f t="shared" si="248"/>
        <v>1900</v>
      </c>
      <c r="P2858" s="61">
        <f t="shared" si="249"/>
        <v>1</v>
      </c>
      <c r="R2858" s="272"/>
      <c r="S2858" s="272"/>
      <c r="T2858" s="273" t="str">
        <f t="shared" si="250"/>
        <v>-</v>
      </c>
    </row>
    <row r="2859" spans="9:20">
      <c r="I2859" s="213"/>
      <c r="J2859" s="213"/>
      <c r="L2859" s="272">
        <f t="shared" si="246"/>
        <v>1900</v>
      </c>
      <c r="M2859" s="272">
        <f t="shared" si="247"/>
        <v>1</v>
      </c>
      <c r="N2859" s="255"/>
      <c r="O2859" s="61">
        <f t="shared" si="248"/>
        <v>1900</v>
      </c>
      <c r="P2859" s="61">
        <f t="shared" si="249"/>
        <v>1</v>
      </c>
      <c r="R2859" s="272"/>
      <c r="S2859" s="272"/>
      <c r="T2859" s="273" t="str">
        <f t="shared" si="250"/>
        <v>-</v>
      </c>
    </row>
    <row r="2860" spans="9:20">
      <c r="I2860" s="213"/>
      <c r="J2860" s="213"/>
      <c r="L2860" s="272">
        <f t="shared" si="246"/>
        <v>1900</v>
      </c>
      <c r="M2860" s="272">
        <f t="shared" si="247"/>
        <v>1</v>
      </c>
      <c r="N2860" s="255"/>
      <c r="O2860" s="61">
        <f t="shared" si="248"/>
        <v>1900</v>
      </c>
      <c r="P2860" s="61">
        <f t="shared" si="249"/>
        <v>1</v>
      </c>
      <c r="R2860" s="272"/>
      <c r="S2860" s="272"/>
      <c r="T2860" s="273" t="str">
        <f t="shared" si="250"/>
        <v>-</v>
      </c>
    </row>
    <row r="2861" spans="9:20">
      <c r="I2861" s="213"/>
      <c r="J2861" s="213"/>
      <c r="L2861" s="272">
        <f t="shared" si="246"/>
        <v>1900</v>
      </c>
      <c r="M2861" s="272">
        <f t="shared" si="247"/>
        <v>1</v>
      </c>
      <c r="N2861" s="255"/>
      <c r="O2861" s="61">
        <f t="shared" si="248"/>
        <v>1900</v>
      </c>
      <c r="P2861" s="61">
        <f t="shared" si="249"/>
        <v>1</v>
      </c>
      <c r="R2861" s="272"/>
      <c r="S2861" s="272"/>
      <c r="T2861" s="273" t="str">
        <f t="shared" si="250"/>
        <v>-</v>
      </c>
    </row>
    <row r="2862" spans="9:20">
      <c r="I2862" s="213"/>
      <c r="J2862" s="213"/>
      <c r="L2862" s="272">
        <f t="shared" si="246"/>
        <v>1900</v>
      </c>
      <c r="M2862" s="272">
        <f t="shared" si="247"/>
        <v>1</v>
      </c>
      <c r="N2862" s="255"/>
      <c r="O2862" s="61">
        <f t="shared" si="248"/>
        <v>1900</v>
      </c>
      <c r="P2862" s="61">
        <f t="shared" si="249"/>
        <v>1</v>
      </c>
      <c r="R2862" s="272"/>
      <c r="S2862" s="272"/>
      <c r="T2862" s="273" t="str">
        <f t="shared" si="250"/>
        <v>-</v>
      </c>
    </row>
    <row r="2863" spans="9:20">
      <c r="I2863" s="213"/>
      <c r="J2863" s="213"/>
      <c r="L2863" s="272">
        <f t="shared" si="246"/>
        <v>1900</v>
      </c>
      <c r="M2863" s="272">
        <f t="shared" si="247"/>
        <v>1</v>
      </c>
      <c r="N2863" s="255"/>
      <c r="O2863" s="61">
        <f t="shared" si="248"/>
        <v>1900</v>
      </c>
      <c r="P2863" s="61">
        <f t="shared" si="249"/>
        <v>1</v>
      </c>
      <c r="R2863" s="272"/>
      <c r="S2863" s="272"/>
      <c r="T2863" s="273" t="str">
        <f t="shared" si="250"/>
        <v>-</v>
      </c>
    </row>
    <row r="2864" spans="9:20">
      <c r="I2864" s="213"/>
      <c r="J2864" s="213"/>
      <c r="L2864" s="272">
        <f t="shared" si="246"/>
        <v>1900</v>
      </c>
      <c r="M2864" s="272">
        <f t="shared" si="247"/>
        <v>1</v>
      </c>
      <c r="N2864" s="255"/>
      <c r="O2864" s="61">
        <f t="shared" si="248"/>
        <v>1900</v>
      </c>
      <c r="P2864" s="61">
        <f t="shared" si="249"/>
        <v>1</v>
      </c>
      <c r="R2864" s="272"/>
      <c r="S2864" s="272"/>
      <c r="T2864" s="273" t="str">
        <f t="shared" si="250"/>
        <v>-</v>
      </c>
    </row>
    <row r="2865" spans="9:20">
      <c r="I2865" s="213"/>
      <c r="J2865" s="213"/>
      <c r="L2865" s="272">
        <f t="shared" si="246"/>
        <v>1900</v>
      </c>
      <c r="M2865" s="272">
        <f t="shared" si="247"/>
        <v>1</v>
      </c>
      <c r="N2865" s="255"/>
      <c r="O2865" s="61">
        <f t="shared" si="248"/>
        <v>1900</v>
      </c>
      <c r="P2865" s="61">
        <f t="shared" si="249"/>
        <v>1</v>
      </c>
      <c r="R2865" s="272"/>
      <c r="S2865" s="272"/>
      <c r="T2865" s="273" t="str">
        <f t="shared" si="250"/>
        <v>-</v>
      </c>
    </row>
    <row r="2866" spans="9:20">
      <c r="I2866" s="213"/>
      <c r="J2866" s="213"/>
      <c r="L2866" s="272">
        <f t="shared" si="246"/>
        <v>1900</v>
      </c>
      <c r="M2866" s="272">
        <f t="shared" si="247"/>
        <v>1</v>
      </c>
      <c r="N2866" s="255"/>
      <c r="O2866" s="61">
        <f t="shared" si="248"/>
        <v>1900</v>
      </c>
      <c r="P2866" s="61">
        <f t="shared" si="249"/>
        <v>1</v>
      </c>
      <c r="R2866" s="272"/>
      <c r="S2866" s="272"/>
      <c r="T2866" s="273" t="str">
        <f t="shared" si="250"/>
        <v>-</v>
      </c>
    </row>
    <row r="2867" spans="9:20">
      <c r="I2867" s="213"/>
      <c r="J2867" s="213"/>
      <c r="L2867" s="272">
        <f t="shared" si="246"/>
        <v>1900</v>
      </c>
      <c r="M2867" s="272">
        <f t="shared" si="247"/>
        <v>1</v>
      </c>
      <c r="N2867" s="255"/>
      <c r="O2867" s="61">
        <f t="shared" si="248"/>
        <v>1900</v>
      </c>
      <c r="P2867" s="61">
        <f t="shared" si="249"/>
        <v>1</v>
      </c>
      <c r="R2867" s="272"/>
      <c r="S2867" s="272"/>
      <c r="T2867" s="273" t="str">
        <f t="shared" si="250"/>
        <v>-</v>
      </c>
    </row>
    <row r="2868" spans="9:20">
      <c r="I2868" s="213"/>
      <c r="J2868" s="213"/>
      <c r="L2868" s="272">
        <f t="shared" si="246"/>
        <v>1900</v>
      </c>
      <c r="M2868" s="272">
        <f t="shared" si="247"/>
        <v>1</v>
      </c>
      <c r="N2868" s="255"/>
      <c r="O2868" s="61">
        <f t="shared" si="248"/>
        <v>1900</v>
      </c>
      <c r="P2868" s="61">
        <f t="shared" si="249"/>
        <v>1</v>
      </c>
      <c r="R2868" s="272"/>
      <c r="S2868" s="272"/>
      <c r="T2868" s="273" t="str">
        <f t="shared" si="250"/>
        <v>-</v>
      </c>
    </row>
    <row r="2869" spans="9:20">
      <c r="I2869" s="213"/>
      <c r="J2869" s="213"/>
      <c r="L2869" s="272">
        <f t="shared" si="246"/>
        <v>1900</v>
      </c>
      <c r="M2869" s="272">
        <f t="shared" si="247"/>
        <v>1</v>
      </c>
      <c r="N2869" s="255"/>
      <c r="O2869" s="61">
        <f t="shared" si="248"/>
        <v>1900</v>
      </c>
      <c r="P2869" s="61">
        <f t="shared" si="249"/>
        <v>1</v>
      </c>
      <c r="R2869" s="272"/>
      <c r="S2869" s="272"/>
      <c r="T2869" s="273" t="str">
        <f t="shared" si="250"/>
        <v>-</v>
      </c>
    </row>
    <row r="2870" spans="9:20">
      <c r="I2870" s="213"/>
      <c r="J2870" s="213"/>
      <c r="L2870" s="272">
        <f t="shared" si="246"/>
        <v>1900</v>
      </c>
      <c r="M2870" s="272">
        <f t="shared" si="247"/>
        <v>1</v>
      </c>
      <c r="N2870" s="255"/>
      <c r="O2870" s="61">
        <f t="shared" si="248"/>
        <v>1900</v>
      </c>
      <c r="P2870" s="61">
        <f t="shared" si="249"/>
        <v>1</v>
      </c>
      <c r="R2870" s="272"/>
      <c r="S2870" s="272"/>
      <c r="T2870" s="273" t="str">
        <f t="shared" si="250"/>
        <v>-</v>
      </c>
    </row>
    <row r="2871" spans="9:20">
      <c r="I2871" s="213"/>
      <c r="J2871" s="213"/>
      <c r="L2871" s="272">
        <f t="shared" si="246"/>
        <v>1900</v>
      </c>
      <c r="M2871" s="272">
        <f t="shared" si="247"/>
        <v>1</v>
      </c>
      <c r="N2871" s="255"/>
      <c r="O2871" s="61">
        <f t="shared" si="248"/>
        <v>1900</v>
      </c>
      <c r="P2871" s="61">
        <f t="shared" si="249"/>
        <v>1</v>
      </c>
      <c r="R2871" s="272"/>
      <c r="S2871" s="272"/>
      <c r="T2871" s="273" t="str">
        <f t="shared" si="250"/>
        <v>-</v>
      </c>
    </row>
    <row r="2872" spans="9:20">
      <c r="I2872" s="213"/>
      <c r="J2872" s="213"/>
      <c r="L2872" s="272">
        <f t="shared" si="246"/>
        <v>1900</v>
      </c>
      <c r="M2872" s="272">
        <f t="shared" si="247"/>
        <v>1</v>
      </c>
      <c r="N2872" s="255"/>
      <c r="O2872" s="61">
        <f t="shared" si="248"/>
        <v>1900</v>
      </c>
      <c r="P2872" s="61">
        <f t="shared" si="249"/>
        <v>1</v>
      </c>
      <c r="R2872" s="272"/>
      <c r="S2872" s="272"/>
      <c r="T2872" s="273" t="str">
        <f t="shared" si="250"/>
        <v>-</v>
      </c>
    </row>
    <row r="2873" spans="9:20">
      <c r="I2873" s="213"/>
      <c r="J2873" s="213"/>
      <c r="L2873" s="272">
        <f t="shared" si="246"/>
        <v>1900</v>
      </c>
      <c r="M2873" s="272">
        <f t="shared" si="247"/>
        <v>1</v>
      </c>
      <c r="N2873" s="255"/>
      <c r="O2873" s="61">
        <f t="shared" si="248"/>
        <v>1900</v>
      </c>
      <c r="P2873" s="61">
        <f t="shared" si="249"/>
        <v>1</v>
      </c>
      <c r="R2873" s="272"/>
      <c r="S2873" s="272"/>
      <c r="T2873" s="273" t="str">
        <f t="shared" si="250"/>
        <v>-</v>
      </c>
    </row>
    <row r="2874" spans="9:20">
      <c r="I2874" s="213"/>
      <c r="J2874" s="213"/>
      <c r="L2874" s="272">
        <f t="shared" si="246"/>
        <v>1900</v>
      </c>
      <c r="M2874" s="272">
        <f t="shared" si="247"/>
        <v>1</v>
      </c>
      <c r="N2874" s="255"/>
      <c r="O2874" s="61">
        <f t="shared" si="248"/>
        <v>1900</v>
      </c>
      <c r="P2874" s="61">
        <f t="shared" si="249"/>
        <v>1</v>
      </c>
      <c r="R2874" s="272"/>
      <c r="S2874" s="272"/>
      <c r="T2874" s="273" t="str">
        <f t="shared" si="250"/>
        <v>-</v>
      </c>
    </row>
    <row r="2875" spans="9:20">
      <c r="I2875" s="213"/>
      <c r="J2875" s="213"/>
      <c r="L2875" s="272">
        <f t="shared" si="246"/>
        <v>1900</v>
      </c>
      <c r="M2875" s="272">
        <f t="shared" si="247"/>
        <v>1</v>
      </c>
      <c r="N2875" s="255"/>
      <c r="O2875" s="61">
        <f t="shared" si="248"/>
        <v>1900</v>
      </c>
      <c r="P2875" s="61">
        <f t="shared" si="249"/>
        <v>1</v>
      </c>
      <c r="R2875" s="272"/>
      <c r="S2875" s="272"/>
      <c r="T2875" s="273" t="str">
        <f t="shared" si="250"/>
        <v>-</v>
      </c>
    </row>
    <row r="2876" spans="9:20">
      <c r="I2876" s="213"/>
      <c r="J2876" s="213"/>
      <c r="L2876" s="272">
        <f t="shared" si="246"/>
        <v>1900</v>
      </c>
      <c r="M2876" s="272">
        <f t="shared" si="247"/>
        <v>1</v>
      </c>
      <c r="N2876" s="255"/>
      <c r="O2876" s="61">
        <f t="shared" si="248"/>
        <v>1900</v>
      </c>
      <c r="P2876" s="61">
        <f t="shared" si="249"/>
        <v>1</v>
      </c>
      <c r="R2876" s="272"/>
      <c r="S2876" s="272"/>
      <c r="T2876" s="273" t="str">
        <f t="shared" si="250"/>
        <v>-</v>
      </c>
    </row>
    <row r="2877" spans="9:20">
      <c r="I2877" s="213"/>
      <c r="J2877" s="213"/>
      <c r="L2877" s="272">
        <f t="shared" si="246"/>
        <v>1900</v>
      </c>
      <c r="M2877" s="272">
        <f t="shared" si="247"/>
        <v>1</v>
      </c>
      <c r="N2877" s="255"/>
      <c r="O2877" s="61">
        <f t="shared" si="248"/>
        <v>1900</v>
      </c>
      <c r="P2877" s="61">
        <f t="shared" si="249"/>
        <v>1</v>
      </c>
      <c r="R2877" s="272"/>
      <c r="S2877" s="272"/>
      <c r="T2877" s="273" t="str">
        <f t="shared" si="250"/>
        <v>-</v>
      </c>
    </row>
    <row r="2878" spans="9:20">
      <c r="I2878" s="213"/>
      <c r="J2878" s="213"/>
      <c r="L2878" s="272">
        <f t="shared" si="246"/>
        <v>1900</v>
      </c>
      <c r="M2878" s="272">
        <f t="shared" si="247"/>
        <v>1</v>
      </c>
      <c r="N2878" s="255"/>
      <c r="O2878" s="61">
        <f t="shared" si="248"/>
        <v>1900</v>
      </c>
      <c r="P2878" s="61">
        <f t="shared" si="249"/>
        <v>1</v>
      </c>
      <c r="R2878" s="272"/>
      <c r="S2878" s="272"/>
      <c r="T2878" s="273" t="str">
        <f t="shared" si="250"/>
        <v>-</v>
      </c>
    </row>
    <row r="2879" spans="9:20">
      <c r="I2879" s="213"/>
      <c r="J2879" s="213"/>
      <c r="L2879" s="272">
        <f t="shared" si="246"/>
        <v>1900</v>
      </c>
      <c r="M2879" s="272">
        <f t="shared" si="247"/>
        <v>1</v>
      </c>
      <c r="N2879" s="255"/>
      <c r="O2879" s="61">
        <f t="shared" si="248"/>
        <v>1900</v>
      </c>
      <c r="P2879" s="61">
        <f t="shared" si="249"/>
        <v>1</v>
      </c>
      <c r="R2879" s="272"/>
      <c r="S2879" s="272"/>
      <c r="T2879" s="273" t="str">
        <f t="shared" si="250"/>
        <v>-</v>
      </c>
    </row>
    <row r="2880" spans="9:20">
      <c r="I2880" s="213"/>
      <c r="J2880" s="213"/>
      <c r="L2880" s="272">
        <f t="shared" si="246"/>
        <v>1900</v>
      </c>
      <c r="M2880" s="272">
        <f t="shared" si="247"/>
        <v>1</v>
      </c>
      <c r="N2880" s="255"/>
      <c r="O2880" s="61">
        <f t="shared" si="248"/>
        <v>1900</v>
      </c>
      <c r="P2880" s="61">
        <f t="shared" si="249"/>
        <v>1</v>
      </c>
      <c r="R2880" s="272"/>
      <c r="S2880" s="272"/>
      <c r="T2880" s="273" t="str">
        <f t="shared" si="250"/>
        <v>-</v>
      </c>
    </row>
    <row r="2881" spans="9:20">
      <c r="I2881" s="213"/>
      <c r="J2881" s="213"/>
      <c r="L2881" s="272">
        <f t="shared" si="246"/>
        <v>1900</v>
      </c>
      <c r="M2881" s="272">
        <f t="shared" si="247"/>
        <v>1</v>
      </c>
      <c r="N2881" s="255"/>
      <c r="O2881" s="61">
        <f t="shared" si="248"/>
        <v>1900</v>
      </c>
      <c r="P2881" s="61">
        <f t="shared" si="249"/>
        <v>1</v>
      </c>
      <c r="R2881" s="272"/>
      <c r="S2881" s="272"/>
      <c r="T2881" s="273" t="str">
        <f t="shared" si="250"/>
        <v>-</v>
      </c>
    </row>
    <row r="2882" spans="9:20">
      <c r="I2882" s="213"/>
      <c r="J2882" s="213"/>
      <c r="L2882" s="272">
        <f t="shared" si="246"/>
        <v>1900</v>
      </c>
      <c r="M2882" s="272">
        <f t="shared" si="247"/>
        <v>1</v>
      </c>
      <c r="N2882" s="255"/>
      <c r="O2882" s="61">
        <f t="shared" si="248"/>
        <v>1900</v>
      </c>
      <c r="P2882" s="61">
        <f t="shared" si="249"/>
        <v>1</v>
      </c>
      <c r="R2882" s="272"/>
      <c r="S2882" s="272"/>
      <c r="T2882" s="273" t="str">
        <f t="shared" si="250"/>
        <v>-</v>
      </c>
    </row>
    <row r="2883" spans="9:20">
      <c r="I2883" s="213"/>
      <c r="J2883" s="213"/>
      <c r="L2883" s="272">
        <f t="shared" si="246"/>
        <v>1900</v>
      </c>
      <c r="M2883" s="272">
        <f t="shared" si="247"/>
        <v>1</v>
      </c>
      <c r="N2883" s="255"/>
      <c r="O2883" s="61">
        <f t="shared" si="248"/>
        <v>1900</v>
      </c>
      <c r="P2883" s="61">
        <f t="shared" si="249"/>
        <v>1</v>
      </c>
      <c r="R2883" s="272"/>
      <c r="S2883" s="272"/>
      <c r="T2883" s="273" t="str">
        <f t="shared" si="250"/>
        <v>-</v>
      </c>
    </row>
    <row r="2884" spans="9:20">
      <c r="I2884" s="213"/>
      <c r="J2884" s="213"/>
      <c r="L2884" s="272">
        <f t="shared" si="246"/>
        <v>1900</v>
      </c>
      <c r="M2884" s="272">
        <f t="shared" si="247"/>
        <v>1</v>
      </c>
      <c r="N2884" s="255"/>
      <c r="O2884" s="61">
        <f t="shared" si="248"/>
        <v>1900</v>
      </c>
      <c r="P2884" s="61">
        <f t="shared" si="249"/>
        <v>1</v>
      </c>
      <c r="R2884" s="272"/>
      <c r="S2884" s="272"/>
      <c r="T2884" s="273" t="str">
        <f t="shared" si="250"/>
        <v>-</v>
      </c>
    </row>
    <row r="2885" spans="9:20">
      <c r="I2885" s="213"/>
      <c r="J2885" s="213"/>
      <c r="L2885" s="272">
        <f t="shared" si="246"/>
        <v>1900</v>
      </c>
      <c r="M2885" s="272">
        <f t="shared" si="247"/>
        <v>1</v>
      </c>
      <c r="N2885" s="255"/>
      <c r="O2885" s="61">
        <f t="shared" si="248"/>
        <v>1900</v>
      </c>
      <c r="P2885" s="61">
        <f t="shared" si="249"/>
        <v>1</v>
      </c>
      <c r="R2885" s="272"/>
      <c r="S2885" s="272"/>
      <c r="T2885" s="273" t="str">
        <f t="shared" si="250"/>
        <v>-</v>
      </c>
    </row>
    <row r="2886" spans="9:20">
      <c r="I2886" s="213"/>
      <c r="J2886" s="213"/>
      <c r="L2886" s="272">
        <f t="shared" si="246"/>
        <v>1900</v>
      </c>
      <c r="M2886" s="272">
        <f t="shared" si="247"/>
        <v>1</v>
      </c>
      <c r="N2886" s="255"/>
      <c r="O2886" s="61">
        <f t="shared" si="248"/>
        <v>1900</v>
      </c>
      <c r="P2886" s="61">
        <f t="shared" si="249"/>
        <v>1</v>
      </c>
      <c r="R2886" s="272"/>
      <c r="S2886" s="272"/>
      <c r="T2886" s="273" t="str">
        <f t="shared" si="250"/>
        <v>-</v>
      </c>
    </row>
    <row r="2887" spans="9:20">
      <c r="I2887" s="213"/>
      <c r="J2887" s="213"/>
      <c r="L2887" s="272">
        <f t="shared" si="246"/>
        <v>1900</v>
      </c>
      <c r="M2887" s="272">
        <f t="shared" si="247"/>
        <v>1</v>
      </c>
      <c r="N2887" s="255"/>
      <c r="O2887" s="61">
        <f t="shared" si="248"/>
        <v>1900</v>
      </c>
      <c r="P2887" s="61">
        <f t="shared" si="249"/>
        <v>1</v>
      </c>
      <c r="R2887" s="272"/>
      <c r="S2887" s="272"/>
      <c r="T2887" s="273" t="str">
        <f t="shared" si="250"/>
        <v>-</v>
      </c>
    </row>
    <row r="2888" spans="9:20">
      <c r="I2888" s="213"/>
      <c r="J2888" s="213"/>
      <c r="L2888" s="272">
        <f t="shared" si="246"/>
        <v>1900</v>
      </c>
      <c r="M2888" s="272">
        <f t="shared" si="247"/>
        <v>1</v>
      </c>
      <c r="N2888" s="255"/>
      <c r="O2888" s="61">
        <f t="shared" si="248"/>
        <v>1900</v>
      </c>
      <c r="P2888" s="61">
        <f t="shared" si="249"/>
        <v>1</v>
      </c>
      <c r="R2888" s="272"/>
      <c r="S2888" s="272"/>
      <c r="T2888" s="273" t="str">
        <f t="shared" si="250"/>
        <v>-</v>
      </c>
    </row>
    <row r="2889" spans="9:20">
      <c r="I2889" s="213"/>
      <c r="J2889" s="213"/>
      <c r="L2889" s="272">
        <f t="shared" si="246"/>
        <v>1900</v>
      </c>
      <c r="M2889" s="272">
        <f t="shared" si="247"/>
        <v>1</v>
      </c>
      <c r="N2889" s="255"/>
      <c r="O2889" s="61">
        <f t="shared" si="248"/>
        <v>1900</v>
      </c>
      <c r="P2889" s="61">
        <f t="shared" si="249"/>
        <v>1</v>
      </c>
      <c r="R2889" s="272"/>
      <c r="S2889" s="272"/>
      <c r="T2889" s="273" t="str">
        <f t="shared" si="250"/>
        <v>-</v>
      </c>
    </row>
    <row r="2890" spans="9:20">
      <c r="I2890" s="213"/>
      <c r="J2890" s="213"/>
      <c r="L2890" s="272">
        <f t="shared" si="246"/>
        <v>1900</v>
      </c>
      <c r="M2890" s="272">
        <f t="shared" si="247"/>
        <v>1</v>
      </c>
      <c r="N2890" s="255"/>
      <c r="O2890" s="61">
        <f t="shared" si="248"/>
        <v>1900</v>
      </c>
      <c r="P2890" s="61">
        <f t="shared" si="249"/>
        <v>1</v>
      </c>
      <c r="R2890" s="272"/>
      <c r="S2890" s="272"/>
      <c r="T2890" s="273" t="str">
        <f t="shared" si="250"/>
        <v>-</v>
      </c>
    </row>
    <row r="2891" spans="9:20">
      <c r="I2891" s="213"/>
      <c r="J2891" s="213"/>
      <c r="L2891" s="272">
        <f t="shared" si="246"/>
        <v>1900</v>
      </c>
      <c r="M2891" s="272">
        <f t="shared" si="247"/>
        <v>1</v>
      </c>
      <c r="N2891" s="255"/>
      <c r="O2891" s="61">
        <f t="shared" si="248"/>
        <v>1900</v>
      </c>
      <c r="P2891" s="61">
        <f t="shared" si="249"/>
        <v>1</v>
      </c>
      <c r="R2891" s="272"/>
      <c r="S2891" s="272"/>
      <c r="T2891" s="273" t="str">
        <f t="shared" si="250"/>
        <v>-</v>
      </c>
    </row>
    <row r="2892" spans="9:20">
      <c r="I2892" s="213"/>
      <c r="J2892" s="213"/>
      <c r="L2892" s="272">
        <f t="shared" si="246"/>
        <v>1900</v>
      </c>
      <c r="M2892" s="272">
        <f t="shared" si="247"/>
        <v>1</v>
      </c>
      <c r="N2892" s="255"/>
      <c r="O2892" s="61">
        <f t="shared" si="248"/>
        <v>1900</v>
      </c>
      <c r="P2892" s="61">
        <f t="shared" si="249"/>
        <v>1</v>
      </c>
      <c r="R2892" s="272"/>
      <c r="S2892" s="272"/>
      <c r="T2892" s="273" t="str">
        <f t="shared" si="250"/>
        <v>-</v>
      </c>
    </row>
    <row r="2893" spans="9:20">
      <c r="I2893" s="213"/>
      <c r="J2893" s="213"/>
      <c r="L2893" s="272">
        <f t="shared" si="246"/>
        <v>1900</v>
      </c>
      <c r="M2893" s="272">
        <f t="shared" si="247"/>
        <v>1</v>
      </c>
      <c r="N2893" s="255"/>
      <c r="O2893" s="61">
        <f t="shared" si="248"/>
        <v>1900</v>
      </c>
      <c r="P2893" s="61">
        <f t="shared" si="249"/>
        <v>1</v>
      </c>
      <c r="R2893" s="272"/>
      <c r="S2893" s="272"/>
      <c r="T2893" s="273" t="str">
        <f t="shared" si="250"/>
        <v>-</v>
      </c>
    </row>
    <row r="2894" spans="9:20">
      <c r="I2894" s="213"/>
      <c r="J2894" s="213"/>
      <c r="L2894" s="272">
        <f t="shared" si="246"/>
        <v>1900</v>
      </c>
      <c r="M2894" s="272">
        <f t="shared" si="247"/>
        <v>1</v>
      </c>
      <c r="N2894" s="255"/>
      <c r="O2894" s="61">
        <f t="shared" si="248"/>
        <v>1900</v>
      </c>
      <c r="P2894" s="61">
        <f t="shared" si="249"/>
        <v>1</v>
      </c>
      <c r="R2894" s="272"/>
      <c r="S2894" s="272"/>
      <c r="T2894" s="273" t="str">
        <f t="shared" si="250"/>
        <v>-</v>
      </c>
    </row>
    <row r="2895" spans="9:20">
      <c r="I2895" s="213"/>
      <c r="J2895" s="213"/>
      <c r="L2895" s="272">
        <f t="shared" si="246"/>
        <v>1900</v>
      </c>
      <c r="M2895" s="272">
        <f t="shared" si="247"/>
        <v>1</v>
      </c>
      <c r="N2895" s="255"/>
      <c r="O2895" s="61">
        <f t="shared" si="248"/>
        <v>1900</v>
      </c>
      <c r="P2895" s="61">
        <f t="shared" si="249"/>
        <v>1</v>
      </c>
      <c r="R2895" s="272"/>
      <c r="S2895" s="272"/>
      <c r="T2895" s="273" t="str">
        <f t="shared" si="250"/>
        <v>-</v>
      </c>
    </row>
    <row r="2896" spans="9:20">
      <c r="I2896" s="213"/>
      <c r="J2896" s="213"/>
      <c r="L2896" s="272">
        <f t="shared" ref="L2896:L2959" si="251">YEAR(B2896)</f>
        <v>1900</v>
      </c>
      <c r="M2896" s="272">
        <f t="shared" ref="M2896:M2959" si="252">MONTH(B2896)</f>
        <v>1</v>
      </c>
      <c r="N2896" s="255"/>
      <c r="O2896" s="61">
        <f t="shared" ref="O2896:O2959" si="253">YEAR(B2896)</f>
        <v>1900</v>
      </c>
      <c r="P2896" s="61">
        <f t="shared" ref="P2896:P2959" si="254">MONTH(B2896)</f>
        <v>1</v>
      </c>
      <c r="R2896" s="272"/>
      <c r="S2896" s="272"/>
      <c r="T2896" s="273" t="str">
        <f t="shared" ref="T2896:T2959" si="255">IF($E2896&gt;0,IF((R2896+S2896)=$E2896,"OK","Error"),"-")</f>
        <v>-</v>
      </c>
    </row>
    <row r="2897" spans="9:20">
      <c r="I2897" s="213"/>
      <c r="J2897" s="213"/>
      <c r="L2897" s="272">
        <f t="shared" si="251"/>
        <v>1900</v>
      </c>
      <c r="M2897" s="272">
        <f t="shared" si="252"/>
        <v>1</v>
      </c>
      <c r="N2897" s="255"/>
      <c r="O2897" s="61">
        <f t="shared" si="253"/>
        <v>1900</v>
      </c>
      <c r="P2897" s="61">
        <f t="shared" si="254"/>
        <v>1</v>
      </c>
      <c r="R2897" s="272"/>
      <c r="S2897" s="272"/>
      <c r="T2897" s="273" t="str">
        <f t="shared" si="255"/>
        <v>-</v>
      </c>
    </row>
    <row r="2898" spans="9:20">
      <c r="I2898" s="213"/>
      <c r="J2898" s="213"/>
      <c r="L2898" s="272">
        <f t="shared" si="251"/>
        <v>1900</v>
      </c>
      <c r="M2898" s="272">
        <f t="shared" si="252"/>
        <v>1</v>
      </c>
      <c r="N2898" s="255"/>
      <c r="O2898" s="61">
        <f t="shared" si="253"/>
        <v>1900</v>
      </c>
      <c r="P2898" s="61">
        <f t="shared" si="254"/>
        <v>1</v>
      </c>
      <c r="R2898" s="272"/>
      <c r="S2898" s="272"/>
      <c r="T2898" s="273" t="str">
        <f t="shared" si="255"/>
        <v>-</v>
      </c>
    </row>
    <row r="2899" spans="9:20">
      <c r="I2899" s="213"/>
      <c r="J2899" s="213"/>
      <c r="L2899" s="272">
        <f t="shared" si="251"/>
        <v>1900</v>
      </c>
      <c r="M2899" s="272">
        <f t="shared" si="252"/>
        <v>1</v>
      </c>
      <c r="N2899" s="255"/>
      <c r="O2899" s="61">
        <f t="shared" si="253"/>
        <v>1900</v>
      </c>
      <c r="P2899" s="61">
        <f t="shared" si="254"/>
        <v>1</v>
      </c>
      <c r="R2899" s="272"/>
      <c r="S2899" s="272"/>
      <c r="T2899" s="273" t="str">
        <f t="shared" si="255"/>
        <v>-</v>
      </c>
    </row>
    <row r="2900" spans="9:20">
      <c r="I2900" s="213"/>
      <c r="J2900" s="213"/>
      <c r="L2900" s="272">
        <f t="shared" si="251"/>
        <v>1900</v>
      </c>
      <c r="M2900" s="272">
        <f t="shared" si="252"/>
        <v>1</v>
      </c>
      <c r="N2900" s="255"/>
      <c r="O2900" s="61">
        <f t="shared" si="253"/>
        <v>1900</v>
      </c>
      <c r="P2900" s="61">
        <f t="shared" si="254"/>
        <v>1</v>
      </c>
      <c r="R2900" s="272"/>
      <c r="S2900" s="272"/>
      <c r="T2900" s="273" t="str">
        <f t="shared" si="255"/>
        <v>-</v>
      </c>
    </row>
    <row r="2901" spans="9:20">
      <c r="I2901" s="213"/>
      <c r="J2901" s="213"/>
      <c r="L2901" s="272">
        <f t="shared" si="251"/>
        <v>1900</v>
      </c>
      <c r="M2901" s="272">
        <f t="shared" si="252"/>
        <v>1</v>
      </c>
      <c r="N2901" s="255"/>
      <c r="O2901" s="61">
        <f t="shared" si="253"/>
        <v>1900</v>
      </c>
      <c r="P2901" s="61">
        <f t="shared" si="254"/>
        <v>1</v>
      </c>
      <c r="R2901" s="272"/>
      <c r="S2901" s="272"/>
      <c r="T2901" s="273" t="str">
        <f t="shared" si="255"/>
        <v>-</v>
      </c>
    </row>
    <row r="2902" spans="9:20">
      <c r="I2902" s="213"/>
      <c r="J2902" s="213"/>
      <c r="L2902" s="272">
        <f t="shared" si="251"/>
        <v>1900</v>
      </c>
      <c r="M2902" s="272">
        <f t="shared" si="252"/>
        <v>1</v>
      </c>
      <c r="N2902" s="255"/>
      <c r="O2902" s="61">
        <f t="shared" si="253"/>
        <v>1900</v>
      </c>
      <c r="P2902" s="61">
        <f t="shared" si="254"/>
        <v>1</v>
      </c>
      <c r="R2902" s="272"/>
      <c r="S2902" s="272"/>
      <c r="T2902" s="273" t="str">
        <f t="shared" si="255"/>
        <v>-</v>
      </c>
    </row>
    <row r="2903" spans="9:20">
      <c r="I2903" s="213"/>
      <c r="J2903" s="213"/>
      <c r="L2903" s="272">
        <f t="shared" si="251"/>
        <v>1900</v>
      </c>
      <c r="M2903" s="272">
        <f t="shared" si="252"/>
        <v>1</v>
      </c>
      <c r="N2903" s="255"/>
      <c r="O2903" s="61">
        <f t="shared" si="253"/>
        <v>1900</v>
      </c>
      <c r="P2903" s="61">
        <f t="shared" si="254"/>
        <v>1</v>
      </c>
      <c r="R2903" s="272"/>
      <c r="S2903" s="272"/>
      <c r="T2903" s="273" t="str">
        <f t="shared" si="255"/>
        <v>-</v>
      </c>
    </row>
    <row r="2904" spans="9:20">
      <c r="I2904" s="213"/>
      <c r="J2904" s="213"/>
      <c r="L2904" s="272">
        <f t="shared" si="251"/>
        <v>1900</v>
      </c>
      <c r="M2904" s="272">
        <f t="shared" si="252"/>
        <v>1</v>
      </c>
      <c r="N2904" s="255"/>
      <c r="O2904" s="61">
        <f t="shared" si="253"/>
        <v>1900</v>
      </c>
      <c r="P2904" s="61">
        <f t="shared" si="254"/>
        <v>1</v>
      </c>
      <c r="R2904" s="272"/>
      <c r="S2904" s="272"/>
      <c r="T2904" s="273" t="str">
        <f t="shared" si="255"/>
        <v>-</v>
      </c>
    </row>
    <row r="2905" spans="9:20">
      <c r="I2905" s="213"/>
      <c r="J2905" s="213"/>
      <c r="L2905" s="272">
        <f t="shared" si="251"/>
        <v>1900</v>
      </c>
      <c r="M2905" s="272">
        <f t="shared" si="252"/>
        <v>1</v>
      </c>
      <c r="N2905" s="255"/>
      <c r="O2905" s="61">
        <f t="shared" si="253"/>
        <v>1900</v>
      </c>
      <c r="P2905" s="61">
        <f t="shared" si="254"/>
        <v>1</v>
      </c>
      <c r="R2905" s="272"/>
      <c r="S2905" s="272"/>
      <c r="T2905" s="273" t="str">
        <f t="shared" si="255"/>
        <v>-</v>
      </c>
    </row>
    <row r="2906" spans="9:20">
      <c r="I2906" s="213"/>
      <c r="J2906" s="213"/>
      <c r="L2906" s="272">
        <f t="shared" si="251"/>
        <v>1900</v>
      </c>
      <c r="M2906" s="272">
        <f t="shared" si="252"/>
        <v>1</v>
      </c>
      <c r="N2906" s="255"/>
      <c r="O2906" s="61">
        <f t="shared" si="253"/>
        <v>1900</v>
      </c>
      <c r="P2906" s="61">
        <f t="shared" si="254"/>
        <v>1</v>
      </c>
      <c r="R2906" s="272"/>
      <c r="S2906" s="272"/>
      <c r="T2906" s="273" t="str">
        <f t="shared" si="255"/>
        <v>-</v>
      </c>
    </row>
    <row r="2907" spans="9:20">
      <c r="I2907" s="213"/>
      <c r="J2907" s="213"/>
      <c r="L2907" s="272">
        <f t="shared" si="251"/>
        <v>1900</v>
      </c>
      <c r="M2907" s="272">
        <f t="shared" si="252"/>
        <v>1</v>
      </c>
      <c r="N2907" s="255"/>
      <c r="O2907" s="61">
        <f t="shared" si="253"/>
        <v>1900</v>
      </c>
      <c r="P2907" s="61">
        <f t="shared" si="254"/>
        <v>1</v>
      </c>
      <c r="R2907" s="272"/>
      <c r="S2907" s="272"/>
      <c r="T2907" s="273" t="str">
        <f t="shared" si="255"/>
        <v>-</v>
      </c>
    </row>
    <row r="2908" spans="9:20">
      <c r="I2908" s="213"/>
      <c r="J2908" s="213"/>
      <c r="L2908" s="272">
        <f t="shared" si="251"/>
        <v>1900</v>
      </c>
      <c r="M2908" s="272">
        <f t="shared" si="252"/>
        <v>1</v>
      </c>
      <c r="N2908" s="255"/>
      <c r="O2908" s="61">
        <f t="shared" si="253"/>
        <v>1900</v>
      </c>
      <c r="P2908" s="61">
        <f t="shared" si="254"/>
        <v>1</v>
      </c>
      <c r="R2908" s="272"/>
      <c r="S2908" s="272"/>
      <c r="T2908" s="273" t="str">
        <f t="shared" si="255"/>
        <v>-</v>
      </c>
    </row>
    <row r="2909" spans="9:20">
      <c r="I2909" s="213"/>
      <c r="J2909" s="213"/>
      <c r="L2909" s="272">
        <f t="shared" si="251"/>
        <v>1900</v>
      </c>
      <c r="M2909" s="272">
        <f t="shared" si="252"/>
        <v>1</v>
      </c>
      <c r="N2909" s="255"/>
      <c r="O2909" s="61">
        <f t="shared" si="253"/>
        <v>1900</v>
      </c>
      <c r="P2909" s="61">
        <f t="shared" si="254"/>
        <v>1</v>
      </c>
      <c r="R2909" s="272"/>
      <c r="S2909" s="272"/>
      <c r="T2909" s="273" t="str">
        <f t="shared" si="255"/>
        <v>-</v>
      </c>
    </row>
    <row r="2910" spans="9:20">
      <c r="I2910" s="213"/>
      <c r="J2910" s="213"/>
      <c r="L2910" s="272">
        <f t="shared" si="251"/>
        <v>1900</v>
      </c>
      <c r="M2910" s="272">
        <f t="shared" si="252"/>
        <v>1</v>
      </c>
      <c r="N2910" s="255"/>
      <c r="O2910" s="61">
        <f t="shared" si="253"/>
        <v>1900</v>
      </c>
      <c r="P2910" s="61">
        <f t="shared" si="254"/>
        <v>1</v>
      </c>
      <c r="R2910" s="272"/>
      <c r="S2910" s="272"/>
      <c r="T2910" s="273" t="str">
        <f t="shared" si="255"/>
        <v>-</v>
      </c>
    </row>
    <row r="2911" spans="9:20">
      <c r="I2911" s="213"/>
      <c r="J2911" s="213"/>
      <c r="L2911" s="272">
        <f t="shared" si="251"/>
        <v>1900</v>
      </c>
      <c r="M2911" s="272">
        <f t="shared" si="252"/>
        <v>1</v>
      </c>
      <c r="N2911" s="255"/>
      <c r="O2911" s="61">
        <f t="shared" si="253"/>
        <v>1900</v>
      </c>
      <c r="P2911" s="61">
        <f t="shared" si="254"/>
        <v>1</v>
      </c>
      <c r="R2911" s="272"/>
      <c r="S2911" s="272"/>
      <c r="T2911" s="273" t="str">
        <f t="shared" si="255"/>
        <v>-</v>
      </c>
    </row>
    <row r="2912" spans="9:20">
      <c r="I2912" s="213"/>
      <c r="J2912" s="213"/>
      <c r="L2912" s="272">
        <f t="shared" si="251"/>
        <v>1900</v>
      </c>
      <c r="M2912" s="272">
        <f t="shared" si="252"/>
        <v>1</v>
      </c>
      <c r="N2912" s="255"/>
      <c r="O2912" s="61">
        <f t="shared" si="253"/>
        <v>1900</v>
      </c>
      <c r="P2912" s="61">
        <f t="shared" si="254"/>
        <v>1</v>
      </c>
      <c r="R2912" s="272"/>
      <c r="S2912" s="272"/>
      <c r="T2912" s="273" t="str">
        <f t="shared" si="255"/>
        <v>-</v>
      </c>
    </row>
    <row r="2913" spans="9:20">
      <c r="I2913" s="213"/>
      <c r="J2913" s="213"/>
      <c r="L2913" s="272">
        <f t="shared" si="251"/>
        <v>1900</v>
      </c>
      <c r="M2913" s="272">
        <f t="shared" si="252"/>
        <v>1</v>
      </c>
      <c r="N2913" s="255"/>
      <c r="O2913" s="61">
        <f t="shared" si="253"/>
        <v>1900</v>
      </c>
      <c r="P2913" s="61">
        <f t="shared" si="254"/>
        <v>1</v>
      </c>
      <c r="R2913" s="272"/>
      <c r="S2913" s="272"/>
      <c r="T2913" s="273" t="str">
        <f t="shared" si="255"/>
        <v>-</v>
      </c>
    </row>
    <row r="2914" spans="9:20">
      <c r="I2914" s="213"/>
      <c r="J2914" s="213"/>
      <c r="L2914" s="272">
        <f t="shared" si="251"/>
        <v>1900</v>
      </c>
      <c r="M2914" s="272">
        <f t="shared" si="252"/>
        <v>1</v>
      </c>
      <c r="N2914" s="255"/>
      <c r="O2914" s="61">
        <f t="shared" si="253"/>
        <v>1900</v>
      </c>
      <c r="P2914" s="61">
        <f t="shared" si="254"/>
        <v>1</v>
      </c>
      <c r="R2914" s="272"/>
      <c r="S2914" s="272"/>
      <c r="T2914" s="273" t="str">
        <f t="shared" si="255"/>
        <v>-</v>
      </c>
    </row>
    <row r="2915" spans="9:20">
      <c r="I2915" s="213"/>
      <c r="J2915" s="213"/>
      <c r="L2915" s="272">
        <f t="shared" si="251"/>
        <v>1900</v>
      </c>
      <c r="M2915" s="272">
        <f t="shared" si="252"/>
        <v>1</v>
      </c>
      <c r="N2915" s="255"/>
      <c r="O2915" s="61">
        <f t="shared" si="253"/>
        <v>1900</v>
      </c>
      <c r="P2915" s="61">
        <f t="shared" si="254"/>
        <v>1</v>
      </c>
      <c r="R2915" s="272"/>
      <c r="S2915" s="272"/>
      <c r="T2915" s="273" t="str">
        <f t="shared" si="255"/>
        <v>-</v>
      </c>
    </row>
    <row r="2916" spans="9:20">
      <c r="I2916" s="213"/>
      <c r="J2916" s="213"/>
      <c r="L2916" s="272">
        <f t="shared" si="251"/>
        <v>1900</v>
      </c>
      <c r="M2916" s="272">
        <f t="shared" si="252"/>
        <v>1</v>
      </c>
      <c r="N2916" s="255"/>
      <c r="O2916" s="61">
        <f t="shared" si="253"/>
        <v>1900</v>
      </c>
      <c r="P2916" s="61">
        <f t="shared" si="254"/>
        <v>1</v>
      </c>
      <c r="R2916" s="272"/>
      <c r="S2916" s="272"/>
      <c r="T2916" s="273" t="str">
        <f t="shared" si="255"/>
        <v>-</v>
      </c>
    </row>
    <row r="2917" spans="9:20">
      <c r="I2917" s="213"/>
      <c r="J2917" s="213"/>
      <c r="L2917" s="272">
        <f t="shared" si="251"/>
        <v>1900</v>
      </c>
      <c r="M2917" s="272">
        <f t="shared" si="252"/>
        <v>1</v>
      </c>
      <c r="N2917" s="255"/>
      <c r="O2917" s="61">
        <f t="shared" si="253"/>
        <v>1900</v>
      </c>
      <c r="P2917" s="61">
        <f t="shared" si="254"/>
        <v>1</v>
      </c>
      <c r="R2917" s="272"/>
      <c r="S2917" s="272"/>
      <c r="T2917" s="273" t="str">
        <f t="shared" si="255"/>
        <v>-</v>
      </c>
    </row>
    <row r="2918" spans="9:20">
      <c r="I2918" s="213"/>
      <c r="J2918" s="213"/>
      <c r="L2918" s="272">
        <f t="shared" si="251"/>
        <v>1900</v>
      </c>
      <c r="M2918" s="272">
        <f t="shared" si="252"/>
        <v>1</v>
      </c>
      <c r="N2918" s="255"/>
      <c r="O2918" s="61">
        <f t="shared" si="253"/>
        <v>1900</v>
      </c>
      <c r="P2918" s="61">
        <f t="shared" si="254"/>
        <v>1</v>
      </c>
      <c r="R2918" s="272"/>
      <c r="S2918" s="272"/>
      <c r="T2918" s="273" t="str">
        <f t="shared" si="255"/>
        <v>-</v>
      </c>
    </row>
    <row r="2919" spans="9:20">
      <c r="I2919" s="213"/>
      <c r="J2919" s="213"/>
      <c r="L2919" s="272">
        <f t="shared" si="251"/>
        <v>1900</v>
      </c>
      <c r="M2919" s="272">
        <f t="shared" si="252"/>
        <v>1</v>
      </c>
      <c r="N2919" s="255"/>
      <c r="O2919" s="61">
        <f t="shared" si="253"/>
        <v>1900</v>
      </c>
      <c r="P2919" s="61">
        <f t="shared" si="254"/>
        <v>1</v>
      </c>
      <c r="R2919" s="272"/>
      <c r="S2919" s="272"/>
      <c r="T2919" s="273" t="str">
        <f t="shared" si="255"/>
        <v>-</v>
      </c>
    </row>
    <row r="2920" spans="9:20">
      <c r="I2920" s="213"/>
      <c r="J2920" s="213"/>
      <c r="L2920" s="272">
        <f t="shared" si="251"/>
        <v>1900</v>
      </c>
      <c r="M2920" s="272">
        <f t="shared" si="252"/>
        <v>1</v>
      </c>
      <c r="N2920" s="255"/>
      <c r="O2920" s="61">
        <f t="shared" si="253"/>
        <v>1900</v>
      </c>
      <c r="P2920" s="61">
        <f t="shared" si="254"/>
        <v>1</v>
      </c>
      <c r="R2920" s="272"/>
      <c r="S2920" s="272"/>
      <c r="T2920" s="273" t="str">
        <f t="shared" si="255"/>
        <v>-</v>
      </c>
    </row>
    <row r="2921" spans="9:20">
      <c r="I2921" s="213"/>
      <c r="J2921" s="213"/>
      <c r="L2921" s="272">
        <f t="shared" si="251"/>
        <v>1900</v>
      </c>
      <c r="M2921" s="272">
        <f t="shared" si="252"/>
        <v>1</v>
      </c>
      <c r="N2921" s="255"/>
      <c r="O2921" s="61">
        <f t="shared" si="253"/>
        <v>1900</v>
      </c>
      <c r="P2921" s="61">
        <f t="shared" si="254"/>
        <v>1</v>
      </c>
      <c r="R2921" s="272"/>
      <c r="S2921" s="272"/>
      <c r="T2921" s="273" t="str">
        <f t="shared" si="255"/>
        <v>-</v>
      </c>
    </row>
    <row r="2922" spans="9:20">
      <c r="I2922" s="213"/>
      <c r="J2922" s="213"/>
      <c r="L2922" s="272">
        <f t="shared" si="251"/>
        <v>1900</v>
      </c>
      <c r="M2922" s="272">
        <f t="shared" si="252"/>
        <v>1</v>
      </c>
      <c r="N2922" s="255"/>
      <c r="O2922" s="61">
        <f t="shared" si="253"/>
        <v>1900</v>
      </c>
      <c r="P2922" s="61">
        <f t="shared" si="254"/>
        <v>1</v>
      </c>
      <c r="R2922" s="272"/>
      <c r="S2922" s="272"/>
      <c r="T2922" s="273" t="str">
        <f t="shared" si="255"/>
        <v>-</v>
      </c>
    </row>
    <row r="2923" spans="9:20">
      <c r="I2923" s="213"/>
      <c r="J2923" s="213"/>
      <c r="L2923" s="272">
        <f t="shared" si="251"/>
        <v>1900</v>
      </c>
      <c r="M2923" s="272">
        <f t="shared" si="252"/>
        <v>1</v>
      </c>
      <c r="N2923" s="255"/>
      <c r="O2923" s="61">
        <f t="shared" si="253"/>
        <v>1900</v>
      </c>
      <c r="P2923" s="61">
        <f t="shared" si="254"/>
        <v>1</v>
      </c>
      <c r="R2923" s="272"/>
      <c r="S2923" s="272"/>
      <c r="T2923" s="273" t="str">
        <f t="shared" si="255"/>
        <v>-</v>
      </c>
    </row>
    <row r="2924" spans="9:20">
      <c r="I2924" s="213"/>
      <c r="J2924" s="213"/>
      <c r="L2924" s="272">
        <f t="shared" si="251"/>
        <v>1900</v>
      </c>
      <c r="M2924" s="272">
        <f t="shared" si="252"/>
        <v>1</v>
      </c>
      <c r="N2924" s="255"/>
      <c r="O2924" s="61">
        <f t="shared" si="253"/>
        <v>1900</v>
      </c>
      <c r="P2924" s="61">
        <f t="shared" si="254"/>
        <v>1</v>
      </c>
      <c r="R2924" s="272"/>
      <c r="S2924" s="272"/>
      <c r="T2924" s="273" t="str">
        <f t="shared" si="255"/>
        <v>-</v>
      </c>
    </row>
    <row r="2925" spans="9:20">
      <c r="I2925" s="213"/>
      <c r="J2925" s="213"/>
      <c r="L2925" s="272">
        <f t="shared" si="251"/>
        <v>1900</v>
      </c>
      <c r="M2925" s="272">
        <f t="shared" si="252"/>
        <v>1</v>
      </c>
      <c r="N2925" s="255"/>
      <c r="O2925" s="61">
        <f t="shared" si="253"/>
        <v>1900</v>
      </c>
      <c r="P2925" s="61">
        <f t="shared" si="254"/>
        <v>1</v>
      </c>
      <c r="R2925" s="272"/>
      <c r="S2925" s="272"/>
      <c r="T2925" s="273" t="str">
        <f t="shared" si="255"/>
        <v>-</v>
      </c>
    </row>
    <row r="2926" spans="9:20">
      <c r="I2926" s="213"/>
      <c r="J2926" s="213"/>
      <c r="L2926" s="272">
        <f t="shared" si="251"/>
        <v>1900</v>
      </c>
      <c r="M2926" s="272">
        <f t="shared" si="252"/>
        <v>1</v>
      </c>
      <c r="N2926" s="255"/>
      <c r="O2926" s="61">
        <f t="shared" si="253"/>
        <v>1900</v>
      </c>
      <c r="P2926" s="61">
        <f t="shared" si="254"/>
        <v>1</v>
      </c>
      <c r="R2926" s="272"/>
      <c r="S2926" s="272"/>
      <c r="T2926" s="273" t="str">
        <f t="shared" si="255"/>
        <v>-</v>
      </c>
    </row>
    <row r="2927" spans="9:20">
      <c r="I2927" s="213"/>
      <c r="J2927" s="213"/>
      <c r="L2927" s="272">
        <f t="shared" si="251"/>
        <v>1900</v>
      </c>
      <c r="M2927" s="272">
        <f t="shared" si="252"/>
        <v>1</v>
      </c>
      <c r="N2927" s="255"/>
      <c r="O2927" s="61">
        <f t="shared" si="253"/>
        <v>1900</v>
      </c>
      <c r="P2927" s="61">
        <f t="shared" si="254"/>
        <v>1</v>
      </c>
      <c r="R2927" s="272"/>
      <c r="S2927" s="272"/>
      <c r="T2927" s="273" t="str">
        <f t="shared" si="255"/>
        <v>-</v>
      </c>
    </row>
    <row r="2928" spans="9:20">
      <c r="I2928" s="213"/>
      <c r="J2928" s="213"/>
      <c r="L2928" s="272">
        <f t="shared" si="251"/>
        <v>1900</v>
      </c>
      <c r="M2928" s="272">
        <f t="shared" si="252"/>
        <v>1</v>
      </c>
      <c r="N2928" s="255"/>
      <c r="O2928" s="61">
        <f t="shared" si="253"/>
        <v>1900</v>
      </c>
      <c r="P2928" s="61">
        <f t="shared" si="254"/>
        <v>1</v>
      </c>
      <c r="R2928" s="272"/>
      <c r="S2928" s="272"/>
      <c r="T2928" s="273" t="str">
        <f t="shared" si="255"/>
        <v>-</v>
      </c>
    </row>
    <row r="2929" spans="9:20">
      <c r="I2929" s="213"/>
      <c r="J2929" s="213"/>
      <c r="L2929" s="272">
        <f t="shared" si="251"/>
        <v>1900</v>
      </c>
      <c r="M2929" s="272">
        <f t="shared" si="252"/>
        <v>1</v>
      </c>
      <c r="N2929" s="255"/>
      <c r="O2929" s="61">
        <f t="shared" si="253"/>
        <v>1900</v>
      </c>
      <c r="P2929" s="61">
        <f t="shared" si="254"/>
        <v>1</v>
      </c>
      <c r="R2929" s="272"/>
      <c r="S2929" s="272"/>
      <c r="T2929" s="273" t="str">
        <f t="shared" si="255"/>
        <v>-</v>
      </c>
    </row>
    <row r="2930" spans="9:20">
      <c r="I2930" s="213"/>
      <c r="J2930" s="213"/>
      <c r="L2930" s="272">
        <f t="shared" si="251"/>
        <v>1900</v>
      </c>
      <c r="M2930" s="272">
        <f t="shared" si="252"/>
        <v>1</v>
      </c>
      <c r="N2930" s="255"/>
      <c r="O2930" s="61">
        <f t="shared" si="253"/>
        <v>1900</v>
      </c>
      <c r="P2930" s="61">
        <f t="shared" si="254"/>
        <v>1</v>
      </c>
      <c r="R2930" s="272"/>
      <c r="S2930" s="272"/>
      <c r="T2930" s="273" t="str">
        <f t="shared" si="255"/>
        <v>-</v>
      </c>
    </row>
    <row r="2931" spans="9:20">
      <c r="I2931" s="213"/>
      <c r="J2931" s="213"/>
      <c r="L2931" s="272">
        <f t="shared" si="251"/>
        <v>1900</v>
      </c>
      <c r="M2931" s="272">
        <f t="shared" si="252"/>
        <v>1</v>
      </c>
      <c r="N2931" s="255"/>
      <c r="O2931" s="61">
        <f t="shared" si="253"/>
        <v>1900</v>
      </c>
      <c r="P2931" s="61">
        <f t="shared" si="254"/>
        <v>1</v>
      </c>
      <c r="R2931" s="272"/>
      <c r="S2931" s="272"/>
      <c r="T2931" s="273" t="str">
        <f t="shared" si="255"/>
        <v>-</v>
      </c>
    </row>
    <row r="2932" spans="9:20">
      <c r="I2932" s="213"/>
      <c r="J2932" s="213"/>
      <c r="L2932" s="272">
        <f t="shared" si="251"/>
        <v>1900</v>
      </c>
      <c r="M2932" s="272">
        <f t="shared" si="252"/>
        <v>1</v>
      </c>
      <c r="N2932" s="255"/>
      <c r="O2932" s="61">
        <f t="shared" si="253"/>
        <v>1900</v>
      </c>
      <c r="P2932" s="61">
        <f t="shared" si="254"/>
        <v>1</v>
      </c>
      <c r="R2932" s="272"/>
      <c r="S2932" s="272"/>
      <c r="T2932" s="273" t="str">
        <f t="shared" si="255"/>
        <v>-</v>
      </c>
    </row>
    <row r="2933" spans="9:20">
      <c r="I2933" s="213"/>
      <c r="J2933" s="213"/>
      <c r="L2933" s="272">
        <f t="shared" si="251"/>
        <v>1900</v>
      </c>
      <c r="M2933" s="272">
        <f t="shared" si="252"/>
        <v>1</v>
      </c>
      <c r="N2933" s="255"/>
      <c r="O2933" s="61">
        <f t="shared" si="253"/>
        <v>1900</v>
      </c>
      <c r="P2933" s="61">
        <f t="shared" si="254"/>
        <v>1</v>
      </c>
      <c r="R2933" s="272"/>
      <c r="S2933" s="272"/>
      <c r="T2933" s="273" t="str">
        <f t="shared" si="255"/>
        <v>-</v>
      </c>
    </row>
    <row r="2934" spans="9:20">
      <c r="I2934" s="213"/>
      <c r="J2934" s="213"/>
      <c r="L2934" s="272">
        <f t="shared" si="251"/>
        <v>1900</v>
      </c>
      <c r="M2934" s="272">
        <f t="shared" si="252"/>
        <v>1</v>
      </c>
      <c r="N2934" s="255"/>
      <c r="O2934" s="61">
        <f t="shared" si="253"/>
        <v>1900</v>
      </c>
      <c r="P2934" s="61">
        <f t="shared" si="254"/>
        <v>1</v>
      </c>
      <c r="R2934" s="272"/>
      <c r="S2934" s="272"/>
      <c r="T2934" s="273" t="str">
        <f t="shared" si="255"/>
        <v>-</v>
      </c>
    </row>
    <row r="2935" spans="9:20">
      <c r="I2935" s="213"/>
      <c r="J2935" s="213"/>
      <c r="L2935" s="272">
        <f t="shared" si="251"/>
        <v>1900</v>
      </c>
      <c r="M2935" s="272">
        <f t="shared" si="252"/>
        <v>1</v>
      </c>
      <c r="N2935" s="255"/>
      <c r="O2935" s="61">
        <f t="shared" si="253"/>
        <v>1900</v>
      </c>
      <c r="P2935" s="61">
        <f t="shared" si="254"/>
        <v>1</v>
      </c>
      <c r="R2935" s="272"/>
      <c r="S2935" s="272"/>
      <c r="T2935" s="273" t="str">
        <f t="shared" si="255"/>
        <v>-</v>
      </c>
    </row>
    <row r="2936" spans="9:20">
      <c r="I2936" s="213"/>
      <c r="J2936" s="213"/>
      <c r="L2936" s="272">
        <f t="shared" si="251"/>
        <v>1900</v>
      </c>
      <c r="M2936" s="272">
        <f t="shared" si="252"/>
        <v>1</v>
      </c>
      <c r="N2936" s="255"/>
      <c r="O2936" s="61">
        <f t="shared" si="253"/>
        <v>1900</v>
      </c>
      <c r="P2936" s="61">
        <f t="shared" si="254"/>
        <v>1</v>
      </c>
      <c r="R2936" s="272"/>
      <c r="S2936" s="272"/>
      <c r="T2936" s="273" t="str">
        <f t="shared" si="255"/>
        <v>-</v>
      </c>
    </row>
    <row r="2937" spans="9:20">
      <c r="I2937" s="213"/>
      <c r="J2937" s="213"/>
      <c r="L2937" s="272">
        <f t="shared" si="251"/>
        <v>1900</v>
      </c>
      <c r="M2937" s="272">
        <f t="shared" si="252"/>
        <v>1</v>
      </c>
      <c r="N2937" s="255"/>
      <c r="O2937" s="61">
        <f t="shared" si="253"/>
        <v>1900</v>
      </c>
      <c r="P2937" s="61">
        <f t="shared" si="254"/>
        <v>1</v>
      </c>
      <c r="R2937" s="272"/>
      <c r="S2937" s="272"/>
      <c r="T2937" s="273" t="str">
        <f t="shared" si="255"/>
        <v>-</v>
      </c>
    </row>
    <row r="2938" spans="9:20">
      <c r="I2938" s="213"/>
      <c r="J2938" s="213"/>
      <c r="L2938" s="272">
        <f t="shared" si="251"/>
        <v>1900</v>
      </c>
      <c r="M2938" s="272">
        <f t="shared" si="252"/>
        <v>1</v>
      </c>
      <c r="N2938" s="255"/>
      <c r="O2938" s="61">
        <f t="shared" si="253"/>
        <v>1900</v>
      </c>
      <c r="P2938" s="61">
        <f t="shared" si="254"/>
        <v>1</v>
      </c>
      <c r="R2938" s="272"/>
      <c r="S2938" s="272"/>
      <c r="T2938" s="273" t="str">
        <f t="shared" si="255"/>
        <v>-</v>
      </c>
    </row>
    <row r="2939" spans="9:20">
      <c r="I2939" s="213"/>
      <c r="J2939" s="213"/>
      <c r="L2939" s="272">
        <f t="shared" si="251"/>
        <v>1900</v>
      </c>
      <c r="M2939" s="272">
        <f t="shared" si="252"/>
        <v>1</v>
      </c>
      <c r="N2939" s="255"/>
      <c r="O2939" s="61">
        <f t="shared" si="253"/>
        <v>1900</v>
      </c>
      <c r="P2939" s="61">
        <f t="shared" si="254"/>
        <v>1</v>
      </c>
      <c r="R2939" s="272"/>
      <c r="S2939" s="272"/>
      <c r="T2939" s="273" t="str">
        <f t="shared" si="255"/>
        <v>-</v>
      </c>
    </row>
    <row r="2940" spans="9:20">
      <c r="I2940" s="213"/>
      <c r="J2940" s="213"/>
      <c r="L2940" s="272">
        <f t="shared" si="251"/>
        <v>1900</v>
      </c>
      <c r="M2940" s="272">
        <f t="shared" si="252"/>
        <v>1</v>
      </c>
      <c r="N2940" s="255"/>
      <c r="O2940" s="61">
        <f t="shared" si="253"/>
        <v>1900</v>
      </c>
      <c r="P2940" s="61">
        <f t="shared" si="254"/>
        <v>1</v>
      </c>
      <c r="R2940" s="272"/>
      <c r="S2940" s="272"/>
      <c r="T2940" s="273" t="str">
        <f t="shared" si="255"/>
        <v>-</v>
      </c>
    </row>
    <row r="2941" spans="9:20">
      <c r="I2941" s="213"/>
      <c r="J2941" s="213"/>
      <c r="L2941" s="272">
        <f t="shared" si="251"/>
        <v>1900</v>
      </c>
      <c r="M2941" s="272">
        <f t="shared" si="252"/>
        <v>1</v>
      </c>
      <c r="N2941" s="255"/>
      <c r="O2941" s="61">
        <f t="shared" si="253"/>
        <v>1900</v>
      </c>
      <c r="P2941" s="61">
        <f t="shared" si="254"/>
        <v>1</v>
      </c>
      <c r="R2941" s="272"/>
      <c r="S2941" s="272"/>
      <c r="T2941" s="273" t="str">
        <f t="shared" si="255"/>
        <v>-</v>
      </c>
    </row>
    <row r="2942" spans="9:20">
      <c r="I2942" s="213"/>
      <c r="J2942" s="213"/>
      <c r="L2942" s="272">
        <f t="shared" si="251"/>
        <v>1900</v>
      </c>
      <c r="M2942" s="272">
        <f t="shared" si="252"/>
        <v>1</v>
      </c>
      <c r="N2942" s="255"/>
      <c r="O2942" s="61">
        <f t="shared" si="253"/>
        <v>1900</v>
      </c>
      <c r="P2942" s="61">
        <f t="shared" si="254"/>
        <v>1</v>
      </c>
      <c r="R2942" s="272"/>
      <c r="S2942" s="272"/>
      <c r="T2942" s="273" t="str">
        <f t="shared" si="255"/>
        <v>-</v>
      </c>
    </row>
    <row r="2943" spans="9:20">
      <c r="I2943" s="213"/>
      <c r="J2943" s="213"/>
      <c r="L2943" s="272">
        <f t="shared" si="251"/>
        <v>1900</v>
      </c>
      <c r="M2943" s="272">
        <f t="shared" si="252"/>
        <v>1</v>
      </c>
      <c r="N2943" s="255"/>
      <c r="O2943" s="61">
        <f t="shared" si="253"/>
        <v>1900</v>
      </c>
      <c r="P2943" s="61">
        <f t="shared" si="254"/>
        <v>1</v>
      </c>
      <c r="R2943" s="272"/>
      <c r="S2943" s="272"/>
      <c r="T2943" s="273" t="str">
        <f t="shared" si="255"/>
        <v>-</v>
      </c>
    </row>
    <row r="2944" spans="9:20">
      <c r="I2944" s="213"/>
      <c r="J2944" s="213"/>
      <c r="L2944" s="272">
        <f t="shared" si="251"/>
        <v>1900</v>
      </c>
      <c r="M2944" s="272">
        <f t="shared" si="252"/>
        <v>1</v>
      </c>
      <c r="N2944" s="255"/>
      <c r="O2944" s="61">
        <f t="shared" si="253"/>
        <v>1900</v>
      </c>
      <c r="P2944" s="61">
        <f t="shared" si="254"/>
        <v>1</v>
      </c>
      <c r="R2944" s="272"/>
      <c r="S2944" s="272"/>
      <c r="T2944" s="273" t="str">
        <f t="shared" si="255"/>
        <v>-</v>
      </c>
    </row>
    <row r="2945" spans="9:20">
      <c r="I2945" s="213"/>
      <c r="J2945" s="213"/>
      <c r="L2945" s="272">
        <f t="shared" si="251"/>
        <v>1900</v>
      </c>
      <c r="M2945" s="272">
        <f t="shared" si="252"/>
        <v>1</v>
      </c>
      <c r="N2945" s="255"/>
      <c r="O2945" s="61">
        <f t="shared" si="253"/>
        <v>1900</v>
      </c>
      <c r="P2945" s="61">
        <f t="shared" si="254"/>
        <v>1</v>
      </c>
      <c r="R2945" s="272"/>
      <c r="S2945" s="272"/>
      <c r="T2945" s="273" t="str">
        <f t="shared" si="255"/>
        <v>-</v>
      </c>
    </row>
    <row r="2946" spans="9:20">
      <c r="I2946" s="213"/>
      <c r="J2946" s="213"/>
      <c r="L2946" s="272">
        <f t="shared" si="251"/>
        <v>1900</v>
      </c>
      <c r="M2946" s="272">
        <f t="shared" si="252"/>
        <v>1</v>
      </c>
      <c r="N2946" s="255"/>
      <c r="O2946" s="61">
        <f t="shared" si="253"/>
        <v>1900</v>
      </c>
      <c r="P2946" s="61">
        <f t="shared" si="254"/>
        <v>1</v>
      </c>
      <c r="R2946" s="272"/>
      <c r="S2946" s="272"/>
      <c r="T2946" s="273" t="str">
        <f t="shared" si="255"/>
        <v>-</v>
      </c>
    </row>
    <row r="2947" spans="9:20">
      <c r="I2947" s="213"/>
      <c r="J2947" s="213"/>
      <c r="L2947" s="272">
        <f t="shared" si="251"/>
        <v>1900</v>
      </c>
      <c r="M2947" s="272">
        <f t="shared" si="252"/>
        <v>1</v>
      </c>
      <c r="N2947" s="255"/>
      <c r="O2947" s="61">
        <f t="shared" si="253"/>
        <v>1900</v>
      </c>
      <c r="P2947" s="61">
        <f t="shared" si="254"/>
        <v>1</v>
      </c>
      <c r="R2947" s="272"/>
      <c r="S2947" s="272"/>
      <c r="T2947" s="273" t="str">
        <f t="shared" si="255"/>
        <v>-</v>
      </c>
    </row>
    <row r="2948" spans="9:20">
      <c r="I2948" s="213"/>
      <c r="J2948" s="213"/>
      <c r="L2948" s="272">
        <f t="shared" si="251"/>
        <v>1900</v>
      </c>
      <c r="M2948" s="272">
        <f t="shared" si="252"/>
        <v>1</v>
      </c>
      <c r="N2948" s="255"/>
      <c r="O2948" s="61">
        <f t="shared" si="253"/>
        <v>1900</v>
      </c>
      <c r="P2948" s="61">
        <f t="shared" si="254"/>
        <v>1</v>
      </c>
      <c r="R2948" s="272"/>
      <c r="S2948" s="272"/>
      <c r="T2948" s="273" t="str">
        <f t="shared" si="255"/>
        <v>-</v>
      </c>
    </row>
    <row r="2949" spans="9:20">
      <c r="I2949" s="213"/>
      <c r="J2949" s="213"/>
      <c r="L2949" s="272">
        <f t="shared" si="251"/>
        <v>1900</v>
      </c>
      <c r="M2949" s="272">
        <f t="shared" si="252"/>
        <v>1</v>
      </c>
      <c r="N2949" s="255"/>
      <c r="O2949" s="61">
        <f t="shared" si="253"/>
        <v>1900</v>
      </c>
      <c r="P2949" s="61">
        <f t="shared" si="254"/>
        <v>1</v>
      </c>
      <c r="R2949" s="272"/>
      <c r="S2949" s="272"/>
      <c r="T2949" s="273" t="str">
        <f t="shared" si="255"/>
        <v>-</v>
      </c>
    </row>
    <row r="2950" spans="9:20">
      <c r="I2950" s="213"/>
      <c r="J2950" s="213"/>
      <c r="L2950" s="272">
        <f t="shared" si="251"/>
        <v>1900</v>
      </c>
      <c r="M2950" s="272">
        <f t="shared" si="252"/>
        <v>1</v>
      </c>
      <c r="N2950" s="255"/>
      <c r="O2950" s="61">
        <f t="shared" si="253"/>
        <v>1900</v>
      </c>
      <c r="P2950" s="61">
        <f t="shared" si="254"/>
        <v>1</v>
      </c>
      <c r="R2950" s="272"/>
      <c r="S2950" s="272"/>
      <c r="T2950" s="273" t="str">
        <f t="shared" si="255"/>
        <v>-</v>
      </c>
    </row>
    <row r="2951" spans="9:20">
      <c r="I2951" s="213"/>
      <c r="J2951" s="213"/>
      <c r="L2951" s="272">
        <f t="shared" si="251"/>
        <v>1900</v>
      </c>
      <c r="M2951" s="272">
        <f t="shared" si="252"/>
        <v>1</v>
      </c>
      <c r="N2951" s="255"/>
      <c r="O2951" s="61">
        <f t="shared" si="253"/>
        <v>1900</v>
      </c>
      <c r="P2951" s="61">
        <f t="shared" si="254"/>
        <v>1</v>
      </c>
      <c r="R2951" s="272"/>
      <c r="S2951" s="272"/>
      <c r="T2951" s="273" t="str">
        <f t="shared" si="255"/>
        <v>-</v>
      </c>
    </row>
    <row r="2952" spans="9:20">
      <c r="I2952" s="213"/>
      <c r="J2952" s="213"/>
      <c r="L2952" s="272">
        <f t="shared" si="251"/>
        <v>1900</v>
      </c>
      <c r="M2952" s="272">
        <f t="shared" si="252"/>
        <v>1</v>
      </c>
      <c r="N2952" s="255"/>
      <c r="O2952" s="61">
        <f t="shared" si="253"/>
        <v>1900</v>
      </c>
      <c r="P2952" s="61">
        <f t="shared" si="254"/>
        <v>1</v>
      </c>
      <c r="R2952" s="272"/>
      <c r="S2952" s="272"/>
      <c r="T2952" s="273" t="str">
        <f t="shared" si="255"/>
        <v>-</v>
      </c>
    </row>
    <row r="2953" spans="9:20">
      <c r="I2953" s="213"/>
      <c r="J2953" s="213"/>
      <c r="L2953" s="272">
        <f t="shared" si="251"/>
        <v>1900</v>
      </c>
      <c r="M2953" s="272">
        <f t="shared" si="252"/>
        <v>1</v>
      </c>
      <c r="N2953" s="255"/>
      <c r="O2953" s="61">
        <f t="shared" si="253"/>
        <v>1900</v>
      </c>
      <c r="P2953" s="61">
        <f t="shared" si="254"/>
        <v>1</v>
      </c>
      <c r="R2953" s="272"/>
      <c r="S2953" s="272"/>
      <c r="T2953" s="273" t="str">
        <f t="shared" si="255"/>
        <v>-</v>
      </c>
    </row>
    <row r="2954" spans="9:20">
      <c r="I2954" s="213"/>
      <c r="J2954" s="213"/>
      <c r="L2954" s="272">
        <f t="shared" si="251"/>
        <v>1900</v>
      </c>
      <c r="M2954" s="272">
        <f t="shared" si="252"/>
        <v>1</v>
      </c>
      <c r="N2954" s="255"/>
      <c r="O2954" s="61">
        <f t="shared" si="253"/>
        <v>1900</v>
      </c>
      <c r="P2954" s="61">
        <f t="shared" si="254"/>
        <v>1</v>
      </c>
      <c r="R2954" s="272"/>
      <c r="S2954" s="272"/>
      <c r="T2954" s="273" t="str">
        <f t="shared" si="255"/>
        <v>-</v>
      </c>
    </row>
    <row r="2955" spans="9:20">
      <c r="I2955" s="213"/>
      <c r="J2955" s="213"/>
      <c r="L2955" s="272">
        <f t="shared" si="251"/>
        <v>1900</v>
      </c>
      <c r="M2955" s="272">
        <f t="shared" si="252"/>
        <v>1</v>
      </c>
      <c r="N2955" s="255"/>
      <c r="O2955" s="61">
        <f t="shared" si="253"/>
        <v>1900</v>
      </c>
      <c r="P2955" s="61">
        <f t="shared" si="254"/>
        <v>1</v>
      </c>
      <c r="R2955" s="272"/>
      <c r="S2955" s="272"/>
      <c r="T2955" s="273" t="str">
        <f t="shared" si="255"/>
        <v>-</v>
      </c>
    </row>
    <row r="2956" spans="9:20">
      <c r="I2956" s="213"/>
      <c r="J2956" s="213"/>
      <c r="L2956" s="272">
        <f t="shared" si="251"/>
        <v>1900</v>
      </c>
      <c r="M2956" s="272">
        <f t="shared" si="252"/>
        <v>1</v>
      </c>
      <c r="N2956" s="255"/>
      <c r="O2956" s="61">
        <f t="shared" si="253"/>
        <v>1900</v>
      </c>
      <c r="P2956" s="61">
        <f t="shared" si="254"/>
        <v>1</v>
      </c>
      <c r="R2956" s="272"/>
      <c r="S2956" s="272"/>
      <c r="T2956" s="273" t="str">
        <f t="shared" si="255"/>
        <v>-</v>
      </c>
    </row>
    <row r="2957" spans="9:20">
      <c r="I2957" s="213"/>
      <c r="J2957" s="213"/>
      <c r="L2957" s="272">
        <f t="shared" si="251"/>
        <v>1900</v>
      </c>
      <c r="M2957" s="272">
        <f t="shared" si="252"/>
        <v>1</v>
      </c>
      <c r="N2957" s="255"/>
      <c r="O2957" s="61">
        <f t="shared" si="253"/>
        <v>1900</v>
      </c>
      <c r="P2957" s="61">
        <f t="shared" si="254"/>
        <v>1</v>
      </c>
      <c r="R2957" s="272"/>
      <c r="S2957" s="272"/>
      <c r="T2957" s="273" t="str">
        <f t="shared" si="255"/>
        <v>-</v>
      </c>
    </row>
    <row r="2958" spans="9:20">
      <c r="I2958" s="213"/>
      <c r="J2958" s="213"/>
      <c r="L2958" s="272">
        <f t="shared" si="251"/>
        <v>1900</v>
      </c>
      <c r="M2958" s="272">
        <f t="shared" si="252"/>
        <v>1</v>
      </c>
      <c r="N2958" s="255"/>
      <c r="O2958" s="61">
        <f t="shared" si="253"/>
        <v>1900</v>
      </c>
      <c r="P2958" s="61">
        <f t="shared" si="254"/>
        <v>1</v>
      </c>
      <c r="R2958" s="272"/>
      <c r="S2958" s="272"/>
      <c r="T2958" s="273" t="str">
        <f t="shared" si="255"/>
        <v>-</v>
      </c>
    </row>
    <row r="2959" spans="9:20">
      <c r="I2959" s="213"/>
      <c r="J2959" s="213"/>
      <c r="L2959" s="272">
        <f t="shared" si="251"/>
        <v>1900</v>
      </c>
      <c r="M2959" s="272">
        <f t="shared" si="252"/>
        <v>1</v>
      </c>
      <c r="N2959" s="255"/>
      <c r="O2959" s="61">
        <f t="shared" si="253"/>
        <v>1900</v>
      </c>
      <c r="P2959" s="61">
        <f t="shared" si="254"/>
        <v>1</v>
      </c>
      <c r="R2959" s="272"/>
      <c r="S2959" s="272"/>
      <c r="T2959" s="273" t="str">
        <f t="shared" si="255"/>
        <v>-</v>
      </c>
    </row>
    <row r="2960" spans="9:20">
      <c r="I2960" s="213"/>
      <c r="J2960" s="213"/>
      <c r="L2960" s="272">
        <f t="shared" ref="L2960:L3023" si="256">YEAR(B2960)</f>
        <v>1900</v>
      </c>
      <c r="M2960" s="272">
        <f t="shared" ref="M2960:M3023" si="257">MONTH(B2960)</f>
        <v>1</v>
      </c>
      <c r="N2960" s="255"/>
      <c r="O2960" s="61">
        <f t="shared" ref="O2960:O3023" si="258">YEAR(B2960)</f>
        <v>1900</v>
      </c>
      <c r="P2960" s="61">
        <f t="shared" ref="P2960:P3023" si="259">MONTH(B2960)</f>
        <v>1</v>
      </c>
      <c r="R2960" s="272"/>
      <c r="S2960" s="272"/>
      <c r="T2960" s="273" t="str">
        <f t="shared" ref="T2960:T3023" si="260">IF($E2960&gt;0,IF((R2960+S2960)=$E2960,"OK","Error"),"-")</f>
        <v>-</v>
      </c>
    </row>
    <row r="2961" spans="9:20">
      <c r="I2961" s="213"/>
      <c r="J2961" s="213"/>
      <c r="L2961" s="272">
        <f t="shared" si="256"/>
        <v>1900</v>
      </c>
      <c r="M2961" s="272">
        <f t="shared" si="257"/>
        <v>1</v>
      </c>
      <c r="N2961" s="255"/>
      <c r="O2961" s="61">
        <f t="shared" si="258"/>
        <v>1900</v>
      </c>
      <c r="P2961" s="61">
        <f t="shared" si="259"/>
        <v>1</v>
      </c>
      <c r="R2961" s="272"/>
      <c r="S2961" s="272"/>
      <c r="T2961" s="273" t="str">
        <f t="shared" si="260"/>
        <v>-</v>
      </c>
    </row>
    <row r="2962" spans="9:20">
      <c r="I2962" s="213"/>
      <c r="J2962" s="213"/>
      <c r="L2962" s="272">
        <f t="shared" si="256"/>
        <v>1900</v>
      </c>
      <c r="M2962" s="272">
        <f t="shared" si="257"/>
        <v>1</v>
      </c>
      <c r="N2962" s="255"/>
      <c r="O2962" s="61">
        <f t="shared" si="258"/>
        <v>1900</v>
      </c>
      <c r="P2962" s="61">
        <f t="shared" si="259"/>
        <v>1</v>
      </c>
      <c r="R2962" s="272"/>
      <c r="S2962" s="272"/>
      <c r="T2962" s="273" t="str">
        <f t="shared" si="260"/>
        <v>-</v>
      </c>
    </row>
    <row r="2963" spans="9:20">
      <c r="I2963" s="213"/>
      <c r="J2963" s="213"/>
      <c r="L2963" s="272">
        <f t="shared" si="256"/>
        <v>1900</v>
      </c>
      <c r="M2963" s="272">
        <f t="shared" si="257"/>
        <v>1</v>
      </c>
      <c r="N2963" s="255"/>
      <c r="O2963" s="61">
        <f t="shared" si="258"/>
        <v>1900</v>
      </c>
      <c r="P2963" s="61">
        <f t="shared" si="259"/>
        <v>1</v>
      </c>
      <c r="R2963" s="272"/>
      <c r="S2963" s="272"/>
      <c r="T2963" s="273" t="str">
        <f t="shared" si="260"/>
        <v>-</v>
      </c>
    </row>
    <row r="2964" spans="9:20">
      <c r="I2964" s="213"/>
      <c r="J2964" s="213"/>
      <c r="L2964" s="272">
        <f t="shared" si="256"/>
        <v>1900</v>
      </c>
      <c r="M2964" s="272">
        <f t="shared" si="257"/>
        <v>1</v>
      </c>
      <c r="N2964" s="255"/>
      <c r="O2964" s="61">
        <f t="shared" si="258"/>
        <v>1900</v>
      </c>
      <c r="P2964" s="61">
        <f t="shared" si="259"/>
        <v>1</v>
      </c>
      <c r="R2964" s="272"/>
      <c r="S2964" s="272"/>
      <c r="T2964" s="273" t="str">
        <f t="shared" si="260"/>
        <v>-</v>
      </c>
    </row>
    <row r="2965" spans="9:20">
      <c r="I2965" s="213"/>
      <c r="J2965" s="213"/>
      <c r="L2965" s="272">
        <f t="shared" si="256"/>
        <v>1900</v>
      </c>
      <c r="M2965" s="272">
        <f t="shared" si="257"/>
        <v>1</v>
      </c>
      <c r="N2965" s="255"/>
      <c r="O2965" s="61">
        <f t="shared" si="258"/>
        <v>1900</v>
      </c>
      <c r="P2965" s="61">
        <f t="shared" si="259"/>
        <v>1</v>
      </c>
      <c r="R2965" s="272"/>
      <c r="S2965" s="272"/>
      <c r="T2965" s="273" t="str">
        <f t="shared" si="260"/>
        <v>-</v>
      </c>
    </row>
    <row r="2966" spans="9:20">
      <c r="I2966" s="213"/>
      <c r="J2966" s="213"/>
      <c r="L2966" s="272">
        <f t="shared" si="256"/>
        <v>1900</v>
      </c>
      <c r="M2966" s="272">
        <f t="shared" si="257"/>
        <v>1</v>
      </c>
      <c r="N2966" s="255"/>
      <c r="O2966" s="61">
        <f t="shared" si="258"/>
        <v>1900</v>
      </c>
      <c r="P2966" s="61">
        <f t="shared" si="259"/>
        <v>1</v>
      </c>
      <c r="R2966" s="272"/>
      <c r="S2966" s="272"/>
      <c r="T2966" s="273" t="str">
        <f t="shared" si="260"/>
        <v>-</v>
      </c>
    </row>
    <row r="2967" spans="9:20">
      <c r="I2967" s="213"/>
      <c r="J2967" s="213"/>
      <c r="L2967" s="272">
        <f t="shared" si="256"/>
        <v>1900</v>
      </c>
      <c r="M2967" s="272">
        <f t="shared" si="257"/>
        <v>1</v>
      </c>
      <c r="N2967" s="255"/>
      <c r="O2967" s="61">
        <f t="shared" si="258"/>
        <v>1900</v>
      </c>
      <c r="P2967" s="61">
        <f t="shared" si="259"/>
        <v>1</v>
      </c>
      <c r="R2967" s="272"/>
      <c r="S2967" s="272"/>
      <c r="T2967" s="273" t="str">
        <f t="shared" si="260"/>
        <v>-</v>
      </c>
    </row>
    <row r="2968" spans="9:20">
      <c r="I2968" s="213"/>
      <c r="J2968" s="213"/>
      <c r="L2968" s="272">
        <f t="shared" si="256"/>
        <v>1900</v>
      </c>
      <c r="M2968" s="272">
        <f t="shared" si="257"/>
        <v>1</v>
      </c>
      <c r="N2968" s="255"/>
      <c r="O2968" s="61">
        <f t="shared" si="258"/>
        <v>1900</v>
      </c>
      <c r="P2968" s="61">
        <f t="shared" si="259"/>
        <v>1</v>
      </c>
      <c r="R2968" s="272"/>
      <c r="S2968" s="272"/>
      <c r="T2968" s="273" t="str">
        <f t="shared" si="260"/>
        <v>-</v>
      </c>
    </row>
    <row r="2969" spans="9:20">
      <c r="I2969" s="213"/>
      <c r="J2969" s="213"/>
      <c r="L2969" s="272">
        <f t="shared" si="256"/>
        <v>1900</v>
      </c>
      <c r="M2969" s="272">
        <f t="shared" si="257"/>
        <v>1</v>
      </c>
      <c r="N2969" s="255"/>
      <c r="O2969" s="61">
        <f t="shared" si="258"/>
        <v>1900</v>
      </c>
      <c r="P2969" s="61">
        <f t="shared" si="259"/>
        <v>1</v>
      </c>
      <c r="R2969" s="272"/>
      <c r="S2969" s="272"/>
      <c r="T2969" s="273" t="str">
        <f t="shared" si="260"/>
        <v>-</v>
      </c>
    </row>
    <row r="2970" spans="9:20">
      <c r="I2970" s="213"/>
      <c r="J2970" s="213"/>
      <c r="L2970" s="272">
        <f t="shared" si="256"/>
        <v>1900</v>
      </c>
      <c r="M2970" s="272">
        <f t="shared" si="257"/>
        <v>1</v>
      </c>
      <c r="N2970" s="255"/>
      <c r="O2970" s="61">
        <f t="shared" si="258"/>
        <v>1900</v>
      </c>
      <c r="P2970" s="61">
        <f t="shared" si="259"/>
        <v>1</v>
      </c>
      <c r="R2970" s="272"/>
      <c r="S2970" s="272"/>
      <c r="T2970" s="273" t="str">
        <f t="shared" si="260"/>
        <v>-</v>
      </c>
    </row>
    <row r="2971" spans="9:20">
      <c r="I2971" s="213"/>
      <c r="J2971" s="213"/>
      <c r="L2971" s="272">
        <f t="shared" si="256"/>
        <v>1900</v>
      </c>
      <c r="M2971" s="272">
        <f t="shared" si="257"/>
        <v>1</v>
      </c>
      <c r="N2971" s="255"/>
      <c r="O2971" s="61">
        <f t="shared" si="258"/>
        <v>1900</v>
      </c>
      <c r="P2971" s="61">
        <f t="shared" si="259"/>
        <v>1</v>
      </c>
      <c r="R2971" s="272"/>
      <c r="S2971" s="272"/>
      <c r="T2971" s="273" t="str">
        <f t="shared" si="260"/>
        <v>-</v>
      </c>
    </row>
    <row r="2972" spans="9:20">
      <c r="I2972" s="213"/>
      <c r="J2972" s="213"/>
      <c r="L2972" s="272">
        <f t="shared" si="256"/>
        <v>1900</v>
      </c>
      <c r="M2972" s="272">
        <f t="shared" si="257"/>
        <v>1</v>
      </c>
      <c r="N2972" s="255"/>
      <c r="O2972" s="61">
        <f t="shared" si="258"/>
        <v>1900</v>
      </c>
      <c r="P2972" s="61">
        <f t="shared" si="259"/>
        <v>1</v>
      </c>
      <c r="R2972" s="272"/>
      <c r="S2972" s="272"/>
      <c r="T2972" s="273" t="str">
        <f t="shared" si="260"/>
        <v>-</v>
      </c>
    </row>
    <row r="2973" spans="9:20">
      <c r="I2973" s="213"/>
      <c r="J2973" s="213"/>
      <c r="L2973" s="272">
        <f t="shared" si="256"/>
        <v>1900</v>
      </c>
      <c r="M2973" s="272">
        <f t="shared" si="257"/>
        <v>1</v>
      </c>
      <c r="N2973" s="255"/>
      <c r="O2973" s="61">
        <f t="shared" si="258"/>
        <v>1900</v>
      </c>
      <c r="P2973" s="61">
        <f t="shared" si="259"/>
        <v>1</v>
      </c>
      <c r="R2973" s="272"/>
      <c r="S2973" s="272"/>
      <c r="T2973" s="273" t="str">
        <f t="shared" si="260"/>
        <v>-</v>
      </c>
    </row>
    <row r="2974" spans="9:20">
      <c r="I2974" s="213"/>
      <c r="J2974" s="213"/>
      <c r="L2974" s="272">
        <f t="shared" si="256"/>
        <v>1900</v>
      </c>
      <c r="M2974" s="272">
        <f t="shared" si="257"/>
        <v>1</v>
      </c>
      <c r="N2974" s="255"/>
      <c r="O2974" s="61">
        <f t="shared" si="258"/>
        <v>1900</v>
      </c>
      <c r="P2974" s="61">
        <f t="shared" si="259"/>
        <v>1</v>
      </c>
      <c r="R2974" s="272"/>
      <c r="S2974" s="272"/>
      <c r="T2974" s="273" t="str">
        <f t="shared" si="260"/>
        <v>-</v>
      </c>
    </row>
    <row r="2975" spans="9:20">
      <c r="I2975" s="213"/>
      <c r="J2975" s="213"/>
      <c r="L2975" s="272">
        <f t="shared" si="256"/>
        <v>1900</v>
      </c>
      <c r="M2975" s="272">
        <f t="shared" si="257"/>
        <v>1</v>
      </c>
      <c r="N2975" s="255"/>
      <c r="O2975" s="61">
        <f t="shared" si="258"/>
        <v>1900</v>
      </c>
      <c r="P2975" s="61">
        <f t="shared" si="259"/>
        <v>1</v>
      </c>
      <c r="R2975" s="272"/>
      <c r="S2975" s="272"/>
      <c r="T2975" s="273" t="str">
        <f t="shared" si="260"/>
        <v>-</v>
      </c>
    </row>
    <row r="2976" spans="9:20">
      <c r="I2976" s="213"/>
      <c r="J2976" s="213"/>
      <c r="L2976" s="272">
        <f t="shared" si="256"/>
        <v>1900</v>
      </c>
      <c r="M2976" s="272">
        <f t="shared" si="257"/>
        <v>1</v>
      </c>
      <c r="N2976" s="255"/>
      <c r="O2976" s="61">
        <f t="shared" si="258"/>
        <v>1900</v>
      </c>
      <c r="P2976" s="61">
        <f t="shared" si="259"/>
        <v>1</v>
      </c>
      <c r="R2976" s="272"/>
      <c r="S2976" s="272"/>
      <c r="T2976" s="273" t="str">
        <f t="shared" si="260"/>
        <v>-</v>
      </c>
    </row>
    <row r="2977" spans="9:20">
      <c r="I2977" s="213"/>
      <c r="J2977" s="213"/>
      <c r="L2977" s="272">
        <f t="shared" si="256"/>
        <v>1900</v>
      </c>
      <c r="M2977" s="272">
        <f t="shared" si="257"/>
        <v>1</v>
      </c>
      <c r="N2977" s="255"/>
      <c r="O2977" s="61">
        <f t="shared" si="258"/>
        <v>1900</v>
      </c>
      <c r="P2977" s="61">
        <f t="shared" si="259"/>
        <v>1</v>
      </c>
      <c r="R2977" s="272"/>
      <c r="S2977" s="272"/>
      <c r="T2977" s="273" t="str">
        <f t="shared" si="260"/>
        <v>-</v>
      </c>
    </row>
    <row r="2978" spans="9:20">
      <c r="I2978" s="213"/>
      <c r="J2978" s="213"/>
      <c r="L2978" s="272">
        <f t="shared" si="256"/>
        <v>1900</v>
      </c>
      <c r="M2978" s="272">
        <f t="shared" si="257"/>
        <v>1</v>
      </c>
      <c r="N2978" s="255"/>
      <c r="O2978" s="61">
        <f t="shared" si="258"/>
        <v>1900</v>
      </c>
      <c r="P2978" s="61">
        <f t="shared" si="259"/>
        <v>1</v>
      </c>
      <c r="R2978" s="272"/>
      <c r="S2978" s="272"/>
      <c r="T2978" s="273" t="str">
        <f t="shared" si="260"/>
        <v>-</v>
      </c>
    </row>
    <row r="2979" spans="9:20">
      <c r="I2979" s="213"/>
      <c r="J2979" s="213"/>
      <c r="L2979" s="272">
        <f t="shared" si="256"/>
        <v>1900</v>
      </c>
      <c r="M2979" s="272">
        <f t="shared" si="257"/>
        <v>1</v>
      </c>
      <c r="N2979" s="255"/>
      <c r="O2979" s="61">
        <f t="shared" si="258"/>
        <v>1900</v>
      </c>
      <c r="P2979" s="61">
        <f t="shared" si="259"/>
        <v>1</v>
      </c>
      <c r="R2979" s="272"/>
      <c r="S2979" s="272"/>
      <c r="T2979" s="273" t="str">
        <f t="shared" si="260"/>
        <v>-</v>
      </c>
    </row>
    <row r="2980" spans="9:20">
      <c r="I2980" s="213"/>
      <c r="J2980" s="213"/>
      <c r="L2980" s="272">
        <f t="shared" si="256"/>
        <v>1900</v>
      </c>
      <c r="M2980" s="272">
        <f t="shared" si="257"/>
        <v>1</v>
      </c>
      <c r="N2980" s="255"/>
      <c r="O2980" s="61">
        <f t="shared" si="258"/>
        <v>1900</v>
      </c>
      <c r="P2980" s="61">
        <f t="shared" si="259"/>
        <v>1</v>
      </c>
      <c r="R2980" s="272"/>
      <c r="S2980" s="272"/>
      <c r="T2980" s="273" t="str">
        <f t="shared" si="260"/>
        <v>-</v>
      </c>
    </row>
    <row r="2981" spans="9:20">
      <c r="I2981" s="213"/>
      <c r="J2981" s="213"/>
      <c r="L2981" s="272">
        <f t="shared" si="256"/>
        <v>1900</v>
      </c>
      <c r="M2981" s="272">
        <f t="shared" si="257"/>
        <v>1</v>
      </c>
      <c r="N2981" s="255"/>
      <c r="O2981" s="61">
        <f t="shared" si="258"/>
        <v>1900</v>
      </c>
      <c r="P2981" s="61">
        <f t="shared" si="259"/>
        <v>1</v>
      </c>
      <c r="R2981" s="272"/>
      <c r="S2981" s="272"/>
      <c r="T2981" s="273" t="str">
        <f t="shared" si="260"/>
        <v>-</v>
      </c>
    </row>
    <row r="2982" spans="9:20">
      <c r="I2982" s="213"/>
      <c r="J2982" s="213"/>
      <c r="L2982" s="272">
        <f t="shared" si="256"/>
        <v>1900</v>
      </c>
      <c r="M2982" s="272">
        <f t="shared" si="257"/>
        <v>1</v>
      </c>
      <c r="N2982" s="255"/>
      <c r="O2982" s="61">
        <f t="shared" si="258"/>
        <v>1900</v>
      </c>
      <c r="P2982" s="61">
        <f t="shared" si="259"/>
        <v>1</v>
      </c>
      <c r="R2982" s="272"/>
      <c r="S2982" s="272"/>
      <c r="T2982" s="273" t="str">
        <f t="shared" si="260"/>
        <v>-</v>
      </c>
    </row>
    <row r="2983" spans="9:20">
      <c r="I2983" s="213"/>
      <c r="J2983" s="213"/>
      <c r="L2983" s="272">
        <f t="shared" si="256"/>
        <v>1900</v>
      </c>
      <c r="M2983" s="272">
        <f t="shared" si="257"/>
        <v>1</v>
      </c>
      <c r="N2983" s="255"/>
      <c r="O2983" s="61">
        <f t="shared" si="258"/>
        <v>1900</v>
      </c>
      <c r="P2983" s="61">
        <f t="shared" si="259"/>
        <v>1</v>
      </c>
      <c r="R2983" s="272"/>
      <c r="S2983" s="272"/>
      <c r="T2983" s="273" t="str">
        <f t="shared" si="260"/>
        <v>-</v>
      </c>
    </row>
    <row r="2984" spans="9:20">
      <c r="I2984" s="213"/>
      <c r="J2984" s="213"/>
      <c r="L2984" s="272">
        <f t="shared" si="256"/>
        <v>1900</v>
      </c>
      <c r="M2984" s="272">
        <f t="shared" si="257"/>
        <v>1</v>
      </c>
      <c r="N2984" s="255"/>
      <c r="O2984" s="61">
        <f t="shared" si="258"/>
        <v>1900</v>
      </c>
      <c r="P2984" s="61">
        <f t="shared" si="259"/>
        <v>1</v>
      </c>
      <c r="R2984" s="272"/>
      <c r="S2984" s="272"/>
      <c r="T2984" s="273" t="str">
        <f t="shared" si="260"/>
        <v>-</v>
      </c>
    </row>
    <row r="2985" spans="9:20">
      <c r="I2985" s="213"/>
      <c r="J2985" s="213"/>
      <c r="L2985" s="272">
        <f t="shared" si="256"/>
        <v>1900</v>
      </c>
      <c r="M2985" s="272">
        <f t="shared" si="257"/>
        <v>1</v>
      </c>
      <c r="N2985" s="255"/>
      <c r="O2985" s="61">
        <f t="shared" si="258"/>
        <v>1900</v>
      </c>
      <c r="P2985" s="61">
        <f t="shared" si="259"/>
        <v>1</v>
      </c>
      <c r="R2985" s="272"/>
      <c r="S2985" s="272"/>
      <c r="T2985" s="273" t="str">
        <f t="shared" si="260"/>
        <v>-</v>
      </c>
    </row>
    <row r="2986" spans="9:20">
      <c r="I2986" s="213"/>
      <c r="J2986" s="213"/>
      <c r="L2986" s="272">
        <f t="shared" si="256"/>
        <v>1900</v>
      </c>
      <c r="M2986" s="272">
        <f t="shared" si="257"/>
        <v>1</v>
      </c>
      <c r="N2986" s="255"/>
      <c r="O2986" s="61">
        <f t="shared" si="258"/>
        <v>1900</v>
      </c>
      <c r="P2986" s="61">
        <f t="shared" si="259"/>
        <v>1</v>
      </c>
      <c r="R2986" s="272"/>
      <c r="S2986" s="272"/>
      <c r="T2986" s="273" t="str">
        <f t="shared" si="260"/>
        <v>-</v>
      </c>
    </row>
    <row r="2987" spans="9:20">
      <c r="I2987" s="213"/>
      <c r="J2987" s="213"/>
      <c r="L2987" s="272">
        <f t="shared" si="256"/>
        <v>1900</v>
      </c>
      <c r="M2987" s="272">
        <f t="shared" si="257"/>
        <v>1</v>
      </c>
      <c r="N2987" s="255"/>
      <c r="O2987" s="61">
        <f t="shared" si="258"/>
        <v>1900</v>
      </c>
      <c r="P2987" s="61">
        <f t="shared" si="259"/>
        <v>1</v>
      </c>
      <c r="R2987" s="272"/>
      <c r="S2987" s="272"/>
      <c r="T2987" s="273" t="str">
        <f t="shared" si="260"/>
        <v>-</v>
      </c>
    </row>
    <row r="2988" spans="9:20">
      <c r="I2988" s="213"/>
      <c r="J2988" s="213"/>
      <c r="L2988" s="272">
        <f t="shared" si="256"/>
        <v>1900</v>
      </c>
      <c r="M2988" s="272">
        <f t="shared" si="257"/>
        <v>1</v>
      </c>
      <c r="N2988" s="255"/>
      <c r="O2988" s="61">
        <f t="shared" si="258"/>
        <v>1900</v>
      </c>
      <c r="P2988" s="61">
        <f t="shared" si="259"/>
        <v>1</v>
      </c>
      <c r="R2988" s="272"/>
      <c r="S2988" s="272"/>
      <c r="T2988" s="273" t="str">
        <f t="shared" si="260"/>
        <v>-</v>
      </c>
    </row>
    <row r="2989" spans="9:20">
      <c r="I2989" s="213"/>
      <c r="J2989" s="213"/>
      <c r="L2989" s="272">
        <f t="shared" si="256"/>
        <v>1900</v>
      </c>
      <c r="M2989" s="272">
        <f t="shared" si="257"/>
        <v>1</v>
      </c>
      <c r="N2989" s="255"/>
      <c r="O2989" s="61">
        <f t="shared" si="258"/>
        <v>1900</v>
      </c>
      <c r="P2989" s="61">
        <f t="shared" si="259"/>
        <v>1</v>
      </c>
      <c r="R2989" s="272"/>
      <c r="S2989" s="272"/>
      <c r="T2989" s="273" t="str">
        <f t="shared" si="260"/>
        <v>-</v>
      </c>
    </row>
    <row r="2990" spans="9:20">
      <c r="I2990" s="213"/>
      <c r="J2990" s="213"/>
      <c r="L2990" s="272">
        <f t="shared" si="256"/>
        <v>1900</v>
      </c>
      <c r="M2990" s="272">
        <f t="shared" si="257"/>
        <v>1</v>
      </c>
      <c r="N2990" s="255"/>
      <c r="O2990" s="61">
        <f t="shared" si="258"/>
        <v>1900</v>
      </c>
      <c r="P2990" s="61">
        <f t="shared" si="259"/>
        <v>1</v>
      </c>
      <c r="R2990" s="272"/>
      <c r="S2990" s="272"/>
      <c r="T2990" s="273" t="str">
        <f t="shared" si="260"/>
        <v>-</v>
      </c>
    </row>
    <row r="2991" spans="9:20">
      <c r="I2991" s="213"/>
      <c r="J2991" s="213"/>
      <c r="L2991" s="272">
        <f t="shared" si="256"/>
        <v>1900</v>
      </c>
      <c r="M2991" s="272">
        <f t="shared" si="257"/>
        <v>1</v>
      </c>
      <c r="N2991" s="255"/>
      <c r="O2991" s="61">
        <f t="shared" si="258"/>
        <v>1900</v>
      </c>
      <c r="P2991" s="61">
        <f t="shared" si="259"/>
        <v>1</v>
      </c>
      <c r="R2991" s="272"/>
      <c r="S2991" s="272"/>
      <c r="T2991" s="273" t="str">
        <f t="shared" si="260"/>
        <v>-</v>
      </c>
    </row>
    <row r="2992" spans="9:20">
      <c r="I2992" s="213"/>
      <c r="J2992" s="213"/>
      <c r="L2992" s="272">
        <f t="shared" si="256"/>
        <v>1900</v>
      </c>
      <c r="M2992" s="272">
        <f t="shared" si="257"/>
        <v>1</v>
      </c>
      <c r="N2992" s="255"/>
      <c r="O2992" s="61">
        <f t="shared" si="258"/>
        <v>1900</v>
      </c>
      <c r="P2992" s="61">
        <f t="shared" si="259"/>
        <v>1</v>
      </c>
      <c r="R2992" s="272"/>
      <c r="S2992" s="272"/>
      <c r="T2992" s="273" t="str">
        <f t="shared" si="260"/>
        <v>-</v>
      </c>
    </row>
    <row r="2993" spans="9:20">
      <c r="I2993" s="213"/>
      <c r="J2993" s="213"/>
      <c r="L2993" s="272">
        <f t="shared" si="256"/>
        <v>1900</v>
      </c>
      <c r="M2993" s="272">
        <f t="shared" si="257"/>
        <v>1</v>
      </c>
      <c r="N2993" s="255"/>
      <c r="O2993" s="61">
        <f t="shared" si="258"/>
        <v>1900</v>
      </c>
      <c r="P2993" s="61">
        <f t="shared" si="259"/>
        <v>1</v>
      </c>
      <c r="R2993" s="272"/>
      <c r="S2993" s="272"/>
      <c r="T2993" s="273" t="str">
        <f t="shared" si="260"/>
        <v>-</v>
      </c>
    </row>
    <row r="2994" spans="9:20">
      <c r="I2994" s="213"/>
      <c r="J2994" s="213"/>
      <c r="L2994" s="272">
        <f t="shared" si="256"/>
        <v>1900</v>
      </c>
      <c r="M2994" s="272">
        <f t="shared" si="257"/>
        <v>1</v>
      </c>
      <c r="N2994" s="255"/>
      <c r="O2994" s="61">
        <f t="shared" si="258"/>
        <v>1900</v>
      </c>
      <c r="P2994" s="61">
        <f t="shared" si="259"/>
        <v>1</v>
      </c>
      <c r="R2994" s="272"/>
      <c r="S2994" s="272"/>
      <c r="T2994" s="273" t="str">
        <f t="shared" si="260"/>
        <v>-</v>
      </c>
    </row>
    <row r="2995" spans="9:20">
      <c r="I2995" s="213"/>
      <c r="J2995" s="213"/>
      <c r="L2995" s="272">
        <f t="shared" si="256"/>
        <v>1900</v>
      </c>
      <c r="M2995" s="272">
        <f t="shared" si="257"/>
        <v>1</v>
      </c>
      <c r="N2995" s="255"/>
      <c r="O2995" s="61">
        <f t="shared" si="258"/>
        <v>1900</v>
      </c>
      <c r="P2995" s="61">
        <f t="shared" si="259"/>
        <v>1</v>
      </c>
      <c r="R2995" s="272"/>
      <c r="S2995" s="272"/>
      <c r="T2995" s="273" t="str">
        <f t="shared" si="260"/>
        <v>-</v>
      </c>
    </row>
    <row r="2996" spans="9:20">
      <c r="I2996" s="213"/>
      <c r="J2996" s="213"/>
      <c r="L2996" s="272">
        <f t="shared" si="256"/>
        <v>1900</v>
      </c>
      <c r="M2996" s="272">
        <f t="shared" si="257"/>
        <v>1</v>
      </c>
      <c r="N2996" s="255"/>
      <c r="O2996" s="61">
        <f t="shared" si="258"/>
        <v>1900</v>
      </c>
      <c r="P2996" s="61">
        <f t="shared" si="259"/>
        <v>1</v>
      </c>
      <c r="R2996" s="272"/>
      <c r="S2996" s="272"/>
      <c r="T2996" s="273" t="str">
        <f t="shared" si="260"/>
        <v>-</v>
      </c>
    </row>
    <row r="2997" spans="9:20">
      <c r="I2997" s="213"/>
      <c r="J2997" s="213"/>
      <c r="L2997" s="272">
        <f t="shared" si="256"/>
        <v>1900</v>
      </c>
      <c r="M2997" s="272">
        <f t="shared" si="257"/>
        <v>1</v>
      </c>
      <c r="N2997" s="255"/>
      <c r="O2997" s="61">
        <f t="shared" si="258"/>
        <v>1900</v>
      </c>
      <c r="P2997" s="61">
        <f t="shared" si="259"/>
        <v>1</v>
      </c>
      <c r="R2997" s="272"/>
      <c r="S2997" s="272"/>
      <c r="T2997" s="273" t="str">
        <f t="shared" si="260"/>
        <v>-</v>
      </c>
    </row>
    <row r="2998" spans="9:20">
      <c r="I2998" s="213"/>
      <c r="J2998" s="213"/>
      <c r="L2998" s="272">
        <f t="shared" si="256"/>
        <v>1900</v>
      </c>
      <c r="M2998" s="272">
        <f t="shared" si="257"/>
        <v>1</v>
      </c>
      <c r="N2998" s="255"/>
      <c r="O2998" s="61">
        <f t="shared" si="258"/>
        <v>1900</v>
      </c>
      <c r="P2998" s="61">
        <f t="shared" si="259"/>
        <v>1</v>
      </c>
      <c r="R2998" s="272"/>
      <c r="S2998" s="272"/>
      <c r="T2998" s="273" t="str">
        <f t="shared" si="260"/>
        <v>-</v>
      </c>
    </row>
    <row r="2999" spans="9:20">
      <c r="I2999" s="213"/>
      <c r="J2999" s="213"/>
      <c r="L2999" s="272">
        <f t="shared" si="256"/>
        <v>1900</v>
      </c>
      <c r="M2999" s="272">
        <f t="shared" si="257"/>
        <v>1</v>
      </c>
      <c r="N2999" s="255"/>
      <c r="O2999" s="61">
        <f t="shared" si="258"/>
        <v>1900</v>
      </c>
      <c r="P2999" s="61">
        <f t="shared" si="259"/>
        <v>1</v>
      </c>
      <c r="R2999" s="272"/>
      <c r="S2999" s="272"/>
      <c r="T2999" s="273" t="str">
        <f t="shared" si="260"/>
        <v>-</v>
      </c>
    </row>
    <row r="3000" spans="9:20">
      <c r="I3000" s="213"/>
      <c r="J3000" s="213"/>
      <c r="L3000" s="272">
        <f t="shared" si="256"/>
        <v>1900</v>
      </c>
      <c r="M3000" s="272">
        <f t="shared" si="257"/>
        <v>1</v>
      </c>
      <c r="N3000" s="255"/>
      <c r="O3000" s="61">
        <f t="shared" si="258"/>
        <v>1900</v>
      </c>
      <c r="P3000" s="61">
        <f t="shared" si="259"/>
        <v>1</v>
      </c>
      <c r="R3000" s="272"/>
      <c r="S3000" s="272"/>
      <c r="T3000" s="273" t="str">
        <f t="shared" si="260"/>
        <v>-</v>
      </c>
    </row>
    <row r="3001" spans="9:20">
      <c r="I3001" s="213"/>
      <c r="J3001" s="213"/>
      <c r="L3001" s="272">
        <f t="shared" si="256"/>
        <v>1900</v>
      </c>
      <c r="M3001" s="272">
        <f t="shared" si="257"/>
        <v>1</v>
      </c>
      <c r="N3001" s="255"/>
      <c r="O3001" s="61">
        <f t="shared" si="258"/>
        <v>1900</v>
      </c>
      <c r="P3001" s="61">
        <f t="shared" si="259"/>
        <v>1</v>
      </c>
      <c r="R3001" s="272"/>
      <c r="S3001" s="272"/>
      <c r="T3001" s="273" t="str">
        <f t="shared" si="260"/>
        <v>-</v>
      </c>
    </row>
    <row r="3002" spans="9:20">
      <c r="I3002" s="213"/>
      <c r="J3002" s="213"/>
      <c r="L3002" s="272">
        <f t="shared" si="256"/>
        <v>1900</v>
      </c>
      <c r="M3002" s="272">
        <f t="shared" si="257"/>
        <v>1</v>
      </c>
      <c r="N3002" s="255"/>
      <c r="O3002" s="61">
        <f t="shared" si="258"/>
        <v>1900</v>
      </c>
      <c r="P3002" s="61">
        <f t="shared" si="259"/>
        <v>1</v>
      </c>
      <c r="R3002" s="272"/>
      <c r="S3002" s="272"/>
      <c r="T3002" s="273" t="str">
        <f t="shared" si="260"/>
        <v>-</v>
      </c>
    </row>
    <row r="3003" spans="9:20">
      <c r="I3003" s="213"/>
      <c r="J3003" s="213"/>
      <c r="L3003" s="272">
        <f t="shared" si="256"/>
        <v>1900</v>
      </c>
      <c r="M3003" s="272">
        <f t="shared" si="257"/>
        <v>1</v>
      </c>
      <c r="N3003" s="255"/>
      <c r="O3003" s="61">
        <f t="shared" si="258"/>
        <v>1900</v>
      </c>
      <c r="P3003" s="61">
        <f t="shared" si="259"/>
        <v>1</v>
      </c>
      <c r="R3003" s="272"/>
      <c r="S3003" s="272"/>
      <c r="T3003" s="273" t="str">
        <f t="shared" si="260"/>
        <v>-</v>
      </c>
    </row>
    <row r="3004" spans="9:20">
      <c r="I3004" s="213"/>
      <c r="J3004" s="213"/>
      <c r="L3004" s="272">
        <f t="shared" si="256"/>
        <v>1900</v>
      </c>
      <c r="M3004" s="272">
        <f t="shared" si="257"/>
        <v>1</v>
      </c>
      <c r="N3004" s="255"/>
      <c r="O3004" s="61">
        <f t="shared" si="258"/>
        <v>1900</v>
      </c>
      <c r="P3004" s="61">
        <f t="shared" si="259"/>
        <v>1</v>
      </c>
      <c r="R3004" s="272"/>
      <c r="S3004" s="272"/>
      <c r="T3004" s="273" t="str">
        <f t="shared" si="260"/>
        <v>-</v>
      </c>
    </row>
    <row r="3005" spans="9:20">
      <c r="I3005" s="213"/>
      <c r="J3005" s="213"/>
      <c r="L3005" s="272">
        <f t="shared" si="256"/>
        <v>1900</v>
      </c>
      <c r="M3005" s="272">
        <f t="shared" si="257"/>
        <v>1</v>
      </c>
      <c r="N3005" s="255"/>
      <c r="O3005" s="61">
        <f t="shared" si="258"/>
        <v>1900</v>
      </c>
      <c r="P3005" s="61">
        <f t="shared" si="259"/>
        <v>1</v>
      </c>
      <c r="R3005" s="272"/>
      <c r="S3005" s="272"/>
      <c r="T3005" s="273" t="str">
        <f t="shared" si="260"/>
        <v>-</v>
      </c>
    </row>
    <row r="3006" spans="9:20">
      <c r="I3006" s="213"/>
      <c r="J3006" s="213"/>
      <c r="L3006" s="272">
        <f t="shared" si="256"/>
        <v>1900</v>
      </c>
      <c r="M3006" s="272">
        <f t="shared" si="257"/>
        <v>1</v>
      </c>
      <c r="N3006" s="255"/>
      <c r="O3006" s="61">
        <f t="shared" si="258"/>
        <v>1900</v>
      </c>
      <c r="P3006" s="61">
        <f t="shared" si="259"/>
        <v>1</v>
      </c>
      <c r="R3006" s="272"/>
      <c r="S3006" s="272"/>
      <c r="T3006" s="273" t="str">
        <f t="shared" si="260"/>
        <v>-</v>
      </c>
    </row>
    <row r="3007" spans="9:20">
      <c r="I3007" s="213"/>
      <c r="J3007" s="213"/>
      <c r="L3007" s="272">
        <f t="shared" si="256"/>
        <v>1900</v>
      </c>
      <c r="M3007" s="272">
        <f t="shared" si="257"/>
        <v>1</v>
      </c>
      <c r="N3007" s="255"/>
      <c r="O3007" s="61">
        <f t="shared" si="258"/>
        <v>1900</v>
      </c>
      <c r="P3007" s="61">
        <f t="shared" si="259"/>
        <v>1</v>
      </c>
      <c r="R3007" s="272"/>
      <c r="S3007" s="272"/>
      <c r="T3007" s="273" t="str">
        <f t="shared" si="260"/>
        <v>-</v>
      </c>
    </row>
    <row r="3008" spans="9:20">
      <c r="I3008" s="213"/>
      <c r="J3008" s="213"/>
      <c r="L3008" s="272">
        <f t="shared" si="256"/>
        <v>1900</v>
      </c>
      <c r="M3008" s="272">
        <f t="shared" si="257"/>
        <v>1</v>
      </c>
      <c r="N3008" s="255"/>
      <c r="O3008" s="61">
        <f t="shared" si="258"/>
        <v>1900</v>
      </c>
      <c r="P3008" s="61">
        <f t="shared" si="259"/>
        <v>1</v>
      </c>
      <c r="R3008" s="272"/>
      <c r="S3008" s="272"/>
      <c r="T3008" s="273" t="str">
        <f t="shared" si="260"/>
        <v>-</v>
      </c>
    </row>
    <row r="3009" spans="9:20">
      <c r="I3009" s="213"/>
      <c r="J3009" s="213"/>
      <c r="L3009" s="272">
        <f t="shared" si="256"/>
        <v>1900</v>
      </c>
      <c r="M3009" s="272">
        <f t="shared" si="257"/>
        <v>1</v>
      </c>
      <c r="N3009" s="255"/>
      <c r="O3009" s="61">
        <f t="shared" si="258"/>
        <v>1900</v>
      </c>
      <c r="P3009" s="61">
        <f t="shared" si="259"/>
        <v>1</v>
      </c>
      <c r="R3009" s="272"/>
      <c r="S3009" s="272"/>
      <c r="T3009" s="273" t="str">
        <f t="shared" si="260"/>
        <v>-</v>
      </c>
    </row>
    <row r="3010" spans="9:20">
      <c r="I3010" s="213"/>
      <c r="J3010" s="213"/>
      <c r="L3010" s="272">
        <f t="shared" si="256"/>
        <v>1900</v>
      </c>
      <c r="M3010" s="272">
        <f t="shared" si="257"/>
        <v>1</v>
      </c>
      <c r="N3010" s="255"/>
      <c r="O3010" s="61">
        <f t="shared" si="258"/>
        <v>1900</v>
      </c>
      <c r="P3010" s="61">
        <f t="shared" si="259"/>
        <v>1</v>
      </c>
      <c r="R3010" s="272"/>
      <c r="S3010" s="272"/>
      <c r="T3010" s="273" t="str">
        <f t="shared" si="260"/>
        <v>-</v>
      </c>
    </row>
    <row r="3011" spans="9:20">
      <c r="I3011" s="213"/>
      <c r="J3011" s="213"/>
      <c r="L3011" s="272">
        <f t="shared" si="256"/>
        <v>1900</v>
      </c>
      <c r="M3011" s="272">
        <f t="shared" si="257"/>
        <v>1</v>
      </c>
      <c r="N3011" s="255"/>
      <c r="O3011" s="61">
        <f t="shared" si="258"/>
        <v>1900</v>
      </c>
      <c r="P3011" s="61">
        <f t="shared" si="259"/>
        <v>1</v>
      </c>
      <c r="R3011" s="272"/>
      <c r="S3011" s="272"/>
      <c r="T3011" s="273" t="str">
        <f t="shared" si="260"/>
        <v>-</v>
      </c>
    </row>
    <row r="3012" spans="9:20">
      <c r="I3012" s="213"/>
      <c r="J3012" s="213"/>
      <c r="L3012" s="272">
        <f t="shared" si="256"/>
        <v>1900</v>
      </c>
      <c r="M3012" s="272">
        <f t="shared" si="257"/>
        <v>1</v>
      </c>
      <c r="N3012" s="255"/>
      <c r="O3012" s="61">
        <f t="shared" si="258"/>
        <v>1900</v>
      </c>
      <c r="P3012" s="61">
        <f t="shared" si="259"/>
        <v>1</v>
      </c>
      <c r="R3012" s="272"/>
      <c r="S3012" s="272"/>
      <c r="T3012" s="273" t="str">
        <f t="shared" si="260"/>
        <v>-</v>
      </c>
    </row>
    <row r="3013" spans="9:20">
      <c r="I3013" s="213"/>
      <c r="J3013" s="213"/>
      <c r="L3013" s="272">
        <f t="shared" si="256"/>
        <v>1900</v>
      </c>
      <c r="M3013" s="272">
        <f t="shared" si="257"/>
        <v>1</v>
      </c>
      <c r="N3013" s="255"/>
      <c r="O3013" s="61">
        <f t="shared" si="258"/>
        <v>1900</v>
      </c>
      <c r="P3013" s="61">
        <f t="shared" si="259"/>
        <v>1</v>
      </c>
      <c r="R3013" s="272"/>
      <c r="S3013" s="272"/>
      <c r="T3013" s="273" t="str">
        <f t="shared" si="260"/>
        <v>-</v>
      </c>
    </row>
    <row r="3014" spans="9:20">
      <c r="I3014" s="213"/>
      <c r="J3014" s="213"/>
      <c r="L3014" s="272">
        <f t="shared" si="256"/>
        <v>1900</v>
      </c>
      <c r="M3014" s="272">
        <f t="shared" si="257"/>
        <v>1</v>
      </c>
      <c r="N3014" s="255"/>
      <c r="O3014" s="61">
        <f t="shared" si="258"/>
        <v>1900</v>
      </c>
      <c r="P3014" s="61">
        <f t="shared" si="259"/>
        <v>1</v>
      </c>
      <c r="R3014" s="272"/>
      <c r="S3014" s="272"/>
      <c r="T3014" s="273" t="str">
        <f t="shared" si="260"/>
        <v>-</v>
      </c>
    </row>
    <row r="3015" spans="9:20">
      <c r="I3015" s="213"/>
      <c r="J3015" s="213"/>
      <c r="L3015" s="272">
        <f t="shared" si="256"/>
        <v>1900</v>
      </c>
      <c r="M3015" s="272">
        <f t="shared" si="257"/>
        <v>1</v>
      </c>
      <c r="N3015" s="255"/>
      <c r="O3015" s="61">
        <f t="shared" si="258"/>
        <v>1900</v>
      </c>
      <c r="P3015" s="61">
        <f t="shared" si="259"/>
        <v>1</v>
      </c>
      <c r="R3015" s="272"/>
      <c r="S3015" s="272"/>
      <c r="T3015" s="273" t="str">
        <f t="shared" si="260"/>
        <v>-</v>
      </c>
    </row>
    <row r="3016" spans="9:20">
      <c r="I3016" s="213"/>
      <c r="J3016" s="213"/>
      <c r="L3016" s="272">
        <f t="shared" si="256"/>
        <v>1900</v>
      </c>
      <c r="M3016" s="272">
        <f t="shared" si="257"/>
        <v>1</v>
      </c>
      <c r="N3016" s="255"/>
      <c r="O3016" s="61">
        <f t="shared" si="258"/>
        <v>1900</v>
      </c>
      <c r="P3016" s="61">
        <f t="shared" si="259"/>
        <v>1</v>
      </c>
      <c r="R3016" s="272"/>
      <c r="S3016" s="272"/>
      <c r="T3016" s="273" t="str">
        <f t="shared" si="260"/>
        <v>-</v>
      </c>
    </row>
    <row r="3017" spans="9:20">
      <c r="I3017" s="213"/>
      <c r="J3017" s="213"/>
      <c r="L3017" s="272">
        <f t="shared" si="256"/>
        <v>1900</v>
      </c>
      <c r="M3017" s="272">
        <f t="shared" si="257"/>
        <v>1</v>
      </c>
      <c r="N3017" s="255"/>
      <c r="O3017" s="61">
        <f t="shared" si="258"/>
        <v>1900</v>
      </c>
      <c r="P3017" s="61">
        <f t="shared" si="259"/>
        <v>1</v>
      </c>
      <c r="R3017" s="272"/>
      <c r="S3017" s="272"/>
      <c r="T3017" s="273" t="str">
        <f t="shared" si="260"/>
        <v>-</v>
      </c>
    </row>
    <row r="3018" spans="9:20">
      <c r="I3018" s="213"/>
      <c r="J3018" s="213"/>
      <c r="L3018" s="272">
        <f t="shared" si="256"/>
        <v>1900</v>
      </c>
      <c r="M3018" s="272">
        <f t="shared" si="257"/>
        <v>1</v>
      </c>
      <c r="N3018" s="255"/>
      <c r="O3018" s="61">
        <f t="shared" si="258"/>
        <v>1900</v>
      </c>
      <c r="P3018" s="61">
        <f t="shared" si="259"/>
        <v>1</v>
      </c>
      <c r="R3018" s="272"/>
      <c r="S3018" s="272"/>
      <c r="T3018" s="273" t="str">
        <f t="shared" si="260"/>
        <v>-</v>
      </c>
    </row>
    <row r="3019" spans="9:20">
      <c r="I3019" s="213"/>
      <c r="J3019" s="213"/>
      <c r="L3019" s="272">
        <f t="shared" si="256"/>
        <v>1900</v>
      </c>
      <c r="M3019" s="272">
        <f t="shared" si="257"/>
        <v>1</v>
      </c>
      <c r="N3019" s="255"/>
      <c r="O3019" s="61">
        <f t="shared" si="258"/>
        <v>1900</v>
      </c>
      <c r="P3019" s="61">
        <f t="shared" si="259"/>
        <v>1</v>
      </c>
      <c r="R3019" s="272"/>
      <c r="S3019" s="272"/>
      <c r="T3019" s="273" t="str">
        <f t="shared" si="260"/>
        <v>-</v>
      </c>
    </row>
    <row r="3020" spans="9:20">
      <c r="I3020" s="213"/>
      <c r="J3020" s="213"/>
      <c r="L3020" s="272">
        <f t="shared" si="256"/>
        <v>1900</v>
      </c>
      <c r="M3020" s="272">
        <f t="shared" si="257"/>
        <v>1</v>
      </c>
      <c r="N3020" s="255"/>
      <c r="O3020" s="61">
        <f t="shared" si="258"/>
        <v>1900</v>
      </c>
      <c r="P3020" s="61">
        <f t="shared" si="259"/>
        <v>1</v>
      </c>
      <c r="R3020" s="272"/>
      <c r="S3020" s="272"/>
      <c r="T3020" s="273" t="str">
        <f t="shared" si="260"/>
        <v>-</v>
      </c>
    </row>
    <row r="3021" spans="9:20">
      <c r="I3021" s="213"/>
      <c r="J3021" s="213"/>
      <c r="L3021" s="272">
        <f t="shared" si="256"/>
        <v>1900</v>
      </c>
      <c r="M3021" s="272">
        <f t="shared" si="257"/>
        <v>1</v>
      </c>
      <c r="N3021" s="255"/>
      <c r="O3021" s="61">
        <f t="shared" si="258"/>
        <v>1900</v>
      </c>
      <c r="P3021" s="61">
        <f t="shared" si="259"/>
        <v>1</v>
      </c>
      <c r="R3021" s="272"/>
      <c r="S3021" s="272"/>
      <c r="T3021" s="273" t="str">
        <f t="shared" si="260"/>
        <v>-</v>
      </c>
    </row>
    <row r="3022" spans="9:20">
      <c r="I3022" s="213"/>
      <c r="J3022" s="213"/>
      <c r="L3022" s="272">
        <f t="shared" si="256"/>
        <v>1900</v>
      </c>
      <c r="M3022" s="272">
        <f t="shared" si="257"/>
        <v>1</v>
      </c>
      <c r="N3022" s="255"/>
      <c r="O3022" s="61">
        <f t="shared" si="258"/>
        <v>1900</v>
      </c>
      <c r="P3022" s="61">
        <f t="shared" si="259"/>
        <v>1</v>
      </c>
      <c r="R3022" s="272"/>
      <c r="S3022" s="272"/>
      <c r="T3022" s="273" t="str">
        <f t="shared" si="260"/>
        <v>-</v>
      </c>
    </row>
    <row r="3023" spans="9:20">
      <c r="I3023" s="213"/>
      <c r="J3023" s="213"/>
      <c r="L3023" s="272">
        <f t="shared" si="256"/>
        <v>1900</v>
      </c>
      <c r="M3023" s="272">
        <f t="shared" si="257"/>
        <v>1</v>
      </c>
      <c r="N3023" s="255"/>
      <c r="O3023" s="61">
        <f t="shared" si="258"/>
        <v>1900</v>
      </c>
      <c r="P3023" s="61">
        <f t="shared" si="259"/>
        <v>1</v>
      </c>
      <c r="R3023" s="272"/>
      <c r="S3023" s="272"/>
      <c r="T3023" s="273" t="str">
        <f t="shared" si="260"/>
        <v>-</v>
      </c>
    </row>
    <row r="3024" spans="9:20">
      <c r="I3024" s="213"/>
      <c r="J3024" s="213"/>
      <c r="L3024" s="272">
        <f t="shared" ref="L3024:L3087" si="261">YEAR(B3024)</f>
        <v>1900</v>
      </c>
      <c r="M3024" s="272">
        <f t="shared" ref="M3024:M3087" si="262">MONTH(B3024)</f>
        <v>1</v>
      </c>
      <c r="N3024" s="255"/>
      <c r="O3024" s="61">
        <f t="shared" ref="O3024:O3087" si="263">YEAR(B3024)</f>
        <v>1900</v>
      </c>
      <c r="P3024" s="61">
        <f t="shared" ref="P3024:P3087" si="264">MONTH(B3024)</f>
        <v>1</v>
      </c>
      <c r="R3024" s="272"/>
      <c r="S3024" s="272"/>
      <c r="T3024" s="273" t="str">
        <f t="shared" ref="T3024:T3087" si="265">IF($E3024&gt;0,IF((R3024+S3024)=$E3024,"OK","Error"),"-")</f>
        <v>-</v>
      </c>
    </row>
    <row r="3025" spans="9:20">
      <c r="I3025" s="213"/>
      <c r="J3025" s="213"/>
      <c r="L3025" s="272">
        <f t="shared" si="261"/>
        <v>1900</v>
      </c>
      <c r="M3025" s="272">
        <f t="shared" si="262"/>
        <v>1</v>
      </c>
      <c r="N3025" s="255"/>
      <c r="O3025" s="61">
        <f t="shared" si="263"/>
        <v>1900</v>
      </c>
      <c r="P3025" s="61">
        <f t="shared" si="264"/>
        <v>1</v>
      </c>
      <c r="R3025" s="272"/>
      <c r="S3025" s="272"/>
      <c r="T3025" s="273" t="str">
        <f t="shared" si="265"/>
        <v>-</v>
      </c>
    </row>
    <row r="3026" spans="9:20">
      <c r="I3026" s="213"/>
      <c r="J3026" s="213"/>
      <c r="L3026" s="272">
        <f t="shared" si="261"/>
        <v>1900</v>
      </c>
      <c r="M3026" s="272">
        <f t="shared" si="262"/>
        <v>1</v>
      </c>
      <c r="N3026" s="255"/>
      <c r="O3026" s="61">
        <f t="shared" si="263"/>
        <v>1900</v>
      </c>
      <c r="P3026" s="61">
        <f t="shared" si="264"/>
        <v>1</v>
      </c>
      <c r="R3026" s="272"/>
      <c r="S3026" s="272"/>
      <c r="T3026" s="273" t="str">
        <f t="shared" si="265"/>
        <v>-</v>
      </c>
    </row>
    <row r="3027" spans="9:20">
      <c r="I3027" s="213"/>
      <c r="J3027" s="213"/>
      <c r="L3027" s="272">
        <f t="shared" si="261"/>
        <v>1900</v>
      </c>
      <c r="M3027" s="272">
        <f t="shared" si="262"/>
        <v>1</v>
      </c>
      <c r="N3027" s="255"/>
      <c r="O3027" s="61">
        <f t="shared" si="263"/>
        <v>1900</v>
      </c>
      <c r="P3027" s="61">
        <f t="shared" si="264"/>
        <v>1</v>
      </c>
      <c r="R3027" s="272"/>
      <c r="S3027" s="272"/>
      <c r="T3027" s="273" t="str">
        <f t="shared" si="265"/>
        <v>-</v>
      </c>
    </row>
    <row r="3028" spans="9:20">
      <c r="I3028" s="213"/>
      <c r="J3028" s="213"/>
      <c r="L3028" s="272">
        <f t="shared" si="261"/>
        <v>1900</v>
      </c>
      <c r="M3028" s="272">
        <f t="shared" si="262"/>
        <v>1</v>
      </c>
      <c r="N3028" s="255"/>
      <c r="O3028" s="61">
        <f t="shared" si="263"/>
        <v>1900</v>
      </c>
      <c r="P3028" s="61">
        <f t="shared" si="264"/>
        <v>1</v>
      </c>
      <c r="R3028" s="272"/>
      <c r="S3028" s="272"/>
      <c r="T3028" s="273" t="str">
        <f t="shared" si="265"/>
        <v>-</v>
      </c>
    </row>
    <row r="3029" spans="9:20">
      <c r="I3029" s="213"/>
      <c r="J3029" s="213"/>
      <c r="L3029" s="272">
        <f t="shared" si="261"/>
        <v>1900</v>
      </c>
      <c r="M3029" s="272">
        <f t="shared" si="262"/>
        <v>1</v>
      </c>
      <c r="N3029" s="255"/>
      <c r="O3029" s="61">
        <f t="shared" si="263"/>
        <v>1900</v>
      </c>
      <c r="P3029" s="61">
        <f t="shared" si="264"/>
        <v>1</v>
      </c>
      <c r="R3029" s="272"/>
      <c r="S3029" s="272"/>
      <c r="T3029" s="273" t="str">
        <f t="shared" si="265"/>
        <v>-</v>
      </c>
    </row>
    <row r="3030" spans="9:20">
      <c r="I3030" s="213"/>
      <c r="J3030" s="213"/>
      <c r="L3030" s="272">
        <f t="shared" si="261"/>
        <v>1900</v>
      </c>
      <c r="M3030" s="272">
        <f t="shared" si="262"/>
        <v>1</v>
      </c>
      <c r="N3030" s="255"/>
      <c r="O3030" s="61">
        <f t="shared" si="263"/>
        <v>1900</v>
      </c>
      <c r="P3030" s="61">
        <f t="shared" si="264"/>
        <v>1</v>
      </c>
      <c r="R3030" s="272"/>
      <c r="S3030" s="272"/>
      <c r="T3030" s="273" t="str">
        <f t="shared" si="265"/>
        <v>-</v>
      </c>
    </row>
    <row r="3031" spans="9:20">
      <c r="I3031" s="213"/>
      <c r="J3031" s="213"/>
      <c r="L3031" s="272">
        <f t="shared" si="261"/>
        <v>1900</v>
      </c>
      <c r="M3031" s="272">
        <f t="shared" si="262"/>
        <v>1</v>
      </c>
      <c r="N3031" s="255"/>
      <c r="O3031" s="61">
        <f t="shared" si="263"/>
        <v>1900</v>
      </c>
      <c r="P3031" s="61">
        <f t="shared" si="264"/>
        <v>1</v>
      </c>
      <c r="R3031" s="272"/>
      <c r="S3031" s="272"/>
      <c r="T3031" s="273" t="str">
        <f t="shared" si="265"/>
        <v>-</v>
      </c>
    </row>
    <row r="3032" spans="9:20">
      <c r="I3032" s="213"/>
      <c r="J3032" s="213"/>
      <c r="L3032" s="272">
        <f t="shared" si="261"/>
        <v>1900</v>
      </c>
      <c r="M3032" s="272">
        <f t="shared" si="262"/>
        <v>1</v>
      </c>
      <c r="N3032" s="255"/>
      <c r="O3032" s="61">
        <f t="shared" si="263"/>
        <v>1900</v>
      </c>
      <c r="P3032" s="61">
        <f t="shared" si="264"/>
        <v>1</v>
      </c>
      <c r="R3032" s="272"/>
      <c r="S3032" s="272"/>
      <c r="T3032" s="273" t="str">
        <f t="shared" si="265"/>
        <v>-</v>
      </c>
    </row>
    <row r="3033" spans="9:20">
      <c r="I3033" s="213"/>
      <c r="J3033" s="213"/>
      <c r="L3033" s="272">
        <f t="shared" si="261"/>
        <v>1900</v>
      </c>
      <c r="M3033" s="272">
        <f t="shared" si="262"/>
        <v>1</v>
      </c>
      <c r="N3033" s="255"/>
      <c r="O3033" s="61">
        <f t="shared" si="263"/>
        <v>1900</v>
      </c>
      <c r="P3033" s="61">
        <f t="shared" si="264"/>
        <v>1</v>
      </c>
      <c r="R3033" s="272"/>
      <c r="S3033" s="272"/>
      <c r="T3033" s="273" t="str">
        <f t="shared" si="265"/>
        <v>-</v>
      </c>
    </row>
    <row r="3034" spans="9:20">
      <c r="I3034" s="213"/>
      <c r="J3034" s="213"/>
      <c r="L3034" s="272">
        <f t="shared" si="261"/>
        <v>1900</v>
      </c>
      <c r="M3034" s="272">
        <f t="shared" si="262"/>
        <v>1</v>
      </c>
      <c r="N3034" s="255"/>
      <c r="O3034" s="61">
        <f t="shared" si="263"/>
        <v>1900</v>
      </c>
      <c r="P3034" s="61">
        <f t="shared" si="264"/>
        <v>1</v>
      </c>
      <c r="R3034" s="272"/>
      <c r="S3034" s="272"/>
      <c r="T3034" s="273" t="str">
        <f t="shared" si="265"/>
        <v>-</v>
      </c>
    </row>
    <row r="3035" spans="9:20">
      <c r="I3035" s="213"/>
      <c r="J3035" s="213"/>
      <c r="L3035" s="272">
        <f t="shared" si="261"/>
        <v>1900</v>
      </c>
      <c r="M3035" s="272">
        <f t="shared" si="262"/>
        <v>1</v>
      </c>
      <c r="N3035" s="255"/>
      <c r="O3035" s="61">
        <f t="shared" si="263"/>
        <v>1900</v>
      </c>
      <c r="P3035" s="61">
        <f t="shared" si="264"/>
        <v>1</v>
      </c>
      <c r="R3035" s="272"/>
      <c r="S3035" s="272"/>
      <c r="T3035" s="273" t="str">
        <f t="shared" si="265"/>
        <v>-</v>
      </c>
    </row>
    <row r="3036" spans="9:20">
      <c r="I3036" s="213"/>
      <c r="J3036" s="213"/>
      <c r="L3036" s="272">
        <f t="shared" si="261"/>
        <v>1900</v>
      </c>
      <c r="M3036" s="272">
        <f t="shared" si="262"/>
        <v>1</v>
      </c>
      <c r="N3036" s="255"/>
      <c r="O3036" s="61">
        <f t="shared" si="263"/>
        <v>1900</v>
      </c>
      <c r="P3036" s="61">
        <f t="shared" si="264"/>
        <v>1</v>
      </c>
      <c r="R3036" s="272"/>
      <c r="S3036" s="272"/>
      <c r="T3036" s="273" t="str">
        <f t="shared" si="265"/>
        <v>-</v>
      </c>
    </row>
    <row r="3037" spans="9:20">
      <c r="I3037" s="213"/>
      <c r="J3037" s="213"/>
      <c r="L3037" s="272">
        <f t="shared" si="261"/>
        <v>1900</v>
      </c>
      <c r="M3037" s="272">
        <f t="shared" si="262"/>
        <v>1</v>
      </c>
      <c r="N3037" s="255"/>
      <c r="O3037" s="61">
        <f t="shared" si="263"/>
        <v>1900</v>
      </c>
      <c r="P3037" s="61">
        <f t="shared" si="264"/>
        <v>1</v>
      </c>
      <c r="R3037" s="272"/>
      <c r="S3037" s="272"/>
      <c r="T3037" s="273" t="str">
        <f t="shared" si="265"/>
        <v>-</v>
      </c>
    </row>
    <row r="3038" spans="9:20">
      <c r="I3038" s="213"/>
      <c r="J3038" s="213"/>
      <c r="L3038" s="272">
        <f t="shared" si="261"/>
        <v>1900</v>
      </c>
      <c r="M3038" s="272">
        <f t="shared" si="262"/>
        <v>1</v>
      </c>
      <c r="N3038" s="255"/>
      <c r="O3038" s="61">
        <f t="shared" si="263"/>
        <v>1900</v>
      </c>
      <c r="P3038" s="61">
        <f t="shared" si="264"/>
        <v>1</v>
      </c>
      <c r="R3038" s="272"/>
      <c r="S3038" s="272"/>
      <c r="T3038" s="273" t="str">
        <f t="shared" si="265"/>
        <v>-</v>
      </c>
    </row>
    <row r="3039" spans="9:20">
      <c r="I3039" s="213"/>
      <c r="J3039" s="213"/>
      <c r="L3039" s="272">
        <f t="shared" si="261"/>
        <v>1900</v>
      </c>
      <c r="M3039" s="272">
        <f t="shared" si="262"/>
        <v>1</v>
      </c>
      <c r="N3039" s="255"/>
      <c r="O3039" s="61">
        <f t="shared" si="263"/>
        <v>1900</v>
      </c>
      <c r="P3039" s="61">
        <f t="shared" si="264"/>
        <v>1</v>
      </c>
      <c r="R3039" s="272"/>
      <c r="S3039" s="272"/>
      <c r="T3039" s="273" t="str">
        <f t="shared" si="265"/>
        <v>-</v>
      </c>
    </row>
    <row r="3040" spans="9:20">
      <c r="I3040" s="213"/>
      <c r="J3040" s="213"/>
      <c r="L3040" s="272">
        <f t="shared" si="261"/>
        <v>1900</v>
      </c>
      <c r="M3040" s="272">
        <f t="shared" si="262"/>
        <v>1</v>
      </c>
      <c r="N3040" s="255"/>
      <c r="O3040" s="61">
        <f t="shared" si="263"/>
        <v>1900</v>
      </c>
      <c r="P3040" s="61">
        <f t="shared" si="264"/>
        <v>1</v>
      </c>
      <c r="R3040" s="272"/>
      <c r="S3040" s="272"/>
      <c r="T3040" s="273" t="str">
        <f t="shared" si="265"/>
        <v>-</v>
      </c>
    </row>
    <row r="3041" spans="9:20">
      <c r="I3041" s="213"/>
      <c r="J3041" s="213"/>
      <c r="L3041" s="272">
        <f t="shared" si="261"/>
        <v>1900</v>
      </c>
      <c r="M3041" s="272">
        <f t="shared" si="262"/>
        <v>1</v>
      </c>
      <c r="N3041" s="255"/>
      <c r="O3041" s="61">
        <f t="shared" si="263"/>
        <v>1900</v>
      </c>
      <c r="P3041" s="61">
        <f t="shared" si="264"/>
        <v>1</v>
      </c>
      <c r="R3041" s="272"/>
      <c r="S3041" s="272"/>
      <c r="T3041" s="273" t="str">
        <f t="shared" si="265"/>
        <v>-</v>
      </c>
    </row>
    <row r="3042" spans="9:20">
      <c r="I3042" s="213"/>
      <c r="J3042" s="213"/>
      <c r="L3042" s="272">
        <f t="shared" si="261"/>
        <v>1900</v>
      </c>
      <c r="M3042" s="272">
        <f t="shared" si="262"/>
        <v>1</v>
      </c>
      <c r="N3042" s="255"/>
      <c r="O3042" s="61">
        <f t="shared" si="263"/>
        <v>1900</v>
      </c>
      <c r="P3042" s="61">
        <f t="shared" si="264"/>
        <v>1</v>
      </c>
      <c r="R3042" s="272"/>
      <c r="S3042" s="272"/>
      <c r="T3042" s="273" t="str">
        <f t="shared" si="265"/>
        <v>-</v>
      </c>
    </row>
    <row r="3043" spans="9:20">
      <c r="I3043" s="213"/>
      <c r="J3043" s="213"/>
      <c r="L3043" s="272">
        <f t="shared" si="261"/>
        <v>1900</v>
      </c>
      <c r="M3043" s="272">
        <f t="shared" si="262"/>
        <v>1</v>
      </c>
      <c r="N3043" s="255"/>
      <c r="O3043" s="61">
        <f t="shared" si="263"/>
        <v>1900</v>
      </c>
      <c r="P3043" s="61">
        <f t="shared" si="264"/>
        <v>1</v>
      </c>
      <c r="R3043" s="272"/>
      <c r="S3043" s="272"/>
      <c r="T3043" s="273" t="str">
        <f t="shared" si="265"/>
        <v>-</v>
      </c>
    </row>
    <row r="3044" spans="9:20">
      <c r="I3044" s="213"/>
      <c r="J3044" s="213"/>
      <c r="L3044" s="272">
        <f t="shared" si="261"/>
        <v>1900</v>
      </c>
      <c r="M3044" s="272">
        <f t="shared" si="262"/>
        <v>1</v>
      </c>
      <c r="N3044" s="255"/>
      <c r="O3044" s="61">
        <f t="shared" si="263"/>
        <v>1900</v>
      </c>
      <c r="P3044" s="61">
        <f t="shared" si="264"/>
        <v>1</v>
      </c>
      <c r="R3044" s="272"/>
      <c r="S3044" s="272"/>
      <c r="T3044" s="273" t="str">
        <f t="shared" si="265"/>
        <v>-</v>
      </c>
    </row>
    <row r="3045" spans="9:20">
      <c r="I3045" s="213"/>
      <c r="J3045" s="213"/>
      <c r="L3045" s="272">
        <f t="shared" si="261"/>
        <v>1900</v>
      </c>
      <c r="M3045" s="272">
        <f t="shared" si="262"/>
        <v>1</v>
      </c>
      <c r="N3045" s="255"/>
      <c r="O3045" s="61">
        <f t="shared" si="263"/>
        <v>1900</v>
      </c>
      <c r="P3045" s="61">
        <f t="shared" si="264"/>
        <v>1</v>
      </c>
      <c r="R3045" s="272"/>
      <c r="S3045" s="272"/>
      <c r="T3045" s="273" t="str">
        <f t="shared" si="265"/>
        <v>-</v>
      </c>
    </row>
    <row r="3046" spans="9:20">
      <c r="I3046" s="213"/>
      <c r="J3046" s="213"/>
      <c r="L3046" s="272">
        <f t="shared" si="261"/>
        <v>1900</v>
      </c>
      <c r="M3046" s="272">
        <f t="shared" si="262"/>
        <v>1</v>
      </c>
      <c r="N3046" s="255"/>
      <c r="O3046" s="61">
        <f t="shared" si="263"/>
        <v>1900</v>
      </c>
      <c r="P3046" s="61">
        <f t="shared" si="264"/>
        <v>1</v>
      </c>
      <c r="R3046" s="272"/>
      <c r="S3046" s="272"/>
      <c r="T3046" s="273" t="str">
        <f t="shared" si="265"/>
        <v>-</v>
      </c>
    </row>
    <row r="3047" spans="9:20">
      <c r="I3047" s="213"/>
      <c r="J3047" s="213"/>
      <c r="L3047" s="272">
        <f t="shared" si="261"/>
        <v>1900</v>
      </c>
      <c r="M3047" s="272">
        <f t="shared" si="262"/>
        <v>1</v>
      </c>
      <c r="N3047" s="255"/>
      <c r="O3047" s="61">
        <f t="shared" si="263"/>
        <v>1900</v>
      </c>
      <c r="P3047" s="61">
        <f t="shared" si="264"/>
        <v>1</v>
      </c>
      <c r="R3047" s="272"/>
      <c r="S3047" s="272"/>
      <c r="T3047" s="273" t="str">
        <f t="shared" si="265"/>
        <v>-</v>
      </c>
    </row>
    <row r="3048" spans="9:20">
      <c r="I3048" s="213"/>
      <c r="J3048" s="213"/>
      <c r="L3048" s="272">
        <f t="shared" si="261"/>
        <v>1900</v>
      </c>
      <c r="M3048" s="272">
        <f t="shared" si="262"/>
        <v>1</v>
      </c>
      <c r="N3048" s="255"/>
      <c r="O3048" s="61">
        <f t="shared" si="263"/>
        <v>1900</v>
      </c>
      <c r="P3048" s="61">
        <f t="shared" si="264"/>
        <v>1</v>
      </c>
      <c r="R3048" s="272"/>
      <c r="S3048" s="272"/>
      <c r="T3048" s="273" t="str">
        <f t="shared" si="265"/>
        <v>-</v>
      </c>
    </row>
    <row r="3049" spans="9:20">
      <c r="I3049" s="213"/>
      <c r="J3049" s="213"/>
      <c r="L3049" s="272">
        <f t="shared" si="261"/>
        <v>1900</v>
      </c>
      <c r="M3049" s="272">
        <f t="shared" si="262"/>
        <v>1</v>
      </c>
      <c r="N3049" s="255"/>
      <c r="O3049" s="61">
        <f t="shared" si="263"/>
        <v>1900</v>
      </c>
      <c r="P3049" s="61">
        <f t="shared" si="264"/>
        <v>1</v>
      </c>
      <c r="R3049" s="272"/>
      <c r="S3049" s="272"/>
      <c r="T3049" s="273" t="str">
        <f t="shared" si="265"/>
        <v>-</v>
      </c>
    </row>
    <row r="3050" spans="9:20">
      <c r="I3050" s="213"/>
      <c r="J3050" s="213"/>
      <c r="L3050" s="272">
        <f t="shared" si="261"/>
        <v>1900</v>
      </c>
      <c r="M3050" s="272">
        <f t="shared" si="262"/>
        <v>1</v>
      </c>
      <c r="N3050" s="255"/>
      <c r="O3050" s="61">
        <f t="shared" si="263"/>
        <v>1900</v>
      </c>
      <c r="P3050" s="61">
        <f t="shared" si="264"/>
        <v>1</v>
      </c>
      <c r="R3050" s="272"/>
      <c r="S3050" s="272"/>
      <c r="T3050" s="273" t="str">
        <f t="shared" si="265"/>
        <v>-</v>
      </c>
    </row>
    <row r="3051" spans="9:20">
      <c r="I3051" s="213"/>
      <c r="J3051" s="213"/>
      <c r="L3051" s="272">
        <f t="shared" si="261"/>
        <v>1900</v>
      </c>
      <c r="M3051" s="272">
        <f t="shared" si="262"/>
        <v>1</v>
      </c>
      <c r="N3051" s="255"/>
      <c r="O3051" s="61">
        <f t="shared" si="263"/>
        <v>1900</v>
      </c>
      <c r="P3051" s="61">
        <f t="shared" si="264"/>
        <v>1</v>
      </c>
      <c r="R3051" s="272"/>
      <c r="S3051" s="272"/>
      <c r="T3051" s="273" t="str">
        <f t="shared" si="265"/>
        <v>-</v>
      </c>
    </row>
    <row r="3052" spans="9:20">
      <c r="I3052" s="213"/>
      <c r="J3052" s="213"/>
      <c r="L3052" s="272">
        <f t="shared" si="261"/>
        <v>1900</v>
      </c>
      <c r="M3052" s="272">
        <f t="shared" si="262"/>
        <v>1</v>
      </c>
      <c r="N3052" s="255"/>
      <c r="O3052" s="61">
        <f t="shared" si="263"/>
        <v>1900</v>
      </c>
      <c r="P3052" s="61">
        <f t="shared" si="264"/>
        <v>1</v>
      </c>
      <c r="R3052" s="272"/>
      <c r="S3052" s="272"/>
      <c r="T3052" s="273" t="str">
        <f t="shared" si="265"/>
        <v>-</v>
      </c>
    </row>
    <row r="3053" spans="9:20">
      <c r="I3053" s="213"/>
      <c r="J3053" s="213"/>
      <c r="L3053" s="272">
        <f t="shared" si="261"/>
        <v>1900</v>
      </c>
      <c r="M3053" s="272">
        <f t="shared" si="262"/>
        <v>1</v>
      </c>
      <c r="N3053" s="255"/>
      <c r="O3053" s="61">
        <f t="shared" si="263"/>
        <v>1900</v>
      </c>
      <c r="P3053" s="61">
        <f t="shared" si="264"/>
        <v>1</v>
      </c>
      <c r="R3053" s="272"/>
      <c r="S3053" s="272"/>
      <c r="T3053" s="273" t="str">
        <f t="shared" si="265"/>
        <v>-</v>
      </c>
    </row>
    <row r="3054" spans="9:20">
      <c r="I3054" s="213"/>
      <c r="J3054" s="213"/>
      <c r="L3054" s="272">
        <f t="shared" si="261"/>
        <v>1900</v>
      </c>
      <c r="M3054" s="272">
        <f t="shared" si="262"/>
        <v>1</v>
      </c>
      <c r="N3054" s="255"/>
      <c r="O3054" s="61">
        <f t="shared" si="263"/>
        <v>1900</v>
      </c>
      <c r="P3054" s="61">
        <f t="shared" si="264"/>
        <v>1</v>
      </c>
      <c r="R3054" s="272"/>
      <c r="S3054" s="272"/>
      <c r="T3054" s="273" t="str">
        <f t="shared" si="265"/>
        <v>-</v>
      </c>
    </row>
    <row r="3055" spans="9:20">
      <c r="I3055" s="213"/>
      <c r="J3055" s="213"/>
      <c r="L3055" s="272">
        <f t="shared" si="261"/>
        <v>1900</v>
      </c>
      <c r="M3055" s="272">
        <f t="shared" si="262"/>
        <v>1</v>
      </c>
      <c r="N3055" s="255"/>
      <c r="O3055" s="61">
        <f t="shared" si="263"/>
        <v>1900</v>
      </c>
      <c r="P3055" s="61">
        <f t="shared" si="264"/>
        <v>1</v>
      </c>
      <c r="R3055" s="272"/>
      <c r="S3055" s="272"/>
      <c r="T3055" s="273" t="str">
        <f t="shared" si="265"/>
        <v>-</v>
      </c>
    </row>
    <row r="3056" spans="9:20">
      <c r="I3056" s="213"/>
      <c r="J3056" s="213"/>
      <c r="L3056" s="272">
        <f t="shared" si="261"/>
        <v>1900</v>
      </c>
      <c r="M3056" s="272">
        <f t="shared" si="262"/>
        <v>1</v>
      </c>
      <c r="N3056" s="255"/>
      <c r="O3056" s="61">
        <f t="shared" si="263"/>
        <v>1900</v>
      </c>
      <c r="P3056" s="61">
        <f t="shared" si="264"/>
        <v>1</v>
      </c>
      <c r="R3056" s="272"/>
      <c r="S3056" s="272"/>
      <c r="T3056" s="273" t="str">
        <f t="shared" si="265"/>
        <v>-</v>
      </c>
    </row>
    <row r="3057" spans="9:20">
      <c r="I3057" s="213"/>
      <c r="J3057" s="213"/>
      <c r="L3057" s="272">
        <f t="shared" si="261"/>
        <v>1900</v>
      </c>
      <c r="M3057" s="272">
        <f t="shared" si="262"/>
        <v>1</v>
      </c>
      <c r="N3057" s="255"/>
      <c r="O3057" s="61">
        <f t="shared" si="263"/>
        <v>1900</v>
      </c>
      <c r="P3057" s="61">
        <f t="shared" si="264"/>
        <v>1</v>
      </c>
      <c r="R3057" s="272"/>
      <c r="S3057" s="272"/>
      <c r="T3057" s="273" t="str">
        <f t="shared" si="265"/>
        <v>-</v>
      </c>
    </row>
    <row r="3058" spans="9:20">
      <c r="I3058" s="213"/>
      <c r="J3058" s="213"/>
      <c r="L3058" s="272">
        <f t="shared" si="261"/>
        <v>1900</v>
      </c>
      <c r="M3058" s="272">
        <f t="shared" si="262"/>
        <v>1</v>
      </c>
      <c r="N3058" s="255"/>
      <c r="O3058" s="61">
        <f t="shared" si="263"/>
        <v>1900</v>
      </c>
      <c r="P3058" s="61">
        <f t="shared" si="264"/>
        <v>1</v>
      </c>
      <c r="R3058" s="272"/>
      <c r="S3058" s="272"/>
      <c r="T3058" s="273" t="str">
        <f t="shared" si="265"/>
        <v>-</v>
      </c>
    </row>
    <row r="3059" spans="9:20">
      <c r="I3059" s="213"/>
      <c r="J3059" s="213"/>
      <c r="L3059" s="272">
        <f t="shared" si="261"/>
        <v>1900</v>
      </c>
      <c r="M3059" s="272">
        <f t="shared" si="262"/>
        <v>1</v>
      </c>
      <c r="N3059" s="255"/>
      <c r="O3059" s="61">
        <f t="shared" si="263"/>
        <v>1900</v>
      </c>
      <c r="P3059" s="61">
        <f t="shared" si="264"/>
        <v>1</v>
      </c>
      <c r="R3059" s="272"/>
      <c r="S3059" s="272"/>
      <c r="T3059" s="273" t="str">
        <f t="shared" si="265"/>
        <v>-</v>
      </c>
    </row>
    <row r="3060" spans="9:20">
      <c r="I3060" s="213"/>
      <c r="J3060" s="213"/>
      <c r="L3060" s="272">
        <f t="shared" si="261"/>
        <v>1900</v>
      </c>
      <c r="M3060" s="272">
        <f t="shared" si="262"/>
        <v>1</v>
      </c>
      <c r="N3060" s="255"/>
      <c r="O3060" s="61">
        <f t="shared" si="263"/>
        <v>1900</v>
      </c>
      <c r="P3060" s="61">
        <f t="shared" si="264"/>
        <v>1</v>
      </c>
      <c r="R3060" s="272"/>
      <c r="S3060" s="272"/>
      <c r="T3060" s="273" t="str">
        <f t="shared" si="265"/>
        <v>-</v>
      </c>
    </row>
    <row r="3061" spans="9:20">
      <c r="I3061" s="213"/>
      <c r="J3061" s="213"/>
      <c r="L3061" s="272">
        <f t="shared" si="261"/>
        <v>1900</v>
      </c>
      <c r="M3061" s="272">
        <f t="shared" si="262"/>
        <v>1</v>
      </c>
      <c r="N3061" s="255"/>
      <c r="O3061" s="61">
        <f t="shared" si="263"/>
        <v>1900</v>
      </c>
      <c r="P3061" s="61">
        <f t="shared" si="264"/>
        <v>1</v>
      </c>
      <c r="R3061" s="272"/>
      <c r="S3061" s="272"/>
      <c r="T3061" s="273" t="str">
        <f t="shared" si="265"/>
        <v>-</v>
      </c>
    </row>
    <row r="3062" spans="9:20">
      <c r="I3062" s="213"/>
      <c r="J3062" s="213"/>
      <c r="L3062" s="272">
        <f t="shared" si="261"/>
        <v>1900</v>
      </c>
      <c r="M3062" s="272">
        <f t="shared" si="262"/>
        <v>1</v>
      </c>
      <c r="N3062" s="255"/>
      <c r="O3062" s="61">
        <f t="shared" si="263"/>
        <v>1900</v>
      </c>
      <c r="P3062" s="61">
        <f t="shared" si="264"/>
        <v>1</v>
      </c>
      <c r="R3062" s="272"/>
      <c r="S3062" s="272"/>
      <c r="T3062" s="273" t="str">
        <f t="shared" si="265"/>
        <v>-</v>
      </c>
    </row>
    <row r="3063" spans="9:20">
      <c r="I3063" s="213"/>
      <c r="J3063" s="213"/>
      <c r="L3063" s="272">
        <f t="shared" si="261"/>
        <v>1900</v>
      </c>
      <c r="M3063" s="272">
        <f t="shared" si="262"/>
        <v>1</v>
      </c>
      <c r="N3063" s="255"/>
      <c r="O3063" s="61">
        <f t="shared" si="263"/>
        <v>1900</v>
      </c>
      <c r="P3063" s="61">
        <f t="shared" si="264"/>
        <v>1</v>
      </c>
      <c r="R3063" s="272"/>
      <c r="S3063" s="272"/>
      <c r="T3063" s="273" t="str">
        <f t="shared" si="265"/>
        <v>-</v>
      </c>
    </row>
    <row r="3064" spans="9:20">
      <c r="I3064" s="213"/>
      <c r="J3064" s="213"/>
      <c r="L3064" s="272">
        <f t="shared" si="261"/>
        <v>1900</v>
      </c>
      <c r="M3064" s="272">
        <f t="shared" si="262"/>
        <v>1</v>
      </c>
      <c r="N3064" s="255"/>
      <c r="O3064" s="61">
        <f t="shared" si="263"/>
        <v>1900</v>
      </c>
      <c r="P3064" s="61">
        <f t="shared" si="264"/>
        <v>1</v>
      </c>
      <c r="R3064" s="272"/>
      <c r="S3064" s="272"/>
      <c r="T3064" s="273" t="str">
        <f t="shared" si="265"/>
        <v>-</v>
      </c>
    </row>
    <row r="3065" spans="9:20">
      <c r="I3065" s="213"/>
      <c r="J3065" s="213"/>
      <c r="L3065" s="272">
        <f t="shared" si="261"/>
        <v>1900</v>
      </c>
      <c r="M3065" s="272">
        <f t="shared" si="262"/>
        <v>1</v>
      </c>
      <c r="N3065" s="255"/>
      <c r="O3065" s="61">
        <f t="shared" si="263"/>
        <v>1900</v>
      </c>
      <c r="P3065" s="61">
        <f t="shared" si="264"/>
        <v>1</v>
      </c>
      <c r="R3065" s="272"/>
      <c r="S3065" s="272"/>
      <c r="T3065" s="273" t="str">
        <f t="shared" si="265"/>
        <v>-</v>
      </c>
    </row>
    <row r="3066" spans="9:20">
      <c r="I3066" s="213"/>
      <c r="J3066" s="213"/>
      <c r="L3066" s="272">
        <f t="shared" si="261"/>
        <v>1900</v>
      </c>
      <c r="M3066" s="272">
        <f t="shared" si="262"/>
        <v>1</v>
      </c>
      <c r="N3066" s="255"/>
      <c r="O3066" s="61">
        <f t="shared" si="263"/>
        <v>1900</v>
      </c>
      <c r="P3066" s="61">
        <f t="shared" si="264"/>
        <v>1</v>
      </c>
      <c r="R3066" s="272"/>
      <c r="S3066" s="272"/>
      <c r="T3066" s="273" t="str">
        <f t="shared" si="265"/>
        <v>-</v>
      </c>
    </row>
    <row r="3067" spans="9:20">
      <c r="I3067" s="213"/>
      <c r="J3067" s="213"/>
      <c r="L3067" s="272">
        <f t="shared" si="261"/>
        <v>1900</v>
      </c>
      <c r="M3067" s="272">
        <f t="shared" si="262"/>
        <v>1</v>
      </c>
      <c r="N3067" s="255"/>
      <c r="O3067" s="61">
        <f t="shared" si="263"/>
        <v>1900</v>
      </c>
      <c r="P3067" s="61">
        <f t="shared" si="264"/>
        <v>1</v>
      </c>
      <c r="R3067" s="272"/>
      <c r="S3067" s="272"/>
      <c r="T3067" s="273" t="str">
        <f t="shared" si="265"/>
        <v>-</v>
      </c>
    </row>
    <row r="3068" spans="9:20">
      <c r="I3068" s="213"/>
      <c r="J3068" s="213"/>
      <c r="L3068" s="272">
        <f t="shared" si="261"/>
        <v>1900</v>
      </c>
      <c r="M3068" s="272">
        <f t="shared" si="262"/>
        <v>1</v>
      </c>
      <c r="N3068" s="255"/>
      <c r="O3068" s="61">
        <f t="shared" si="263"/>
        <v>1900</v>
      </c>
      <c r="P3068" s="61">
        <f t="shared" si="264"/>
        <v>1</v>
      </c>
      <c r="R3068" s="272"/>
      <c r="S3068" s="272"/>
      <c r="T3068" s="273" t="str">
        <f t="shared" si="265"/>
        <v>-</v>
      </c>
    </row>
    <row r="3069" spans="9:20">
      <c r="I3069" s="213"/>
      <c r="J3069" s="213"/>
      <c r="L3069" s="272">
        <f t="shared" si="261"/>
        <v>1900</v>
      </c>
      <c r="M3069" s="272">
        <f t="shared" si="262"/>
        <v>1</v>
      </c>
      <c r="N3069" s="255"/>
      <c r="O3069" s="61">
        <f t="shared" si="263"/>
        <v>1900</v>
      </c>
      <c r="P3069" s="61">
        <f t="shared" si="264"/>
        <v>1</v>
      </c>
      <c r="R3069" s="272"/>
      <c r="S3069" s="272"/>
      <c r="T3069" s="273" t="str">
        <f t="shared" si="265"/>
        <v>-</v>
      </c>
    </row>
    <row r="3070" spans="9:20">
      <c r="I3070" s="213"/>
      <c r="J3070" s="213"/>
      <c r="L3070" s="272">
        <f t="shared" si="261"/>
        <v>1900</v>
      </c>
      <c r="M3070" s="272">
        <f t="shared" si="262"/>
        <v>1</v>
      </c>
      <c r="N3070" s="255"/>
      <c r="O3070" s="61">
        <f t="shared" si="263"/>
        <v>1900</v>
      </c>
      <c r="P3070" s="61">
        <f t="shared" si="264"/>
        <v>1</v>
      </c>
      <c r="R3070" s="272"/>
      <c r="S3070" s="272"/>
      <c r="T3070" s="273" t="str">
        <f t="shared" si="265"/>
        <v>-</v>
      </c>
    </row>
    <row r="3071" spans="9:20">
      <c r="I3071" s="213"/>
      <c r="J3071" s="213"/>
      <c r="L3071" s="272">
        <f t="shared" si="261"/>
        <v>1900</v>
      </c>
      <c r="M3071" s="272">
        <f t="shared" si="262"/>
        <v>1</v>
      </c>
      <c r="N3071" s="255"/>
      <c r="O3071" s="61">
        <f t="shared" si="263"/>
        <v>1900</v>
      </c>
      <c r="P3071" s="61">
        <f t="shared" si="264"/>
        <v>1</v>
      </c>
      <c r="R3071" s="272"/>
      <c r="S3071" s="272"/>
      <c r="T3071" s="273" t="str">
        <f t="shared" si="265"/>
        <v>-</v>
      </c>
    </row>
    <row r="3072" spans="9:20">
      <c r="I3072" s="213"/>
      <c r="J3072" s="213"/>
      <c r="L3072" s="272">
        <f t="shared" si="261"/>
        <v>1900</v>
      </c>
      <c r="M3072" s="272">
        <f t="shared" si="262"/>
        <v>1</v>
      </c>
      <c r="N3072" s="255"/>
      <c r="O3072" s="61">
        <f t="shared" si="263"/>
        <v>1900</v>
      </c>
      <c r="P3072" s="61">
        <f t="shared" si="264"/>
        <v>1</v>
      </c>
      <c r="R3072" s="272"/>
      <c r="S3072" s="272"/>
      <c r="T3072" s="273" t="str">
        <f t="shared" si="265"/>
        <v>-</v>
      </c>
    </row>
    <row r="3073" spans="9:20">
      <c r="I3073" s="213"/>
      <c r="J3073" s="213"/>
      <c r="L3073" s="272">
        <f t="shared" si="261"/>
        <v>1900</v>
      </c>
      <c r="M3073" s="272">
        <f t="shared" si="262"/>
        <v>1</v>
      </c>
      <c r="N3073" s="255"/>
      <c r="O3073" s="61">
        <f t="shared" si="263"/>
        <v>1900</v>
      </c>
      <c r="P3073" s="61">
        <f t="shared" si="264"/>
        <v>1</v>
      </c>
      <c r="R3073" s="272"/>
      <c r="S3073" s="272"/>
      <c r="T3073" s="273" t="str">
        <f t="shared" si="265"/>
        <v>-</v>
      </c>
    </row>
    <row r="3074" spans="9:20">
      <c r="I3074" s="213"/>
      <c r="J3074" s="213"/>
      <c r="L3074" s="272">
        <f t="shared" si="261"/>
        <v>1900</v>
      </c>
      <c r="M3074" s="272">
        <f t="shared" si="262"/>
        <v>1</v>
      </c>
      <c r="O3074" s="61">
        <f t="shared" si="263"/>
        <v>1900</v>
      </c>
      <c r="P3074" s="61">
        <f t="shared" si="264"/>
        <v>1</v>
      </c>
      <c r="R3074" s="272"/>
      <c r="S3074" s="272"/>
      <c r="T3074" s="273" t="str">
        <f t="shared" si="265"/>
        <v>-</v>
      </c>
    </row>
    <row r="3075" spans="9:20">
      <c r="I3075" s="213"/>
      <c r="J3075" s="213"/>
      <c r="L3075" s="272">
        <f t="shared" si="261"/>
        <v>1900</v>
      </c>
      <c r="M3075" s="272">
        <f t="shared" si="262"/>
        <v>1</v>
      </c>
      <c r="O3075" s="61">
        <f t="shared" si="263"/>
        <v>1900</v>
      </c>
      <c r="P3075" s="61">
        <f t="shared" si="264"/>
        <v>1</v>
      </c>
      <c r="R3075" s="272"/>
      <c r="S3075" s="272"/>
      <c r="T3075" s="273" t="str">
        <f t="shared" si="265"/>
        <v>-</v>
      </c>
    </row>
    <row r="3076" spans="9:20">
      <c r="I3076" s="213"/>
      <c r="J3076" s="213"/>
      <c r="L3076" s="272">
        <f t="shared" si="261"/>
        <v>1900</v>
      </c>
      <c r="M3076" s="272">
        <f t="shared" si="262"/>
        <v>1</v>
      </c>
      <c r="O3076" s="61">
        <f t="shared" si="263"/>
        <v>1900</v>
      </c>
      <c r="P3076" s="61">
        <f t="shared" si="264"/>
        <v>1</v>
      </c>
      <c r="R3076" s="272"/>
      <c r="S3076" s="272"/>
      <c r="T3076" s="273" t="str">
        <f t="shared" si="265"/>
        <v>-</v>
      </c>
    </row>
    <row r="3077" spans="9:20">
      <c r="I3077" s="213"/>
      <c r="J3077" s="213"/>
      <c r="L3077" s="272">
        <f t="shared" si="261"/>
        <v>1900</v>
      </c>
      <c r="M3077" s="272">
        <f t="shared" si="262"/>
        <v>1</v>
      </c>
      <c r="O3077" s="61">
        <f t="shared" si="263"/>
        <v>1900</v>
      </c>
      <c r="P3077" s="61">
        <f t="shared" si="264"/>
        <v>1</v>
      </c>
      <c r="R3077" s="272"/>
      <c r="S3077" s="272"/>
      <c r="T3077" s="273" t="str">
        <f t="shared" si="265"/>
        <v>-</v>
      </c>
    </row>
    <row r="3078" spans="9:20">
      <c r="I3078" s="213"/>
      <c r="J3078" s="213"/>
      <c r="L3078" s="272">
        <f t="shared" si="261"/>
        <v>1900</v>
      </c>
      <c r="M3078" s="272">
        <f t="shared" si="262"/>
        <v>1</v>
      </c>
      <c r="O3078" s="61">
        <f t="shared" si="263"/>
        <v>1900</v>
      </c>
      <c r="P3078" s="61">
        <f t="shared" si="264"/>
        <v>1</v>
      </c>
      <c r="R3078" s="272"/>
      <c r="S3078" s="272"/>
      <c r="T3078" s="273" t="str">
        <f t="shared" si="265"/>
        <v>-</v>
      </c>
    </row>
    <row r="3079" spans="9:20">
      <c r="I3079" s="213"/>
      <c r="J3079" s="213"/>
      <c r="L3079" s="272">
        <f t="shared" si="261"/>
        <v>1900</v>
      </c>
      <c r="M3079" s="272">
        <f t="shared" si="262"/>
        <v>1</v>
      </c>
      <c r="O3079" s="61">
        <f t="shared" si="263"/>
        <v>1900</v>
      </c>
      <c r="P3079" s="61">
        <f t="shared" si="264"/>
        <v>1</v>
      </c>
      <c r="R3079" s="272"/>
      <c r="S3079" s="272"/>
      <c r="T3079" s="273" t="str">
        <f t="shared" si="265"/>
        <v>-</v>
      </c>
    </row>
    <row r="3080" spans="9:20">
      <c r="I3080" s="213"/>
      <c r="J3080" s="213"/>
      <c r="L3080" s="272">
        <f t="shared" si="261"/>
        <v>1900</v>
      </c>
      <c r="M3080" s="272">
        <f t="shared" si="262"/>
        <v>1</v>
      </c>
      <c r="O3080" s="61">
        <f t="shared" si="263"/>
        <v>1900</v>
      </c>
      <c r="P3080" s="61">
        <f t="shared" si="264"/>
        <v>1</v>
      </c>
      <c r="R3080" s="272"/>
      <c r="S3080" s="272"/>
      <c r="T3080" s="273" t="str">
        <f t="shared" si="265"/>
        <v>-</v>
      </c>
    </row>
    <row r="3081" spans="9:20">
      <c r="I3081" s="213"/>
      <c r="J3081" s="213"/>
      <c r="L3081" s="272">
        <f t="shared" si="261"/>
        <v>1900</v>
      </c>
      <c r="M3081" s="272">
        <f t="shared" si="262"/>
        <v>1</v>
      </c>
      <c r="O3081" s="61">
        <f t="shared" si="263"/>
        <v>1900</v>
      </c>
      <c r="P3081" s="61">
        <f t="shared" si="264"/>
        <v>1</v>
      </c>
      <c r="R3081" s="272"/>
      <c r="S3081" s="272"/>
      <c r="T3081" s="273" t="str">
        <f t="shared" si="265"/>
        <v>-</v>
      </c>
    </row>
    <row r="3082" spans="9:20">
      <c r="I3082" s="213"/>
      <c r="J3082" s="213"/>
      <c r="L3082" s="272">
        <f t="shared" si="261"/>
        <v>1900</v>
      </c>
      <c r="M3082" s="272">
        <f t="shared" si="262"/>
        <v>1</v>
      </c>
      <c r="O3082" s="61">
        <f t="shared" si="263"/>
        <v>1900</v>
      </c>
      <c r="P3082" s="61">
        <f t="shared" si="264"/>
        <v>1</v>
      </c>
      <c r="R3082" s="272"/>
      <c r="S3082" s="272"/>
      <c r="T3082" s="273" t="str">
        <f t="shared" si="265"/>
        <v>-</v>
      </c>
    </row>
    <row r="3083" spans="9:20">
      <c r="I3083" s="213"/>
      <c r="J3083" s="213"/>
      <c r="L3083" s="272">
        <f t="shared" si="261"/>
        <v>1900</v>
      </c>
      <c r="M3083" s="272">
        <f t="shared" si="262"/>
        <v>1</v>
      </c>
      <c r="O3083" s="61">
        <f t="shared" si="263"/>
        <v>1900</v>
      </c>
      <c r="P3083" s="61">
        <f t="shared" si="264"/>
        <v>1</v>
      </c>
      <c r="R3083" s="272"/>
      <c r="S3083" s="272"/>
      <c r="T3083" s="273" t="str">
        <f t="shared" si="265"/>
        <v>-</v>
      </c>
    </row>
    <row r="3084" spans="9:20">
      <c r="I3084" s="213"/>
      <c r="J3084" s="213"/>
      <c r="L3084" s="272">
        <f t="shared" si="261"/>
        <v>1900</v>
      </c>
      <c r="M3084" s="272">
        <f t="shared" si="262"/>
        <v>1</v>
      </c>
      <c r="O3084" s="61">
        <f t="shared" si="263"/>
        <v>1900</v>
      </c>
      <c r="P3084" s="61">
        <f t="shared" si="264"/>
        <v>1</v>
      </c>
      <c r="R3084" s="272"/>
      <c r="S3084" s="272"/>
      <c r="T3084" s="273" t="str">
        <f t="shared" si="265"/>
        <v>-</v>
      </c>
    </row>
    <row r="3085" spans="9:20">
      <c r="I3085" s="213"/>
      <c r="J3085" s="213"/>
      <c r="L3085" s="272">
        <f t="shared" si="261"/>
        <v>1900</v>
      </c>
      <c r="M3085" s="272">
        <f t="shared" si="262"/>
        <v>1</v>
      </c>
      <c r="O3085" s="61">
        <f t="shared" si="263"/>
        <v>1900</v>
      </c>
      <c r="P3085" s="61">
        <f t="shared" si="264"/>
        <v>1</v>
      </c>
      <c r="R3085" s="272"/>
      <c r="S3085" s="272"/>
      <c r="T3085" s="273" t="str">
        <f t="shared" si="265"/>
        <v>-</v>
      </c>
    </row>
    <row r="3086" spans="9:20">
      <c r="I3086" s="213"/>
      <c r="J3086" s="213"/>
      <c r="L3086" s="272">
        <f t="shared" si="261"/>
        <v>1900</v>
      </c>
      <c r="M3086" s="272">
        <f t="shared" si="262"/>
        <v>1</v>
      </c>
      <c r="O3086" s="61">
        <f t="shared" si="263"/>
        <v>1900</v>
      </c>
      <c r="P3086" s="61">
        <f t="shared" si="264"/>
        <v>1</v>
      </c>
      <c r="R3086" s="272"/>
      <c r="S3086" s="272"/>
      <c r="T3086" s="273" t="str">
        <f t="shared" si="265"/>
        <v>-</v>
      </c>
    </row>
    <row r="3087" spans="9:20">
      <c r="I3087" s="213"/>
      <c r="J3087" s="213"/>
      <c r="L3087" s="272">
        <f t="shared" si="261"/>
        <v>1900</v>
      </c>
      <c r="M3087" s="272">
        <f t="shared" si="262"/>
        <v>1</v>
      </c>
      <c r="O3087" s="61">
        <f t="shared" si="263"/>
        <v>1900</v>
      </c>
      <c r="P3087" s="61">
        <f t="shared" si="264"/>
        <v>1</v>
      </c>
      <c r="R3087" s="272"/>
      <c r="S3087" s="272"/>
      <c r="T3087" s="273" t="str">
        <f t="shared" si="265"/>
        <v>-</v>
      </c>
    </row>
    <row r="3088" spans="9:20">
      <c r="I3088" s="213"/>
      <c r="J3088" s="213"/>
      <c r="L3088" s="272">
        <f t="shared" ref="L3088:L3151" si="266">YEAR(B3088)</f>
        <v>1900</v>
      </c>
      <c r="M3088" s="272">
        <f t="shared" ref="M3088:M3151" si="267">MONTH(B3088)</f>
        <v>1</v>
      </c>
      <c r="O3088" s="61">
        <f t="shared" ref="O3088:O3151" si="268">YEAR(B3088)</f>
        <v>1900</v>
      </c>
      <c r="P3088" s="61">
        <f t="shared" ref="P3088:P3151" si="269">MONTH(B3088)</f>
        <v>1</v>
      </c>
      <c r="R3088" s="272"/>
      <c r="S3088" s="272"/>
      <c r="T3088" s="273" t="str">
        <f t="shared" ref="T3088:T3140" si="270">IF($E3088&gt;0,IF((R3088+S3088)=$E3088,"OK","Error"),"-")</f>
        <v>-</v>
      </c>
    </row>
    <row r="3089" spans="9:20">
      <c r="I3089" s="213"/>
      <c r="J3089" s="213"/>
      <c r="L3089" s="272">
        <f t="shared" si="266"/>
        <v>1900</v>
      </c>
      <c r="M3089" s="272">
        <f t="shared" si="267"/>
        <v>1</v>
      </c>
      <c r="O3089" s="61">
        <f t="shared" si="268"/>
        <v>1900</v>
      </c>
      <c r="P3089" s="61">
        <f t="shared" si="269"/>
        <v>1</v>
      </c>
      <c r="R3089" s="272"/>
      <c r="S3089" s="272"/>
      <c r="T3089" s="273" t="str">
        <f t="shared" si="270"/>
        <v>-</v>
      </c>
    </row>
    <row r="3090" spans="9:20">
      <c r="I3090" s="213"/>
      <c r="J3090" s="213"/>
      <c r="L3090" s="272">
        <f t="shared" si="266"/>
        <v>1900</v>
      </c>
      <c r="M3090" s="272">
        <f t="shared" si="267"/>
        <v>1</v>
      </c>
      <c r="O3090" s="61">
        <f t="shared" si="268"/>
        <v>1900</v>
      </c>
      <c r="P3090" s="61">
        <f t="shared" si="269"/>
        <v>1</v>
      </c>
      <c r="R3090" s="272"/>
      <c r="S3090" s="272"/>
      <c r="T3090" s="273" t="str">
        <f t="shared" si="270"/>
        <v>-</v>
      </c>
    </row>
    <row r="3091" spans="9:20">
      <c r="I3091" s="213"/>
      <c r="J3091" s="213"/>
      <c r="L3091" s="272">
        <f t="shared" si="266"/>
        <v>1900</v>
      </c>
      <c r="M3091" s="272">
        <f t="shared" si="267"/>
        <v>1</v>
      </c>
      <c r="O3091" s="61">
        <f t="shared" si="268"/>
        <v>1900</v>
      </c>
      <c r="P3091" s="61">
        <f t="shared" si="269"/>
        <v>1</v>
      </c>
      <c r="R3091" s="272"/>
      <c r="S3091" s="272"/>
      <c r="T3091" s="273" t="str">
        <f t="shared" si="270"/>
        <v>-</v>
      </c>
    </row>
    <row r="3092" spans="9:20">
      <c r="I3092" s="213"/>
      <c r="J3092" s="213"/>
      <c r="L3092" s="272">
        <f t="shared" si="266"/>
        <v>1900</v>
      </c>
      <c r="M3092" s="272">
        <f t="shared" si="267"/>
        <v>1</v>
      </c>
      <c r="O3092" s="61">
        <f t="shared" si="268"/>
        <v>1900</v>
      </c>
      <c r="P3092" s="61">
        <f t="shared" si="269"/>
        <v>1</v>
      </c>
      <c r="R3092" s="272"/>
      <c r="S3092" s="272"/>
      <c r="T3092" s="273" t="str">
        <f t="shared" si="270"/>
        <v>-</v>
      </c>
    </row>
    <row r="3093" spans="9:20">
      <c r="I3093" s="213"/>
      <c r="J3093" s="213"/>
      <c r="L3093" s="272">
        <f t="shared" si="266"/>
        <v>1900</v>
      </c>
      <c r="M3093" s="272">
        <f t="shared" si="267"/>
        <v>1</v>
      </c>
      <c r="O3093" s="61">
        <f t="shared" si="268"/>
        <v>1900</v>
      </c>
      <c r="P3093" s="61">
        <f t="shared" si="269"/>
        <v>1</v>
      </c>
      <c r="R3093" s="272"/>
      <c r="S3093" s="272"/>
      <c r="T3093" s="273" t="str">
        <f t="shared" si="270"/>
        <v>-</v>
      </c>
    </row>
    <row r="3094" spans="9:20">
      <c r="I3094" s="213"/>
      <c r="J3094" s="213"/>
      <c r="L3094" s="272">
        <f t="shared" si="266"/>
        <v>1900</v>
      </c>
      <c r="M3094" s="272">
        <f t="shared" si="267"/>
        <v>1</v>
      </c>
      <c r="O3094" s="61">
        <f t="shared" si="268"/>
        <v>1900</v>
      </c>
      <c r="P3094" s="61">
        <f t="shared" si="269"/>
        <v>1</v>
      </c>
      <c r="R3094" s="272"/>
      <c r="S3094" s="272"/>
      <c r="T3094" s="273" t="str">
        <f t="shared" si="270"/>
        <v>-</v>
      </c>
    </row>
    <row r="3095" spans="9:20">
      <c r="I3095" s="213"/>
      <c r="J3095" s="213"/>
      <c r="L3095" s="272">
        <f t="shared" si="266"/>
        <v>1900</v>
      </c>
      <c r="M3095" s="272">
        <f t="shared" si="267"/>
        <v>1</v>
      </c>
      <c r="O3095" s="61">
        <f t="shared" si="268"/>
        <v>1900</v>
      </c>
      <c r="P3095" s="61">
        <f t="shared" si="269"/>
        <v>1</v>
      </c>
      <c r="R3095" s="272"/>
      <c r="S3095" s="272"/>
      <c r="T3095" s="273" t="str">
        <f t="shared" si="270"/>
        <v>-</v>
      </c>
    </row>
    <row r="3096" spans="9:20">
      <c r="I3096" s="213"/>
      <c r="J3096" s="213"/>
      <c r="L3096" s="272">
        <f t="shared" si="266"/>
        <v>1900</v>
      </c>
      <c r="M3096" s="272">
        <f t="shared" si="267"/>
        <v>1</v>
      </c>
      <c r="O3096" s="61">
        <f t="shared" si="268"/>
        <v>1900</v>
      </c>
      <c r="P3096" s="61">
        <f t="shared" si="269"/>
        <v>1</v>
      </c>
      <c r="R3096" s="272"/>
      <c r="S3096" s="272"/>
      <c r="T3096" s="273" t="str">
        <f t="shared" si="270"/>
        <v>-</v>
      </c>
    </row>
    <row r="3097" spans="9:20">
      <c r="I3097" s="213"/>
      <c r="J3097" s="213"/>
      <c r="L3097" s="272">
        <f t="shared" si="266"/>
        <v>1900</v>
      </c>
      <c r="M3097" s="272">
        <f t="shared" si="267"/>
        <v>1</v>
      </c>
      <c r="O3097" s="61">
        <f t="shared" si="268"/>
        <v>1900</v>
      </c>
      <c r="P3097" s="61">
        <f t="shared" si="269"/>
        <v>1</v>
      </c>
      <c r="R3097" s="272"/>
      <c r="S3097" s="272"/>
      <c r="T3097" s="273" t="str">
        <f t="shared" si="270"/>
        <v>-</v>
      </c>
    </row>
    <row r="3098" spans="9:20">
      <c r="I3098" s="213"/>
      <c r="J3098" s="213"/>
      <c r="L3098" s="272">
        <f t="shared" si="266"/>
        <v>1900</v>
      </c>
      <c r="M3098" s="272">
        <f t="shared" si="267"/>
        <v>1</v>
      </c>
      <c r="O3098" s="61">
        <f t="shared" si="268"/>
        <v>1900</v>
      </c>
      <c r="P3098" s="61">
        <f t="shared" si="269"/>
        <v>1</v>
      </c>
      <c r="R3098" s="272"/>
      <c r="S3098" s="272"/>
      <c r="T3098" s="273" t="str">
        <f t="shared" si="270"/>
        <v>-</v>
      </c>
    </row>
    <row r="3099" spans="9:20">
      <c r="I3099" s="213"/>
      <c r="J3099" s="213"/>
      <c r="L3099" s="272">
        <f t="shared" si="266"/>
        <v>1900</v>
      </c>
      <c r="M3099" s="272">
        <f t="shared" si="267"/>
        <v>1</v>
      </c>
      <c r="O3099" s="61">
        <f t="shared" si="268"/>
        <v>1900</v>
      </c>
      <c r="P3099" s="61">
        <f t="shared" si="269"/>
        <v>1</v>
      </c>
      <c r="R3099" s="272"/>
      <c r="S3099" s="272"/>
      <c r="T3099" s="273" t="str">
        <f t="shared" si="270"/>
        <v>-</v>
      </c>
    </row>
    <row r="3100" spans="9:20">
      <c r="I3100" s="213"/>
      <c r="J3100" s="213"/>
      <c r="L3100" s="272">
        <f t="shared" si="266"/>
        <v>1900</v>
      </c>
      <c r="M3100" s="272">
        <f t="shared" si="267"/>
        <v>1</v>
      </c>
      <c r="O3100" s="61">
        <f t="shared" si="268"/>
        <v>1900</v>
      </c>
      <c r="P3100" s="61">
        <f t="shared" si="269"/>
        <v>1</v>
      </c>
      <c r="R3100" s="272"/>
      <c r="S3100" s="272"/>
      <c r="T3100" s="273" t="str">
        <f t="shared" si="270"/>
        <v>-</v>
      </c>
    </row>
    <row r="3101" spans="9:20">
      <c r="I3101" s="213"/>
      <c r="J3101" s="213"/>
      <c r="L3101" s="272">
        <f t="shared" si="266"/>
        <v>1900</v>
      </c>
      <c r="M3101" s="272">
        <f t="shared" si="267"/>
        <v>1</v>
      </c>
      <c r="O3101" s="61">
        <f t="shared" si="268"/>
        <v>1900</v>
      </c>
      <c r="P3101" s="61">
        <f t="shared" si="269"/>
        <v>1</v>
      </c>
      <c r="R3101" s="272"/>
      <c r="S3101" s="272"/>
      <c r="T3101" s="273" t="str">
        <f t="shared" si="270"/>
        <v>-</v>
      </c>
    </row>
    <row r="3102" spans="9:20">
      <c r="I3102" s="213"/>
      <c r="J3102" s="213"/>
      <c r="L3102" s="272">
        <f t="shared" si="266"/>
        <v>1900</v>
      </c>
      <c r="M3102" s="272">
        <f t="shared" si="267"/>
        <v>1</v>
      </c>
      <c r="O3102" s="61">
        <f t="shared" si="268"/>
        <v>1900</v>
      </c>
      <c r="P3102" s="61">
        <f t="shared" si="269"/>
        <v>1</v>
      </c>
      <c r="R3102" s="272"/>
      <c r="S3102" s="272"/>
      <c r="T3102" s="273" t="str">
        <f t="shared" si="270"/>
        <v>-</v>
      </c>
    </row>
    <row r="3103" spans="9:20">
      <c r="I3103" s="213"/>
      <c r="J3103" s="213"/>
      <c r="L3103" s="272">
        <f t="shared" si="266"/>
        <v>1900</v>
      </c>
      <c r="M3103" s="272">
        <f t="shared" si="267"/>
        <v>1</v>
      </c>
      <c r="O3103" s="61">
        <f t="shared" si="268"/>
        <v>1900</v>
      </c>
      <c r="P3103" s="61">
        <f t="shared" si="269"/>
        <v>1</v>
      </c>
      <c r="R3103" s="272"/>
      <c r="S3103" s="272"/>
      <c r="T3103" s="273" t="str">
        <f t="shared" si="270"/>
        <v>-</v>
      </c>
    </row>
    <row r="3104" spans="9:20">
      <c r="I3104" s="213"/>
      <c r="J3104" s="213"/>
      <c r="L3104" s="272">
        <f t="shared" si="266"/>
        <v>1900</v>
      </c>
      <c r="M3104" s="272">
        <f t="shared" si="267"/>
        <v>1</v>
      </c>
      <c r="O3104" s="61">
        <f t="shared" si="268"/>
        <v>1900</v>
      </c>
      <c r="P3104" s="61">
        <f t="shared" si="269"/>
        <v>1</v>
      </c>
      <c r="R3104" s="272"/>
      <c r="S3104" s="272"/>
      <c r="T3104" s="273" t="str">
        <f t="shared" si="270"/>
        <v>-</v>
      </c>
    </row>
    <row r="3105" spans="9:20">
      <c r="I3105" s="213"/>
      <c r="J3105" s="213"/>
      <c r="L3105" s="272">
        <f t="shared" si="266"/>
        <v>1900</v>
      </c>
      <c r="M3105" s="272">
        <f t="shared" si="267"/>
        <v>1</v>
      </c>
      <c r="O3105" s="61">
        <f t="shared" si="268"/>
        <v>1900</v>
      </c>
      <c r="P3105" s="61">
        <f t="shared" si="269"/>
        <v>1</v>
      </c>
      <c r="R3105" s="272"/>
      <c r="S3105" s="272"/>
      <c r="T3105" s="273" t="str">
        <f t="shared" si="270"/>
        <v>-</v>
      </c>
    </row>
    <row r="3106" spans="9:20">
      <c r="I3106" s="213"/>
      <c r="J3106" s="213"/>
      <c r="L3106" s="272">
        <f t="shared" si="266"/>
        <v>1900</v>
      </c>
      <c r="M3106" s="272">
        <f t="shared" si="267"/>
        <v>1</v>
      </c>
      <c r="O3106" s="61">
        <f t="shared" si="268"/>
        <v>1900</v>
      </c>
      <c r="P3106" s="61">
        <f t="shared" si="269"/>
        <v>1</v>
      </c>
      <c r="R3106" s="272"/>
      <c r="S3106" s="272"/>
      <c r="T3106" s="273" t="str">
        <f t="shared" si="270"/>
        <v>-</v>
      </c>
    </row>
    <row r="3107" spans="9:20">
      <c r="I3107" s="213"/>
      <c r="J3107" s="213"/>
      <c r="L3107" s="272">
        <f t="shared" si="266"/>
        <v>1900</v>
      </c>
      <c r="M3107" s="272">
        <f t="shared" si="267"/>
        <v>1</v>
      </c>
      <c r="O3107" s="61">
        <f t="shared" si="268"/>
        <v>1900</v>
      </c>
      <c r="P3107" s="61">
        <f t="shared" si="269"/>
        <v>1</v>
      </c>
      <c r="R3107" s="272"/>
      <c r="S3107" s="272"/>
      <c r="T3107" s="273" t="str">
        <f t="shared" si="270"/>
        <v>-</v>
      </c>
    </row>
    <row r="3108" spans="9:20">
      <c r="I3108" s="213"/>
      <c r="J3108" s="213"/>
      <c r="L3108" s="272">
        <f t="shared" si="266"/>
        <v>1900</v>
      </c>
      <c r="M3108" s="272">
        <f t="shared" si="267"/>
        <v>1</v>
      </c>
      <c r="O3108" s="61">
        <f t="shared" si="268"/>
        <v>1900</v>
      </c>
      <c r="P3108" s="61">
        <f t="shared" si="269"/>
        <v>1</v>
      </c>
      <c r="R3108" s="272"/>
      <c r="S3108" s="272"/>
      <c r="T3108" s="273" t="str">
        <f t="shared" si="270"/>
        <v>-</v>
      </c>
    </row>
    <row r="3109" spans="9:20">
      <c r="I3109" s="213"/>
      <c r="J3109" s="213"/>
      <c r="L3109" s="272">
        <f t="shared" si="266"/>
        <v>1900</v>
      </c>
      <c r="M3109" s="272">
        <f t="shared" si="267"/>
        <v>1</v>
      </c>
      <c r="O3109" s="61">
        <f t="shared" si="268"/>
        <v>1900</v>
      </c>
      <c r="P3109" s="61">
        <f t="shared" si="269"/>
        <v>1</v>
      </c>
      <c r="R3109" s="272"/>
      <c r="S3109" s="272"/>
      <c r="T3109" s="273" t="str">
        <f t="shared" si="270"/>
        <v>-</v>
      </c>
    </row>
    <row r="3110" spans="9:20">
      <c r="I3110" s="213"/>
      <c r="J3110" s="213"/>
      <c r="L3110" s="272">
        <f t="shared" si="266"/>
        <v>1900</v>
      </c>
      <c r="M3110" s="272">
        <f t="shared" si="267"/>
        <v>1</v>
      </c>
      <c r="O3110" s="61">
        <f t="shared" si="268"/>
        <v>1900</v>
      </c>
      <c r="P3110" s="61">
        <f t="shared" si="269"/>
        <v>1</v>
      </c>
      <c r="R3110" s="272"/>
      <c r="S3110" s="272"/>
      <c r="T3110" s="273" t="str">
        <f t="shared" si="270"/>
        <v>-</v>
      </c>
    </row>
    <row r="3111" spans="9:20">
      <c r="I3111" s="213"/>
      <c r="J3111" s="213"/>
      <c r="L3111" s="272">
        <f t="shared" si="266"/>
        <v>1900</v>
      </c>
      <c r="M3111" s="272">
        <f t="shared" si="267"/>
        <v>1</v>
      </c>
      <c r="O3111" s="61">
        <f t="shared" si="268"/>
        <v>1900</v>
      </c>
      <c r="P3111" s="61">
        <f t="shared" si="269"/>
        <v>1</v>
      </c>
      <c r="R3111" s="272"/>
      <c r="S3111" s="272"/>
      <c r="T3111" s="273" t="str">
        <f t="shared" si="270"/>
        <v>-</v>
      </c>
    </row>
    <row r="3112" spans="9:20">
      <c r="I3112" s="213"/>
      <c r="J3112" s="213"/>
      <c r="L3112" s="272">
        <f t="shared" si="266"/>
        <v>1900</v>
      </c>
      <c r="M3112" s="272">
        <f t="shared" si="267"/>
        <v>1</v>
      </c>
      <c r="O3112" s="61">
        <f t="shared" si="268"/>
        <v>1900</v>
      </c>
      <c r="P3112" s="61">
        <f t="shared" si="269"/>
        <v>1</v>
      </c>
      <c r="R3112" s="272"/>
      <c r="S3112" s="272"/>
      <c r="T3112" s="273" t="str">
        <f t="shared" si="270"/>
        <v>-</v>
      </c>
    </row>
    <row r="3113" spans="9:20">
      <c r="I3113" s="213"/>
      <c r="J3113" s="213"/>
      <c r="L3113" s="272">
        <f t="shared" si="266"/>
        <v>1900</v>
      </c>
      <c r="M3113" s="272">
        <f t="shared" si="267"/>
        <v>1</v>
      </c>
      <c r="O3113" s="61">
        <f t="shared" si="268"/>
        <v>1900</v>
      </c>
      <c r="P3113" s="61">
        <f t="shared" si="269"/>
        <v>1</v>
      </c>
      <c r="R3113" s="272"/>
      <c r="S3113" s="272"/>
      <c r="T3113" s="273" t="str">
        <f t="shared" si="270"/>
        <v>-</v>
      </c>
    </row>
    <row r="3114" spans="9:20">
      <c r="I3114" s="213"/>
      <c r="J3114" s="213"/>
      <c r="L3114" s="272">
        <f t="shared" si="266"/>
        <v>1900</v>
      </c>
      <c r="M3114" s="272">
        <f t="shared" si="267"/>
        <v>1</v>
      </c>
      <c r="O3114" s="61">
        <f t="shared" si="268"/>
        <v>1900</v>
      </c>
      <c r="P3114" s="61">
        <f t="shared" si="269"/>
        <v>1</v>
      </c>
      <c r="R3114" s="272"/>
      <c r="S3114" s="272"/>
      <c r="T3114" s="273" t="str">
        <f t="shared" si="270"/>
        <v>-</v>
      </c>
    </row>
    <row r="3115" spans="9:20">
      <c r="I3115" s="213"/>
      <c r="J3115" s="213"/>
      <c r="L3115" s="272">
        <f t="shared" si="266"/>
        <v>1900</v>
      </c>
      <c r="M3115" s="272">
        <f t="shared" si="267"/>
        <v>1</v>
      </c>
      <c r="O3115" s="61">
        <f t="shared" si="268"/>
        <v>1900</v>
      </c>
      <c r="P3115" s="61">
        <f t="shared" si="269"/>
        <v>1</v>
      </c>
      <c r="R3115" s="272"/>
      <c r="S3115" s="272"/>
      <c r="T3115" s="273" t="str">
        <f t="shared" si="270"/>
        <v>-</v>
      </c>
    </row>
    <row r="3116" spans="9:20">
      <c r="I3116" s="213"/>
      <c r="J3116" s="213"/>
      <c r="L3116" s="272">
        <f t="shared" si="266"/>
        <v>1900</v>
      </c>
      <c r="M3116" s="272">
        <f t="shared" si="267"/>
        <v>1</v>
      </c>
      <c r="O3116" s="61">
        <f t="shared" si="268"/>
        <v>1900</v>
      </c>
      <c r="P3116" s="61">
        <f t="shared" si="269"/>
        <v>1</v>
      </c>
      <c r="R3116" s="272"/>
      <c r="S3116" s="272"/>
      <c r="T3116" s="273" t="str">
        <f t="shared" si="270"/>
        <v>-</v>
      </c>
    </row>
    <row r="3117" spans="9:20">
      <c r="I3117" s="213"/>
      <c r="J3117" s="213"/>
      <c r="L3117" s="272">
        <f t="shared" si="266"/>
        <v>1900</v>
      </c>
      <c r="M3117" s="272">
        <f t="shared" si="267"/>
        <v>1</v>
      </c>
      <c r="O3117" s="61">
        <f t="shared" si="268"/>
        <v>1900</v>
      </c>
      <c r="P3117" s="61">
        <f t="shared" si="269"/>
        <v>1</v>
      </c>
      <c r="R3117" s="272"/>
      <c r="S3117" s="272"/>
      <c r="T3117" s="273" t="str">
        <f t="shared" si="270"/>
        <v>-</v>
      </c>
    </row>
    <row r="3118" spans="9:20">
      <c r="I3118" s="213"/>
      <c r="J3118" s="213"/>
      <c r="L3118" s="272">
        <f t="shared" si="266"/>
        <v>1900</v>
      </c>
      <c r="M3118" s="272">
        <f t="shared" si="267"/>
        <v>1</v>
      </c>
      <c r="O3118" s="61">
        <f t="shared" si="268"/>
        <v>1900</v>
      </c>
      <c r="P3118" s="61">
        <f t="shared" si="269"/>
        <v>1</v>
      </c>
      <c r="R3118" s="272"/>
      <c r="S3118" s="272"/>
      <c r="T3118" s="273" t="str">
        <f t="shared" si="270"/>
        <v>-</v>
      </c>
    </row>
    <row r="3119" spans="9:20">
      <c r="I3119" s="213"/>
      <c r="J3119" s="213"/>
      <c r="L3119" s="272">
        <f t="shared" si="266"/>
        <v>1900</v>
      </c>
      <c r="M3119" s="272">
        <f t="shared" si="267"/>
        <v>1</v>
      </c>
      <c r="O3119" s="61">
        <f t="shared" si="268"/>
        <v>1900</v>
      </c>
      <c r="P3119" s="61">
        <f t="shared" si="269"/>
        <v>1</v>
      </c>
      <c r="R3119" s="272"/>
      <c r="S3119" s="272"/>
      <c r="T3119" s="273" t="str">
        <f t="shared" si="270"/>
        <v>-</v>
      </c>
    </row>
    <row r="3120" spans="9:20">
      <c r="I3120" s="213"/>
      <c r="J3120" s="213"/>
      <c r="L3120" s="272">
        <f t="shared" si="266"/>
        <v>1900</v>
      </c>
      <c r="M3120" s="272">
        <f t="shared" si="267"/>
        <v>1</v>
      </c>
      <c r="O3120" s="61">
        <f t="shared" si="268"/>
        <v>1900</v>
      </c>
      <c r="P3120" s="61">
        <f t="shared" si="269"/>
        <v>1</v>
      </c>
      <c r="R3120" s="272"/>
      <c r="S3120" s="272"/>
      <c r="T3120" s="273" t="str">
        <f t="shared" si="270"/>
        <v>-</v>
      </c>
    </row>
    <row r="3121" spans="9:20">
      <c r="I3121" s="213"/>
      <c r="J3121" s="213"/>
      <c r="L3121" s="272">
        <f t="shared" si="266"/>
        <v>1900</v>
      </c>
      <c r="M3121" s="272">
        <f t="shared" si="267"/>
        <v>1</v>
      </c>
      <c r="O3121" s="61">
        <f t="shared" si="268"/>
        <v>1900</v>
      </c>
      <c r="P3121" s="61">
        <f t="shared" si="269"/>
        <v>1</v>
      </c>
      <c r="R3121" s="272"/>
      <c r="S3121" s="272"/>
      <c r="T3121" s="273" t="str">
        <f t="shared" si="270"/>
        <v>-</v>
      </c>
    </row>
    <row r="3122" spans="9:20">
      <c r="I3122" s="213"/>
      <c r="J3122" s="213"/>
      <c r="L3122" s="272">
        <f t="shared" si="266"/>
        <v>1900</v>
      </c>
      <c r="M3122" s="272">
        <f t="shared" si="267"/>
        <v>1</v>
      </c>
      <c r="O3122" s="61">
        <f t="shared" si="268"/>
        <v>1900</v>
      </c>
      <c r="P3122" s="61">
        <f t="shared" si="269"/>
        <v>1</v>
      </c>
      <c r="R3122" s="272"/>
      <c r="S3122" s="272"/>
      <c r="T3122" s="273" t="str">
        <f t="shared" si="270"/>
        <v>-</v>
      </c>
    </row>
    <row r="3123" spans="9:20">
      <c r="I3123" s="213"/>
      <c r="J3123" s="213"/>
      <c r="L3123" s="272">
        <f t="shared" si="266"/>
        <v>1900</v>
      </c>
      <c r="M3123" s="272">
        <f t="shared" si="267"/>
        <v>1</v>
      </c>
      <c r="O3123" s="61">
        <f t="shared" si="268"/>
        <v>1900</v>
      </c>
      <c r="P3123" s="61">
        <f t="shared" si="269"/>
        <v>1</v>
      </c>
      <c r="R3123" s="272"/>
      <c r="S3123" s="272"/>
      <c r="T3123" s="273" t="str">
        <f t="shared" si="270"/>
        <v>-</v>
      </c>
    </row>
    <row r="3124" spans="9:20">
      <c r="I3124" s="213"/>
      <c r="J3124" s="213"/>
      <c r="L3124" s="272">
        <f t="shared" si="266"/>
        <v>1900</v>
      </c>
      <c r="M3124" s="272">
        <f t="shared" si="267"/>
        <v>1</v>
      </c>
      <c r="O3124" s="61">
        <f t="shared" si="268"/>
        <v>1900</v>
      </c>
      <c r="P3124" s="61">
        <f t="shared" si="269"/>
        <v>1</v>
      </c>
      <c r="R3124" s="272"/>
      <c r="S3124" s="272"/>
      <c r="T3124" s="273" t="str">
        <f t="shared" si="270"/>
        <v>-</v>
      </c>
    </row>
    <row r="3125" spans="9:20">
      <c r="I3125" s="213"/>
      <c r="J3125" s="213"/>
      <c r="L3125" s="272">
        <f t="shared" si="266"/>
        <v>1900</v>
      </c>
      <c r="M3125" s="272">
        <f t="shared" si="267"/>
        <v>1</v>
      </c>
      <c r="O3125" s="61">
        <f t="shared" si="268"/>
        <v>1900</v>
      </c>
      <c r="P3125" s="61">
        <f t="shared" si="269"/>
        <v>1</v>
      </c>
      <c r="R3125" s="272"/>
      <c r="S3125" s="272"/>
      <c r="T3125" s="273" t="str">
        <f t="shared" si="270"/>
        <v>-</v>
      </c>
    </row>
    <row r="3126" spans="9:20">
      <c r="I3126" s="213"/>
      <c r="J3126" s="213"/>
      <c r="L3126" s="272">
        <f t="shared" si="266"/>
        <v>1900</v>
      </c>
      <c r="M3126" s="272">
        <f t="shared" si="267"/>
        <v>1</v>
      </c>
      <c r="O3126" s="61">
        <f t="shared" si="268"/>
        <v>1900</v>
      </c>
      <c r="P3126" s="61">
        <f t="shared" si="269"/>
        <v>1</v>
      </c>
      <c r="R3126" s="272"/>
      <c r="S3126" s="272"/>
      <c r="T3126" s="273" t="str">
        <f t="shared" si="270"/>
        <v>-</v>
      </c>
    </row>
    <row r="3127" spans="9:20">
      <c r="I3127" s="213"/>
      <c r="J3127" s="213"/>
      <c r="L3127" s="272">
        <f t="shared" si="266"/>
        <v>1900</v>
      </c>
      <c r="M3127" s="272">
        <f t="shared" si="267"/>
        <v>1</v>
      </c>
      <c r="O3127" s="61">
        <f t="shared" si="268"/>
        <v>1900</v>
      </c>
      <c r="P3127" s="61">
        <f t="shared" si="269"/>
        <v>1</v>
      </c>
      <c r="R3127" s="272"/>
      <c r="S3127" s="272"/>
      <c r="T3127" s="273" t="str">
        <f t="shared" si="270"/>
        <v>-</v>
      </c>
    </row>
    <row r="3128" spans="9:20">
      <c r="I3128" s="213"/>
      <c r="J3128" s="213"/>
      <c r="L3128" s="272">
        <f t="shared" si="266"/>
        <v>1900</v>
      </c>
      <c r="M3128" s="272">
        <f t="shared" si="267"/>
        <v>1</v>
      </c>
      <c r="O3128" s="61">
        <f t="shared" si="268"/>
        <v>1900</v>
      </c>
      <c r="P3128" s="61">
        <f t="shared" si="269"/>
        <v>1</v>
      </c>
      <c r="R3128" s="272"/>
      <c r="S3128" s="272"/>
      <c r="T3128" s="273" t="str">
        <f t="shared" si="270"/>
        <v>-</v>
      </c>
    </row>
    <row r="3129" spans="9:20">
      <c r="I3129" s="213"/>
      <c r="J3129" s="213"/>
      <c r="L3129" s="272">
        <f t="shared" si="266"/>
        <v>1900</v>
      </c>
      <c r="M3129" s="272">
        <f t="shared" si="267"/>
        <v>1</v>
      </c>
      <c r="O3129" s="61">
        <f t="shared" si="268"/>
        <v>1900</v>
      </c>
      <c r="P3129" s="61">
        <f t="shared" si="269"/>
        <v>1</v>
      </c>
      <c r="R3129" s="272"/>
      <c r="S3129" s="272"/>
      <c r="T3129" s="273" t="str">
        <f t="shared" si="270"/>
        <v>-</v>
      </c>
    </row>
    <row r="3130" spans="9:20">
      <c r="I3130" s="213"/>
      <c r="J3130" s="213"/>
      <c r="L3130" s="272">
        <f t="shared" si="266"/>
        <v>1900</v>
      </c>
      <c r="M3130" s="272">
        <f t="shared" si="267"/>
        <v>1</v>
      </c>
      <c r="O3130" s="61">
        <f t="shared" si="268"/>
        <v>1900</v>
      </c>
      <c r="P3130" s="61">
        <f t="shared" si="269"/>
        <v>1</v>
      </c>
      <c r="R3130" s="272"/>
      <c r="S3130" s="272"/>
      <c r="T3130" s="273" t="str">
        <f t="shared" si="270"/>
        <v>-</v>
      </c>
    </row>
    <row r="3131" spans="9:20">
      <c r="I3131" s="213"/>
      <c r="J3131" s="213"/>
      <c r="L3131" s="272">
        <f t="shared" si="266"/>
        <v>1900</v>
      </c>
      <c r="M3131" s="272">
        <f t="shared" si="267"/>
        <v>1</v>
      </c>
      <c r="O3131" s="61">
        <f t="shared" si="268"/>
        <v>1900</v>
      </c>
      <c r="P3131" s="61">
        <f t="shared" si="269"/>
        <v>1</v>
      </c>
      <c r="R3131" s="272"/>
      <c r="S3131" s="272"/>
      <c r="T3131" s="273" t="str">
        <f t="shared" si="270"/>
        <v>-</v>
      </c>
    </row>
    <row r="3132" spans="9:20">
      <c r="I3132" s="213"/>
      <c r="J3132" s="213"/>
      <c r="L3132" s="272">
        <f t="shared" si="266"/>
        <v>1900</v>
      </c>
      <c r="M3132" s="272">
        <f t="shared" si="267"/>
        <v>1</v>
      </c>
      <c r="O3132" s="61">
        <f t="shared" si="268"/>
        <v>1900</v>
      </c>
      <c r="P3132" s="61">
        <f t="shared" si="269"/>
        <v>1</v>
      </c>
      <c r="R3132" s="272"/>
      <c r="S3132" s="272"/>
      <c r="T3132" s="273" t="str">
        <f t="shared" si="270"/>
        <v>-</v>
      </c>
    </row>
    <row r="3133" spans="9:20">
      <c r="I3133" s="213"/>
      <c r="J3133" s="213"/>
      <c r="L3133" s="272">
        <f t="shared" si="266"/>
        <v>1900</v>
      </c>
      <c r="M3133" s="272">
        <f t="shared" si="267"/>
        <v>1</v>
      </c>
      <c r="O3133" s="61">
        <f t="shared" si="268"/>
        <v>1900</v>
      </c>
      <c r="P3133" s="61">
        <f t="shared" si="269"/>
        <v>1</v>
      </c>
      <c r="R3133" s="272"/>
      <c r="S3133" s="272"/>
      <c r="T3133" s="273" t="str">
        <f t="shared" si="270"/>
        <v>-</v>
      </c>
    </row>
    <row r="3134" spans="9:20">
      <c r="I3134" s="213"/>
      <c r="J3134" s="213"/>
      <c r="L3134" s="272">
        <f t="shared" si="266"/>
        <v>1900</v>
      </c>
      <c r="M3134" s="272">
        <f t="shared" si="267"/>
        <v>1</v>
      </c>
      <c r="O3134" s="61">
        <f t="shared" si="268"/>
        <v>1900</v>
      </c>
      <c r="P3134" s="61">
        <f t="shared" si="269"/>
        <v>1</v>
      </c>
      <c r="R3134" s="272"/>
      <c r="S3134" s="272"/>
      <c r="T3134" s="273" t="str">
        <f t="shared" si="270"/>
        <v>-</v>
      </c>
    </row>
    <row r="3135" spans="9:20">
      <c r="I3135" s="213"/>
      <c r="J3135" s="213"/>
      <c r="L3135" s="272">
        <f t="shared" si="266"/>
        <v>1900</v>
      </c>
      <c r="M3135" s="272">
        <f t="shared" si="267"/>
        <v>1</v>
      </c>
      <c r="O3135" s="61">
        <f t="shared" si="268"/>
        <v>1900</v>
      </c>
      <c r="P3135" s="61">
        <f t="shared" si="269"/>
        <v>1</v>
      </c>
      <c r="R3135" s="272"/>
      <c r="S3135" s="272"/>
      <c r="T3135" s="273" t="str">
        <f t="shared" si="270"/>
        <v>-</v>
      </c>
    </row>
    <row r="3136" spans="9:20">
      <c r="I3136" s="213"/>
      <c r="J3136" s="213"/>
      <c r="L3136" s="272">
        <f t="shared" si="266"/>
        <v>1900</v>
      </c>
      <c r="M3136" s="272">
        <f t="shared" si="267"/>
        <v>1</v>
      </c>
      <c r="O3136" s="61">
        <f t="shared" si="268"/>
        <v>1900</v>
      </c>
      <c r="P3136" s="61">
        <f t="shared" si="269"/>
        <v>1</v>
      </c>
      <c r="R3136" s="272"/>
      <c r="S3136" s="272"/>
      <c r="T3136" s="273" t="str">
        <f t="shared" si="270"/>
        <v>-</v>
      </c>
    </row>
    <row r="3137" spans="9:20">
      <c r="I3137" s="213"/>
      <c r="J3137" s="213"/>
      <c r="L3137" s="272">
        <f t="shared" si="266"/>
        <v>1900</v>
      </c>
      <c r="M3137" s="272">
        <f t="shared" si="267"/>
        <v>1</v>
      </c>
      <c r="O3137" s="61">
        <f t="shared" si="268"/>
        <v>1900</v>
      </c>
      <c r="P3137" s="61">
        <f t="shared" si="269"/>
        <v>1</v>
      </c>
      <c r="R3137" s="272"/>
      <c r="S3137" s="272"/>
      <c r="T3137" s="273" t="str">
        <f t="shared" si="270"/>
        <v>-</v>
      </c>
    </row>
    <row r="3138" spans="9:20">
      <c r="I3138" s="213"/>
      <c r="J3138" s="213"/>
      <c r="L3138" s="272">
        <f t="shared" si="266"/>
        <v>1900</v>
      </c>
      <c r="M3138" s="272">
        <f t="shared" si="267"/>
        <v>1</v>
      </c>
      <c r="O3138" s="61">
        <f t="shared" si="268"/>
        <v>1900</v>
      </c>
      <c r="P3138" s="61">
        <f t="shared" si="269"/>
        <v>1</v>
      </c>
      <c r="R3138" s="272"/>
      <c r="S3138" s="272"/>
      <c r="T3138" s="273" t="str">
        <f t="shared" si="270"/>
        <v>-</v>
      </c>
    </row>
    <row r="3139" spans="9:20">
      <c r="I3139" s="213"/>
      <c r="J3139" s="213"/>
      <c r="L3139" s="272">
        <f t="shared" si="266"/>
        <v>1900</v>
      </c>
      <c r="M3139" s="272">
        <f t="shared" si="267"/>
        <v>1</v>
      </c>
      <c r="O3139" s="61">
        <f t="shared" si="268"/>
        <v>1900</v>
      </c>
      <c r="P3139" s="61">
        <f t="shared" si="269"/>
        <v>1</v>
      </c>
      <c r="R3139" s="272"/>
      <c r="S3139" s="272"/>
      <c r="T3139" s="273" t="str">
        <f t="shared" si="270"/>
        <v>-</v>
      </c>
    </row>
    <row r="3140" spans="9:20">
      <c r="I3140" s="213"/>
      <c r="J3140" s="213"/>
      <c r="L3140" s="272">
        <f t="shared" si="266"/>
        <v>1900</v>
      </c>
      <c r="M3140" s="272">
        <f t="shared" si="267"/>
        <v>1</v>
      </c>
      <c r="O3140" s="61">
        <f t="shared" si="268"/>
        <v>1900</v>
      </c>
      <c r="P3140" s="61">
        <f t="shared" si="269"/>
        <v>1</v>
      </c>
      <c r="R3140" s="272"/>
      <c r="S3140" s="272"/>
      <c r="T3140" s="273" t="str">
        <f t="shared" si="270"/>
        <v>-</v>
      </c>
    </row>
    <row r="3141" spans="9:20">
      <c r="I3141" s="213"/>
      <c r="J3141" s="213"/>
      <c r="L3141" s="272">
        <f t="shared" si="266"/>
        <v>1900</v>
      </c>
      <c r="M3141" s="272">
        <f t="shared" si="267"/>
        <v>1</v>
      </c>
      <c r="O3141" s="61">
        <f t="shared" si="268"/>
        <v>1900</v>
      </c>
      <c r="P3141" s="61">
        <f t="shared" si="269"/>
        <v>1</v>
      </c>
      <c r="R3141" s="272"/>
      <c r="S3141" s="272"/>
    </row>
    <row r="3142" spans="9:20">
      <c r="I3142" s="213"/>
      <c r="J3142" s="213"/>
      <c r="L3142" s="272">
        <f t="shared" si="266"/>
        <v>1900</v>
      </c>
      <c r="M3142" s="272">
        <f t="shared" si="267"/>
        <v>1</v>
      </c>
      <c r="O3142" s="61">
        <f t="shared" si="268"/>
        <v>1900</v>
      </c>
      <c r="P3142" s="61">
        <f t="shared" si="269"/>
        <v>1</v>
      </c>
      <c r="R3142" s="272"/>
      <c r="S3142" s="272"/>
    </row>
    <row r="3143" spans="9:20">
      <c r="I3143" s="213"/>
      <c r="J3143" s="213"/>
      <c r="L3143" s="272">
        <f t="shared" si="266"/>
        <v>1900</v>
      </c>
      <c r="M3143" s="272">
        <f t="shared" si="267"/>
        <v>1</v>
      </c>
      <c r="O3143" s="61">
        <f t="shared" si="268"/>
        <v>1900</v>
      </c>
      <c r="P3143" s="61">
        <f t="shared" si="269"/>
        <v>1</v>
      </c>
      <c r="R3143" s="272"/>
      <c r="S3143" s="272"/>
    </row>
    <row r="3144" spans="9:20">
      <c r="I3144" s="213"/>
      <c r="J3144" s="213"/>
      <c r="L3144" s="272">
        <f t="shared" si="266"/>
        <v>1900</v>
      </c>
      <c r="M3144" s="272">
        <f t="shared" si="267"/>
        <v>1</v>
      </c>
      <c r="O3144" s="61">
        <f t="shared" si="268"/>
        <v>1900</v>
      </c>
      <c r="P3144" s="61">
        <f t="shared" si="269"/>
        <v>1</v>
      </c>
      <c r="R3144" s="272"/>
      <c r="S3144" s="272"/>
    </row>
    <row r="3145" spans="9:20">
      <c r="I3145" s="213"/>
      <c r="J3145" s="213"/>
      <c r="L3145" s="272">
        <f t="shared" si="266"/>
        <v>1900</v>
      </c>
      <c r="M3145" s="272">
        <f t="shared" si="267"/>
        <v>1</v>
      </c>
      <c r="O3145" s="61">
        <f t="shared" si="268"/>
        <v>1900</v>
      </c>
      <c r="P3145" s="61">
        <f t="shared" si="269"/>
        <v>1</v>
      </c>
      <c r="R3145" s="272"/>
      <c r="S3145" s="272"/>
    </row>
    <row r="3146" spans="9:20">
      <c r="I3146" s="213"/>
      <c r="J3146" s="213"/>
      <c r="L3146" s="272">
        <f t="shared" si="266"/>
        <v>1900</v>
      </c>
      <c r="M3146" s="272">
        <f t="shared" si="267"/>
        <v>1</v>
      </c>
      <c r="O3146" s="61">
        <f t="shared" si="268"/>
        <v>1900</v>
      </c>
      <c r="P3146" s="61">
        <f t="shared" si="269"/>
        <v>1</v>
      </c>
      <c r="R3146" s="272"/>
      <c r="S3146" s="272"/>
    </row>
    <row r="3147" spans="9:20">
      <c r="I3147" s="213"/>
      <c r="J3147" s="213"/>
      <c r="L3147" s="272">
        <f t="shared" si="266"/>
        <v>1900</v>
      </c>
      <c r="M3147" s="272">
        <f t="shared" si="267"/>
        <v>1</v>
      </c>
      <c r="O3147" s="61">
        <f t="shared" si="268"/>
        <v>1900</v>
      </c>
      <c r="P3147" s="61">
        <f t="shared" si="269"/>
        <v>1</v>
      </c>
      <c r="R3147" s="272"/>
      <c r="S3147" s="272"/>
    </row>
    <row r="3148" spans="9:20">
      <c r="I3148" s="213"/>
      <c r="J3148" s="213"/>
      <c r="L3148" s="272">
        <f t="shared" si="266"/>
        <v>1900</v>
      </c>
      <c r="M3148" s="272">
        <f t="shared" si="267"/>
        <v>1</v>
      </c>
      <c r="O3148" s="61">
        <f t="shared" si="268"/>
        <v>1900</v>
      </c>
      <c r="P3148" s="61">
        <f t="shared" si="269"/>
        <v>1</v>
      </c>
      <c r="R3148" s="272"/>
      <c r="S3148" s="272"/>
    </row>
    <row r="3149" spans="9:20">
      <c r="I3149" s="213"/>
      <c r="J3149" s="213"/>
      <c r="L3149" s="272">
        <f t="shared" si="266"/>
        <v>1900</v>
      </c>
      <c r="M3149" s="272">
        <f t="shared" si="267"/>
        <v>1</v>
      </c>
      <c r="O3149" s="61">
        <f t="shared" si="268"/>
        <v>1900</v>
      </c>
      <c r="P3149" s="61">
        <f t="shared" si="269"/>
        <v>1</v>
      </c>
      <c r="R3149" s="272"/>
      <c r="S3149" s="272"/>
    </row>
    <row r="3150" spans="9:20">
      <c r="I3150" s="213"/>
      <c r="J3150" s="213"/>
      <c r="L3150" s="272">
        <f t="shared" si="266"/>
        <v>1900</v>
      </c>
      <c r="M3150" s="272">
        <f t="shared" si="267"/>
        <v>1</v>
      </c>
      <c r="O3150" s="61">
        <f t="shared" si="268"/>
        <v>1900</v>
      </c>
      <c r="P3150" s="61">
        <f t="shared" si="269"/>
        <v>1</v>
      </c>
      <c r="R3150" s="272"/>
      <c r="S3150" s="272"/>
    </row>
    <row r="3151" spans="9:20">
      <c r="I3151" s="213"/>
      <c r="J3151" s="213"/>
      <c r="L3151" s="272">
        <f t="shared" si="266"/>
        <v>1900</v>
      </c>
      <c r="M3151" s="272">
        <f t="shared" si="267"/>
        <v>1</v>
      </c>
      <c r="O3151" s="61">
        <f t="shared" si="268"/>
        <v>1900</v>
      </c>
      <c r="P3151" s="61">
        <f t="shared" si="269"/>
        <v>1</v>
      </c>
      <c r="R3151" s="272"/>
      <c r="S3151" s="272"/>
    </row>
    <row r="3152" spans="9:20">
      <c r="I3152" s="213"/>
      <c r="J3152" s="213"/>
      <c r="L3152" s="272">
        <f t="shared" ref="L3152:L3215" si="271">YEAR(B3152)</f>
        <v>1900</v>
      </c>
      <c r="M3152" s="272">
        <f t="shared" ref="M3152:M3215" si="272">MONTH(B3152)</f>
        <v>1</v>
      </c>
      <c r="O3152" s="61">
        <f t="shared" ref="O3152:O3215" si="273">YEAR(B3152)</f>
        <v>1900</v>
      </c>
      <c r="P3152" s="61">
        <f t="shared" ref="P3152:P3215" si="274">MONTH(B3152)</f>
        <v>1</v>
      </c>
      <c r="R3152" s="272"/>
      <c r="S3152" s="272"/>
    </row>
    <row r="3153" spans="9:19">
      <c r="I3153" s="213"/>
      <c r="J3153" s="213"/>
      <c r="L3153" s="272">
        <f t="shared" si="271"/>
        <v>1900</v>
      </c>
      <c r="M3153" s="272">
        <f t="shared" si="272"/>
        <v>1</v>
      </c>
      <c r="O3153" s="61">
        <f t="shared" si="273"/>
        <v>1900</v>
      </c>
      <c r="P3153" s="61">
        <f t="shared" si="274"/>
        <v>1</v>
      </c>
      <c r="R3153" s="272"/>
      <c r="S3153" s="272"/>
    </row>
    <row r="3154" spans="9:19">
      <c r="I3154" s="213"/>
      <c r="J3154" s="213"/>
      <c r="L3154" s="272">
        <f t="shared" si="271"/>
        <v>1900</v>
      </c>
      <c r="M3154" s="272">
        <f t="shared" si="272"/>
        <v>1</v>
      </c>
      <c r="O3154" s="61">
        <f t="shared" si="273"/>
        <v>1900</v>
      </c>
      <c r="P3154" s="61">
        <f t="shared" si="274"/>
        <v>1</v>
      </c>
      <c r="R3154" s="272"/>
      <c r="S3154" s="272"/>
    </row>
    <row r="3155" spans="9:19">
      <c r="I3155" s="213"/>
      <c r="J3155" s="213"/>
      <c r="L3155" s="272">
        <f t="shared" si="271"/>
        <v>1900</v>
      </c>
      <c r="M3155" s="272">
        <f t="shared" si="272"/>
        <v>1</v>
      </c>
      <c r="O3155" s="61">
        <f t="shared" si="273"/>
        <v>1900</v>
      </c>
      <c r="P3155" s="61">
        <f t="shared" si="274"/>
        <v>1</v>
      </c>
      <c r="R3155" s="272"/>
      <c r="S3155" s="272"/>
    </row>
    <row r="3156" spans="9:19">
      <c r="I3156" s="213"/>
      <c r="J3156" s="213"/>
      <c r="L3156" s="272">
        <f t="shared" si="271"/>
        <v>1900</v>
      </c>
      <c r="M3156" s="272">
        <f t="shared" si="272"/>
        <v>1</v>
      </c>
      <c r="O3156" s="61">
        <f t="shared" si="273"/>
        <v>1900</v>
      </c>
      <c r="P3156" s="61">
        <f t="shared" si="274"/>
        <v>1</v>
      </c>
      <c r="R3156" s="272"/>
      <c r="S3156" s="272"/>
    </row>
    <row r="3157" spans="9:19">
      <c r="I3157" s="213"/>
      <c r="J3157" s="213"/>
      <c r="L3157" s="272">
        <f t="shared" si="271"/>
        <v>1900</v>
      </c>
      <c r="M3157" s="272">
        <f t="shared" si="272"/>
        <v>1</v>
      </c>
      <c r="O3157" s="61">
        <f t="shared" si="273"/>
        <v>1900</v>
      </c>
      <c r="P3157" s="61">
        <f t="shared" si="274"/>
        <v>1</v>
      </c>
      <c r="R3157" s="272"/>
      <c r="S3157" s="272"/>
    </row>
    <row r="3158" spans="9:19">
      <c r="I3158" s="213"/>
      <c r="J3158" s="213"/>
      <c r="L3158" s="272">
        <f t="shared" si="271"/>
        <v>1900</v>
      </c>
      <c r="M3158" s="272">
        <f t="shared" si="272"/>
        <v>1</v>
      </c>
      <c r="O3158" s="61">
        <f t="shared" si="273"/>
        <v>1900</v>
      </c>
      <c r="P3158" s="61">
        <f t="shared" si="274"/>
        <v>1</v>
      </c>
      <c r="R3158" s="272"/>
      <c r="S3158" s="272"/>
    </row>
    <row r="3159" spans="9:19">
      <c r="I3159" s="213"/>
      <c r="J3159" s="213"/>
      <c r="L3159" s="272">
        <f t="shared" si="271"/>
        <v>1900</v>
      </c>
      <c r="M3159" s="272">
        <f t="shared" si="272"/>
        <v>1</v>
      </c>
      <c r="O3159" s="61">
        <f t="shared" si="273"/>
        <v>1900</v>
      </c>
      <c r="P3159" s="61">
        <f t="shared" si="274"/>
        <v>1</v>
      </c>
      <c r="R3159" s="272"/>
      <c r="S3159" s="272"/>
    </row>
    <row r="3160" spans="9:19">
      <c r="I3160" s="213"/>
      <c r="J3160" s="213"/>
      <c r="L3160" s="272">
        <f t="shared" si="271"/>
        <v>1900</v>
      </c>
      <c r="M3160" s="272">
        <f t="shared" si="272"/>
        <v>1</v>
      </c>
      <c r="O3160" s="61">
        <f t="shared" si="273"/>
        <v>1900</v>
      </c>
      <c r="P3160" s="61">
        <f t="shared" si="274"/>
        <v>1</v>
      </c>
      <c r="R3160" s="272"/>
      <c r="S3160" s="272"/>
    </row>
    <row r="3161" spans="9:19">
      <c r="I3161" s="213"/>
      <c r="J3161" s="213"/>
      <c r="L3161" s="272">
        <f t="shared" si="271"/>
        <v>1900</v>
      </c>
      <c r="M3161" s="272">
        <f t="shared" si="272"/>
        <v>1</v>
      </c>
      <c r="O3161" s="61">
        <f t="shared" si="273"/>
        <v>1900</v>
      </c>
      <c r="P3161" s="61">
        <f t="shared" si="274"/>
        <v>1</v>
      </c>
      <c r="R3161" s="272"/>
      <c r="S3161" s="272"/>
    </row>
    <row r="3162" spans="9:19">
      <c r="I3162" s="213"/>
      <c r="J3162" s="213"/>
      <c r="L3162" s="272">
        <f t="shared" si="271"/>
        <v>1900</v>
      </c>
      <c r="M3162" s="272">
        <f t="shared" si="272"/>
        <v>1</v>
      </c>
      <c r="O3162" s="61">
        <f t="shared" si="273"/>
        <v>1900</v>
      </c>
      <c r="P3162" s="61">
        <f t="shared" si="274"/>
        <v>1</v>
      </c>
      <c r="R3162" s="272"/>
      <c r="S3162" s="272"/>
    </row>
    <row r="3163" spans="9:19">
      <c r="I3163" s="213"/>
      <c r="J3163" s="213"/>
      <c r="L3163" s="272">
        <f t="shared" si="271"/>
        <v>1900</v>
      </c>
      <c r="M3163" s="272">
        <f t="shared" si="272"/>
        <v>1</v>
      </c>
      <c r="O3163" s="61">
        <f t="shared" si="273"/>
        <v>1900</v>
      </c>
      <c r="P3163" s="61">
        <f t="shared" si="274"/>
        <v>1</v>
      </c>
      <c r="R3163" s="272"/>
      <c r="S3163" s="272"/>
    </row>
    <row r="3164" spans="9:19">
      <c r="I3164" s="213"/>
      <c r="J3164" s="213"/>
      <c r="L3164" s="272">
        <f t="shared" si="271"/>
        <v>1900</v>
      </c>
      <c r="M3164" s="272">
        <f t="shared" si="272"/>
        <v>1</v>
      </c>
      <c r="O3164" s="61">
        <f t="shared" si="273"/>
        <v>1900</v>
      </c>
      <c r="P3164" s="61">
        <f t="shared" si="274"/>
        <v>1</v>
      </c>
      <c r="R3164" s="272"/>
      <c r="S3164" s="272"/>
    </row>
    <row r="3165" spans="9:19">
      <c r="I3165" s="213"/>
      <c r="J3165" s="213"/>
      <c r="L3165" s="272">
        <f t="shared" si="271"/>
        <v>1900</v>
      </c>
      <c r="M3165" s="272">
        <f t="shared" si="272"/>
        <v>1</v>
      </c>
      <c r="O3165" s="61">
        <f t="shared" si="273"/>
        <v>1900</v>
      </c>
      <c r="P3165" s="61">
        <f t="shared" si="274"/>
        <v>1</v>
      </c>
      <c r="R3165" s="272"/>
      <c r="S3165" s="272"/>
    </row>
    <row r="3166" spans="9:19">
      <c r="I3166" s="213"/>
      <c r="J3166" s="213"/>
      <c r="L3166" s="272">
        <f t="shared" si="271"/>
        <v>1900</v>
      </c>
      <c r="M3166" s="272">
        <f t="shared" si="272"/>
        <v>1</v>
      </c>
      <c r="O3166" s="61">
        <f t="shared" si="273"/>
        <v>1900</v>
      </c>
      <c r="P3166" s="61">
        <f t="shared" si="274"/>
        <v>1</v>
      </c>
      <c r="R3166" s="272"/>
      <c r="S3166" s="272"/>
    </row>
    <row r="3167" spans="9:19">
      <c r="I3167" s="213"/>
      <c r="J3167" s="213"/>
      <c r="L3167" s="272">
        <f t="shared" si="271"/>
        <v>1900</v>
      </c>
      <c r="M3167" s="272">
        <f t="shared" si="272"/>
        <v>1</v>
      </c>
      <c r="O3167" s="61">
        <f t="shared" si="273"/>
        <v>1900</v>
      </c>
      <c r="P3167" s="61">
        <f t="shared" si="274"/>
        <v>1</v>
      </c>
      <c r="R3167" s="272"/>
      <c r="S3167" s="272"/>
    </row>
    <row r="3168" spans="9:19">
      <c r="I3168" s="213"/>
      <c r="J3168" s="213"/>
      <c r="L3168" s="272">
        <f t="shared" si="271"/>
        <v>1900</v>
      </c>
      <c r="M3168" s="272">
        <f t="shared" si="272"/>
        <v>1</v>
      </c>
      <c r="O3168" s="61">
        <f t="shared" si="273"/>
        <v>1900</v>
      </c>
      <c r="P3168" s="61">
        <f t="shared" si="274"/>
        <v>1</v>
      </c>
      <c r="R3168" s="272"/>
      <c r="S3168" s="272"/>
    </row>
    <row r="3169" spans="9:19">
      <c r="I3169" s="213"/>
      <c r="J3169" s="213"/>
      <c r="L3169" s="272">
        <f t="shared" si="271"/>
        <v>1900</v>
      </c>
      <c r="M3169" s="272">
        <f t="shared" si="272"/>
        <v>1</v>
      </c>
      <c r="O3169" s="61">
        <f t="shared" si="273"/>
        <v>1900</v>
      </c>
      <c r="P3169" s="61">
        <f t="shared" si="274"/>
        <v>1</v>
      </c>
      <c r="R3169" s="272"/>
      <c r="S3169" s="272"/>
    </row>
    <row r="3170" spans="9:19">
      <c r="I3170" s="213"/>
      <c r="J3170" s="213"/>
      <c r="L3170" s="272">
        <f t="shared" si="271"/>
        <v>1900</v>
      </c>
      <c r="M3170" s="272">
        <f t="shared" si="272"/>
        <v>1</v>
      </c>
      <c r="O3170" s="61">
        <f t="shared" si="273"/>
        <v>1900</v>
      </c>
      <c r="P3170" s="61">
        <f t="shared" si="274"/>
        <v>1</v>
      </c>
      <c r="R3170" s="272"/>
      <c r="S3170" s="272"/>
    </row>
    <row r="3171" spans="9:19">
      <c r="I3171" s="213"/>
      <c r="J3171" s="213"/>
      <c r="L3171" s="272">
        <f t="shared" si="271"/>
        <v>1900</v>
      </c>
      <c r="M3171" s="272">
        <f t="shared" si="272"/>
        <v>1</v>
      </c>
      <c r="O3171" s="61">
        <f t="shared" si="273"/>
        <v>1900</v>
      </c>
      <c r="P3171" s="61">
        <f t="shared" si="274"/>
        <v>1</v>
      </c>
      <c r="R3171" s="272"/>
      <c r="S3171" s="272"/>
    </row>
    <row r="3172" spans="9:19">
      <c r="I3172" s="213"/>
      <c r="J3172" s="213"/>
      <c r="L3172" s="272">
        <f t="shared" si="271"/>
        <v>1900</v>
      </c>
      <c r="M3172" s="272">
        <f t="shared" si="272"/>
        <v>1</v>
      </c>
      <c r="O3172" s="61">
        <f t="shared" si="273"/>
        <v>1900</v>
      </c>
      <c r="P3172" s="61">
        <f t="shared" si="274"/>
        <v>1</v>
      </c>
      <c r="R3172" s="272"/>
      <c r="S3172" s="272"/>
    </row>
    <row r="3173" spans="9:19">
      <c r="I3173" s="213"/>
      <c r="J3173" s="213"/>
      <c r="L3173" s="272">
        <f t="shared" si="271"/>
        <v>1900</v>
      </c>
      <c r="M3173" s="272">
        <f t="shared" si="272"/>
        <v>1</v>
      </c>
      <c r="O3173" s="61">
        <f t="shared" si="273"/>
        <v>1900</v>
      </c>
      <c r="P3173" s="61">
        <f t="shared" si="274"/>
        <v>1</v>
      </c>
      <c r="R3173" s="272"/>
      <c r="S3173" s="272"/>
    </row>
    <row r="3174" spans="9:19">
      <c r="I3174" s="213"/>
      <c r="J3174" s="213"/>
      <c r="L3174" s="272">
        <f t="shared" si="271"/>
        <v>1900</v>
      </c>
      <c r="M3174" s="272">
        <f t="shared" si="272"/>
        <v>1</v>
      </c>
      <c r="O3174" s="61">
        <f t="shared" si="273"/>
        <v>1900</v>
      </c>
      <c r="P3174" s="61">
        <f t="shared" si="274"/>
        <v>1</v>
      </c>
      <c r="R3174" s="272"/>
      <c r="S3174" s="272"/>
    </row>
    <row r="3175" spans="9:19">
      <c r="I3175" s="213"/>
      <c r="J3175" s="213"/>
      <c r="L3175" s="272">
        <f t="shared" si="271"/>
        <v>1900</v>
      </c>
      <c r="M3175" s="272">
        <f t="shared" si="272"/>
        <v>1</v>
      </c>
      <c r="O3175" s="61">
        <f t="shared" si="273"/>
        <v>1900</v>
      </c>
      <c r="P3175" s="61">
        <f t="shared" si="274"/>
        <v>1</v>
      </c>
      <c r="R3175" s="272"/>
      <c r="S3175" s="272"/>
    </row>
    <row r="3176" spans="9:19">
      <c r="I3176" s="213"/>
      <c r="J3176" s="213"/>
      <c r="L3176" s="272">
        <f t="shared" si="271"/>
        <v>1900</v>
      </c>
      <c r="M3176" s="272">
        <f t="shared" si="272"/>
        <v>1</v>
      </c>
      <c r="O3176" s="61">
        <f t="shared" si="273"/>
        <v>1900</v>
      </c>
      <c r="P3176" s="61">
        <f t="shared" si="274"/>
        <v>1</v>
      </c>
      <c r="R3176" s="272"/>
      <c r="S3176" s="272"/>
    </row>
    <row r="3177" spans="9:19">
      <c r="I3177" s="213"/>
      <c r="J3177" s="213"/>
      <c r="L3177" s="272">
        <f t="shared" si="271"/>
        <v>1900</v>
      </c>
      <c r="M3177" s="272">
        <f t="shared" si="272"/>
        <v>1</v>
      </c>
      <c r="O3177" s="61">
        <f t="shared" si="273"/>
        <v>1900</v>
      </c>
      <c r="P3177" s="61">
        <f t="shared" si="274"/>
        <v>1</v>
      </c>
      <c r="R3177" s="272"/>
      <c r="S3177" s="272"/>
    </row>
    <row r="3178" spans="9:19">
      <c r="I3178" s="213"/>
      <c r="J3178" s="213"/>
      <c r="L3178" s="272">
        <f t="shared" si="271"/>
        <v>1900</v>
      </c>
      <c r="M3178" s="272">
        <f t="shared" si="272"/>
        <v>1</v>
      </c>
      <c r="O3178" s="61">
        <f t="shared" si="273"/>
        <v>1900</v>
      </c>
      <c r="P3178" s="61">
        <f t="shared" si="274"/>
        <v>1</v>
      </c>
      <c r="R3178" s="272"/>
      <c r="S3178" s="272"/>
    </row>
    <row r="3179" spans="9:19">
      <c r="I3179" s="213"/>
      <c r="J3179" s="213"/>
      <c r="L3179" s="272">
        <f t="shared" si="271"/>
        <v>1900</v>
      </c>
      <c r="M3179" s="272">
        <f t="shared" si="272"/>
        <v>1</v>
      </c>
      <c r="O3179" s="61">
        <f t="shared" si="273"/>
        <v>1900</v>
      </c>
      <c r="P3179" s="61">
        <f t="shared" si="274"/>
        <v>1</v>
      </c>
      <c r="R3179" s="272"/>
      <c r="S3179" s="272"/>
    </row>
    <row r="3180" spans="9:19">
      <c r="I3180" s="213"/>
      <c r="J3180" s="213"/>
      <c r="L3180" s="272">
        <f t="shared" si="271"/>
        <v>1900</v>
      </c>
      <c r="M3180" s="272">
        <f t="shared" si="272"/>
        <v>1</v>
      </c>
      <c r="O3180" s="61">
        <f t="shared" si="273"/>
        <v>1900</v>
      </c>
      <c r="P3180" s="61">
        <f t="shared" si="274"/>
        <v>1</v>
      </c>
      <c r="R3180" s="272"/>
      <c r="S3180" s="272"/>
    </row>
    <row r="3181" spans="9:19">
      <c r="I3181" s="213"/>
      <c r="J3181" s="213"/>
      <c r="L3181" s="272">
        <f t="shared" si="271"/>
        <v>1900</v>
      </c>
      <c r="M3181" s="272">
        <f t="shared" si="272"/>
        <v>1</v>
      </c>
      <c r="O3181" s="61">
        <f t="shared" si="273"/>
        <v>1900</v>
      </c>
      <c r="P3181" s="61">
        <f t="shared" si="274"/>
        <v>1</v>
      </c>
      <c r="R3181" s="272"/>
      <c r="S3181" s="272"/>
    </row>
    <row r="3182" spans="9:19">
      <c r="I3182" s="213"/>
      <c r="J3182" s="213"/>
      <c r="L3182" s="272">
        <f t="shared" si="271"/>
        <v>1900</v>
      </c>
      <c r="M3182" s="272">
        <f t="shared" si="272"/>
        <v>1</v>
      </c>
      <c r="O3182" s="61">
        <f t="shared" si="273"/>
        <v>1900</v>
      </c>
      <c r="P3182" s="61">
        <f t="shared" si="274"/>
        <v>1</v>
      </c>
      <c r="R3182" s="272"/>
      <c r="S3182" s="272"/>
    </row>
    <row r="3183" spans="9:19">
      <c r="I3183" s="213"/>
      <c r="J3183" s="213"/>
      <c r="L3183" s="272">
        <f t="shared" si="271"/>
        <v>1900</v>
      </c>
      <c r="M3183" s="272">
        <f t="shared" si="272"/>
        <v>1</v>
      </c>
      <c r="O3183" s="61">
        <f t="shared" si="273"/>
        <v>1900</v>
      </c>
      <c r="P3183" s="61">
        <f t="shared" si="274"/>
        <v>1</v>
      </c>
      <c r="R3183" s="272"/>
      <c r="S3183" s="272"/>
    </row>
    <row r="3184" spans="9:19">
      <c r="I3184" s="213"/>
      <c r="J3184" s="213"/>
      <c r="L3184" s="272">
        <f t="shared" si="271"/>
        <v>1900</v>
      </c>
      <c r="M3184" s="272">
        <f t="shared" si="272"/>
        <v>1</v>
      </c>
      <c r="O3184" s="61">
        <f t="shared" si="273"/>
        <v>1900</v>
      </c>
      <c r="P3184" s="61">
        <f t="shared" si="274"/>
        <v>1</v>
      </c>
      <c r="R3184" s="272"/>
      <c r="S3184" s="272"/>
    </row>
    <row r="3185" spans="9:19">
      <c r="I3185" s="213"/>
      <c r="J3185" s="213"/>
      <c r="L3185" s="272">
        <f t="shared" si="271"/>
        <v>1900</v>
      </c>
      <c r="M3185" s="272">
        <f t="shared" si="272"/>
        <v>1</v>
      </c>
      <c r="O3185" s="61">
        <f t="shared" si="273"/>
        <v>1900</v>
      </c>
      <c r="P3185" s="61">
        <f t="shared" si="274"/>
        <v>1</v>
      </c>
      <c r="R3185" s="272"/>
      <c r="S3185" s="272"/>
    </row>
    <row r="3186" spans="9:19">
      <c r="I3186" s="213"/>
      <c r="J3186" s="213"/>
      <c r="L3186" s="272">
        <f t="shared" si="271"/>
        <v>1900</v>
      </c>
      <c r="M3186" s="272">
        <f t="shared" si="272"/>
        <v>1</v>
      </c>
      <c r="O3186" s="61">
        <f t="shared" si="273"/>
        <v>1900</v>
      </c>
      <c r="P3186" s="61">
        <f t="shared" si="274"/>
        <v>1</v>
      </c>
      <c r="R3186" s="272"/>
      <c r="S3186" s="272"/>
    </row>
    <row r="3187" spans="9:19">
      <c r="I3187" s="213"/>
      <c r="J3187" s="213"/>
      <c r="L3187" s="272">
        <f t="shared" si="271"/>
        <v>1900</v>
      </c>
      <c r="M3187" s="272">
        <f t="shared" si="272"/>
        <v>1</v>
      </c>
      <c r="O3187" s="61">
        <f t="shared" si="273"/>
        <v>1900</v>
      </c>
      <c r="P3187" s="61">
        <f t="shared" si="274"/>
        <v>1</v>
      </c>
      <c r="R3187" s="272"/>
      <c r="S3187" s="272"/>
    </row>
    <row r="3188" spans="9:19">
      <c r="I3188" s="213"/>
      <c r="J3188" s="213"/>
      <c r="L3188" s="272">
        <f t="shared" si="271"/>
        <v>1900</v>
      </c>
      <c r="M3188" s="272">
        <f t="shared" si="272"/>
        <v>1</v>
      </c>
      <c r="O3188" s="61">
        <f t="shared" si="273"/>
        <v>1900</v>
      </c>
      <c r="P3188" s="61">
        <f t="shared" si="274"/>
        <v>1</v>
      </c>
      <c r="R3188" s="272"/>
      <c r="S3188" s="272"/>
    </row>
    <row r="3189" spans="9:19">
      <c r="I3189" s="213"/>
      <c r="J3189" s="213"/>
      <c r="L3189" s="272">
        <f t="shared" si="271"/>
        <v>1900</v>
      </c>
      <c r="M3189" s="272">
        <f t="shared" si="272"/>
        <v>1</v>
      </c>
      <c r="O3189" s="61">
        <f t="shared" si="273"/>
        <v>1900</v>
      </c>
      <c r="P3189" s="61">
        <f t="shared" si="274"/>
        <v>1</v>
      </c>
      <c r="R3189" s="272"/>
      <c r="S3189" s="272"/>
    </row>
    <row r="3190" spans="9:19">
      <c r="I3190" s="213"/>
      <c r="J3190" s="213"/>
      <c r="L3190" s="272">
        <f t="shared" si="271"/>
        <v>1900</v>
      </c>
      <c r="M3190" s="272">
        <f t="shared" si="272"/>
        <v>1</v>
      </c>
      <c r="O3190" s="61">
        <f t="shared" si="273"/>
        <v>1900</v>
      </c>
      <c r="P3190" s="61">
        <f t="shared" si="274"/>
        <v>1</v>
      </c>
      <c r="R3190" s="272"/>
      <c r="S3190" s="272"/>
    </row>
    <row r="3191" spans="9:19">
      <c r="I3191" s="213"/>
      <c r="J3191" s="213"/>
      <c r="L3191" s="272">
        <f t="shared" si="271"/>
        <v>1900</v>
      </c>
      <c r="M3191" s="272">
        <f t="shared" si="272"/>
        <v>1</v>
      </c>
      <c r="O3191" s="61">
        <f t="shared" si="273"/>
        <v>1900</v>
      </c>
      <c r="P3191" s="61">
        <f t="shared" si="274"/>
        <v>1</v>
      </c>
      <c r="R3191" s="272"/>
      <c r="S3191" s="272"/>
    </row>
    <row r="3192" spans="9:19">
      <c r="I3192" s="213"/>
      <c r="J3192" s="213"/>
      <c r="L3192" s="272">
        <f t="shared" si="271"/>
        <v>1900</v>
      </c>
      <c r="M3192" s="272">
        <f t="shared" si="272"/>
        <v>1</v>
      </c>
      <c r="O3192" s="61">
        <f t="shared" si="273"/>
        <v>1900</v>
      </c>
      <c r="P3192" s="61">
        <f t="shared" si="274"/>
        <v>1</v>
      </c>
      <c r="R3192" s="272"/>
      <c r="S3192" s="272"/>
    </row>
    <row r="3193" spans="9:19">
      <c r="I3193" s="213"/>
      <c r="J3193" s="213"/>
      <c r="L3193" s="272">
        <f t="shared" si="271"/>
        <v>1900</v>
      </c>
      <c r="M3193" s="272">
        <f t="shared" si="272"/>
        <v>1</v>
      </c>
      <c r="O3193" s="61">
        <f t="shared" si="273"/>
        <v>1900</v>
      </c>
      <c r="P3193" s="61">
        <f t="shared" si="274"/>
        <v>1</v>
      </c>
      <c r="R3193" s="272"/>
      <c r="S3193" s="272"/>
    </row>
    <row r="3194" spans="9:19">
      <c r="I3194" s="213"/>
      <c r="J3194" s="213"/>
      <c r="L3194" s="272">
        <f t="shared" si="271"/>
        <v>1900</v>
      </c>
      <c r="M3194" s="272">
        <f t="shared" si="272"/>
        <v>1</v>
      </c>
      <c r="O3194" s="61">
        <f t="shared" si="273"/>
        <v>1900</v>
      </c>
      <c r="P3194" s="61">
        <f t="shared" si="274"/>
        <v>1</v>
      </c>
      <c r="R3194" s="272"/>
      <c r="S3194" s="272"/>
    </row>
    <row r="3195" spans="9:19">
      <c r="I3195" s="213"/>
      <c r="J3195" s="213"/>
      <c r="L3195" s="272">
        <f t="shared" si="271"/>
        <v>1900</v>
      </c>
      <c r="M3195" s="272">
        <f t="shared" si="272"/>
        <v>1</v>
      </c>
      <c r="O3195" s="61">
        <f t="shared" si="273"/>
        <v>1900</v>
      </c>
      <c r="P3195" s="61">
        <f t="shared" si="274"/>
        <v>1</v>
      </c>
      <c r="R3195" s="272"/>
      <c r="S3195" s="272"/>
    </row>
    <row r="3196" spans="9:19">
      <c r="I3196" s="213"/>
      <c r="J3196" s="213"/>
      <c r="L3196" s="272">
        <f t="shared" si="271"/>
        <v>1900</v>
      </c>
      <c r="M3196" s="272">
        <f t="shared" si="272"/>
        <v>1</v>
      </c>
      <c r="O3196" s="61">
        <f t="shared" si="273"/>
        <v>1900</v>
      </c>
      <c r="P3196" s="61">
        <f t="shared" si="274"/>
        <v>1</v>
      </c>
      <c r="R3196" s="272"/>
      <c r="S3196" s="272"/>
    </row>
    <row r="3197" spans="9:19">
      <c r="I3197" s="213"/>
      <c r="J3197" s="213"/>
      <c r="L3197" s="272">
        <f t="shared" si="271"/>
        <v>1900</v>
      </c>
      <c r="M3197" s="272">
        <f t="shared" si="272"/>
        <v>1</v>
      </c>
      <c r="O3197" s="61">
        <f t="shared" si="273"/>
        <v>1900</v>
      </c>
      <c r="P3197" s="61">
        <f t="shared" si="274"/>
        <v>1</v>
      </c>
      <c r="R3197" s="272"/>
      <c r="S3197" s="272"/>
    </row>
    <row r="3198" spans="9:19">
      <c r="I3198" s="213"/>
      <c r="J3198" s="213"/>
      <c r="L3198" s="272">
        <f t="shared" si="271"/>
        <v>1900</v>
      </c>
      <c r="M3198" s="272">
        <f t="shared" si="272"/>
        <v>1</v>
      </c>
      <c r="O3198" s="61">
        <f t="shared" si="273"/>
        <v>1900</v>
      </c>
      <c r="P3198" s="61">
        <f t="shared" si="274"/>
        <v>1</v>
      </c>
      <c r="R3198" s="272"/>
      <c r="S3198" s="272"/>
    </row>
    <row r="3199" spans="9:19">
      <c r="I3199" s="213"/>
      <c r="J3199" s="213"/>
      <c r="L3199" s="272">
        <f t="shared" si="271"/>
        <v>1900</v>
      </c>
      <c r="M3199" s="272">
        <f t="shared" si="272"/>
        <v>1</v>
      </c>
      <c r="O3199" s="61">
        <f t="shared" si="273"/>
        <v>1900</v>
      </c>
      <c r="P3199" s="61">
        <f t="shared" si="274"/>
        <v>1</v>
      </c>
      <c r="R3199" s="272"/>
      <c r="S3199" s="272"/>
    </row>
    <row r="3200" spans="9:19">
      <c r="I3200" s="213"/>
      <c r="J3200" s="213"/>
      <c r="L3200" s="272">
        <f t="shared" si="271"/>
        <v>1900</v>
      </c>
      <c r="M3200" s="272">
        <f t="shared" si="272"/>
        <v>1</v>
      </c>
      <c r="O3200" s="61">
        <f t="shared" si="273"/>
        <v>1900</v>
      </c>
      <c r="P3200" s="61">
        <f t="shared" si="274"/>
        <v>1</v>
      </c>
      <c r="R3200" s="272"/>
      <c r="S3200" s="272"/>
    </row>
    <row r="3201" spans="9:19">
      <c r="I3201" s="213"/>
      <c r="J3201" s="213"/>
      <c r="L3201" s="272">
        <f t="shared" si="271"/>
        <v>1900</v>
      </c>
      <c r="M3201" s="272">
        <f t="shared" si="272"/>
        <v>1</v>
      </c>
      <c r="O3201" s="61">
        <f t="shared" si="273"/>
        <v>1900</v>
      </c>
      <c r="P3201" s="61">
        <f t="shared" si="274"/>
        <v>1</v>
      </c>
      <c r="R3201" s="272"/>
      <c r="S3201" s="272"/>
    </row>
    <row r="3202" spans="9:19">
      <c r="I3202" s="213"/>
      <c r="J3202" s="213"/>
      <c r="L3202" s="272">
        <f t="shared" si="271"/>
        <v>1900</v>
      </c>
      <c r="M3202" s="272">
        <f t="shared" si="272"/>
        <v>1</v>
      </c>
      <c r="O3202" s="61">
        <f t="shared" si="273"/>
        <v>1900</v>
      </c>
      <c r="P3202" s="61">
        <f t="shared" si="274"/>
        <v>1</v>
      </c>
      <c r="R3202" s="272"/>
      <c r="S3202" s="272"/>
    </row>
    <row r="3203" spans="9:19">
      <c r="I3203" s="213"/>
      <c r="J3203" s="213"/>
      <c r="L3203" s="272">
        <f t="shared" si="271"/>
        <v>1900</v>
      </c>
      <c r="M3203" s="272">
        <f t="shared" si="272"/>
        <v>1</v>
      </c>
      <c r="O3203" s="61">
        <f t="shared" si="273"/>
        <v>1900</v>
      </c>
      <c r="P3203" s="61">
        <f t="shared" si="274"/>
        <v>1</v>
      </c>
      <c r="R3203" s="272"/>
      <c r="S3203" s="272"/>
    </row>
    <row r="3204" spans="9:19">
      <c r="I3204" s="213"/>
      <c r="J3204" s="213"/>
      <c r="L3204" s="272">
        <f t="shared" si="271"/>
        <v>1900</v>
      </c>
      <c r="M3204" s="272">
        <f t="shared" si="272"/>
        <v>1</v>
      </c>
      <c r="O3204" s="61">
        <f t="shared" si="273"/>
        <v>1900</v>
      </c>
      <c r="P3204" s="61">
        <f t="shared" si="274"/>
        <v>1</v>
      </c>
      <c r="R3204" s="272"/>
      <c r="S3204" s="272"/>
    </row>
    <row r="3205" spans="9:19">
      <c r="I3205" s="213"/>
      <c r="J3205" s="213"/>
      <c r="L3205" s="272">
        <f t="shared" si="271"/>
        <v>1900</v>
      </c>
      <c r="M3205" s="272">
        <f t="shared" si="272"/>
        <v>1</v>
      </c>
      <c r="O3205" s="61">
        <f t="shared" si="273"/>
        <v>1900</v>
      </c>
      <c r="P3205" s="61">
        <f t="shared" si="274"/>
        <v>1</v>
      </c>
      <c r="R3205" s="272"/>
      <c r="S3205" s="272"/>
    </row>
    <row r="3206" spans="9:19">
      <c r="I3206" s="213"/>
      <c r="J3206" s="213"/>
      <c r="L3206" s="272">
        <f t="shared" si="271"/>
        <v>1900</v>
      </c>
      <c r="M3206" s="272">
        <f t="shared" si="272"/>
        <v>1</v>
      </c>
      <c r="O3206" s="61">
        <f t="shared" si="273"/>
        <v>1900</v>
      </c>
      <c r="P3206" s="61">
        <f t="shared" si="274"/>
        <v>1</v>
      </c>
      <c r="R3206" s="272"/>
      <c r="S3206" s="272"/>
    </row>
    <row r="3207" spans="9:19">
      <c r="I3207" s="213"/>
      <c r="J3207" s="213"/>
      <c r="L3207" s="272">
        <f t="shared" si="271"/>
        <v>1900</v>
      </c>
      <c r="M3207" s="272">
        <f t="shared" si="272"/>
        <v>1</v>
      </c>
      <c r="O3207" s="61">
        <f t="shared" si="273"/>
        <v>1900</v>
      </c>
      <c r="P3207" s="61">
        <f t="shared" si="274"/>
        <v>1</v>
      </c>
      <c r="R3207" s="272"/>
      <c r="S3207" s="272"/>
    </row>
    <row r="3208" spans="9:19">
      <c r="I3208" s="213"/>
      <c r="J3208" s="213"/>
      <c r="L3208" s="272">
        <f t="shared" si="271"/>
        <v>1900</v>
      </c>
      <c r="M3208" s="272">
        <f t="shared" si="272"/>
        <v>1</v>
      </c>
      <c r="O3208" s="61">
        <f t="shared" si="273"/>
        <v>1900</v>
      </c>
      <c r="P3208" s="61">
        <f t="shared" si="274"/>
        <v>1</v>
      </c>
      <c r="R3208" s="272"/>
      <c r="S3208" s="272"/>
    </row>
    <row r="3209" spans="9:19">
      <c r="I3209" s="213"/>
      <c r="J3209" s="213"/>
      <c r="L3209" s="272">
        <f t="shared" si="271"/>
        <v>1900</v>
      </c>
      <c r="M3209" s="272">
        <f t="shared" si="272"/>
        <v>1</v>
      </c>
      <c r="O3209" s="61">
        <f t="shared" si="273"/>
        <v>1900</v>
      </c>
      <c r="P3209" s="61">
        <f t="shared" si="274"/>
        <v>1</v>
      </c>
      <c r="R3209" s="272"/>
      <c r="S3209" s="272"/>
    </row>
    <row r="3210" spans="9:19">
      <c r="I3210" s="213"/>
      <c r="J3210" s="213"/>
      <c r="L3210" s="272">
        <f t="shared" si="271"/>
        <v>1900</v>
      </c>
      <c r="M3210" s="272">
        <f t="shared" si="272"/>
        <v>1</v>
      </c>
      <c r="O3210" s="61">
        <f t="shared" si="273"/>
        <v>1900</v>
      </c>
      <c r="P3210" s="61">
        <f t="shared" si="274"/>
        <v>1</v>
      </c>
      <c r="R3210" s="272"/>
      <c r="S3210" s="272"/>
    </row>
    <row r="3211" spans="9:19">
      <c r="I3211" s="213"/>
      <c r="J3211" s="213"/>
      <c r="L3211" s="272">
        <f t="shared" si="271"/>
        <v>1900</v>
      </c>
      <c r="M3211" s="272">
        <f t="shared" si="272"/>
        <v>1</v>
      </c>
      <c r="O3211" s="61">
        <f t="shared" si="273"/>
        <v>1900</v>
      </c>
      <c r="P3211" s="61">
        <f t="shared" si="274"/>
        <v>1</v>
      </c>
      <c r="R3211" s="272"/>
      <c r="S3211" s="272"/>
    </row>
    <row r="3212" spans="9:19">
      <c r="I3212" s="213"/>
      <c r="J3212" s="213"/>
      <c r="L3212" s="272">
        <f t="shared" si="271"/>
        <v>1900</v>
      </c>
      <c r="M3212" s="272">
        <f t="shared" si="272"/>
        <v>1</v>
      </c>
      <c r="O3212" s="61">
        <f t="shared" si="273"/>
        <v>1900</v>
      </c>
      <c r="P3212" s="61">
        <f t="shared" si="274"/>
        <v>1</v>
      </c>
      <c r="R3212" s="272"/>
      <c r="S3212" s="272"/>
    </row>
    <row r="3213" spans="9:19">
      <c r="I3213" s="213"/>
      <c r="J3213" s="213"/>
      <c r="L3213" s="272">
        <f t="shared" si="271"/>
        <v>1900</v>
      </c>
      <c r="M3213" s="272">
        <f t="shared" si="272"/>
        <v>1</v>
      </c>
      <c r="O3213" s="61">
        <f t="shared" si="273"/>
        <v>1900</v>
      </c>
      <c r="P3213" s="61">
        <f t="shared" si="274"/>
        <v>1</v>
      </c>
      <c r="R3213" s="272"/>
      <c r="S3213" s="272"/>
    </row>
    <row r="3214" spans="9:19">
      <c r="I3214" s="213"/>
      <c r="J3214" s="213"/>
      <c r="L3214" s="272">
        <f t="shared" si="271"/>
        <v>1900</v>
      </c>
      <c r="M3214" s="272">
        <f t="shared" si="272"/>
        <v>1</v>
      </c>
      <c r="O3214" s="61">
        <f t="shared" si="273"/>
        <v>1900</v>
      </c>
      <c r="P3214" s="61">
        <f t="shared" si="274"/>
        <v>1</v>
      </c>
      <c r="R3214" s="272"/>
      <c r="S3214" s="272"/>
    </row>
    <row r="3215" spans="9:19">
      <c r="I3215" s="213"/>
      <c r="J3215" s="213"/>
      <c r="L3215" s="272">
        <f t="shared" si="271"/>
        <v>1900</v>
      </c>
      <c r="M3215" s="272">
        <f t="shared" si="272"/>
        <v>1</v>
      </c>
      <c r="O3215" s="61">
        <f t="shared" si="273"/>
        <v>1900</v>
      </c>
      <c r="P3215" s="61">
        <f t="shared" si="274"/>
        <v>1</v>
      </c>
      <c r="R3215" s="272"/>
      <c r="S3215" s="272"/>
    </row>
    <row r="3216" spans="9:19">
      <c r="I3216" s="213"/>
      <c r="J3216" s="213"/>
      <c r="L3216" s="272">
        <f t="shared" ref="L3216:L3279" si="275">YEAR(B3216)</f>
        <v>1900</v>
      </c>
      <c r="M3216" s="272">
        <f t="shared" ref="M3216:M3279" si="276">MONTH(B3216)</f>
        <v>1</v>
      </c>
      <c r="O3216" s="61">
        <f t="shared" ref="O3216:O3279" si="277">YEAR(B3216)</f>
        <v>1900</v>
      </c>
      <c r="P3216" s="61">
        <f t="shared" ref="P3216:P3279" si="278">MONTH(B3216)</f>
        <v>1</v>
      </c>
      <c r="R3216" s="272"/>
      <c r="S3216" s="272"/>
    </row>
    <row r="3217" spans="9:19">
      <c r="I3217" s="213"/>
      <c r="J3217" s="213"/>
      <c r="L3217" s="272">
        <f t="shared" si="275"/>
        <v>1900</v>
      </c>
      <c r="M3217" s="272">
        <f t="shared" si="276"/>
        <v>1</v>
      </c>
      <c r="O3217" s="61">
        <f t="shared" si="277"/>
        <v>1900</v>
      </c>
      <c r="P3217" s="61">
        <f t="shared" si="278"/>
        <v>1</v>
      </c>
      <c r="R3217" s="272"/>
      <c r="S3217" s="272"/>
    </row>
    <row r="3218" spans="9:19">
      <c r="I3218" s="213"/>
      <c r="J3218" s="213"/>
      <c r="L3218" s="272">
        <f t="shared" si="275"/>
        <v>1900</v>
      </c>
      <c r="M3218" s="272">
        <f t="shared" si="276"/>
        <v>1</v>
      </c>
      <c r="O3218" s="61">
        <f t="shared" si="277"/>
        <v>1900</v>
      </c>
      <c r="P3218" s="61">
        <f t="shared" si="278"/>
        <v>1</v>
      </c>
      <c r="R3218" s="272"/>
      <c r="S3218" s="272"/>
    </row>
    <row r="3219" spans="9:19">
      <c r="I3219" s="213"/>
      <c r="J3219" s="213"/>
      <c r="L3219" s="272">
        <f t="shared" si="275"/>
        <v>1900</v>
      </c>
      <c r="M3219" s="272">
        <f t="shared" si="276"/>
        <v>1</v>
      </c>
      <c r="O3219" s="61">
        <f t="shared" si="277"/>
        <v>1900</v>
      </c>
      <c r="P3219" s="61">
        <f t="shared" si="278"/>
        <v>1</v>
      </c>
      <c r="R3219" s="272"/>
      <c r="S3219" s="272"/>
    </row>
    <row r="3220" spans="9:19">
      <c r="I3220" s="213"/>
      <c r="J3220" s="213"/>
      <c r="L3220" s="272">
        <f t="shared" si="275"/>
        <v>1900</v>
      </c>
      <c r="M3220" s="272">
        <f t="shared" si="276"/>
        <v>1</v>
      </c>
      <c r="O3220" s="61">
        <f t="shared" si="277"/>
        <v>1900</v>
      </c>
      <c r="P3220" s="61">
        <f t="shared" si="278"/>
        <v>1</v>
      </c>
      <c r="R3220" s="272"/>
      <c r="S3220" s="272"/>
    </row>
    <row r="3221" spans="9:19">
      <c r="I3221" s="213"/>
      <c r="J3221" s="213"/>
      <c r="L3221" s="272">
        <f t="shared" si="275"/>
        <v>1900</v>
      </c>
      <c r="M3221" s="272">
        <f t="shared" si="276"/>
        <v>1</v>
      </c>
      <c r="O3221" s="61">
        <f t="shared" si="277"/>
        <v>1900</v>
      </c>
      <c r="P3221" s="61">
        <f t="shared" si="278"/>
        <v>1</v>
      </c>
      <c r="R3221" s="272"/>
      <c r="S3221" s="272"/>
    </row>
    <row r="3222" spans="9:19">
      <c r="I3222" s="213"/>
      <c r="J3222" s="213"/>
      <c r="L3222" s="272">
        <f t="shared" si="275"/>
        <v>1900</v>
      </c>
      <c r="M3222" s="272">
        <f t="shared" si="276"/>
        <v>1</v>
      </c>
      <c r="O3222" s="61">
        <f t="shared" si="277"/>
        <v>1900</v>
      </c>
      <c r="P3222" s="61">
        <f t="shared" si="278"/>
        <v>1</v>
      </c>
      <c r="R3222" s="272"/>
      <c r="S3222" s="272"/>
    </row>
    <row r="3223" spans="9:19">
      <c r="I3223" s="213"/>
      <c r="J3223" s="213"/>
      <c r="L3223" s="272">
        <f t="shared" si="275"/>
        <v>1900</v>
      </c>
      <c r="M3223" s="272">
        <f t="shared" si="276"/>
        <v>1</v>
      </c>
      <c r="O3223" s="61">
        <f t="shared" si="277"/>
        <v>1900</v>
      </c>
      <c r="P3223" s="61">
        <f t="shared" si="278"/>
        <v>1</v>
      </c>
      <c r="R3223" s="272"/>
      <c r="S3223" s="272"/>
    </row>
    <row r="3224" spans="9:19">
      <c r="I3224" s="213"/>
      <c r="J3224" s="213"/>
      <c r="L3224" s="272">
        <f t="shared" si="275"/>
        <v>1900</v>
      </c>
      <c r="M3224" s="272">
        <f t="shared" si="276"/>
        <v>1</v>
      </c>
      <c r="O3224" s="61">
        <f t="shared" si="277"/>
        <v>1900</v>
      </c>
      <c r="P3224" s="61">
        <f t="shared" si="278"/>
        <v>1</v>
      </c>
      <c r="R3224" s="272"/>
      <c r="S3224" s="272"/>
    </row>
    <row r="3225" spans="9:19">
      <c r="I3225" s="213"/>
      <c r="J3225" s="213"/>
      <c r="L3225" s="272">
        <f t="shared" si="275"/>
        <v>1900</v>
      </c>
      <c r="M3225" s="272">
        <f t="shared" si="276"/>
        <v>1</v>
      </c>
      <c r="O3225" s="61">
        <f t="shared" si="277"/>
        <v>1900</v>
      </c>
      <c r="P3225" s="61">
        <f t="shared" si="278"/>
        <v>1</v>
      </c>
      <c r="R3225" s="272"/>
      <c r="S3225" s="272"/>
    </row>
    <row r="3226" spans="9:19">
      <c r="I3226" s="213"/>
      <c r="J3226" s="213"/>
      <c r="L3226" s="272">
        <f t="shared" si="275"/>
        <v>1900</v>
      </c>
      <c r="M3226" s="272">
        <f t="shared" si="276"/>
        <v>1</v>
      </c>
      <c r="O3226" s="61">
        <f t="shared" si="277"/>
        <v>1900</v>
      </c>
      <c r="P3226" s="61">
        <f t="shared" si="278"/>
        <v>1</v>
      </c>
      <c r="R3226" s="272"/>
      <c r="S3226" s="272"/>
    </row>
    <row r="3227" spans="9:19">
      <c r="I3227" s="213"/>
      <c r="J3227" s="213"/>
      <c r="L3227" s="272">
        <f t="shared" si="275"/>
        <v>1900</v>
      </c>
      <c r="M3227" s="272">
        <f t="shared" si="276"/>
        <v>1</v>
      </c>
      <c r="O3227" s="61">
        <f t="shared" si="277"/>
        <v>1900</v>
      </c>
      <c r="P3227" s="61">
        <f t="shared" si="278"/>
        <v>1</v>
      </c>
      <c r="R3227" s="272"/>
      <c r="S3227" s="272"/>
    </row>
    <row r="3228" spans="9:19">
      <c r="I3228" s="213"/>
      <c r="J3228" s="213"/>
      <c r="L3228" s="272">
        <f t="shared" si="275"/>
        <v>1900</v>
      </c>
      <c r="M3228" s="272">
        <f t="shared" si="276"/>
        <v>1</v>
      </c>
      <c r="O3228" s="61">
        <f t="shared" si="277"/>
        <v>1900</v>
      </c>
      <c r="P3228" s="61">
        <f t="shared" si="278"/>
        <v>1</v>
      </c>
      <c r="R3228" s="272"/>
      <c r="S3228" s="272"/>
    </row>
    <row r="3229" spans="9:19">
      <c r="I3229" s="213"/>
      <c r="J3229" s="213"/>
      <c r="L3229" s="272">
        <f t="shared" si="275"/>
        <v>1900</v>
      </c>
      <c r="M3229" s="272">
        <f t="shared" si="276"/>
        <v>1</v>
      </c>
      <c r="O3229" s="61">
        <f t="shared" si="277"/>
        <v>1900</v>
      </c>
      <c r="P3229" s="61">
        <f t="shared" si="278"/>
        <v>1</v>
      </c>
      <c r="R3229" s="272"/>
      <c r="S3229" s="272"/>
    </row>
    <row r="3230" spans="9:19">
      <c r="I3230" s="213"/>
      <c r="J3230" s="213"/>
      <c r="L3230" s="272">
        <f t="shared" si="275"/>
        <v>1900</v>
      </c>
      <c r="M3230" s="272">
        <f t="shared" si="276"/>
        <v>1</v>
      </c>
      <c r="O3230" s="61">
        <f t="shared" si="277"/>
        <v>1900</v>
      </c>
      <c r="P3230" s="61">
        <f t="shared" si="278"/>
        <v>1</v>
      </c>
      <c r="R3230" s="272"/>
      <c r="S3230" s="272"/>
    </row>
    <row r="3231" spans="9:19">
      <c r="I3231" s="213"/>
      <c r="J3231" s="213"/>
      <c r="L3231" s="272">
        <f t="shared" si="275"/>
        <v>1900</v>
      </c>
      <c r="M3231" s="272">
        <f t="shared" si="276"/>
        <v>1</v>
      </c>
      <c r="O3231" s="61">
        <f t="shared" si="277"/>
        <v>1900</v>
      </c>
      <c r="P3231" s="61">
        <f t="shared" si="278"/>
        <v>1</v>
      </c>
      <c r="R3231" s="272"/>
      <c r="S3231" s="272"/>
    </row>
    <row r="3232" spans="9:19">
      <c r="I3232" s="213"/>
      <c r="J3232" s="213"/>
      <c r="L3232" s="272">
        <f t="shared" si="275"/>
        <v>1900</v>
      </c>
      <c r="M3232" s="272">
        <f t="shared" si="276"/>
        <v>1</v>
      </c>
      <c r="O3232" s="61">
        <f t="shared" si="277"/>
        <v>1900</v>
      </c>
      <c r="P3232" s="61">
        <f t="shared" si="278"/>
        <v>1</v>
      </c>
      <c r="R3232" s="272"/>
      <c r="S3232" s="272"/>
    </row>
    <row r="3233" spans="9:19">
      <c r="I3233" s="213"/>
      <c r="J3233" s="213"/>
      <c r="L3233" s="272">
        <f t="shared" si="275"/>
        <v>1900</v>
      </c>
      <c r="M3233" s="272">
        <f t="shared" si="276"/>
        <v>1</v>
      </c>
      <c r="O3233" s="61">
        <f t="shared" si="277"/>
        <v>1900</v>
      </c>
      <c r="P3233" s="61">
        <f t="shared" si="278"/>
        <v>1</v>
      </c>
      <c r="R3233" s="272"/>
      <c r="S3233" s="272"/>
    </row>
    <row r="3234" spans="9:19">
      <c r="I3234" s="213"/>
      <c r="J3234" s="213"/>
      <c r="L3234" s="272">
        <f t="shared" si="275"/>
        <v>1900</v>
      </c>
      <c r="M3234" s="272">
        <f t="shared" si="276"/>
        <v>1</v>
      </c>
      <c r="O3234" s="61">
        <f t="shared" si="277"/>
        <v>1900</v>
      </c>
      <c r="P3234" s="61">
        <f t="shared" si="278"/>
        <v>1</v>
      </c>
      <c r="R3234" s="272"/>
      <c r="S3234" s="272"/>
    </row>
    <row r="3235" spans="9:19">
      <c r="I3235" s="213"/>
      <c r="J3235" s="213"/>
      <c r="L3235" s="272">
        <f t="shared" si="275"/>
        <v>1900</v>
      </c>
      <c r="M3235" s="272">
        <f t="shared" si="276"/>
        <v>1</v>
      </c>
      <c r="O3235" s="61">
        <f t="shared" si="277"/>
        <v>1900</v>
      </c>
      <c r="P3235" s="61">
        <f t="shared" si="278"/>
        <v>1</v>
      </c>
      <c r="R3235" s="272"/>
      <c r="S3235" s="272"/>
    </row>
    <row r="3236" spans="9:19">
      <c r="I3236" s="213"/>
      <c r="J3236" s="213"/>
      <c r="L3236" s="272">
        <f t="shared" si="275"/>
        <v>1900</v>
      </c>
      <c r="M3236" s="272">
        <f t="shared" si="276"/>
        <v>1</v>
      </c>
      <c r="O3236" s="61">
        <f t="shared" si="277"/>
        <v>1900</v>
      </c>
      <c r="P3236" s="61">
        <f t="shared" si="278"/>
        <v>1</v>
      </c>
      <c r="R3236" s="272"/>
      <c r="S3236" s="272"/>
    </row>
    <row r="3237" spans="9:19">
      <c r="I3237" s="213"/>
      <c r="J3237" s="213"/>
      <c r="L3237" s="272">
        <f t="shared" si="275"/>
        <v>1900</v>
      </c>
      <c r="M3237" s="272">
        <f t="shared" si="276"/>
        <v>1</v>
      </c>
      <c r="O3237" s="61">
        <f t="shared" si="277"/>
        <v>1900</v>
      </c>
      <c r="P3237" s="61">
        <f t="shared" si="278"/>
        <v>1</v>
      </c>
      <c r="R3237" s="272"/>
      <c r="S3237" s="272"/>
    </row>
    <row r="3238" spans="9:19">
      <c r="I3238" s="213"/>
      <c r="J3238" s="213"/>
      <c r="L3238" s="272">
        <f t="shared" si="275"/>
        <v>1900</v>
      </c>
      <c r="M3238" s="272">
        <f t="shared" si="276"/>
        <v>1</v>
      </c>
      <c r="O3238" s="61">
        <f t="shared" si="277"/>
        <v>1900</v>
      </c>
      <c r="P3238" s="61">
        <f t="shared" si="278"/>
        <v>1</v>
      </c>
      <c r="R3238" s="272"/>
      <c r="S3238" s="272"/>
    </row>
    <row r="3239" spans="9:19">
      <c r="I3239" s="213"/>
      <c r="J3239" s="213"/>
      <c r="L3239" s="272">
        <f t="shared" si="275"/>
        <v>1900</v>
      </c>
      <c r="M3239" s="272">
        <f t="shared" si="276"/>
        <v>1</v>
      </c>
      <c r="O3239" s="61">
        <f t="shared" si="277"/>
        <v>1900</v>
      </c>
      <c r="P3239" s="61">
        <f t="shared" si="278"/>
        <v>1</v>
      </c>
      <c r="R3239" s="272"/>
      <c r="S3239" s="272"/>
    </row>
    <row r="3240" spans="9:19">
      <c r="I3240" s="213"/>
      <c r="J3240" s="213"/>
      <c r="L3240" s="272">
        <f t="shared" si="275"/>
        <v>1900</v>
      </c>
      <c r="M3240" s="272">
        <f t="shared" si="276"/>
        <v>1</v>
      </c>
      <c r="O3240" s="61">
        <f t="shared" si="277"/>
        <v>1900</v>
      </c>
      <c r="P3240" s="61">
        <f t="shared" si="278"/>
        <v>1</v>
      </c>
      <c r="R3240" s="272"/>
      <c r="S3240" s="272"/>
    </row>
    <row r="3241" spans="9:19">
      <c r="I3241" s="213"/>
      <c r="J3241" s="213"/>
      <c r="L3241" s="272">
        <f t="shared" si="275"/>
        <v>1900</v>
      </c>
      <c r="M3241" s="272">
        <f t="shared" si="276"/>
        <v>1</v>
      </c>
      <c r="O3241" s="61">
        <f t="shared" si="277"/>
        <v>1900</v>
      </c>
      <c r="P3241" s="61">
        <f t="shared" si="278"/>
        <v>1</v>
      </c>
      <c r="R3241" s="272"/>
      <c r="S3241" s="272"/>
    </row>
    <row r="3242" spans="9:19">
      <c r="I3242" s="213"/>
      <c r="J3242" s="213"/>
      <c r="L3242" s="272">
        <f t="shared" si="275"/>
        <v>1900</v>
      </c>
      <c r="M3242" s="272">
        <f t="shared" si="276"/>
        <v>1</v>
      </c>
      <c r="O3242" s="61">
        <f t="shared" si="277"/>
        <v>1900</v>
      </c>
      <c r="P3242" s="61">
        <f t="shared" si="278"/>
        <v>1</v>
      </c>
      <c r="R3242" s="272"/>
      <c r="S3242" s="272"/>
    </row>
    <row r="3243" spans="9:19">
      <c r="I3243" s="213"/>
      <c r="J3243" s="213"/>
      <c r="L3243" s="272">
        <f t="shared" si="275"/>
        <v>1900</v>
      </c>
      <c r="M3243" s="272">
        <f t="shared" si="276"/>
        <v>1</v>
      </c>
      <c r="O3243" s="61">
        <f t="shared" si="277"/>
        <v>1900</v>
      </c>
      <c r="P3243" s="61">
        <f t="shared" si="278"/>
        <v>1</v>
      </c>
      <c r="R3243" s="272"/>
      <c r="S3243" s="272"/>
    </row>
    <row r="3244" spans="9:19">
      <c r="I3244" s="213"/>
      <c r="J3244" s="213"/>
      <c r="L3244" s="272">
        <f t="shared" si="275"/>
        <v>1900</v>
      </c>
      <c r="M3244" s="272">
        <f t="shared" si="276"/>
        <v>1</v>
      </c>
      <c r="O3244" s="61">
        <f t="shared" si="277"/>
        <v>1900</v>
      </c>
      <c r="P3244" s="61">
        <f t="shared" si="278"/>
        <v>1</v>
      </c>
      <c r="R3244" s="272"/>
      <c r="S3244" s="272"/>
    </row>
    <row r="3245" spans="9:19">
      <c r="I3245" s="213"/>
      <c r="J3245" s="213"/>
      <c r="L3245" s="272">
        <f t="shared" si="275"/>
        <v>1900</v>
      </c>
      <c r="M3245" s="272">
        <f t="shared" si="276"/>
        <v>1</v>
      </c>
      <c r="O3245" s="61">
        <f t="shared" si="277"/>
        <v>1900</v>
      </c>
      <c r="P3245" s="61">
        <f t="shared" si="278"/>
        <v>1</v>
      </c>
      <c r="R3245" s="272"/>
      <c r="S3245" s="272"/>
    </row>
    <row r="3246" spans="9:19">
      <c r="I3246" s="213"/>
      <c r="J3246" s="213"/>
      <c r="L3246" s="272">
        <f t="shared" si="275"/>
        <v>1900</v>
      </c>
      <c r="M3246" s="272">
        <f t="shared" si="276"/>
        <v>1</v>
      </c>
      <c r="O3246" s="61">
        <f t="shared" si="277"/>
        <v>1900</v>
      </c>
      <c r="P3246" s="61">
        <f t="shared" si="278"/>
        <v>1</v>
      </c>
      <c r="R3246" s="272"/>
      <c r="S3246" s="272"/>
    </row>
    <row r="3247" spans="9:19">
      <c r="I3247" s="213"/>
      <c r="J3247" s="213"/>
      <c r="L3247" s="272">
        <f t="shared" si="275"/>
        <v>1900</v>
      </c>
      <c r="M3247" s="272">
        <f t="shared" si="276"/>
        <v>1</v>
      </c>
      <c r="O3247" s="61">
        <f t="shared" si="277"/>
        <v>1900</v>
      </c>
      <c r="P3247" s="61">
        <f t="shared" si="278"/>
        <v>1</v>
      </c>
      <c r="R3247" s="272"/>
      <c r="S3247" s="272"/>
    </row>
    <row r="3248" spans="9:19">
      <c r="I3248" s="213"/>
      <c r="J3248" s="213"/>
      <c r="L3248" s="272">
        <f t="shared" si="275"/>
        <v>1900</v>
      </c>
      <c r="M3248" s="272">
        <f t="shared" si="276"/>
        <v>1</v>
      </c>
      <c r="O3248" s="61">
        <f t="shared" si="277"/>
        <v>1900</v>
      </c>
      <c r="P3248" s="61">
        <f t="shared" si="278"/>
        <v>1</v>
      </c>
      <c r="R3248" s="272"/>
      <c r="S3248" s="272"/>
    </row>
    <row r="3249" spans="9:19">
      <c r="I3249" s="213"/>
      <c r="J3249" s="213"/>
      <c r="L3249" s="272">
        <f t="shared" si="275"/>
        <v>1900</v>
      </c>
      <c r="M3249" s="272">
        <f t="shared" si="276"/>
        <v>1</v>
      </c>
      <c r="O3249" s="61">
        <f t="shared" si="277"/>
        <v>1900</v>
      </c>
      <c r="P3249" s="61">
        <f t="shared" si="278"/>
        <v>1</v>
      </c>
      <c r="R3249" s="272"/>
      <c r="S3249" s="272"/>
    </row>
    <row r="3250" spans="9:19">
      <c r="I3250" s="213"/>
      <c r="J3250" s="213"/>
      <c r="L3250" s="272">
        <f t="shared" si="275"/>
        <v>1900</v>
      </c>
      <c r="M3250" s="272">
        <f t="shared" si="276"/>
        <v>1</v>
      </c>
      <c r="O3250" s="61">
        <f t="shared" si="277"/>
        <v>1900</v>
      </c>
      <c r="P3250" s="61">
        <f t="shared" si="278"/>
        <v>1</v>
      </c>
      <c r="R3250" s="272"/>
      <c r="S3250" s="272"/>
    </row>
    <row r="3251" spans="9:19">
      <c r="I3251" s="213"/>
      <c r="J3251" s="213"/>
      <c r="L3251" s="272">
        <f t="shared" si="275"/>
        <v>1900</v>
      </c>
      <c r="M3251" s="272">
        <f t="shared" si="276"/>
        <v>1</v>
      </c>
      <c r="O3251" s="61">
        <f t="shared" si="277"/>
        <v>1900</v>
      </c>
      <c r="P3251" s="61">
        <f t="shared" si="278"/>
        <v>1</v>
      </c>
      <c r="R3251" s="272"/>
      <c r="S3251" s="272"/>
    </row>
    <row r="3252" spans="9:19">
      <c r="I3252" s="213"/>
      <c r="J3252" s="213"/>
      <c r="L3252" s="272">
        <f t="shared" si="275"/>
        <v>1900</v>
      </c>
      <c r="M3252" s="272">
        <f t="shared" si="276"/>
        <v>1</v>
      </c>
      <c r="O3252" s="61">
        <f t="shared" si="277"/>
        <v>1900</v>
      </c>
      <c r="P3252" s="61">
        <f t="shared" si="278"/>
        <v>1</v>
      </c>
      <c r="R3252" s="272"/>
      <c r="S3252" s="272"/>
    </row>
    <row r="3253" spans="9:19">
      <c r="I3253" s="213"/>
      <c r="J3253" s="213"/>
      <c r="L3253" s="272">
        <f t="shared" si="275"/>
        <v>1900</v>
      </c>
      <c r="M3253" s="272">
        <f t="shared" si="276"/>
        <v>1</v>
      </c>
      <c r="O3253" s="61">
        <f t="shared" si="277"/>
        <v>1900</v>
      </c>
      <c r="P3253" s="61">
        <f t="shared" si="278"/>
        <v>1</v>
      </c>
      <c r="R3253" s="272"/>
      <c r="S3253" s="272"/>
    </row>
    <row r="3254" spans="9:19">
      <c r="I3254" s="213"/>
      <c r="J3254" s="213"/>
      <c r="L3254" s="272">
        <f t="shared" si="275"/>
        <v>1900</v>
      </c>
      <c r="M3254" s="272">
        <f t="shared" si="276"/>
        <v>1</v>
      </c>
      <c r="O3254" s="61">
        <f t="shared" si="277"/>
        <v>1900</v>
      </c>
      <c r="P3254" s="61">
        <f t="shared" si="278"/>
        <v>1</v>
      </c>
      <c r="R3254" s="272"/>
      <c r="S3254" s="272"/>
    </row>
    <row r="3255" spans="9:19">
      <c r="I3255" s="213"/>
      <c r="J3255" s="213"/>
      <c r="L3255" s="272">
        <f t="shared" si="275"/>
        <v>1900</v>
      </c>
      <c r="M3255" s="272">
        <f t="shared" si="276"/>
        <v>1</v>
      </c>
      <c r="O3255" s="61">
        <f t="shared" si="277"/>
        <v>1900</v>
      </c>
      <c r="P3255" s="61">
        <f t="shared" si="278"/>
        <v>1</v>
      </c>
      <c r="R3255" s="272"/>
      <c r="S3255" s="272"/>
    </row>
    <row r="3256" spans="9:19">
      <c r="I3256" s="213"/>
      <c r="J3256" s="213"/>
      <c r="L3256" s="272">
        <f t="shared" si="275"/>
        <v>1900</v>
      </c>
      <c r="M3256" s="272">
        <f t="shared" si="276"/>
        <v>1</v>
      </c>
      <c r="O3256" s="61">
        <f t="shared" si="277"/>
        <v>1900</v>
      </c>
      <c r="P3256" s="61">
        <f t="shared" si="278"/>
        <v>1</v>
      </c>
      <c r="R3256" s="272"/>
      <c r="S3256" s="272"/>
    </row>
    <row r="3257" spans="9:19">
      <c r="I3257" s="213"/>
      <c r="J3257" s="213"/>
      <c r="L3257" s="272">
        <f t="shared" si="275"/>
        <v>1900</v>
      </c>
      <c r="M3257" s="272">
        <f t="shared" si="276"/>
        <v>1</v>
      </c>
      <c r="O3257" s="61">
        <f t="shared" si="277"/>
        <v>1900</v>
      </c>
      <c r="P3257" s="61">
        <f t="shared" si="278"/>
        <v>1</v>
      </c>
      <c r="R3257" s="272"/>
      <c r="S3257" s="272"/>
    </row>
    <row r="3258" spans="9:19">
      <c r="I3258" s="213"/>
      <c r="J3258" s="213"/>
      <c r="L3258" s="272">
        <f t="shared" si="275"/>
        <v>1900</v>
      </c>
      <c r="M3258" s="272">
        <f t="shared" si="276"/>
        <v>1</v>
      </c>
      <c r="O3258" s="61">
        <f t="shared" si="277"/>
        <v>1900</v>
      </c>
      <c r="P3258" s="61">
        <f t="shared" si="278"/>
        <v>1</v>
      </c>
      <c r="R3258" s="272"/>
      <c r="S3258" s="272"/>
    </row>
    <row r="3259" spans="9:19">
      <c r="I3259" s="213"/>
      <c r="J3259" s="213"/>
      <c r="L3259" s="272">
        <f t="shared" si="275"/>
        <v>1900</v>
      </c>
      <c r="M3259" s="272">
        <f t="shared" si="276"/>
        <v>1</v>
      </c>
      <c r="O3259" s="61">
        <f t="shared" si="277"/>
        <v>1900</v>
      </c>
      <c r="P3259" s="61">
        <f t="shared" si="278"/>
        <v>1</v>
      </c>
      <c r="R3259" s="272"/>
      <c r="S3259" s="272"/>
    </row>
    <row r="3260" spans="9:19">
      <c r="I3260" s="213"/>
      <c r="J3260" s="213"/>
      <c r="L3260" s="272">
        <f t="shared" si="275"/>
        <v>1900</v>
      </c>
      <c r="M3260" s="272">
        <f t="shared" si="276"/>
        <v>1</v>
      </c>
      <c r="O3260" s="61">
        <f t="shared" si="277"/>
        <v>1900</v>
      </c>
      <c r="P3260" s="61">
        <f t="shared" si="278"/>
        <v>1</v>
      </c>
      <c r="R3260" s="272"/>
      <c r="S3260" s="272"/>
    </row>
    <row r="3261" spans="9:19">
      <c r="I3261" s="213"/>
      <c r="J3261" s="213"/>
      <c r="L3261" s="272">
        <f t="shared" si="275"/>
        <v>1900</v>
      </c>
      <c r="M3261" s="272">
        <f t="shared" si="276"/>
        <v>1</v>
      </c>
      <c r="O3261" s="61">
        <f t="shared" si="277"/>
        <v>1900</v>
      </c>
      <c r="P3261" s="61">
        <f t="shared" si="278"/>
        <v>1</v>
      </c>
      <c r="R3261" s="272"/>
      <c r="S3261" s="272"/>
    </row>
    <row r="3262" spans="9:19">
      <c r="I3262" s="213"/>
      <c r="J3262" s="213"/>
      <c r="L3262" s="272">
        <f t="shared" si="275"/>
        <v>1900</v>
      </c>
      <c r="M3262" s="272">
        <f t="shared" si="276"/>
        <v>1</v>
      </c>
      <c r="O3262" s="61">
        <f t="shared" si="277"/>
        <v>1900</v>
      </c>
      <c r="P3262" s="61">
        <f t="shared" si="278"/>
        <v>1</v>
      </c>
      <c r="R3262" s="272"/>
      <c r="S3262" s="272"/>
    </row>
    <row r="3263" spans="9:19">
      <c r="I3263" s="213"/>
      <c r="J3263" s="213"/>
      <c r="L3263" s="272">
        <f t="shared" si="275"/>
        <v>1900</v>
      </c>
      <c r="M3263" s="272">
        <f t="shared" si="276"/>
        <v>1</v>
      </c>
      <c r="O3263" s="61">
        <f t="shared" si="277"/>
        <v>1900</v>
      </c>
      <c r="P3263" s="61">
        <f t="shared" si="278"/>
        <v>1</v>
      </c>
      <c r="R3263" s="272"/>
      <c r="S3263" s="272"/>
    </row>
    <row r="3264" spans="9:19">
      <c r="I3264" s="213"/>
      <c r="J3264" s="213"/>
      <c r="L3264" s="272">
        <f t="shared" si="275"/>
        <v>1900</v>
      </c>
      <c r="M3264" s="272">
        <f t="shared" si="276"/>
        <v>1</v>
      </c>
      <c r="O3264" s="61">
        <f t="shared" si="277"/>
        <v>1900</v>
      </c>
      <c r="P3264" s="61">
        <f t="shared" si="278"/>
        <v>1</v>
      </c>
      <c r="R3264" s="272"/>
      <c r="S3264" s="272"/>
    </row>
    <row r="3265" spans="9:19">
      <c r="I3265" s="213"/>
      <c r="J3265" s="213"/>
      <c r="L3265" s="272">
        <f t="shared" si="275"/>
        <v>1900</v>
      </c>
      <c r="M3265" s="272">
        <f t="shared" si="276"/>
        <v>1</v>
      </c>
      <c r="O3265" s="61">
        <f t="shared" si="277"/>
        <v>1900</v>
      </c>
      <c r="P3265" s="61">
        <f t="shared" si="278"/>
        <v>1</v>
      </c>
      <c r="R3265" s="272"/>
      <c r="S3265" s="272"/>
    </row>
    <row r="3266" spans="9:19">
      <c r="I3266" s="213"/>
      <c r="J3266" s="213"/>
      <c r="L3266" s="272">
        <f t="shared" si="275"/>
        <v>1900</v>
      </c>
      <c r="M3266" s="272">
        <f t="shared" si="276"/>
        <v>1</v>
      </c>
      <c r="O3266" s="61">
        <f t="shared" si="277"/>
        <v>1900</v>
      </c>
      <c r="P3266" s="61">
        <f t="shared" si="278"/>
        <v>1</v>
      </c>
      <c r="R3266" s="272"/>
      <c r="S3266" s="272"/>
    </row>
    <row r="3267" spans="9:19">
      <c r="I3267" s="213"/>
      <c r="J3267" s="213"/>
      <c r="L3267" s="272">
        <f t="shared" si="275"/>
        <v>1900</v>
      </c>
      <c r="M3267" s="272">
        <f t="shared" si="276"/>
        <v>1</v>
      </c>
      <c r="O3267" s="61">
        <f t="shared" si="277"/>
        <v>1900</v>
      </c>
      <c r="P3267" s="61">
        <f t="shared" si="278"/>
        <v>1</v>
      </c>
      <c r="R3267" s="272"/>
      <c r="S3267" s="272"/>
    </row>
    <row r="3268" spans="9:19">
      <c r="I3268" s="213"/>
      <c r="J3268" s="213"/>
      <c r="L3268" s="272">
        <f t="shared" si="275"/>
        <v>1900</v>
      </c>
      <c r="M3268" s="272">
        <f t="shared" si="276"/>
        <v>1</v>
      </c>
      <c r="O3268" s="61">
        <f t="shared" si="277"/>
        <v>1900</v>
      </c>
      <c r="P3268" s="61">
        <f t="shared" si="278"/>
        <v>1</v>
      </c>
      <c r="R3268" s="272"/>
      <c r="S3268" s="272"/>
    </row>
    <row r="3269" spans="9:19">
      <c r="I3269" s="213"/>
      <c r="J3269" s="213"/>
      <c r="L3269" s="272">
        <f t="shared" si="275"/>
        <v>1900</v>
      </c>
      <c r="M3269" s="272">
        <f t="shared" si="276"/>
        <v>1</v>
      </c>
      <c r="O3269" s="61">
        <f t="shared" si="277"/>
        <v>1900</v>
      </c>
      <c r="P3269" s="61">
        <f t="shared" si="278"/>
        <v>1</v>
      </c>
      <c r="R3269" s="272"/>
      <c r="S3269" s="272"/>
    </row>
    <row r="3270" spans="9:19">
      <c r="I3270" s="213"/>
      <c r="J3270" s="213"/>
      <c r="L3270" s="272">
        <f t="shared" si="275"/>
        <v>1900</v>
      </c>
      <c r="M3270" s="272">
        <f t="shared" si="276"/>
        <v>1</v>
      </c>
      <c r="O3270" s="61">
        <f t="shared" si="277"/>
        <v>1900</v>
      </c>
      <c r="P3270" s="61">
        <f t="shared" si="278"/>
        <v>1</v>
      </c>
      <c r="R3270" s="272"/>
      <c r="S3270" s="272"/>
    </row>
    <row r="3271" spans="9:19">
      <c r="I3271" s="213"/>
      <c r="J3271" s="213"/>
      <c r="L3271" s="272">
        <f t="shared" si="275"/>
        <v>1900</v>
      </c>
      <c r="M3271" s="272">
        <f t="shared" si="276"/>
        <v>1</v>
      </c>
      <c r="O3271" s="61">
        <f t="shared" si="277"/>
        <v>1900</v>
      </c>
      <c r="P3271" s="61">
        <f t="shared" si="278"/>
        <v>1</v>
      </c>
      <c r="R3271" s="272"/>
      <c r="S3271" s="272"/>
    </row>
    <row r="3272" spans="9:19">
      <c r="I3272" s="213"/>
      <c r="J3272" s="213"/>
      <c r="L3272" s="272">
        <f t="shared" si="275"/>
        <v>1900</v>
      </c>
      <c r="M3272" s="272">
        <f t="shared" si="276"/>
        <v>1</v>
      </c>
      <c r="O3272" s="61">
        <f t="shared" si="277"/>
        <v>1900</v>
      </c>
      <c r="P3272" s="61">
        <f t="shared" si="278"/>
        <v>1</v>
      </c>
      <c r="R3272" s="272"/>
      <c r="S3272" s="272"/>
    </row>
    <row r="3273" spans="9:19">
      <c r="I3273" s="213"/>
      <c r="J3273" s="213"/>
      <c r="L3273" s="272">
        <f t="shared" si="275"/>
        <v>1900</v>
      </c>
      <c r="M3273" s="272">
        <f t="shared" si="276"/>
        <v>1</v>
      </c>
      <c r="O3273" s="61">
        <f t="shared" si="277"/>
        <v>1900</v>
      </c>
      <c r="P3273" s="61">
        <f t="shared" si="278"/>
        <v>1</v>
      </c>
      <c r="R3273" s="272"/>
      <c r="S3273" s="272"/>
    </row>
    <row r="3274" spans="9:19">
      <c r="I3274" s="213"/>
      <c r="J3274" s="213"/>
      <c r="L3274" s="272">
        <f t="shared" si="275"/>
        <v>1900</v>
      </c>
      <c r="M3274" s="272">
        <f t="shared" si="276"/>
        <v>1</v>
      </c>
      <c r="O3274" s="61">
        <f t="shared" si="277"/>
        <v>1900</v>
      </c>
      <c r="P3274" s="61">
        <f t="shared" si="278"/>
        <v>1</v>
      </c>
      <c r="R3274" s="272"/>
      <c r="S3274" s="272"/>
    </row>
    <row r="3275" spans="9:19">
      <c r="I3275" s="213"/>
      <c r="J3275" s="213"/>
      <c r="L3275" s="272">
        <f t="shared" si="275"/>
        <v>1900</v>
      </c>
      <c r="M3275" s="272">
        <f t="shared" si="276"/>
        <v>1</v>
      </c>
      <c r="O3275" s="61">
        <f t="shared" si="277"/>
        <v>1900</v>
      </c>
      <c r="P3275" s="61">
        <f t="shared" si="278"/>
        <v>1</v>
      </c>
      <c r="R3275" s="272"/>
      <c r="S3275" s="272"/>
    </row>
    <row r="3276" spans="9:19">
      <c r="I3276" s="213"/>
      <c r="J3276" s="213"/>
      <c r="L3276" s="272">
        <f t="shared" si="275"/>
        <v>1900</v>
      </c>
      <c r="M3276" s="272">
        <f t="shared" si="276"/>
        <v>1</v>
      </c>
      <c r="O3276" s="61">
        <f t="shared" si="277"/>
        <v>1900</v>
      </c>
      <c r="P3276" s="61">
        <f t="shared" si="278"/>
        <v>1</v>
      </c>
      <c r="R3276" s="272"/>
      <c r="S3276" s="272"/>
    </row>
    <row r="3277" spans="9:19">
      <c r="I3277" s="213"/>
      <c r="J3277" s="213"/>
      <c r="L3277" s="272">
        <f t="shared" si="275"/>
        <v>1900</v>
      </c>
      <c r="M3277" s="272">
        <f t="shared" si="276"/>
        <v>1</v>
      </c>
      <c r="O3277" s="61">
        <f t="shared" si="277"/>
        <v>1900</v>
      </c>
      <c r="P3277" s="61">
        <f t="shared" si="278"/>
        <v>1</v>
      </c>
      <c r="R3277" s="272"/>
      <c r="S3277" s="272"/>
    </row>
    <row r="3278" spans="9:19">
      <c r="I3278" s="213"/>
      <c r="J3278" s="213"/>
      <c r="L3278" s="272">
        <f t="shared" si="275"/>
        <v>1900</v>
      </c>
      <c r="M3278" s="272">
        <f t="shared" si="276"/>
        <v>1</v>
      </c>
      <c r="O3278" s="61">
        <f t="shared" si="277"/>
        <v>1900</v>
      </c>
      <c r="P3278" s="61">
        <f t="shared" si="278"/>
        <v>1</v>
      </c>
      <c r="R3278" s="272"/>
      <c r="S3278" s="272"/>
    </row>
    <row r="3279" spans="9:19">
      <c r="I3279" s="213"/>
      <c r="J3279" s="213"/>
      <c r="L3279" s="272">
        <f t="shared" si="275"/>
        <v>1900</v>
      </c>
      <c r="M3279" s="272">
        <f t="shared" si="276"/>
        <v>1</v>
      </c>
      <c r="O3279" s="61">
        <f t="shared" si="277"/>
        <v>1900</v>
      </c>
      <c r="P3279" s="61">
        <f t="shared" si="278"/>
        <v>1</v>
      </c>
      <c r="R3279" s="272"/>
      <c r="S3279" s="272"/>
    </row>
    <row r="3280" spans="9:19">
      <c r="I3280" s="213"/>
      <c r="J3280" s="213"/>
      <c r="L3280" s="272">
        <f t="shared" ref="L3280:L3343" si="279">YEAR(B3280)</f>
        <v>1900</v>
      </c>
      <c r="M3280" s="272">
        <f t="shared" ref="M3280:M3343" si="280">MONTH(B3280)</f>
        <v>1</v>
      </c>
      <c r="O3280" s="61">
        <f t="shared" ref="O3280:O3343" si="281">YEAR(B3280)</f>
        <v>1900</v>
      </c>
      <c r="P3280" s="61">
        <f t="shared" ref="P3280:P3343" si="282">MONTH(B3280)</f>
        <v>1</v>
      </c>
      <c r="R3280" s="272"/>
      <c r="S3280" s="272"/>
    </row>
    <row r="3281" spans="9:19">
      <c r="I3281" s="213"/>
      <c r="J3281" s="213"/>
      <c r="L3281" s="272">
        <f t="shared" si="279"/>
        <v>1900</v>
      </c>
      <c r="M3281" s="272">
        <f t="shared" si="280"/>
        <v>1</v>
      </c>
      <c r="O3281" s="61">
        <f t="shared" si="281"/>
        <v>1900</v>
      </c>
      <c r="P3281" s="61">
        <f t="shared" si="282"/>
        <v>1</v>
      </c>
      <c r="R3281" s="272"/>
      <c r="S3281" s="272"/>
    </row>
    <row r="3282" spans="9:19">
      <c r="I3282" s="213"/>
      <c r="J3282" s="213"/>
      <c r="L3282" s="272">
        <f t="shared" si="279"/>
        <v>1900</v>
      </c>
      <c r="M3282" s="272">
        <f t="shared" si="280"/>
        <v>1</v>
      </c>
      <c r="O3282" s="61">
        <f t="shared" si="281"/>
        <v>1900</v>
      </c>
      <c r="P3282" s="61">
        <f t="shared" si="282"/>
        <v>1</v>
      </c>
      <c r="R3282" s="272"/>
      <c r="S3282" s="272"/>
    </row>
    <row r="3283" spans="9:19">
      <c r="I3283" s="213"/>
      <c r="J3283" s="213"/>
      <c r="L3283" s="272">
        <f t="shared" si="279"/>
        <v>1900</v>
      </c>
      <c r="M3283" s="272">
        <f t="shared" si="280"/>
        <v>1</v>
      </c>
      <c r="O3283" s="61">
        <f t="shared" si="281"/>
        <v>1900</v>
      </c>
      <c r="P3283" s="61">
        <f t="shared" si="282"/>
        <v>1</v>
      </c>
      <c r="R3283" s="272"/>
      <c r="S3283" s="272"/>
    </row>
    <row r="3284" spans="9:19">
      <c r="I3284" s="213"/>
      <c r="J3284" s="213"/>
      <c r="L3284" s="272">
        <f t="shared" si="279"/>
        <v>1900</v>
      </c>
      <c r="M3284" s="272">
        <f t="shared" si="280"/>
        <v>1</v>
      </c>
      <c r="O3284" s="61">
        <f t="shared" si="281"/>
        <v>1900</v>
      </c>
      <c r="P3284" s="61">
        <f t="shared" si="282"/>
        <v>1</v>
      </c>
      <c r="R3284" s="272"/>
      <c r="S3284" s="272"/>
    </row>
    <row r="3285" spans="9:19">
      <c r="I3285" s="213"/>
      <c r="J3285" s="213"/>
      <c r="L3285" s="272">
        <f t="shared" si="279"/>
        <v>1900</v>
      </c>
      <c r="M3285" s="272">
        <f t="shared" si="280"/>
        <v>1</v>
      </c>
      <c r="O3285" s="61">
        <f t="shared" si="281"/>
        <v>1900</v>
      </c>
      <c r="P3285" s="61">
        <f t="shared" si="282"/>
        <v>1</v>
      </c>
      <c r="R3285" s="272"/>
      <c r="S3285" s="272"/>
    </row>
    <row r="3286" spans="9:19">
      <c r="I3286" s="213"/>
      <c r="J3286" s="213"/>
      <c r="L3286" s="272">
        <f t="shared" si="279"/>
        <v>1900</v>
      </c>
      <c r="M3286" s="272">
        <f t="shared" si="280"/>
        <v>1</v>
      </c>
      <c r="O3286" s="61">
        <f t="shared" si="281"/>
        <v>1900</v>
      </c>
      <c r="P3286" s="61">
        <f t="shared" si="282"/>
        <v>1</v>
      </c>
      <c r="R3286" s="272"/>
      <c r="S3286" s="272"/>
    </row>
    <row r="3287" spans="9:19">
      <c r="I3287" s="213"/>
      <c r="J3287" s="213"/>
      <c r="L3287" s="272">
        <f t="shared" si="279"/>
        <v>1900</v>
      </c>
      <c r="M3287" s="272">
        <f t="shared" si="280"/>
        <v>1</v>
      </c>
      <c r="O3287" s="61">
        <f t="shared" si="281"/>
        <v>1900</v>
      </c>
      <c r="P3287" s="61">
        <f t="shared" si="282"/>
        <v>1</v>
      </c>
      <c r="R3287" s="272"/>
      <c r="S3287" s="272"/>
    </row>
    <row r="3288" spans="9:19">
      <c r="I3288" s="213"/>
      <c r="J3288" s="213"/>
      <c r="L3288" s="272">
        <f t="shared" si="279"/>
        <v>1900</v>
      </c>
      <c r="M3288" s="272">
        <f t="shared" si="280"/>
        <v>1</v>
      </c>
      <c r="O3288" s="61">
        <f t="shared" si="281"/>
        <v>1900</v>
      </c>
      <c r="P3288" s="61">
        <f t="shared" si="282"/>
        <v>1</v>
      </c>
      <c r="R3288" s="272"/>
      <c r="S3288" s="272"/>
    </row>
    <row r="3289" spans="9:19">
      <c r="I3289" s="213"/>
      <c r="J3289" s="213"/>
      <c r="L3289" s="272">
        <f t="shared" si="279"/>
        <v>1900</v>
      </c>
      <c r="M3289" s="272">
        <f t="shared" si="280"/>
        <v>1</v>
      </c>
      <c r="O3289" s="61">
        <f t="shared" si="281"/>
        <v>1900</v>
      </c>
      <c r="P3289" s="61">
        <f t="shared" si="282"/>
        <v>1</v>
      </c>
      <c r="R3289" s="272"/>
      <c r="S3289" s="272"/>
    </row>
    <row r="3290" spans="9:19">
      <c r="I3290" s="213"/>
      <c r="J3290" s="213"/>
      <c r="L3290" s="272">
        <f t="shared" si="279"/>
        <v>1900</v>
      </c>
      <c r="M3290" s="272">
        <f t="shared" si="280"/>
        <v>1</v>
      </c>
      <c r="O3290" s="61">
        <f t="shared" si="281"/>
        <v>1900</v>
      </c>
      <c r="P3290" s="61">
        <f t="shared" si="282"/>
        <v>1</v>
      </c>
      <c r="R3290" s="272"/>
      <c r="S3290" s="272"/>
    </row>
    <row r="3291" spans="9:19">
      <c r="I3291" s="213"/>
      <c r="J3291" s="213"/>
      <c r="L3291" s="272">
        <f t="shared" si="279"/>
        <v>1900</v>
      </c>
      <c r="M3291" s="272">
        <f t="shared" si="280"/>
        <v>1</v>
      </c>
      <c r="O3291" s="61">
        <f t="shared" si="281"/>
        <v>1900</v>
      </c>
      <c r="P3291" s="61">
        <f t="shared" si="282"/>
        <v>1</v>
      </c>
      <c r="R3291" s="272"/>
      <c r="S3291" s="272"/>
    </row>
    <row r="3292" spans="9:19">
      <c r="I3292" s="213"/>
      <c r="J3292" s="213"/>
      <c r="L3292" s="272">
        <f t="shared" si="279"/>
        <v>1900</v>
      </c>
      <c r="M3292" s="272">
        <f t="shared" si="280"/>
        <v>1</v>
      </c>
      <c r="O3292" s="61">
        <f t="shared" si="281"/>
        <v>1900</v>
      </c>
      <c r="P3292" s="61">
        <f t="shared" si="282"/>
        <v>1</v>
      </c>
      <c r="R3292" s="272"/>
      <c r="S3292" s="272"/>
    </row>
    <row r="3293" spans="9:19">
      <c r="I3293" s="213"/>
      <c r="J3293" s="213"/>
      <c r="L3293" s="272">
        <f t="shared" si="279"/>
        <v>1900</v>
      </c>
      <c r="M3293" s="272">
        <f t="shared" si="280"/>
        <v>1</v>
      </c>
      <c r="O3293" s="61">
        <f t="shared" si="281"/>
        <v>1900</v>
      </c>
      <c r="P3293" s="61">
        <f t="shared" si="282"/>
        <v>1</v>
      </c>
      <c r="R3293" s="272"/>
      <c r="S3293" s="272"/>
    </row>
    <row r="3294" spans="9:19">
      <c r="I3294" s="213"/>
      <c r="J3294" s="213"/>
      <c r="L3294" s="272">
        <f t="shared" si="279"/>
        <v>1900</v>
      </c>
      <c r="M3294" s="272">
        <f t="shared" si="280"/>
        <v>1</v>
      </c>
      <c r="O3294" s="61">
        <f t="shared" si="281"/>
        <v>1900</v>
      </c>
      <c r="P3294" s="61">
        <f t="shared" si="282"/>
        <v>1</v>
      </c>
      <c r="R3294" s="272"/>
      <c r="S3294" s="272"/>
    </row>
    <row r="3295" spans="9:19">
      <c r="I3295" s="213"/>
      <c r="J3295" s="213"/>
      <c r="L3295" s="272">
        <f t="shared" si="279"/>
        <v>1900</v>
      </c>
      <c r="M3295" s="272">
        <f t="shared" si="280"/>
        <v>1</v>
      </c>
      <c r="O3295" s="61">
        <f t="shared" si="281"/>
        <v>1900</v>
      </c>
      <c r="P3295" s="61">
        <f t="shared" si="282"/>
        <v>1</v>
      </c>
      <c r="R3295" s="272"/>
      <c r="S3295" s="272"/>
    </row>
    <row r="3296" spans="9:19">
      <c r="I3296" s="213"/>
      <c r="J3296" s="213"/>
      <c r="L3296" s="272">
        <f t="shared" si="279"/>
        <v>1900</v>
      </c>
      <c r="M3296" s="272">
        <f t="shared" si="280"/>
        <v>1</v>
      </c>
      <c r="O3296" s="61">
        <f t="shared" si="281"/>
        <v>1900</v>
      </c>
      <c r="P3296" s="61">
        <f t="shared" si="282"/>
        <v>1</v>
      </c>
      <c r="R3296" s="272"/>
      <c r="S3296" s="272"/>
    </row>
    <row r="3297" spans="9:19">
      <c r="I3297" s="213"/>
      <c r="J3297" s="213"/>
      <c r="L3297" s="272">
        <f t="shared" si="279"/>
        <v>1900</v>
      </c>
      <c r="M3297" s="272">
        <f t="shared" si="280"/>
        <v>1</v>
      </c>
      <c r="O3297" s="61">
        <f t="shared" si="281"/>
        <v>1900</v>
      </c>
      <c r="P3297" s="61">
        <f t="shared" si="282"/>
        <v>1</v>
      </c>
      <c r="R3297" s="272"/>
      <c r="S3297" s="272"/>
    </row>
    <row r="3298" spans="9:19">
      <c r="I3298" s="213"/>
      <c r="J3298" s="213"/>
      <c r="L3298" s="272">
        <f t="shared" si="279"/>
        <v>1900</v>
      </c>
      <c r="M3298" s="272">
        <f t="shared" si="280"/>
        <v>1</v>
      </c>
      <c r="O3298" s="61">
        <f t="shared" si="281"/>
        <v>1900</v>
      </c>
      <c r="P3298" s="61">
        <f t="shared" si="282"/>
        <v>1</v>
      </c>
      <c r="R3298" s="272"/>
      <c r="S3298" s="272"/>
    </row>
    <row r="3299" spans="9:19">
      <c r="I3299" s="213"/>
      <c r="J3299" s="213"/>
      <c r="L3299" s="272">
        <f t="shared" si="279"/>
        <v>1900</v>
      </c>
      <c r="M3299" s="272">
        <f t="shared" si="280"/>
        <v>1</v>
      </c>
      <c r="O3299" s="61">
        <f t="shared" si="281"/>
        <v>1900</v>
      </c>
      <c r="P3299" s="61">
        <f t="shared" si="282"/>
        <v>1</v>
      </c>
      <c r="R3299" s="272"/>
      <c r="S3299" s="272"/>
    </row>
    <row r="3300" spans="9:19">
      <c r="I3300" s="213"/>
      <c r="J3300" s="213"/>
      <c r="L3300" s="272">
        <f t="shared" si="279"/>
        <v>1900</v>
      </c>
      <c r="M3300" s="272">
        <f t="shared" si="280"/>
        <v>1</v>
      </c>
      <c r="O3300" s="61">
        <f t="shared" si="281"/>
        <v>1900</v>
      </c>
      <c r="P3300" s="61">
        <f t="shared" si="282"/>
        <v>1</v>
      </c>
      <c r="R3300" s="272"/>
      <c r="S3300" s="272"/>
    </row>
    <row r="3301" spans="9:19">
      <c r="I3301" s="213"/>
      <c r="J3301" s="213"/>
      <c r="L3301" s="272">
        <f t="shared" si="279"/>
        <v>1900</v>
      </c>
      <c r="M3301" s="272">
        <f t="shared" si="280"/>
        <v>1</v>
      </c>
      <c r="O3301" s="61">
        <f t="shared" si="281"/>
        <v>1900</v>
      </c>
      <c r="P3301" s="61">
        <f t="shared" si="282"/>
        <v>1</v>
      </c>
      <c r="R3301" s="272"/>
      <c r="S3301" s="272"/>
    </row>
    <row r="3302" spans="9:19">
      <c r="I3302" s="213"/>
      <c r="J3302" s="213"/>
      <c r="L3302" s="272">
        <f t="shared" si="279"/>
        <v>1900</v>
      </c>
      <c r="M3302" s="272">
        <f t="shared" si="280"/>
        <v>1</v>
      </c>
      <c r="O3302" s="61">
        <f t="shared" si="281"/>
        <v>1900</v>
      </c>
      <c r="P3302" s="61">
        <f t="shared" si="282"/>
        <v>1</v>
      </c>
      <c r="R3302" s="272"/>
      <c r="S3302" s="272"/>
    </row>
    <row r="3303" spans="9:19">
      <c r="I3303" s="213"/>
      <c r="J3303" s="213"/>
      <c r="L3303" s="272">
        <f t="shared" si="279"/>
        <v>1900</v>
      </c>
      <c r="M3303" s="272">
        <f t="shared" si="280"/>
        <v>1</v>
      </c>
      <c r="O3303" s="61">
        <f t="shared" si="281"/>
        <v>1900</v>
      </c>
      <c r="P3303" s="61">
        <f t="shared" si="282"/>
        <v>1</v>
      </c>
      <c r="R3303" s="272"/>
      <c r="S3303" s="272"/>
    </row>
    <row r="3304" spans="9:19">
      <c r="I3304" s="213"/>
      <c r="J3304" s="213"/>
      <c r="L3304" s="272">
        <f t="shared" si="279"/>
        <v>1900</v>
      </c>
      <c r="M3304" s="272">
        <f t="shared" si="280"/>
        <v>1</v>
      </c>
      <c r="O3304" s="61">
        <f t="shared" si="281"/>
        <v>1900</v>
      </c>
      <c r="P3304" s="61">
        <f t="shared" si="282"/>
        <v>1</v>
      </c>
      <c r="R3304" s="272"/>
      <c r="S3304" s="272"/>
    </row>
    <row r="3305" spans="9:19">
      <c r="I3305" s="213"/>
      <c r="J3305" s="213"/>
      <c r="L3305" s="272">
        <f t="shared" si="279"/>
        <v>1900</v>
      </c>
      <c r="M3305" s="272">
        <f t="shared" si="280"/>
        <v>1</v>
      </c>
      <c r="O3305" s="61">
        <f t="shared" si="281"/>
        <v>1900</v>
      </c>
      <c r="P3305" s="61">
        <f t="shared" si="282"/>
        <v>1</v>
      </c>
      <c r="R3305" s="272"/>
      <c r="S3305" s="272"/>
    </row>
    <row r="3306" spans="9:19">
      <c r="I3306" s="213"/>
      <c r="J3306" s="213"/>
      <c r="L3306" s="272">
        <f t="shared" si="279"/>
        <v>1900</v>
      </c>
      <c r="M3306" s="272">
        <f t="shared" si="280"/>
        <v>1</v>
      </c>
      <c r="O3306" s="61">
        <f t="shared" si="281"/>
        <v>1900</v>
      </c>
      <c r="P3306" s="61">
        <f t="shared" si="282"/>
        <v>1</v>
      </c>
      <c r="R3306" s="272"/>
      <c r="S3306" s="272"/>
    </row>
    <row r="3307" spans="9:19">
      <c r="I3307" s="213"/>
      <c r="J3307" s="213"/>
      <c r="L3307" s="272">
        <f t="shared" si="279"/>
        <v>1900</v>
      </c>
      <c r="M3307" s="272">
        <f t="shared" si="280"/>
        <v>1</v>
      </c>
      <c r="O3307" s="61">
        <f t="shared" si="281"/>
        <v>1900</v>
      </c>
      <c r="P3307" s="61">
        <f t="shared" si="282"/>
        <v>1</v>
      </c>
      <c r="R3307" s="272"/>
      <c r="S3307" s="272"/>
    </row>
    <row r="3308" spans="9:19">
      <c r="I3308" s="213"/>
      <c r="J3308" s="213"/>
      <c r="L3308" s="272">
        <f t="shared" si="279"/>
        <v>1900</v>
      </c>
      <c r="M3308" s="272">
        <f t="shared" si="280"/>
        <v>1</v>
      </c>
      <c r="O3308" s="61">
        <f t="shared" si="281"/>
        <v>1900</v>
      </c>
      <c r="P3308" s="61">
        <f t="shared" si="282"/>
        <v>1</v>
      </c>
      <c r="R3308" s="272"/>
      <c r="S3308" s="272"/>
    </row>
    <row r="3309" spans="9:19">
      <c r="I3309" s="213"/>
      <c r="J3309" s="213"/>
      <c r="L3309" s="272">
        <f t="shared" si="279"/>
        <v>1900</v>
      </c>
      <c r="M3309" s="272">
        <f t="shared" si="280"/>
        <v>1</v>
      </c>
      <c r="O3309" s="61">
        <f t="shared" si="281"/>
        <v>1900</v>
      </c>
      <c r="P3309" s="61">
        <f t="shared" si="282"/>
        <v>1</v>
      </c>
      <c r="R3309" s="272"/>
      <c r="S3309" s="272"/>
    </row>
    <row r="3310" spans="9:19">
      <c r="I3310" s="213"/>
      <c r="J3310" s="213"/>
      <c r="L3310" s="272">
        <f t="shared" si="279"/>
        <v>1900</v>
      </c>
      <c r="M3310" s="272">
        <f t="shared" si="280"/>
        <v>1</v>
      </c>
      <c r="O3310" s="61">
        <f t="shared" si="281"/>
        <v>1900</v>
      </c>
      <c r="P3310" s="61">
        <f t="shared" si="282"/>
        <v>1</v>
      </c>
      <c r="R3310" s="272"/>
      <c r="S3310" s="272"/>
    </row>
    <row r="3311" spans="9:19">
      <c r="I3311" s="213"/>
      <c r="J3311" s="213"/>
      <c r="L3311" s="272">
        <f t="shared" si="279"/>
        <v>1900</v>
      </c>
      <c r="M3311" s="272">
        <f t="shared" si="280"/>
        <v>1</v>
      </c>
      <c r="O3311" s="61">
        <f t="shared" si="281"/>
        <v>1900</v>
      </c>
      <c r="P3311" s="61">
        <f t="shared" si="282"/>
        <v>1</v>
      </c>
      <c r="R3311" s="272"/>
      <c r="S3311" s="272"/>
    </row>
    <row r="3312" spans="9:19">
      <c r="I3312" s="213"/>
      <c r="J3312" s="213"/>
      <c r="L3312" s="272">
        <f t="shared" si="279"/>
        <v>1900</v>
      </c>
      <c r="M3312" s="272">
        <f t="shared" si="280"/>
        <v>1</v>
      </c>
      <c r="O3312" s="61">
        <f t="shared" si="281"/>
        <v>1900</v>
      </c>
      <c r="P3312" s="61">
        <f t="shared" si="282"/>
        <v>1</v>
      </c>
      <c r="R3312" s="272"/>
      <c r="S3312" s="272"/>
    </row>
    <row r="3313" spans="9:19">
      <c r="I3313" s="213"/>
      <c r="J3313" s="213"/>
      <c r="L3313" s="272">
        <f t="shared" si="279"/>
        <v>1900</v>
      </c>
      <c r="M3313" s="272">
        <f t="shared" si="280"/>
        <v>1</v>
      </c>
      <c r="O3313" s="61">
        <f t="shared" si="281"/>
        <v>1900</v>
      </c>
      <c r="P3313" s="61">
        <f t="shared" si="282"/>
        <v>1</v>
      </c>
      <c r="R3313" s="272"/>
      <c r="S3313" s="272"/>
    </row>
    <row r="3314" spans="9:19">
      <c r="I3314" s="213"/>
      <c r="J3314" s="213"/>
      <c r="L3314" s="272">
        <f t="shared" si="279"/>
        <v>1900</v>
      </c>
      <c r="M3314" s="272">
        <f t="shared" si="280"/>
        <v>1</v>
      </c>
      <c r="O3314" s="61">
        <f t="shared" si="281"/>
        <v>1900</v>
      </c>
      <c r="P3314" s="61">
        <f t="shared" si="282"/>
        <v>1</v>
      </c>
      <c r="R3314" s="272"/>
      <c r="S3314" s="272"/>
    </row>
    <row r="3315" spans="9:19">
      <c r="I3315" s="213"/>
      <c r="J3315" s="213"/>
      <c r="L3315" s="272">
        <f t="shared" si="279"/>
        <v>1900</v>
      </c>
      <c r="M3315" s="272">
        <f t="shared" si="280"/>
        <v>1</v>
      </c>
      <c r="O3315" s="61">
        <f t="shared" si="281"/>
        <v>1900</v>
      </c>
      <c r="P3315" s="61">
        <f t="shared" si="282"/>
        <v>1</v>
      </c>
      <c r="R3315" s="272"/>
      <c r="S3315" s="272"/>
    </row>
    <row r="3316" spans="9:19">
      <c r="I3316" s="213"/>
      <c r="J3316" s="213"/>
      <c r="L3316" s="272">
        <f t="shared" si="279"/>
        <v>1900</v>
      </c>
      <c r="M3316" s="272">
        <f t="shared" si="280"/>
        <v>1</v>
      </c>
      <c r="O3316" s="61">
        <f t="shared" si="281"/>
        <v>1900</v>
      </c>
      <c r="P3316" s="61">
        <f t="shared" si="282"/>
        <v>1</v>
      </c>
      <c r="R3316" s="272"/>
      <c r="S3316" s="272"/>
    </row>
    <row r="3317" spans="9:19">
      <c r="I3317" s="213"/>
      <c r="J3317" s="213"/>
      <c r="L3317" s="272">
        <f t="shared" si="279"/>
        <v>1900</v>
      </c>
      <c r="M3317" s="272">
        <f t="shared" si="280"/>
        <v>1</v>
      </c>
      <c r="O3317" s="61">
        <f t="shared" si="281"/>
        <v>1900</v>
      </c>
      <c r="P3317" s="61">
        <f t="shared" si="282"/>
        <v>1</v>
      </c>
      <c r="R3317" s="272"/>
      <c r="S3317" s="272"/>
    </row>
    <row r="3318" spans="9:19">
      <c r="I3318" s="213"/>
      <c r="J3318" s="213"/>
      <c r="L3318" s="272">
        <f t="shared" si="279"/>
        <v>1900</v>
      </c>
      <c r="M3318" s="272">
        <f t="shared" si="280"/>
        <v>1</v>
      </c>
      <c r="O3318" s="61">
        <f t="shared" si="281"/>
        <v>1900</v>
      </c>
      <c r="P3318" s="61">
        <f t="shared" si="282"/>
        <v>1</v>
      </c>
      <c r="R3318" s="272"/>
      <c r="S3318" s="272"/>
    </row>
    <row r="3319" spans="9:19">
      <c r="I3319" s="213"/>
      <c r="J3319" s="213"/>
      <c r="L3319" s="272">
        <f t="shared" si="279"/>
        <v>1900</v>
      </c>
      <c r="M3319" s="272">
        <f t="shared" si="280"/>
        <v>1</v>
      </c>
      <c r="O3319" s="61">
        <f t="shared" si="281"/>
        <v>1900</v>
      </c>
      <c r="P3319" s="61">
        <f t="shared" si="282"/>
        <v>1</v>
      </c>
      <c r="R3319" s="272"/>
      <c r="S3319" s="272"/>
    </row>
    <row r="3320" spans="9:19">
      <c r="I3320" s="213"/>
      <c r="J3320" s="213"/>
      <c r="L3320" s="272">
        <f t="shared" si="279"/>
        <v>1900</v>
      </c>
      <c r="M3320" s="272">
        <f t="shared" si="280"/>
        <v>1</v>
      </c>
      <c r="O3320" s="61">
        <f t="shared" si="281"/>
        <v>1900</v>
      </c>
      <c r="P3320" s="61">
        <f t="shared" si="282"/>
        <v>1</v>
      </c>
      <c r="R3320" s="272"/>
      <c r="S3320" s="272"/>
    </row>
    <row r="3321" spans="9:19">
      <c r="I3321" s="213"/>
      <c r="J3321" s="213"/>
      <c r="L3321" s="272">
        <f t="shared" si="279"/>
        <v>1900</v>
      </c>
      <c r="M3321" s="272">
        <f t="shared" si="280"/>
        <v>1</v>
      </c>
      <c r="O3321" s="61">
        <f t="shared" si="281"/>
        <v>1900</v>
      </c>
      <c r="P3321" s="61">
        <f t="shared" si="282"/>
        <v>1</v>
      </c>
      <c r="R3321" s="272"/>
      <c r="S3321" s="272"/>
    </row>
    <row r="3322" spans="9:19">
      <c r="I3322" s="213"/>
      <c r="J3322" s="213"/>
      <c r="L3322" s="272">
        <f t="shared" si="279"/>
        <v>1900</v>
      </c>
      <c r="M3322" s="272">
        <f t="shared" si="280"/>
        <v>1</v>
      </c>
      <c r="O3322" s="61">
        <f t="shared" si="281"/>
        <v>1900</v>
      </c>
      <c r="P3322" s="61">
        <f t="shared" si="282"/>
        <v>1</v>
      </c>
      <c r="R3322" s="272"/>
      <c r="S3322" s="272"/>
    </row>
    <row r="3323" spans="9:19">
      <c r="I3323" s="213"/>
      <c r="J3323" s="213"/>
      <c r="L3323" s="272">
        <f t="shared" si="279"/>
        <v>1900</v>
      </c>
      <c r="M3323" s="272">
        <f t="shared" si="280"/>
        <v>1</v>
      </c>
      <c r="O3323" s="61">
        <f t="shared" si="281"/>
        <v>1900</v>
      </c>
      <c r="P3323" s="61">
        <f t="shared" si="282"/>
        <v>1</v>
      </c>
      <c r="R3323" s="272"/>
      <c r="S3323" s="272"/>
    </row>
    <row r="3324" spans="9:19">
      <c r="I3324" s="213"/>
      <c r="J3324" s="213"/>
      <c r="L3324" s="272">
        <f t="shared" si="279"/>
        <v>1900</v>
      </c>
      <c r="M3324" s="272">
        <f t="shared" si="280"/>
        <v>1</v>
      </c>
      <c r="O3324" s="61">
        <f t="shared" si="281"/>
        <v>1900</v>
      </c>
      <c r="P3324" s="61">
        <f t="shared" si="282"/>
        <v>1</v>
      </c>
      <c r="R3324" s="272"/>
      <c r="S3324" s="272"/>
    </row>
    <row r="3325" spans="9:19">
      <c r="I3325" s="213"/>
      <c r="J3325" s="213"/>
      <c r="L3325" s="272">
        <f t="shared" si="279"/>
        <v>1900</v>
      </c>
      <c r="M3325" s="272">
        <f t="shared" si="280"/>
        <v>1</v>
      </c>
      <c r="O3325" s="61">
        <f t="shared" si="281"/>
        <v>1900</v>
      </c>
      <c r="P3325" s="61">
        <f t="shared" si="282"/>
        <v>1</v>
      </c>
      <c r="R3325" s="272"/>
      <c r="S3325" s="272"/>
    </row>
    <row r="3326" spans="9:19">
      <c r="I3326" s="213"/>
      <c r="J3326" s="213"/>
      <c r="L3326" s="272">
        <f t="shared" si="279"/>
        <v>1900</v>
      </c>
      <c r="M3326" s="272">
        <f t="shared" si="280"/>
        <v>1</v>
      </c>
      <c r="O3326" s="61">
        <f t="shared" si="281"/>
        <v>1900</v>
      </c>
      <c r="P3326" s="61">
        <f t="shared" si="282"/>
        <v>1</v>
      </c>
      <c r="R3326" s="272"/>
      <c r="S3326" s="272"/>
    </row>
    <row r="3327" spans="9:19">
      <c r="I3327" s="213"/>
      <c r="J3327" s="213"/>
      <c r="L3327" s="272">
        <f t="shared" si="279"/>
        <v>1900</v>
      </c>
      <c r="M3327" s="272">
        <f t="shared" si="280"/>
        <v>1</v>
      </c>
      <c r="O3327" s="61">
        <f t="shared" si="281"/>
        <v>1900</v>
      </c>
      <c r="P3327" s="61">
        <f t="shared" si="282"/>
        <v>1</v>
      </c>
      <c r="R3327" s="272"/>
      <c r="S3327" s="272"/>
    </row>
    <row r="3328" spans="9:19">
      <c r="I3328" s="213"/>
      <c r="J3328" s="213"/>
      <c r="L3328" s="272">
        <f t="shared" si="279"/>
        <v>1900</v>
      </c>
      <c r="M3328" s="272">
        <f t="shared" si="280"/>
        <v>1</v>
      </c>
      <c r="O3328" s="61">
        <f t="shared" si="281"/>
        <v>1900</v>
      </c>
      <c r="P3328" s="61">
        <f t="shared" si="282"/>
        <v>1</v>
      </c>
      <c r="R3328" s="272"/>
      <c r="S3328" s="272"/>
    </row>
    <row r="3329" spans="9:19">
      <c r="I3329" s="213"/>
      <c r="J3329" s="213"/>
      <c r="L3329" s="272">
        <f t="shared" si="279"/>
        <v>1900</v>
      </c>
      <c r="M3329" s="272">
        <f t="shared" si="280"/>
        <v>1</v>
      </c>
      <c r="O3329" s="61">
        <f t="shared" si="281"/>
        <v>1900</v>
      </c>
      <c r="P3329" s="61">
        <f t="shared" si="282"/>
        <v>1</v>
      </c>
      <c r="R3329" s="272"/>
      <c r="S3329" s="272"/>
    </row>
    <row r="3330" spans="9:19">
      <c r="I3330" s="213"/>
      <c r="J3330" s="213"/>
      <c r="L3330" s="272">
        <f t="shared" si="279"/>
        <v>1900</v>
      </c>
      <c r="M3330" s="272">
        <f t="shared" si="280"/>
        <v>1</v>
      </c>
      <c r="O3330" s="61">
        <f t="shared" si="281"/>
        <v>1900</v>
      </c>
      <c r="P3330" s="61">
        <f t="shared" si="282"/>
        <v>1</v>
      </c>
      <c r="R3330" s="272"/>
      <c r="S3330" s="272"/>
    </row>
    <row r="3331" spans="9:19">
      <c r="I3331" s="213"/>
      <c r="J3331" s="213"/>
      <c r="L3331" s="272">
        <f t="shared" si="279"/>
        <v>1900</v>
      </c>
      <c r="M3331" s="272">
        <f t="shared" si="280"/>
        <v>1</v>
      </c>
      <c r="O3331" s="61">
        <f t="shared" si="281"/>
        <v>1900</v>
      </c>
      <c r="P3331" s="61">
        <f t="shared" si="282"/>
        <v>1</v>
      </c>
      <c r="R3331" s="272"/>
      <c r="S3331" s="272"/>
    </row>
    <row r="3332" spans="9:19">
      <c r="I3332" s="213"/>
      <c r="J3332" s="213"/>
      <c r="L3332" s="272">
        <f t="shared" si="279"/>
        <v>1900</v>
      </c>
      <c r="M3332" s="272">
        <f t="shared" si="280"/>
        <v>1</v>
      </c>
      <c r="O3332" s="61">
        <f t="shared" si="281"/>
        <v>1900</v>
      </c>
      <c r="P3332" s="61">
        <f t="shared" si="282"/>
        <v>1</v>
      </c>
      <c r="R3332" s="272"/>
      <c r="S3332" s="272"/>
    </row>
    <row r="3333" spans="9:19">
      <c r="I3333" s="213"/>
      <c r="J3333" s="213"/>
      <c r="L3333" s="272">
        <f t="shared" si="279"/>
        <v>1900</v>
      </c>
      <c r="M3333" s="272">
        <f t="shared" si="280"/>
        <v>1</v>
      </c>
      <c r="O3333" s="61">
        <f t="shared" si="281"/>
        <v>1900</v>
      </c>
      <c r="P3333" s="61">
        <f t="shared" si="282"/>
        <v>1</v>
      </c>
      <c r="R3333" s="272"/>
      <c r="S3333" s="272"/>
    </row>
    <row r="3334" spans="9:19">
      <c r="I3334" s="213"/>
      <c r="J3334" s="213"/>
      <c r="L3334" s="272">
        <f t="shared" si="279"/>
        <v>1900</v>
      </c>
      <c r="M3334" s="272">
        <f t="shared" si="280"/>
        <v>1</v>
      </c>
      <c r="O3334" s="61">
        <f t="shared" si="281"/>
        <v>1900</v>
      </c>
      <c r="P3334" s="61">
        <f t="shared" si="282"/>
        <v>1</v>
      </c>
      <c r="R3334" s="272"/>
      <c r="S3334" s="272"/>
    </row>
    <row r="3335" spans="9:19">
      <c r="I3335" s="213"/>
      <c r="J3335" s="213"/>
      <c r="L3335" s="272">
        <f t="shared" si="279"/>
        <v>1900</v>
      </c>
      <c r="M3335" s="272">
        <f t="shared" si="280"/>
        <v>1</v>
      </c>
      <c r="O3335" s="61">
        <f t="shared" si="281"/>
        <v>1900</v>
      </c>
      <c r="P3335" s="61">
        <f t="shared" si="282"/>
        <v>1</v>
      </c>
      <c r="R3335" s="272"/>
      <c r="S3335" s="272"/>
    </row>
    <row r="3336" spans="9:19">
      <c r="I3336" s="213"/>
      <c r="J3336" s="213"/>
      <c r="L3336" s="272">
        <f t="shared" si="279"/>
        <v>1900</v>
      </c>
      <c r="M3336" s="272">
        <f t="shared" si="280"/>
        <v>1</v>
      </c>
      <c r="O3336" s="61">
        <f t="shared" si="281"/>
        <v>1900</v>
      </c>
      <c r="P3336" s="61">
        <f t="shared" si="282"/>
        <v>1</v>
      </c>
      <c r="R3336" s="272"/>
      <c r="S3336" s="272"/>
    </row>
    <row r="3337" spans="9:19">
      <c r="I3337" s="213"/>
      <c r="J3337" s="213"/>
      <c r="L3337" s="272">
        <f t="shared" si="279"/>
        <v>1900</v>
      </c>
      <c r="M3337" s="272">
        <f t="shared" si="280"/>
        <v>1</v>
      </c>
      <c r="O3337" s="61">
        <f t="shared" si="281"/>
        <v>1900</v>
      </c>
      <c r="P3337" s="61">
        <f t="shared" si="282"/>
        <v>1</v>
      </c>
      <c r="R3337" s="272"/>
      <c r="S3337" s="272"/>
    </row>
    <row r="3338" spans="9:19">
      <c r="I3338" s="213"/>
      <c r="J3338" s="213"/>
      <c r="L3338" s="272">
        <f t="shared" si="279"/>
        <v>1900</v>
      </c>
      <c r="M3338" s="272">
        <f t="shared" si="280"/>
        <v>1</v>
      </c>
      <c r="O3338" s="61">
        <f t="shared" si="281"/>
        <v>1900</v>
      </c>
      <c r="P3338" s="61">
        <f t="shared" si="282"/>
        <v>1</v>
      </c>
      <c r="R3338" s="272"/>
      <c r="S3338" s="272"/>
    </row>
    <row r="3339" spans="9:19">
      <c r="I3339" s="213"/>
      <c r="J3339" s="213"/>
      <c r="L3339" s="272">
        <f t="shared" si="279"/>
        <v>1900</v>
      </c>
      <c r="M3339" s="272">
        <f t="shared" si="280"/>
        <v>1</v>
      </c>
      <c r="O3339" s="61">
        <f t="shared" si="281"/>
        <v>1900</v>
      </c>
      <c r="P3339" s="61">
        <f t="shared" si="282"/>
        <v>1</v>
      </c>
      <c r="R3339" s="272"/>
      <c r="S3339" s="272"/>
    </row>
    <row r="3340" spans="9:19">
      <c r="I3340" s="213"/>
      <c r="J3340" s="213"/>
      <c r="L3340" s="272">
        <f t="shared" si="279"/>
        <v>1900</v>
      </c>
      <c r="M3340" s="272">
        <f t="shared" si="280"/>
        <v>1</v>
      </c>
      <c r="O3340" s="61">
        <f t="shared" si="281"/>
        <v>1900</v>
      </c>
      <c r="P3340" s="61">
        <f t="shared" si="282"/>
        <v>1</v>
      </c>
      <c r="R3340" s="272"/>
      <c r="S3340" s="272"/>
    </row>
    <row r="3341" spans="9:19">
      <c r="I3341" s="213"/>
      <c r="J3341" s="213"/>
      <c r="L3341" s="272">
        <f t="shared" si="279"/>
        <v>1900</v>
      </c>
      <c r="M3341" s="272">
        <f t="shared" si="280"/>
        <v>1</v>
      </c>
      <c r="O3341" s="61">
        <f t="shared" si="281"/>
        <v>1900</v>
      </c>
      <c r="P3341" s="61">
        <f t="shared" si="282"/>
        <v>1</v>
      </c>
      <c r="R3341" s="272"/>
      <c r="S3341" s="272"/>
    </row>
    <row r="3342" spans="9:19">
      <c r="I3342" s="213"/>
      <c r="J3342" s="213"/>
      <c r="L3342" s="272">
        <f t="shared" si="279"/>
        <v>1900</v>
      </c>
      <c r="M3342" s="272">
        <f t="shared" si="280"/>
        <v>1</v>
      </c>
      <c r="O3342" s="61">
        <f t="shared" si="281"/>
        <v>1900</v>
      </c>
      <c r="P3342" s="61">
        <f t="shared" si="282"/>
        <v>1</v>
      </c>
      <c r="R3342" s="272"/>
      <c r="S3342" s="272"/>
    </row>
    <row r="3343" spans="9:19">
      <c r="I3343" s="213"/>
      <c r="J3343" s="213"/>
      <c r="L3343" s="272">
        <f t="shared" si="279"/>
        <v>1900</v>
      </c>
      <c r="M3343" s="272">
        <f t="shared" si="280"/>
        <v>1</v>
      </c>
      <c r="O3343" s="61">
        <f t="shared" si="281"/>
        <v>1900</v>
      </c>
      <c r="P3343" s="61">
        <f t="shared" si="282"/>
        <v>1</v>
      </c>
      <c r="R3343" s="272"/>
      <c r="S3343" s="272"/>
    </row>
    <row r="3344" spans="9:19">
      <c r="I3344" s="213"/>
      <c r="J3344" s="213"/>
      <c r="L3344" s="272">
        <f t="shared" ref="L3344:L3407" si="283">YEAR(B3344)</f>
        <v>1900</v>
      </c>
      <c r="M3344" s="272">
        <f t="shared" ref="M3344:M3407" si="284">MONTH(B3344)</f>
        <v>1</v>
      </c>
      <c r="O3344" s="61">
        <f t="shared" ref="O3344:O3407" si="285">YEAR(B3344)</f>
        <v>1900</v>
      </c>
      <c r="P3344" s="61">
        <f t="shared" ref="P3344:P3407" si="286">MONTH(B3344)</f>
        <v>1</v>
      </c>
      <c r="R3344" s="272"/>
      <c r="S3344" s="272"/>
    </row>
    <row r="3345" spans="9:19">
      <c r="I3345" s="213"/>
      <c r="J3345" s="213"/>
      <c r="L3345" s="272">
        <f t="shared" si="283"/>
        <v>1900</v>
      </c>
      <c r="M3345" s="272">
        <f t="shared" si="284"/>
        <v>1</v>
      </c>
      <c r="O3345" s="61">
        <f t="shared" si="285"/>
        <v>1900</v>
      </c>
      <c r="P3345" s="61">
        <f t="shared" si="286"/>
        <v>1</v>
      </c>
      <c r="R3345" s="272"/>
      <c r="S3345" s="272"/>
    </row>
    <row r="3346" spans="9:19">
      <c r="I3346" s="213"/>
      <c r="J3346" s="213"/>
      <c r="L3346" s="272">
        <f t="shared" si="283"/>
        <v>1900</v>
      </c>
      <c r="M3346" s="272">
        <f t="shared" si="284"/>
        <v>1</v>
      </c>
      <c r="O3346" s="61">
        <f t="shared" si="285"/>
        <v>1900</v>
      </c>
      <c r="P3346" s="61">
        <f t="shared" si="286"/>
        <v>1</v>
      </c>
      <c r="R3346" s="272"/>
      <c r="S3346" s="272"/>
    </row>
    <row r="3347" spans="9:19">
      <c r="I3347" s="213"/>
      <c r="J3347" s="213"/>
      <c r="L3347" s="272">
        <f t="shared" si="283"/>
        <v>1900</v>
      </c>
      <c r="M3347" s="272">
        <f t="shared" si="284"/>
        <v>1</v>
      </c>
      <c r="O3347" s="61">
        <f t="shared" si="285"/>
        <v>1900</v>
      </c>
      <c r="P3347" s="61">
        <f t="shared" si="286"/>
        <v>1</v>
      </c>
      <c r="R3347" s="272"/>
      <c r="S3347" s="272"/>
    </row>
    <row r="3348" spans="9:19">
      <c r="I3348" s="213"/>
      <c r="J3348" s="213"/>
      <c r="L3348" s="272">
        <f t="shared" si="283"/>
        <v>1900</v>
      </c>
      <c r="M3348" s="272">
        <f t="shared" si="284"/>
        <v>1</v>
      </c>
      <c r="O3348" s="61">
        <f t="shared" si="285"/>
        <v>1900</v>
      </c>
      <c r="P3348" s="61">
        <f t="shared" si="286"/>
        <v>1</v>
      </c>
      <c r="R3348" s="272"/>
      <c r="S3348" s="272"/>
    </row>
    <row r="3349" spans="9:19">
      <c r="I3349" s="213"/>
      <c r="J3349" s="213"/>
      <c r="L3349" s="272">
        <f t="shared" si="283"/>
        <v>1900</v>
      </c>
      <c r="M3349" s="272">
        <f t="shared" si="284"/>
        <v>1</v>
      </c>
      <c r="O3349" s="61">
        <f t="shared" si="285"/>
        <v>1900</v>
      </c>
      <c r="P3349" s="61">
        <f t="shared" si="286"/>
        <v>1</v>
      </c>
      <c r="R3349" s="272"/>
      <c r="S3349" s="272"/>
    </row>
    <row r="3350" spans="9:19">
      <c r="I3350" s="213"/>
      <c r="J3350" s="213"/>
      <c r="L3350" s="272">
        <f t="shared" si="283"/>
        <v>1900</v>
      </c>
      <c r="M3350" s="272">
        <f t="shared" si="284"/>
        <v>1</v>
      </c>
      <c r="O3350" s="61">
        <f t="shared" si="285"/>
        <v>1900</v>
      </c>
      <c r="P3350" s="61">
        <f t="shared" si="286"/>
        <v>1</v>
      </c>
      <c r="R3350" s="272"/>
      <c r="S3350" s="272"/>
    </row>
    <row r="3351" spans="9:19">
      <c r="I3351" s="213"/>
      <c r="J3351" s="213"/>
      <c r="L3351" s="272">
        <f t="shared" si="283"/>
        <v>1900</v>
      </c>
      <c r="M3351" s="272">
        <f t="shared" si="284"/>
        <v>1</v>
      </c>
      <c r="O3351" s="61">
        <f t="shared" si="285"/>
        <v>1900</v>
      </c>
      <c r="P3351" s="61">
        <f t="shared" si="286"/>
        <v>1</v>
      </c>
      <c r="R3351" s="272"/>
      <c r="S3351" s="272"/>
    </row>
    <row r="3352" spans="9:19">
      <c r="I3352" s="213"/>
      <c r="J3352" s="213"/>
      <c r="L3352" s="272">
        <f t="shared" si="283"/>
        <v>1900</v>
      </c>
      <c r="M3352" s="272">
        <f t="shared" si="284"/>
        <v>1</v>
      </c>
      <c r="O3352" s="61">
        <f t="shared" si="285"/>
        <v>1900</v>
      </c>
      <c r="P3352" s="61">
        <f t="shared" si="286"/>
        <v>1</v>
      </c>
      <c r="R3352" s="272"/>
      <c r="S3352" s="272"/>
    </row>
    <row r="3353" spans="9:19">
      <c r="I3353" s="213"/>
      <c r="J3353" s="213"/>
      <c r="L3353" s="272">
        <f t="shared" si="283"/>
        <v>1900</v>
      </c>
      <c r="M3353" s="272">
        <f t="shared" si="284"/>
        <v>1</v>
      </c>
      <c r="O3353" s="61">
        <f t="shared" si="285"/>
        <v>1900</v>
      </c>
      <c r="P3353" s="61">
        <f t="shared" si="286"/>
        <v>1</v>
      </c>
      <c r="R3353" s="272"/>
      <c r="S3353" s="272"/>
    </row>
    <row r="3354" spans="9:19">
      <c r="I3354" s="213"/>
      <c r="J3354" s="213"/>
      <c r="L3354" s="272">
        <f t="shared" si="283"/>
        <v>1900</v>
      </c>
      <c r="M3354" s="272">
        <f t="shared" si="284"/>
        <v>1</v>
      </c>
      <c r="O3354" s="61">
        <f t="shared" si="285"/>
        <v>1900</v>
      </c>
      <c r="P3354" s="61">
        <f t="shared" si="286"/>
        <v>1</v>
      </c>
      <c r="R3354" s="272"/>
      <c r="S3354" s="272"/>
    </row>
    <row r="3355" spans="9:19">
      <c r="I3355" s="213"/>
      <c r="J3355" s="213"/>
      <c r="L3355" s="272">
        <f t="shared" si="283"/>
        <v>1900</v>
      </c>
      <c r="M3355" s="272">
        <f t="shared" si="284"/>
        <v>1</v>
      </c>
      <c r="O3355" s="61">
        <f t="shared" si="285"/>
        <v>1900</v>
      </c>
      <c r="P3355" s="61">
        <f t="shared" si="286"/>
        <v>1</v>
      </c>
      <c r="R3355" s="272"/>
      <c r="S3355" s="272"/>
    </row>
    <row r="3356" spans="9:19">
      <c r="I3356" s="213"/>
      <c r="J3356" s="213"/>
      <c r="L3356" s="272">
        <f t="shared" si="283"/>
        <v>1900</v>
      </c>
      <c r="M3356" s="272">
        <f t="shared" si="284"/>
        <v>1</v>
      </c>
      <c r="O3356" s="61">
        <f t="shared" si="285"/>
        <v>1900</v>
      </c>
      <c r="P3356" s="61">
        <f t="shared" si="286"/>
        <v>1</v>
      </c>
      <c r="R3356" s="272"/>
      <c r="S3356" s="272"/>
    </row>
    <row r="3357" spans="9:19">
      <c r="I3357" s="213"/>
      <c r="J3357" s="213"/>
      <c r="L3357" s="272">
        <f t="shared" si="283"/>
        <v>1900</v>
      </c>
      <c r="M3357" s="272">
        <f t="shared" si="284"/>
        <v>1</v>
      </c>
      <c r="O3357" s="61">
        <f t="shared" si="285"/>
        <v>1900</v>
      </c>
      <c r="P3357" s="61">
        <f t="shared" si="286"/>
        <v>1</v>
      </c>
      <c r="R3357" s="272"/>
      <c r="S3357" s="272"/>
    </row>
    <row r="3358" spans="9:19">
      <c r="I3358" s="213"/>
      <c r="J3358" s="213"/>
      <c r="L3358" s="272">
        <f t="shared" si="283"/>
        <v>1900</v>
      </c>
      <c r="M3358" s="272">
        <f t="shared" si="284"/>
        <v>1</v>
      </c>
      <c r="O3358" s="61">
        <f t="shared" si="285"/>
        <v>1900</v>
      </c>
      <c r="P3358" s="61">
        <f t="shared" si="286"/>
        <v>1</v>
      </c>
      <c r="R3358" s="272"/>
      <c r="S3358" s="272"/>
    </row>
    <row r="3359" spans="9:19">
      <c r="I3359" s="213"/>
      <c r="J3359" s="213"/>
      <c r="L3359" s="272">
        <f t="shared" si="283"/>
        <v>1900</v>
      </c>
      <c r="M3359" s="272">
        <f t="shared" si="284"/>
        <v>1</v>
      </c>
      <c r="O3359" s="61">
        <f t="shared" si="285"/>
        <v>1900</v>
      </c>
      <c r="P3359" s="61">
        <f t="shared" si="286"/>
        <v>1</v>
      </c>
      <c r="R3359" s="272"/>
      <c r="S3359" s="272"/>
    </row>
    <row r="3360" spans="9:19">
      <c r="I3360" s="213"/>
      <c r="J3360" s="213"/>
      <c r="L3360" s="272">
        <f t="shared" si="283"/>
        <v>1900</v>
      </c>
      <c r="M3360" s="272">
        <f t="shared" si="284"/>
        <v>1</v>
      </c>
      <c r="O3360" s="61">
        <f t="shared" si="285"/>
        <v>1900</v>
      </c>
      <c r="P3360" s="61">
        <f t="shared" si="286"/>
        <v>1</v>
      </c>
      <c r="R3360" s="272"/>
      <c r="S3360" s="272"/>
    </row>
    <row r="3361" spans="9:19">
      <c r="I3361" s="213"/>
      <c r="J3361" s="213"/>
      <c r="L3361" s="272">
        <f t="shared" si="283"/>
        <v>1900</v>
      </c>
      <c r="M3361" s="272">
        <f t="shared" si="284"/>
        <v>1</v>
      </c>
      <c r="O3361" s="61">
        <f t="shared" si="285"/>
        <v>1900</v>
      </c>
      <c r="P3361" s="61">
        <f t="shared" si="286"/>
        <v>1</v>
      </c>
      <c r="R3361" s="272"/>
      <c r="S3361" s="272"/>
    </row>
    <row r="3362" spans="9:19">
      <c r="I3362" s="213"/>
      <c r="J3362" s="213"/>
      <c r="L3362" s="272">
        <f t="shared" si="283"/>
        <v>1900</v>
      </c>
      <c r="M3362" s="272">
        <f t="shared" si="284"/>
        <v>1</v>
      </c>
      <c r="O3362" s="61">
        <f t="shared" si="285"/>
        <v>1900</v>
      </c>
      <c r="P3362" s="61">
        <f t="shared" si="286"/>
        <v>1</v>
      </c>
      <c r="R3362" s="272"/>
      <c r="S3362" s="272"/>
    </row>
    <row r="3363" spans="9:19">
      <c r="I3363" s="213"/>
      <c r="J3363" s="213"/>
      <c r="L3363" s="272">
        <f t="shared" si="283"/>
        <v>1900</v>
      </c>
      <c r="M3363" s="272">
        <f t="shared" si="284"/>
        <v>1</v>
      </c>
      <c r="O3363" s="61">
        <f t="shared" si="285"/>
        <v>1900</v>
      </c>
      <c r="P3363" s="61">
        <f t="shared" si="286"/>
        <v>1</v>
      </c>
      <c r="R3363" s="272"/>
      <c r="S3363" s="272"/>
    </row>
    <row r="3364" spans="9:19">
      <c r="I3364" s="213"/>
      <c r="J3364" s="213"/>
      <c r="L3364" s="272">
        <f t="shared" si="283"/>
        <v>1900</v>
      </c>
      <c r="M3364" s="272">
        <f t="shared" si="284"/>
        <v>1</v>
      </c>
      <c r="O3364" s="61">
        <f t="shared" si="285"/>
        <v>1900</v>
      </c>
      <c r="P3364" s="61">
        <f t="shared" si="286"/>
        <v>1</v>
      </c>
      <c r="R3364" s="272"/>
      <c r="S3364" s="272"/>
    </row>
    <row r="3365" spans="9:19">
      <c r="I3365" s="213"/>
      <c r="J3365" s="213"/>
      <c r="L3365" s="272">
        <f t="shared" si="283"/>
        <v>1900</v>
      </c>
      <c r="M3365" s="272">
        <f t="shared" si="284"/>
        <v>1</v>
      </c>
      <c r="O3365" s="61">
        <f t="shared" si="285"/>
        <v>1900</v>
      </c>
      <c r="P3365" s="61">
        <f t="shared" si="286"/>
        <v>1</v>
      </c>
      <c r="R3365" s="272"/>
      <c r="S3365" s="272"/>
    </row>
    <row r="3366" spans="9:19">
      <c r="I3366" s="213"/>
      <c r="J3366" s="213"/>
      <c r="L3366" s="272">
        <f t="shared" si="283"/>
        <v>1900</v>
      </c>
      <c r="M3366" s="272">
        <f t="shared" si="284"/>
        <v>1</v>
      </c>
      <c r="O3366" s="61">
        <f t="shared" si="285"/>
        <v>1900</v>
      </c>
      <c r="P3366" s="61">
        <f t="shared" si="286"/>
        <v>1</v>
      </c>
      <c r="R3366" s="272"/>
      <c r="S3366" s="272"/>
    </row>
    <row r="3367" spans="9:19">
      <c r="I3367" s="213"/>
      <c r="J3367" s="213"/>
      <c r="L3367" s="272">
        <f t="shared" si="283"/>
        <v>1900</v>
      </c>
      <c r="M3367" s="272">
        <f t="shared" si="284"/>
        <v>1</v>
      </c>
      <c r="O3367" s="61">
        <f t="shared" si="285"/>
        <v>1900</v>
      </c>
      <c r="P3367" s="61">
        <f t="shared" si="286"/>
        <v>1</v>
      </c>
      <c r="R3367" s="272"/>
      <c r="S3367" s="272"/>
    </row>
    <row r="3368" spans="9:19">
      <c r="I3368" s="213"/>
      <c r="J3368" s="213"/>
      <c r="L3368" s="272">
        <f t="shared" si="283"/>
        <v>1900</v>
      </c>
      <c r="M3368" s="272">
        <f t="shared" si="284"/>
        <v>1</v>
      </c>
      <c r="O3368" s="61">
        <f t="shared" si="285"/>
        <v>1900</v>
      </c>
      <c r="P3368" s="61">
        <f t="shared" si="286"/>
        <v>1</v>
      </c>
      <c r="R3368" s="272"/>
      <c r="S3368" s="272"/>
    </row>
    <row r="3369" spans="9:19">
      <c r="I3369" s="213"/>
      <c r="J3369" s="213"/>
      <c r="L3369" s="272">
        <f t="shared" si="283"/>
        <v>1900</v>
      </c>
      <c r="M3369" s="272">
        <f t="shared" si="284"/>
        <v>1</v>
      </c>
      <c r="O3369" s="61">
        <f t="shared" si="285"/>
        <v>1900</v>
      </c>
      <c r="P3369" s="61">
        <f t="shared" si="286"/>
        <v>1</v>
      </c>
      <c r="R3369" s="272"/>
      <c r="S3369" s="272"/>
    </row>
    <row r="3370" spans="9:19">
      <c r="I3370" s="213"/>
      <c r="J3370" s="213"/>
      <c r="L3370" s="272">
        <f t="shared" si="283"/>
        <v>1900</v>
      </c>
      <c r="M3370" s="272">
        <f t="shared" si="284"/>
        <v>1</v>
      </c>
      <c r="O3370" s="61">
        <f t="shared" si="285"/>
        <v>1900</v>
      </c>
      <c r="P3370" s="61">
        <f t="shared" si="286"/>
        <v>1</v>
      </c>
      <c r="R3370" s="272"/>
      <c r="S3370" s="272"/>
    </row>
    <row r="3371" spans="9:19">
      <c r="I3371" s="213"/>
      <c r="J3371" s="213"/>
      <c r="L3371" s="272">
        <f t="shared" si="283"/>
        <v>1900</v>
      </c>
      <c r="M3371" s="272">
        <f t="shared" si="284"/>
        <v>1</v>
      </c>
      <c r="O3371" s="61">
        <f t="shared" si="285"/>
        <v>1900</v>
      </c>
      <c r="P3371" s="61">
        <f t="shared" si="286"/>
        <v>1</v>
      </c>
      <c r="R3371" s="272"/>
      <c r="S3371" s="272"/>
    </row>
    <row r="3372" spans="9:19">
      <c r="I3372" s="213"/>
      <c r="J3372" s="213"/>
      <c r="L3372" s="272">
        <f t="shared" si="283"/>
        <v>1900</v>
      </c>
      <c r="M3372" s="272">
        <f t="shared" si="284"/>
        <v>1</v>
      </c>
      <c r="O3372" s="61">
        <f t="shared" si="285"/>
        <v>1900</v>
      </c>
      <c r="P3372" s="61">
        <f t="shared" si="286"/>
        <v>1</v>
      </c>
      <c r="R3372" s="272"/>
      <c r="S3372" s="272"/>
    </row>
    <row r="3373" spans="9:19">
      <c r="I3373" s="213"/>
      <c r="J3373" s="213"/>
      <c r="L3373" s="272">
        <f t="shared" si="283"/>
        <v>1900</v>
      </c>
      <c r="M3373" s="272">
        <f t="shared" si="284"/>
        <v>1</v>
      </c>
      <c r="O3373" s="61">
        <f t="shared" si="285"/>
        <v>1900</v>
      </c>
      <c r="P3373" s="61">
        <f t="shared" si="286"/>
        <v>1</v>
      </c>
      <c r="R3373" s="272"/>
      <c r="S3373" s="272"/>
    </row>
    <row r="3374" spans="9:19">
      <c r="I3374" s="213"/>
      <c r="J3374" s="213"/>
      <c r="L3374" s="272">
        <f t="shared" si="283"/>
        <v>1900</v>
      </c>
      <c r="M3374" s="272">
        <f t="shared" si="284"/>
        <v>1</v>
      </c>
      <c r="O3374" s="61">
        <f t="shared" si="285"/>
        <v>1900</v>
      </c>
      <c r="P3374" s="61">
        <f t="shared" si="286"/>
        <v>1</v>
      </c>
      <c r="R3374" s="272"/>
      <c r="S3374" s="272"/>
    </row>
    <row r="3375" spans="9:19">
      <c r="I3375" s="213"/>
      <c r="J3375" s="213"/>
      <c r="L3375" s="272">
        <f t="shared" si="283"/>
        <v>1900</v>
      </c>
      <c r="M3375" s="272">
        <f t="shared" si="284"/>
        <v>1</v>
      </c>
      <c r="O3375" s="61">
        <f t="shared" si="285"/>
        <v>1900</v>
      </c>
      <c r="P3375" s="61">
        <f t="shared" si="286"/>
        <v>1</v>
      </c>
      <c r="R3375" s="272"/>
      <c r="S3375" s="272"/>
    </row>
    <row r="3376" spans="9:19">
      <c r="I3376" s="213"/>
      <c r="J3376" s="213"/>
      <c r="L3376" s="272">
        <f t="shared" si="283"/>
        <v>1900</v>
      </c>
      <c r="M3376" s="272">
        <f t="shared" si="284"/>
        <v>1</v>
      </c>
      <c r="O3376" s="61">
        <f t="shared" si="285"/>
        <v>1900</v>
      </c>
      <c r="P3376" s="61">
        <f t="shared" si="286"/>
        <v>1</v>
      </c>
      <c r="R3376" s="272"/>
      <c r="S3376" s="272"/>
    </row>
    <row r="3377" spans="9:19">
      <c r="I3377" s="213"/>
      <c r="J3377" s="213"/>
      <c r="L3377" s="272">
        <f t="shared" si="283"/>
        <v>1900</v>
      </c>
      <c r="M3377" s="272">
        <f t="shared" si="284"/>
        <v>1</v>
      </c>
      <c r="O3377" s="61">
        <f t="shared" si="285"/>
        <v>1900</v>
      </c>
      <c r="P3377" s="61">
        <f t="shared" si="286"/>
        <v>1</v>
      </c>
      <c r="R3377" s="272"/>
      <c r="S3377" s="272"/>
    </row>
    <row r="3378" spans="9:19">
      <c r="I3378" s="213"/>
      <c r="J3378" s="213"/>
      <c r="L3378" s="272">
        <f t="shared" si="283"/>
        <v>1900</v>
      </c>
      <c r="M3378" s="272">
        <f t="shared" si="284"/>
        <v>1</v>
      </c>
      <c r="O3378" s="61">
        <f t="shared" si="285"/>
        <v>1900</v>
      </c>
      <c r="P3378" s="61">
        <f t="shared" si="286"/>
        <v>1</v>
      </c>
      <c r="R3378" s="272"/>
      <c r="S3378" s="272"/>
    </row>
    <row r="3379" spans="9:19">
      <c r="I3379" s="213"/>
      <c r="J3379" s="213"/>
      <c r="L3379" s="272">
        <f t="shared" si="283"/>
        <v>1900</v>
      </c>
      <c r="M3379" s="272">
        <f t="shared" si="284"/>
        <v>1</v>
      </c>
      <c r="O3379" s="61">
        <f t="shared" si="285"/>
        <v>1900</v>
      </c>
      <c r="P3379" s="61">
        <f t="shared" si="286"/>
        <v>1</v>
      </c>
      <c r="R3379" s="272"/>
      <c r="S3379" s="272"/>
    </row>
    <row r="3380" spans="9:19">
      <c r="I3380" s="213"/>
      <c r="J3380" s="213"/>
      <c r="L3380" s="272">
        <f t="shared" si="283"/>
        <v>1900</v>
      </c>
      <c r="M3380" s="272">
        <f t="shared" si="284"/>
        <v>1</v>
      </c>
      <c r="O3380" s="61">
        <f t="shared" si="285"/>
        <v>1900</v>
      </c>
      <c r="P3380" s="61">
        <f t="shared" si="286"/>
        <v>1</v>
      </c>
      <c r="R3380" s="272"/>
      <c r="S3380" s="272"/>
    </row>
    <row r="3381" spans="9:19">
      <c r="I3381" s="213"/>
      <c r="J3381" s="213"/>
      <c r="L3381" s="272">
        <f t="shared" si="283"/>
        <v>1900</v>
      </c>
      <c r="M3381" s="272">
        <f t="shared" si="284"/>
        <v>1</v>
      </c>
      <c r="O3381" s="61">
        <f t="shared" si="285"/>
        <v>1900</v>
      </c>
      <c r="P3381" s="61">
        <f t="shared" si="286"/>
        <v>1</v>
      </c>
      <c r="R3381" s="272"/>
      <c r="S3381" s="272"/>
    </row>
    <row r="3382" spans="9:19">
      <c r="I3382" s="213"/>
      <c r="J3382" s="213"/>
      <c r="L3382" s="272">
        <f t="shared" si="283"/>
        <v>1900</v>
      </c>
      <c r="M3382" s="272">
        <f t="shared" si="284"/>
        <v>1</v>
      </c>
      <c r="O3382" s="61">
        <f t="shared" si="285"/>
        <v>1900</v>
      </c>
      <c r="P3382" s="61">
        <f t="shared" si="286"/>
        <v>1</v>
      </c>
      <c r="R3382" s="272"/>
      <c r="S3382" s="272"/>
    </row>
    <row r="3383" spans="9:19">
      <c r="I3383" s="213"/>
      <c r="J3383" s="213"/>
      <c r="L3383" s="272">
        <f t="shared" si="283"/>
        <v>1900</v>
      </c>
      <c r="M3383" s="272">
        <f t="shared" si="284"/>
        <v>1</v>
      </c>
      <c r="O3383" s="61">
        <f t="shared" si="285"/>
        <v>1900</v>
      </c>
      <c r="P3383" s="61">
        <f t="shared" si="286"/>
        <v>1</v>
      </c>
      <c r="R3383" s="272"/>
      <c r="S3383" s="272"/>
    </row>
    <row r="3384" spans="9:19">
      <c r="I3384" s="213"/>
      <c r="J3384" s="213"/>
      <c r="L3384" s="272">
        <f t="shared" si="283"/>
        <v>1900</v>
      </c>
      <c r="M3384" s="272">
        <f t="shared" si="284"/>
        <v>1</v>
      </c>
      <c r="O3384" s="61">
        <f t="shared" si="285"/>
        <v>1900</v>
      </c>
      <c r="P3384" s="61">
        <f t="shared" si="286"/>
        <v>1</v>
      </c>
      <c r="R3384" s="272"/>
      <c r="S3384" s="272"/>
    </row>
    <row r="3385" spans="9:19">
      <c r="I3385" s="213"/>
      <c r="J3385" s="213"/>
      <c r="L3385" s="272">
        <f t="shared" si="283"/>
        <v>1900</v>
      </c>
      <c r="M3385" s="272">
        <f t="shared" si="284"/>
        <v>1</v>
      </c>
      <c r="O3385" s="61">
        <f t="shared" si="285"/>
        <v>1900</v>
      </c>
      <c r="P3385" s="61">
        <f t="shared" si="286"/>
        <v>1</v>
      </c>
      <c r="R3385" s="272"/>
      <c r="S3385" s="272"/>
    </row>
    <row r="3386" spans="9:19">
      <c r="I3386" s="213"/>
      <c r="J3386" s="213"/>
      <c r="L3386" s="272">
        <f t="shared" si="283"/>
        <v>1900</v>
      </c>
      <c r="M3386" s="272">
        <f t="shared" si="284"/>
        <v>1</v>
      </c>
      <c r="O3386" s="61">
        <f t="shared" si="285"/>
        <v>1900</v>
      </c>
      <c r="P3386" s="61">
        <f t="shared" si="286"/>
        <v>1</v>
      </c>
      <c r="R3386" s="272"/>
      <c r="S3386" s="272"/>
    </row>
    <row r="3387" spans="9:19">
      <c r="I3387" s="213"/>
      <c r="J3387" s="213"/>
      <c r="L3387" s="272">
        <f t="shared" si="283"/>
        <v>1900</v>
      </c>
      <c r="M3387" s="272">
        <f t="shared" si="284"/>
        <v>1</v>
      </c>
      <c r="O3387" s="61">
        <f t="shared" si="285"/>
        <v>1900</v>
      </c>
      <c r="P3387" s="61">
        <f t="shared" si="286"/>
        <v>1</v>
      </c>
      <c r="R3387" s="272"/>
      <c r="S3387" s="272"/>
    </row>
    <row r="3388" spans="9:19">
      <c r="I3388" s="213"/>
      <c r="J3388" s="213"/>
      <c r="L3388" s="272">
        <f t="shared" si="283"/>
        <v>1900</v>
      </c>
      <c r="M3388" s="272">
        <f t="shared" si="284"/>
        <v>1</v>
      </c>
      <c r="O3388" s="61">
        <f t="shared" si="285"/>
        <v>1900</v>
      </c>
      <c r="P3388" s="61">
        <f t="shared" si="286"/>
        <v>1</v>
      </c>
      <c r="R3388" s="272"/>
      <c r="S3388" s="272"/>
    </row>
    <row r="3389" spans="9:19">
      <c r="I3389" s="213"/>
      <c r="J3389" s="213"/>
      <c r="L3389" s="272">
        <f t="shared" si="283"/>
        <v>1900</v>
      </c>
      <c r="M3389" s="272">
        <f t="shared" si="284"/>
        <v>1</v>
      </c>
      <c r="O3389" s="61">
        <f t="shared" si="285"/>
        <v>1900</v>
      </c>
      <c r="P3389" s="61">
        <f t="shared" si="286"/>
        <v>1</v>
      </c>
      <c r="R3389" s="272"/>
      <c r="S3389" s="272"/>
    </row>
    <row r="3390" spans="9:19">
      <c r="I3390" s="213"/>
      <c r="J3390" s="213"/>
      <c r="L3390" s="272">
        <f t="shared" si="283"/>
        <v>1900</v>
      </c>
      <c r="M3390" s="272">
        <f t="shared" si="284"/>
        <v>1</v>
      </c>
      <c r="O3390" s="61">
        <f t="shared" si="285"/>
        <v>1900</v>
      </c>
      <c r="P3390" s="61">
        <f t="shared" si="286"/>
        <v>1</v>
      </c>
      <c r="R3390" s="272"/>
      <c r="S3390" s="272"/>
    </row>
    <row r="3391" spans="9:19">
      <c r="I3391" s="213"/>
      <c r="J3391" s="213"/>
      <c r="L3391" s="272">
        <f t="shared" si="283"/>
        <v>1900</v>
      </c>
      <c r="M3391" s="272">
        <f t="shared" si="284"/>
        <v>1</v>
      </c>
      <c r="O3391" s="61">
        <f t="shared" si="285"/>
        <v>1900</v>
      </c>
      <c r="P3391" s="61">
        <f t="shared" si="286"/>
        <v>1</v>
      </c>
      <c r="R3391" s="272"/>
      <c r="S3391" s="272"/>
    </row>
    <row r="3392" spans="9:19">
      <c r="I3392" s="213"/>
      <c r="J3392" s="213"/>
      <c r="L3392" s="272">
        <f t="shared" si="283"/>
        <v>1900</v>
      </c>
      <c r="M3392" s="272">
        <f t="shared" si="284"/>
        <v>1</v>
      </c>
      <c r="O3392" s="61">
        <f t="shared" si="285"/>
        <v>1900</v>
      </c>
      <c r="P3392" s="61">
        <f t="shared" si="286"/>
        <v>1</v>
      </c>
      <c r="R3392" s="272"/>
      <c r="S3392" s="272"/>
    </row>
    <row r="3393" spans="9:19">
      <c r="I3393" s="213"/>
      <c r="J3393" s="213"/>
      <c r="L3393" s="272">
        <f t="shared" si="283"/>
        <v>1900</v>
      </c>
      <c r="M3393" s="272">
        <f t="shared" si="284"/>
        <v>1</v>
      </c>
      <c r="O3393" s="61">
        <f t="shared" si="285"/>
        <v>1900</v>
      </c>
      <c r="P3393" s="61">
        <f t="shared" si="286"/>
        <v>1</v>
      </c>
      <c r="R3393" s="272"/>
      <c r="S3393" s="272"/>
    </row>
    <row r="3394" spans="9:19">
      <c r="I3394" s="213"/>
      <c r="J3394" s="213"/>
      <c r="L3394" s="272">
        <f t="shared" si="283"/>
        <v>1900</v>
      </c>
      <c r="M3394" s="272">
        <f t="shared" si="284"/>
        <v>1</v>
      </c>
      <c r="O3394" s="61">
        <f t="shared" si="285"/>
        <v>1900</v>
      </c>
      <c r="P3394" s="61">
        <f t="shared" si="286"/>
        <v>1</v>
      </c>
      <c r="R3394" s="272"/>
      <c r="S3394" s="272"/>
    </row>
    <row r="3395" spans="9:19">
      <c r="I3395" s="213"/>
      <c r="J3395" s="213"/>
      <c r="L3395" s="272">
        <f t="shared" si="283"/>
        <v>1900</v>
      </c>
      <c r="M3395" s="272">
        <f t="shared" si="284"/>
        <v>1</v>
      </c>
      <c r="O3395" s="61">
        <f t="shared" si="285"/>
        <v>1900</v>
      </c>
      <c r="P3395" s="61">
        <f t="shared" si="286"/>
        <v>1</v>
      </c>
      <c r="R3395" s="272"/>
      <c r="S3395" s="272"/>
    </row>
    <row r="3396" spans="9:19">
      <c r="I3396" s="213"/>
      <c r="J3396" s="213"/>
      <c r="L3396" s="272">
        <f t="shared" si="283"/>
        <v>1900</v>
      </c>
      <c r="M3396" s="272">
        <f t="shared" si="284"/>
        <v>1</v>
      </c>
      <c r="O3396" s="61">
        <f t="shared" si="285"/>
        <v>1900</v>
      </c>
      <c r="P3396" s="61">
        <f t="shared" si="286"/>
        <v>1</v>
      </c>
      <c r="R3396" s="272"/>
      <c r="S3396" s="272"/>
    </row>
    <row r="3397" spans="9:19">
      <c r="I3397" s="213"/>
      <c r="J3397" s="213"/>
      <c r="L3397" s="272">
        <f t="shared" si="283"/>
        <v>1900</v>
      </c>
      <c r="M3397" s="272">
        <f t="shared" si="284"/>
        <v>1</v>
      </c>
      <c r="O3397" s="61">
        <f t="shared" si="285"/>
        <v>1900</v>
      </c>
      <c r="P3397" s="61">
        <f t="shared" si="286"/>
        <v>1</v>
      </c>
      <c r="R3397" s="272"/>
      <c r="S3397" s="272"/>
    </row>
    <row r="3398" spans="9:19">
      <c r="I3398" s="213"/>
      <c r="J3398" s="213"/>
      <c r="L3398" s="272">
        <f t="shared" si="283"/>
        <v>1900</v>
      </c>
      <c r="M3398" s="272">
        <f t="shared" si="284"/>
        <v>1</v>
      </c>
      <c r="O3398" s="61">
        <f t="shared" si="285"/>
        <v>1900</v>
      </c>
      <c r="P3398" s="61">
        <f t="shared" si="286"/>
        <v>1</v>
      </c>
      <c r="R3398" s="272"/>
      <c r="S3398" s="272"/>
    </row>
    <row r="3399" spans="9:19">
      <c r="I3399" s="213"/>
      <c r="J3399" s="213"/>
      <c r="L3399" s="272">
        <f t="shared" si="283"/>
        <v>1900</v>
      </c>
      <c r="M3399" s="272">
        <f t="shared" si="284"/>
        <v>1</v>
      </c>
      <c r="O3399" s="61">
        <f t="shared" si="285"/>
        <v>1900</v>
      </c>
      <c r="P3399" s="61">
        <f t="shared" si="286"/>
        <v>1</v>
      </c>
      <c r="R3399" s="272"/>
      <c r="S3399" s="272"/>
    </row>
    <row r="3400" spans="9:19">
      <c r="I3400" s="213"/>
      <c r="J3400" s="213"/>
      <c r="L3400" s="272">
        <f t="shared" si="283"/>
        <v>1900</v>
      </c>
      <c r="M3400" s="272">
        <f t="shared" si="284"/>
        <v>1</v>
      </c>
      <c r="O3400" s="61">
        <f t="shared" si="285"/>
        <v>1900</v>
      </c>
      <c r="P3400" s="61">
        <f t="shared" si="286"/>
        <v>1</v>
      </c>
      <c r="R3400" s="272"/>
      <c r="S3400" s="272"/>
    </row>
    <row r="3401" spans="9:19">
      <c r="I3401" s="213"/>
      <c r="J3401" s="213"/>
      <c r="L3401" s="272">
        <f t="shared" si="283"/>
        <v>1900</v>
      </c>
      <c r="M3401" s="272">
        <f t="shared" si="284"/>
        <v>1</v>
      </c>
      <c r="O3401" s="61">
        <f t="shared" si="285"/>
        <v>1900</v>
      </c>
      <c r="P3401" s="61">
        <f t="shared" si="286"/>
        <v>1</v>
      </c>
      <c r="R3401" s="272"/>
      <c r="S3401" s="272"/>
    </row>
    <row r="3402" spans="9:19">
      <c r="I3402" s="213"/>
      <c r="J3402" s="213"/>
      <c r="L3402" s="272">
        <f t="shared" si="283"/>
        <v>1900</v>
      </c>
      <c r="M3402" s="272">
        <f t="shared" si="284"/>
        <v>1</v>
      </c>
      <c r="O3402" s="61">
        <f t="shared" si="285"/>
        <v>1900</v>
      </c>
      <c r="P3402" s="61">
        <f t="shared" si="286"/>
        <v>1</v>
      </c>
      <c r="R3402" s="272"/>
      <c r="S3402" s="272"/>
    </row>
    <row r="3403" spans="9:19">
      <c r="I3403" s="213"/>
      <c r="J3403" s="213"/>
      <c r="L3403" s="272">
        <f t="shared" si="283"/>
        <v>1900</v>
      </c>
      <c r="M3403" s="272">
        <f t="shared" si="284"/>
        <v>1</v>
      </c>
      <c r="O3403" s="61">
        <f t="shared" si="285"/>
        <v>1900</v>
      </c>
      <c r="P3403" s="61">
        <f t="shared" si="286"/>
        <v>1</v>
      </c>
      <c r="R3403" s="272"/>
      <c r="S3403" s="272"/>
    </row>
    <row r="3404" spans="9:19">
      <c r="I3404" s="213"/>
      <c r="J3404" s="213"/>
      <c r="L3404" s="272">
        <f t="shared" si="283"/>
        <v>1900</v>
      </c>
      <c r="M3404" s="272">
        <f t="shared" si="284"/>
        <v>1</v>
      </c>
      <c r="O3404" s="61">
        <f t="shared" si="285"/>
        <v>1900</v>
      </c>
      <c r="P3404" s="61">
        <f t="shared" si="286"/>
        <v>1</v>
      </c>
      <c r="R3404" s="272"/>
      <c r="S3404" s="272"/>
    </row>
    <row r="3405" spans="9:19">
      <c r="I3405" s="213"/>
      <c r="J3405" s="213"/>
      <c r="L3405" s="272">
        <f t="shared" si="283"/>
        <v>1900</v>
      </c>
      <c r="M3405" s="272">
        <f t="shared" si="284"/>
        <v>1</v>
      </c>
      <c r="O3405" s="61">
        <f t="shared" si="285"/>
        <v>1900</v>
      </c>
      <c r="P3405" s="61">
        <f t="shared" si="286"/>
        <v>1</v>
      </c>
      <c r="R3405" s="272"/>
      <c r="S3405" s="272"/>
    </row>
    <row r="3406" spans="9:19">
      <c r="I3406" s="213"/>
      <c r="J3406" s="213"/>
      <c r="L3406" s="272">
        <f t="shared" si="283"/>
        <v>1900</v>
      </c>
      <c r="M3406" s="272">
        <f t="shared" si="284"/>
        <v>1</v>
      </c>
      <c r="O3406" s="61">
        <f t="shared" si="285"/>
        <v>1900</v>
      </c>
      <c r="P3406" s="61">
        <f t="shared" si="286"/>
        <v>1</v>
      </c>
      <c r="R3406" s="272"/>
      <c r="S3406" s="272"/>
    </row>
    <row r="3407" spans="9:19">
      <c r="I3407" s="213"/>
      <c r="J3407" s="213"/>
      <c r="L3407" s="272">
        <f t="shared" si="283"/>
        <v>1900</v>
      </c>
      <c r="M3407" s="272">
        <f t="shared" si="284"/>
        <v>1</v>
      </c>
      <c r="O3407" s="61">
        <f t="shared" si="285"/>
        <v>1900</v>
      </c>
      <c r="P3407" s="61">
        <f t="shared" si="286"/>
        <v>1</v>
      </c>
      <c r="R3407" s="272"/>
      <c r="S3407" s="272"/>
    </row>
    <row r="3408" spans="9:19">
      <c r="I3408" s="213"/>
      <c r="J3408" s="213"/>
      <c r="L3408" s="272">
        <f t="shared" ref="L3408:L3471" si="287">YEAR(B3408)</f>
        <v>1900</v>
      </c>
      <c r="M3408" s="272">
        <f t="shared" ref="M3408:M3471" si="288">MONTH(B3408)</f>
        <v>1</v>
      </c>
      <c r="O3408" s="61">
        <f t="shared" ref="O3408:O3471" si="289">YEAR(B3408)</f>
        <v>1900</v>
      </c>
      <c r="P3408" s="61">
        <f t="shared" ref="P3408:P3471" si="290">MONTH(B3408)</f>
        <v>1</v>
      </c>
      <c r="R3408" s="272"/>
      <c r="S3408" s="272"/>
    </row>
    <row r="3409" spans="9:19">
      <c r="I3409" s="213"/>
      <c r="J3409" s="213"/>
      <c r="L3409" s="272">
        <f t="shared" si="287"/>
        <v>1900</v>
      </c>
      <c r="M3409" s="272">
        <f t="shared" si="288"/>
        <v>1</v>
      </c>
      <c r="O3409" s="61">
        <f t="shared" si="289"/>
        <v>1900</v>
      </c>
      <c r="P3409" s="61">
        <f t="shared" si="290"/>
        <v>1</v>
      </c>
      <c r="R3409" s="272"/>
      <c r="S3409" s="272"/>
    </row>
    <row r="3410" spans="9:19">
      <c r="I3410" s="213"/>
      <c r="J3410" s="213"/>
      <c r="L3410" s="272">
        <f t="shared" si="287"/>
        <v>1900</v>
      </c>
      <c r="M3410" s="272">
        <f t="shared" si="288"/>
        <v>1</v>
      </c>
      <c r="O3410" s="61">
        <f t="shared" si="289"/>
        <v>1900</v>
      </c>
      <c r="P3410" s="61">
        <f t="shared" si="290"/>
        <v>1</v>
      </c>
      <c r="R3410" s="272"/>
      <c r="S3410" s="272"/>
    </row>
    <row r="3411" spans="9:19">
      <c r="I3411" s="213"/>
      <c r="J3411" s="213"/>
      <c r="L3411" s="272">
        <f t="shared" si="287"/>
        <v>1900</v>
      </c>
      <c r="M3411" s="272">
        <f t="shared" si="288"/>
        <v>1</v>
      </c>
      <c r="O3411" s="61">
        <f t="shared" si="289"/>
        <v>1900</v>
      </c>
      <c r="P3411" s="61">
        <f t="shared" si="290"/>
        <v>1</v>
      </c>
      <c r="R3411" s="272"/>
      <c r="S3411" s="272"/>
    </row>
    <row r="3412" spans="9:19">
      <c r="I3412" s="213"/>
      <c r="J3412" s="213"/>
      <c r="L3412" s="272">
        <f t="shared" si="287"/>
        <v>1900</v>
      </c>
      <c r="M3412" s="272">
        <f t="shared" si="288"/>
        <v>1</v>
      </c>
      <c r="O3412" s="61">
        <f t="shared" si="289"/>
        <v>1900</v>
      </c>
      <c r="P3412" s="61">
        <f t="shared" si="290"/>
        <v>1</v>
      </c>
      <c r="R3412" s="272"/>
      <c r="S3412" s="272"/>
    </row>
    <row r="3413" spans="9:19">
      <c r="I3413" s="213"/>
      <c r="J3413" s="213"/>
      <c r="L3413" s="272">
        <f t="shared" si="287"/>
        <v>1900</v>
      </c>
      <c r="M3413" s="272">
        <f t="shared" si="288"/>
        <v>1</v>
      </c>
      <c r="O3413" s="61">
        <f t="shared" si="289"/>
        <v>1900</v>
      </c>
      <c r="P3413" s="61">
        <f t="shared" si="290"/>
        <v>1</v>
      </c>
      <c r="R3413" s="272"/>
      <c r="S3413" s="272"/>
    </row>
    <row r="3414" spans="9:19">
      <c r="I3414" s="213"/>
      <c r="J3414" s="213"/>
      <c r="L3414" s="272">
        <f t="shared" si="287"/>
        <v>1900</v>
      </c>
      <c r="M3414" s="272">
        <f t="shared" si="288"/>
        <v>1</v>
      </c>
      <c r="O3414" s="61">
        <f t="shared" si="289"/>
        <v>1900</v>
      </c>
      <c r="P3414" s="61">
        <f t="shared" si="290"/>
        <v>1</v>
      </c>
      <c r="R3414" s="272"/>
      <c r="S3414" s="272"/>
    </row>
    <row r="3415" spans="9:19">
      <c r="I3415" s="213"/>
      <c r="J3415" s="213"/>
      <c r="L3415" s="272">
        <f t="shared" si="287"/>
        <v>1900</v>
      </c>
      <c r="M3415" s="272">
        <f t="shared" si="288"/>
        <v>1</v>
      </c>
      <c r="O3415" s="61">
        <f t="shared" si="289"/>
        <v>1900</v>
      </c>
      <c r="P3415" s="61">
        <f t="shared" si="290"/>
        <v>1</v>
      </c>
      <c r="R3415" s="272"/>
      <c r="S3415" s="272"/>
    </row>
    <row r="3416" spans="9:19">
      <c r="I3416" s="213"/>
      <c r="J3416" s="213"/>
      <c r="L3416" s="272">
        <f t="shared" si="287"/>
        <v>1900</v>
      </c>
      <c r="M3416" s="272">
        <f t="shared" si="288"/>
        <v>1</v>
      </c>
      <c r="O3416" s="61">
        <f t="shared" si="289"/>
        <v>1900</v>
      </c>
      <c r="P3416" s="61">
        <f t="shared" si="290"/>
        <v>1</v>
      </c>
      <c r="R3416" s="272"/>
      <c r="S3416" s="272"/>
    </row>
    <row r="3417" spans="9:19">
      <c r="I3417" s="213"/>
      <c r="J3417" s="213"/>
      <c r="L3417" s="272">
        <f t="shared" si="287"/>
        <v>1900</v>
      </c>
      <c r="M3417" s="272">
        <f t="shared" si="288"/>
        <v>1</v>
      </c>
      <c r="O3417" s="61">
        <f t="shared" si="289"/>
        <v>1900</v>
      </c>
      <c r="P3417" s="61">
        <f t="shared" si="290"/>
        <v>1</v>
      </c>
      <c r="R3417" s="272"/>
      <c r="S3417" s="272"/>
    </row>
    <row r="3418" spans="9:19">
      <c r="I3418" s="213"/>
      <c r="J3418" s="213"/>
      <c r="L3418" s="272">
        <f t="shared" si="287"/>
        <v>1900</v>
      </c>
      <c r="M3418" s="272">
        <f t="shared" si="288"/>
        <v>1</v>
      </c>
      <c r="O3418" s="61">
        <f t="shared" si="289"/>
        <v>1900</v>
      </c>
      <c r="P3418" s="61">
        <f t="shared" si="290"/>
        <v>1</v>
      </c>
      <c r="R3418" s="272"/>
      <c r="S3418" s="272"/>
    </row>
    <row r="3419" spans="9:19">
      <c r="I3419" s="213"/>
      <c r="J3419" s="213"/>
      <c r="L3419" s="272">
        <f t="shared" si="287"/>
        <v>1900</v>
      </c>
      <c r="M3419" s="272">
        <f t="shared" si="288"/>
        <v>1</v>
      </c>
      <c r="O3419" s="61">
        <f t="shared" si="289"/>
        <v>1900</v>
      </c>
      <c r="P3419" s="61">
        <f t="shared" si="290"/>
        <v>1</v>
      </c>
      <c r="R3419" s="272"/>
      <c r="S3419" s="272"/>
    </row>
    <row r="3420" spans="9:19">
      <c r="I3420" s="213"/>
      <c r="J3420" s="213"/>
      <c r="L3420" s="272">
        <f t="shared" si="287"/>
        <v>1900</v>
      </c>
      <c r="M3420" s="272">
        <f t="shared" si="288"/>
        <v>1</v>
      </c>
      <c r="O3420" s="61">
        <f t="shared" si="289"/>
        <v>1900</v>
      </c>
      <c r="P3420" s="61">
        <f t="shared" si="290"/>
        <v>1</v>
      </c>
      <c r="R3420" s="272"/>
      <c r="S3420" s="272"/>
    </row>
    <row r="3421" spans="9:19">
      <c r="I3421" s="213"/>
      <c r="J3421" s="213"/>
      <c r="L3421" s="272">
        <f t="shared" si="287"/>
        <v>1900</v>
      </c>
      <c r="M3421" s="272">
        <f t="shared" si="288"/>
        <v>1</v>
      </c>
      <c r="O3421" s="61">
        <f t="shared" si="289"/>
        <v>1900</v>
      </c>
      <c r="P3421" s="61">
        <f t="shared" si="290"/>
        <v>1</v>
      </c>
      <c r="R3421" s="272"/>
      <c r="S3421" s="272"/>
    </row>
    <row r="3422" spans="9:19">
      <c r="I3422" s="213"/>
      <c r="J3422" s="213"/>
      <c r="L3422" s="272">
        <f t="shared" si="287"/>
        <v>1900</v>
      </c>
      <c r="M3422" s="272">
        <f t="shared" si="288"/>
        <v>1</v>
      </c>
      <c r="O3422" s="61">
        <f t="shared" si="289"/>
        <v>1900</v>
      </c>
      <c r="P3422" s="61">
        <f t="shared" si="290"/>
        <v>1</v>
      </c>
      <c r="R3422" s="272"/>
      <c r="S3422" s="272"/>
    </row>
    <row r="3423" spans="9:19">
      <c r="I3423" s="213"/>
      <c r="J3423" s="213"/>
      <c r="L3423" s="272">
        <f t="shared" si="287"/>
        <v>1900</v>
      </c>
      <c r="M3423" s="272">
        <f t="shared" si="288"/>
        <v>1</v>
      </c>
      <c r="O3423" s="61">
        <f t="shared" si="289"/>
        <v>1900</v>
      </c>
      <c r="P3423" s="61">
        <f t="shared" si="290"/>
        <v>1</v>
      </c>
      <c r="R3423" s="272"/>
      <c r="S3423" s="272"/>
    </row>
    <row r="3424" spans="9:19">
      <c r="I3424" s="213"/>
      <c r="J3424" s="213"/>
      <c r="L3424" s="272">
        <f t="shared" si="287"/>
        <v>1900</v>
      </c>
      <c r="M3424" s="272">
        <f t="shared" si="288"/>
        <v>1</v>
      </c>
      <c r="O3424" s="61">
        <f t="shared" si="289"/>
        <v>1900</v>
      </c>
      <c r="P3424" s="61">
        <f t="shared" si="290"/>
        <v>1</v>
      </c>
      <c r="R3424" s="272"/>
      <c r="S3424" s="272"/>
    </row>
    <row r="3425" spans="9:19">
      <c r="I3425" s="213"/>
      <c r="J3425" s="213"/>
      <c r="L3425" s="272">
        <f t="shared" si="287"/>
        <v>1900</v>
      </c>
      <c r="M3425" s="272">
        <f t="shared" si="288"/>
        <v>1</v>
      </c>
      <c r="O3425" s="61">
        <f t="shared" si="289"/>
        <v>1900</v>
      </c>
      <c r="P3425" s="61">
        <f t="shared" si="290"/>
        <v>1</v>
      </c>
      <c r="R3425" s="272"/>
      <c r="S3425" s="272"/>
    </row>
    <row r="3426" spans="9:19">
      <c r="I3426" s="213"/>
      <c r="J3426" s="213"/>
      <c r="L3426" s="272">
        <f t="shared" si="287"/>
        <v>1900</v>
      </c>
      <c r="M3426" s="272">
        <f t="shared" si="288"/>
        <v>1</v>
      </c>
      <c r="O3426" s="61">
        <f t="shared" si="289"/>
        <v>1900</v>
      </c>
      <c r="P3426" s="61">
        <f t="shared" si="290"/>
        <v>1</v>
      </c>
      <c r="R3426" s="272"/>
      <c r="S3426" s="272"/>
    </row>
    <row r="3427" spans="9:19">
      <c r="I3427" s="213"/>
      <c r="J3427" s="213"/>
      <c r="L3427" s="272">
        <f t="shared" si="287"/>
        <v>1900</v>
      </c>
      <c r="M3427" s="272">
        <f t="shared" si="288"/>
        <v>1</v>
      </c>
      <c r="O3427" s="61">
        <f t="shared" si="289"/>
        <v>1900</v>
      </c>
      <c r="P3427" s="61">
        <f t="shared" si="290"/>
        <v>1</v>
      </c>
      <c r="R3427" s="272"/>
      <c r="S3427" s="272"/>
    </row>
    <row r="3428" spans="9:19">
      <c r="I3428" s="213"/>
      <c r="J3428" s="213"/>
      <c r="L3428" s="272">
        <f t="shared" si="287"/>
        <v>1900</v>
      </c>
      <c r="M3428" s="272">
        <f t="shared" si="288"/>
        <v>1</v>
      </c>
      <c r="O3428" s="61">
        <f t="shared" si="289"/>
        <v>1900</v>
      </c>
      <c r="P3428" s="61">
        <f t="shared" si="290"/>
        <v>1</v>
      </c>
      <c r="R3428" s="272"/>
      <c r="S3428" s="272"/>
    </row>
    <row r="3429" spans="9:19">
      <c r="I3429" s="213"/>
      <c r="J3429" s="213"/>
      <c r="L3429" s="272">
        <f t="shared" si="287"/>
        <v>1900</v>
      </c>
      <c r="M3429" s="272">
        <f t="shared" si="288"/>
        <v>1</v>
      </c>
      <c r="O3429" s="61">
        <f t="shared" si="289"/>
        <v>1900</v>
      </c>
      <c r="P3429" s="61">
        <f t="shared" si="290"/>
        <v>1</v>
      </c>
      <c r="R3429" s="272"/>
      <c r="S3429" s="272"/>
    </row>
    <row r="3430" spans="9:19">
      <c r="I3430" s="213"/>
      <c r="J3430" s="213"/>
      <c r="L3430" s="272">
        <f t="shared" si="287"/>
        <v>1900</v>
      </c>
      <c r="M3430" s="272">
        <f t="shared" si="288"/>
        <v>1</v>
      </c>
      <c r="O3430" s="61">
        <f t="shared" si="289"/>
        <v>1900</v>
      </c>
      <c r="P3430" s="61">
        <f t="shared" si="290"/>
        <v>1</v>
      </c>
      <c r="R3430" s="272"/>
      <c r="S3430" s="272"/>
    </row>
    <row r="3431" spans="9:19">
      <c r="I3431" s="213"/>
      <c r="J3431" s="213"/>
      <c r="L3431" s="272">
        <f t="shared" si="287"/>
        <v>1900</v>
      </c>
      <c r="M3431" s="272">
        <f t="shared" si="288"/>
        <v>1</v>
      </c>
      <c r="O3431" s="61">
        <f t="shared" si="289"/>
        <v>1900</v>
      </c>
      <c r="P3431" s="61">
        <f t="shared" si="290"/>
        <v>1</v>
      </c>
      <c r="R3431" s="272"/>
      <c r="S3431" s="272"/>
    </row>
    <row r="3432" spans="9:19">
      <c r="I3432" s="213"/>
      <c r="J3432" s="213"/>
      <c r="L3432" s="272">
        <f t="shared" si="287"/>
        <v>1900</v>
      </c>
      <c r="M3432" s="272">
        <f t="shared" si="288"/>
        <v>1</v>
      </c>
      <c r="O3432" s="61">
        <f t="shared" si="289"/>
        <v>1900</v>
      </c>
      <c r="P3432" s="61">
        <f t="shared" si="290"/>
        <v>1</v>
      </c>
      <c r="R3432" s="272"/>
      <c r="S3432" s="272"/>
    </row>
    <row r="3433" spans="9:19">
      <c r="I3433" s="213"/>
      <c r="J3433" s="213"/>
      <c r="L3433" s="272">
        <f t="shared" si="287"/>
        <v>1900</v>
      </c>
      <c r="M3433" s="272">
        <f t="shared" si="288"/>
        <v>1</v>
      </c>
      <c r="O3433" s="61">
        <f t="shared" si="289"/>
        <v>1900</v>
      </c>
      <c r="P3433" s="61">
        <f t="shared" si="290"/>
        <v>1</v>
      </c>
      <c r="R3433" s="272"/>
      <c r="S3433" s="272"/>
    </row>
    <row r="3434" spans="9:19">
      <c r="I3434" s="213"/>
      <c r="J3434" s="213"/>
      <c r="L3434" s="272">
        <f t="shared" si="287"/>
        <v>1900</v>
      </c>
      <c r="M3434" s="272">
        <f t="shared" si="288"/>
        <v>1</v>
      </c>
      <c r="O3434" s="61">
        <f t="shared" si="289"/>
        <v>1900</v>
      </c>
      <c r="P3434" s="61">
        <f t="shared" si="290"/>
        <v>1</v>
      </c>
      <c r="R3434" s="272"/>
      <c r="S3434" s="272"/>
    </row>
    <row r="3435" spans="9:19">
      <c r="I3435" s="213"/>
      <c r="J3435" s="213"/>
      <c r="L3435" s="272">
        <f t="shared" si="287"/>
        <v>1900</v>
      </c>
      <c r="M3435" s="272">
        <f t="shared" si="288"/>
        <v>1</v>
      </c>
      <c r="O3435" s="61">
        <f t="shared" si="289"/>
        <v>1900</v>
      </c>
      <c r="P3435" s="61">
        <f t="shared" si="290"/>
        <v>1</v>
      </c>
      <c r="R3435" s="272"/>
      <c r="S3435" s="272"/>
    </row>
    <row r="3436" spans="9:19">
      <c r="I3436" s="213"/>
      <c r="J3436" s="213"/>
      <c r="L3436" s="272">
        <f t="shared" si="287"/>
        <v>1900</v>
      </c>
      <c r="M3436" s="272">
        <f t="shared" si="288"/>
        <v>1</v>
      </c>
      <c r="O3436" s="61">
        <f t="shared" si="289"/>
        <v>1900</v>
      </c>
      <c r="P3436" s="61">
        <f t="shared" si="290"/>
        <v>1</v>
      </c>
      <c r="R3436" s="272"/>
      <c r="S3436" s="272"/>
    </row>
    <row r="3437" spans="9:19">
      <c r="I3437" s="213"/>
      <c r="J3437" s="213"/>
      <c r="L3437" s="272">
        <f t="shared" si="287"/>
        <v>1900</v>
      </c>
      <c r="M3437" s="272">
        <f t="shared" si="288"/>
        <v>1</v>
      </c>
      <c r="O3437" s="61">
        <f t="shared" si="289"/>
        <v>1900</v>
      </c>
      <c r="P3437" s="61">
        <f t="shared" si="290"/>
        <v>1</v>
      </c>
      <c r="R3437" s="272"/>
      <c r="S3437" s="272"/>
    </row>
    <row r="3438" spans="9:19">
      <c r="I3438" s="213"/>
      <c r="J3438" s="213"/>
      <c r="L3438" s="272">
        <f t="shared" si="287"/>
        <v>1900</v>
      </c>
      <c r="M3438" s="272">
        <f t="shared" si="288"/>
        <v>1</v>
      </c>
      <c r="O3438" s="61">
        <f t="shared" si="289"/>
        <v>1900</v>
      </c>
      <c r="P3438" s="61">
        <f t="shared" si="290"/>
        <v>1</v>
      </c>
      <c r="R3438" s="272"/>
      <c r="S3438" s="272"/>
    </row>
    <row r="3439" spans="9:19">
      <c r="I3439" s="213"/>
      <c r="J3439" s="213"/>
      <c r="L3439" s="272">
        <f t="shared" si="287"/>
        <v>1900</v>
      </c>
      <c r="M3439" s="272">
        <f t="shared" si="288"/>
        <v>1</v>
      </c>
      <c r="O3439" s="61">
        <f t="shared" si="289"/>
        <v>1900</v>
      </c>
      <c r="P3439" s="61">
        <f t="shared" si="290"/>
        <v>1</v>
      </c>
      <c r="R3439" s="272"/>
      <c r="S3439" s="272"/>
    </row>
    <row r="3440" spans="9:19">
      <c r="I3440" s="213"/>
      <c r="J3440" s="213"/>
      <c r="L3440" s="272">
        <f t="shared" si="287"/>
        <v>1900</v>
      </c>
      <c r="M3440" s="272">
        <f t="shared" si="288"/>
        <v>1</v>
      </c>
      <c r="O3440" s="61">
        <f t="shared" si="289"/>
        <v>1900</v>
      </c>
      <c r="P3440" s="61">
        <f t="shared" si="290"/>
        <v>1</v>
      </c>
      <c r="R3440" s="272"/>
      <c r="S3440" s="272"/>
    </row>
    <row r="3441" spans="9:19">
      <c r="I3441" s="213"/>
      <c r="J3441" s="213"/>
      <c r="L3441" s="272">
        <f t="shared" si="287"/>
        <v>1900</v>
      </c>
      <c r="M3441" s="272">
        <f t="shared" si="288"/>
        <v>1</v>
      </c>
      <c r="O3441" s="61">
        <f t="shared" si="289"/>
        <v>1900</v>
      </c>
      <c r="P3441" s="61">
        <f t="shared" si="290"/>
        <v>1</v>
      </c>
      <c r="R3441" s="272"/>
      <c r="S3441" s="272"/>
    </row>
    <row r="3442" spans="9:19">
      <c r="I3442" s="213"/>
      <c r="J3442" s="213"/>
      <c r="L3442" s="272">
        <f t="shared" si="287"/>
        <v>1900</v>
      </c>
      <c r="M3442" s="272">
        <f t="shared" si="288"/>
        <v>1</v>
      </c>
      <c r="O3442" s="61">
        <f t="shared" si="289"/>
        <v>1900</v>
      </c>
      <c r="P3442" s="61">
        <f t="shared" si="290"/>
        <v>1</v>
      </c>
      <c r="R3442" s="272"/>
      <c r="S3442" s="272"/>
    </row>
    <row r="3443" spans="9:19">
      <c r="I3443" s="213"/>
      <c r="J3443" s="213"/>
      <c r="L3443" s="272">
        <f t="shared" si="287"/>
        <v>1900</v>
      </c>
      <c r="M3443" s="272">
        <f t="shared" si="288"/>
        <v>1</v>
      </c>
      <c r="O3443" s="61">
        <f t="shared" si="289"/>
        <v>1900</v>
      </c>
      <c r="P3443" s="61">
        <f t="shared" si="290"/>
        <v>1</v>
      </c>
      <c r="R3443" s="272"/>
      <c r="S3443" s="272"/>
    </row>
    <row r="3444" spans="9:19">
      <c r="I3444" s="213"/>
      <c r="J3444" s="213"/>
      <c r="L3444" s="272">
        <f t="shared" si="287"/>
        <v>1900</v>
      </c>
      <c r="M3444" s="272">
        <f t="shared" si="288"/>
        <v>1</v>
      </c>
      <c r="O3444" s="61">
        <f t="shared" si="289"/>
        <v>1900</v>
      </c>
      <c r="P3444" s="61">
        <f t="shared" si="290"/>
        <v>1</v>
      </c>
      <c r="R3444" s="272"/>
      <c r="S3444" s="272"/>
    </row>
    <row r="3445" spans="9:19">
      <c r="I3445" s="213"/>
      <c r="J3445" s="213"/>
      <c r="L3445" s="272">
        <f t="shared" si="287"/>
        <v>1900</v>
      </c>
      <c r="M3445" s="272">
        <f t="shared" si="288"/>
        <v>1</v>
      </c>
      <c r="O3445" s="61">
        <f t="shared" si="289"/>
        <v>1900</v>
      </c>
      <c r="P3445" s="61">
        <f t="shared" si="290"/>
        <v>1</v>
      </c>
      <c r="R3445" s="272"/>
      <c r="S3445" s="272"/>
    </row>
    <row r="3446" spans="9:19">
      <c r="I3446" s="213"/>
      <c r="J3446" s="213"/>
      <c r="L3446" s="272">
        <f t="shared" si="287"/>
        <v>1900</v>
      </c>
      <c r="M3446" s="272">
        <f t="shared" si="288"/>
        <v>1</v>
      </c>
      <c r="O3446" s="61">
        <f t="shared" si="289"/>
        <v>1900</v>
      </c>
      <c r="P3446" s="61">
        <f t="shared" si="290"/>
        <v>1</v>
      </c>
      <c r="R3446" s="272"/>
      <c r="S3446" s="272"/>
    </row>
    <row r="3447" spans="9:19">
      <c r="I3447" s="213"/>
      <c r="J3447" s="213"/>
      <c r="L3447" s="272">
        <f t="shared" si="287"/>
        <v>1900</v>
      </c>
      <c r="M3447" s="272">
        <f t="shared" si="288"/>
        <v>1</v>
      </c>
      <c r="O3447" s="61">
        <f t="shared" si="289"/>
        <v>1900</v>
      </c>
      <c r="P3447" s="61">
        <f t="shared" si="290"/>
        <v>1</v>
      </c>
      <c r="R3447" s="272"/>
      <c r="S3447" s="272"/>
    </row>
    <row r="3448" spans="9:19">
      <c r="I3448" s="213"/>
      <c r="J3448" s="213"/>
      <c r="L3448" s="272">
        <f t="shared" si="287"/>
        <v>1900</v>
      </c>
      <c r="M3448" s="272">
        <f t="shared" si="288"/>
        <v>1</v>
      </c>
      <c r="O3448" s="61">
        <f t="shared" si="289"/>
        <v>1900</v>
      </c>
      <c r="P3448" s="61">
        <f t="shared" si="290"/>
        <v>1</v>
      </c>
      <c r="R3448" s="272"/>
      <c r="S3448" s="272"/>
    </row>
    <row r="3449" spans="9:19">
      <c r="I3449" s="213"/>
      <c r="J3449" s="213"/>
      <c r="L3449" s="272">
        <f t="shared" si="287"/>
        <v>1900</v>
      </c>
      <c r="M3449" s="272">
        <f t="shared" si="288"/>
        <v>1</v>
      </c>
      <c r="O3449" s="61">
        <f t="shared" si="289"/>
        <v>1900</v>
      </c>
      <c r="P3449" s="61">
        <f t="shared" si="290"/>
        <v>1</v>
      </c>
      <c r="R3449" s="272"/>
      <c r="S3449" s="272"/>
    </row>
    <row r="3450" spans="9:19">
      <c r="I3450" s="213"/>
      <c r="J3450" s="213"/>
      <c r="L3450" s="272">
        <f t="shared" si="287"/>
        <v>1900</v>
      </c>
      <c r="M3450" s="272">
        <f t="shared" si="288"/>
        <v>1</v>
      </c>
      <c r="O3450" s="61">
        <f t="shared" si="289"/>
        <v>1900</v>
      </c>
      <c r="P3450" s="61">
        <f t="shared" si="290"/>
        <v>1</v>
      </c>
      <c r="R3450" s="272"/>
      <c r="S3450" s="272"/>
    </row>
    <row r="3451" spans="9:19">
      <c r="I3451" s="213"/>
      <c r="J3451" s="213"/>
      <c r="L3451" s="272">
        <f t="shared" si="287"/>
        <v>1900</v>
      </c>
      <c r="M3451" s="272">
        <f t="shared" si="288"/>
        <v>1</v>
      </c>
      <c r="O3451" s="61">
        <f t="shared" si="289"/>
        <v>1900</v>
      </c>
      <c r="P3451" s="61">
        <f t="shared" si="290"/>
        <v>1</v>
      </c>
      <c r="R3451" s="272"/>
      <c r="S3451" s="272"/>
    </row>
    <row r="3452" spans="9:19">
      <c r="I3452" s="213"/>
      <c r="J3452" s="213"/>
      <c r="L3452" s="272">
        <f t="shared" si="287"/>
        <v>1900</v>
      </c>
      <c r="M3452" s="272">
        <f t="shared" si="288"/>
        <v>1</v>
      </c>
      <c r="O3452" s="61">
        <f t="shared" si="289"/>
        <v>1900</v>
      </c>
      <c r="P3452" s="61">
        <f t="shared" si="290"/>
        <v>1</v>
      </c>
      <c r="R3452" s="272"/>
      <c r="S3452" s="272"/>
    </row>
    <row r="3453" spans="9:19">
      <c r="I3453" s="213"/>
      <c r="J3453" s="213"/>
      <c r="L3453" s="272">
        <f t="shared" si="287"/>
        <v>1900</v>
      </c>
      <c r="M3453" s="272">
        <f t="shared" si="288"/>
        <v>1</v>
      </c>
      <c r="O3453" s="61">
        <f t="shared" si="289"/>
        <v>1900</v>
      </c>
      <c r="P3453" s="61">
        <f t="shared" si="290"/>
        <v>1</v>
      </c>
      <c r="R3453" s="272"/>
      <c r="S3453" s="272"/>
    </row>
    <row r="3454" spans="9:19">
      <c r="I3454" s="213"/>
      <c r="J3454" s="213"/>
      <c r="L3454" s="272">
        <f t="shared" si="287"/>
        <v>1900</v>
      </c>
      <c r="M3454" s="272">
        <f t="shared" si="288"/>
        <v>1</v>
      </c>
      <c r="O3454" s="61">
        <f t="shared" si="289"/>
        <v>1900</v>
      </c>
      <c r="P3454" s="61">
        <f t="shared" si="290"/>
        <v>1</v>
      </c>
      <c r="R3454" s="272"/>
      <c r="S3454" s="272"/>
    </row>
    <row r="3455" spans="9:19">
      <c r="I3455" s="213"/>
      <c r="J3455" s="213"/>
      <c r="L3455" s="272">
        <f t="shared" si="287"/>
        <v>1900</v>
      </c>
      <c r="M3455" s="272">
        <f t="shared" si="288"/>
        <v>1</v>
      </c>
      <c r="O3455" s="61">
        <f t="shared" si="289"/>
        <v>1900</v>
      </c>
      <c r="P3455" s="61">
        <f t="shared" si="290"/>
        <v>1</v>
      </c>
      <c r="R3455" s="272"/>
      <c r="S3455" s="272"/>
    </row>
    <row r="3456" spans="9:19">
      <c r="I3456" s="213"/>
      <c r="J3456" s="213"/>
      <c r="L3456" s="272">
        <f t="shared" si="287"/>
        <v>1900</v>
      </c>
      <c r="M3456" s="272">
        <f t="shared" si="288"/>
        <v>1</v>
      </c>
      <c r="O3456" s="61">
        <f t="shared" si="289"/>
        <v>1900</v>
      </c>
      <c r="P3456" s="61">
        <f t="shared" si="290"/>
        <v>1</v>
      </c>
      <c r="R3456" s="272"/>
      <c r="S3456" s="272"/>
    </row>
    <row r="3457" spans="9:19">
      <c r="I3457" s="213"/>
      <c r="J3457" s="213"/>
      <c r="L3457" s="272">
        <f t="shared" si="287"/>
        <v>1900</v>
      </c>
      <c r="M3457" s="272">
        <f t="shared" si="288"/>
        <v>1</v>
      </c>
      <c r="O3457" s="61">
        <f t="shared" si="289"/>
        <v>1900</v>
      </c>
      <c r="P3457" s="61">
        <f t="shared" si="290"/>
        <v>1</v>
      </c>
      <c r="R3457" s="272"/>
      <c r="S3457" s="272"/>
    </row>
    <row r="3458" spans="9:19">
      <c r="I3458" s="213"/>
      <c r="J3458" s="213"/>
      <c r="L3458" s="272">
        <f t="shared" si="287"/>
        <v>1900</v>
      </c>
      <c r="M3458" s="272">
        <f t="shared" si="288"/>
        <v>1</v>
      </c>
      <c r="O3458" s="61">
        <f t="shared" si="289"/>
        <v>1900</v>
      </c>
      <c r="P3458" s="61">
        <f t="shared" si="290"/>
        <v>1</v>
      </c>
      <c r="R3458" s="272"/>
      <c r="S3458" s="272"/>
    </row>
    <row r="3459" spans="9:19">
      <c r="I3459" s="213"/>
      <c r="J3459" s="213"/>
      <c r="L3459" s="272">
        <f t="shared" si="287"/>
        <v>1900</v>
      </c>
      <c r="M3459" s="272">
        <f t="shared" si="288"/>
        <v>1</v>
      </c>
      <c r="O3459" s="61">
        <f t="shared" si="289"/>
        <v>1900</v>
      </c>
      <c r="P3459" s="61">
        <f t="shared" si="290"/>
        <v>1</v>
      </c>
      <c r="R3459" s="272"/>
      <c r="S3459" s="272"/>
    </row>
    <row r="3460" spans="9:19">
      <c r="I3460" s="213"/>
      <c r="J3460" s="213"/>
      <c r="L3460" s="272">
        <f t="shared" si="287"/>
        <v>1900</v>
      </c>
      <c r="M3460" s="272">
        <f t="shared" si="288"/>
        <v>1</v>
      </c>
      <c r="O3460" s="61">
        <f t="shared" si="289"/>
        <v>1900</v>
      </c>
      <c r="P3460" s="61">
        <f t="shared" si="290"/>
        <v>1</v>
      </c>
      <c r="R3460" s="272"/>
      <c r="S3460" s="272"/>
    </row>
    <row r="3461" spans="9:19">
      <c r="I3461" s="213"/>
      <c r="J3461" s="213"/>
      <c r="L3461" s="272">
        <f t="shared" si="287"/>
        <v>1900</v>
      </c>
      <c r="M3461" s="272">
        <f t="shared" si="288"/>
        <v>1</v>
      </c>
      <c r="O3461" s="61">
        <f t="shared" si="289"/>
        <v>1900</v>
      </c>
      <c r="P3461" s="61">
        <f t="shared" si="290"/>
        <v>1</v>
      </c>
      <c r="R3461" s="272"/>
      <c r="S3461" s="272"/>
    </row>
    <row r="3462" spans="9:19">
      <c r="I3462" s="213"/>
      <c r="J3462" s="213"/>
      <c r="L3462" s="272">
        <f t="shared" si="287"/>
        <v>1900</v>
      </c>
      <c r="M3462" s="272">
        <f t="shared" si="288"/>
        <v>1</v>
      </c>
      <c r="O3462" s="61">
        <f t="shared" si="289"/>
        <v>1900</v>
      </c>
      <c r="P3462" s="61">
        <f t="shared" si="290"/>
        <v>1</v>
      </c>
      <c r="R3462" s="272"/>
      <c r="S3462" s="272"/>
    </row>
    <row r="3463" spans="9:19">
      <c r="I3463" s="213"/>
      <c r="J3463" s="213"/>
      <c r="L3463" s="272">
        <f t="shared" si="287"/>
        <v>1900</v>
      </c>
      <c r="M3463" s="272">
        <f t="shared" si="288"/>
        <v>1</v>
      </c>
      <c r="O3463" s="61">
        <f t="shared" si="289"/>
        <v>1900</v>
      </c>
      <c r="P3463" s="61">
        <f t="shared" si="290"/>
        <v>1</v>
      </c>
      <c r="R3463" s="272"/>
      <c r="S3463" s="272"/>
    </row>
    <row r="3464" spans="9:19">
      <c r="I3464" s="213"/>
      <c r="J3464" s="213"/>
      <c r="L3464" s="272">
        <f t="shared" si="287"/>
        <v>1900</v>
      </c>
      <c r="M3464" s="272">
        <f t="shared" si="288"/>
        <v>1</v>
      </c>
      <c r="O3464" s="61">
        <f t="shared" si="289"/>
        <v>1900</v>
      </c>
      <c r="P3464" s="61">
        <f t="shared" si="290"/>
        <v>1</v>
      </c>
      <c r="R3464" s="272"/>
      <c r="S3464" s="272"/>
    </row>
    <row r="3465" spans="9:19">
      <c r="I3465" s="213"/>
      <c r="J3465" s="213"/>
      <c r="L3465" s="272">
        <f t="shared" si="287"/>
        <v>1900</v>
      </c>
      <c r="M3465" s="272">
        <f t="shared" si="288"/>
        <v>1</v>
      </c>
      <c r="O3465" s="61">
        <f t="shared" si="289"/>
        <v>1900</v>
      </c>
      <c r="P3465" s="61">
        <f t="shared" si="290"/>
        <v>1</v>
      </c>
      <c r="R3465" s="272"/>
      <c r="S3465" s="272"/>
    </row>
    <row r="3466" spans="9:19">
      <c r="I3466" s="213"/>
      <c r="J3466" s="213"/>
      <c r="L3466" s="272">
        <f t="shared" si="287"/>
        <v>1900</v>
      </c>
      <c r="M3466" s="272">
        <f t="shared" si="288"/>
        <v>1</v>
      </c>
      <c r="O3466" s="61">
        <f t="shared" si="289"/>
        <v>1900</v>
      </c>
      <c r="P3466" s="61">
        <f t="shared" si="290"/>
        <v>1</v>
      </c>
      <c r="R3466" s="272"/>
      <c r="S3466" s="272"/>
    </row>
    <row r="3467" spans="9:19">
      <c r="I3467" s="213"/>
      <c r="J3467" s="213"/>
      <c r="L3467" s="272">
        <f t="shared" si="287"/>
        <v>1900</v>
      </c>
      <c r="M3467" s="272">
        <f t="shared" si="288"/>
        <v>1</v>
      </c>
      <c r="O3467" s="61">
        <f t="shared" si="289"/>
        <v>1900</v>
      </c>
      <c r="P3467" s="61">
        <f t="shared" si="290"/>
        <v>1</v>
      </c>
      <c r="R3467" s="272"/>
      <c r="S3467" s="272"/>
    </row>
    <row r="3468" spans="9:19">
      <c r="I3468" s="213"/>
      <c r="J3468" s="213"/>
      <c r="L3468" s="272">
        <f t="shared" si="287"/>
        <v>1900</v>
      </c>
      <c r="M3468" s="272">
        <f t="shared" si="288"/>
        <v>1</v>
      </c>
      <c r="O3468" s="61">
        <f t="shared" si="289"/>
        <v>1900</v>
      </c>
      <c r="P3468" s="61">
        <f t="shared" si="290"/>
        <v>1</v>
      </c>
      <c r="R3468" s="272"/>
      <c r="S3468" s="272"/>
    </row>
    <row r="3469" spans="9:19">
      <c r="I3469" s="213"/>
      <c r="J3469" s="213"/>
      <c r="L3469" s="272">
        <f t="shared" si="287"/>
        <v>1900</v>
      </c>
      <c r="M3469" s="272">
        <f t="shared" si="288"/>
        <v>1</v>
      </c>
      <c r="O3469" s="61">
        <f t="shared" si="289"/>
        <v>1900</v>
      </c>
      <c r="P3469" s="61">
        <f t="shared" si="290"/>
        <v>1</v>
      </c>
      <c r="R3469" s="272"/>
      <c r="S3469" s="272"/>
    </row>
    <row r="3470" spans="9:19">
      <c r="I3470" s="213"/>
      <c r="J3470" s="213"/>
      <c r="L3470" s="272">
        <f t="shared" si="287"/>
        <v>1900</v>
      </c>
      <c r="M3470" s="272">
        <f t="shared" si="288"/>
        <v>1</v>
      </c>
      <c r="O3470" s="61">
        <f t="shared" si="289"/>
        <v>1900</v>
      </c>
      <c r="P3470" s="61">
        <f t="shared" si="290"/>
        <v>1</v>
      </c>
      <c r="R3470" s="272"/>
      <c r="S3470" s="272"/>
    </row>
    <row r="3471" spans="9:19">
      <c r="I3471" s="213"/>
      <c r="J3471" s="213"/>
      <c r="L3471" s="272">
        <f t="shared" si="287"/>
        <v>1900</v>
      </c>
      <c r="M3471" s="272">
        <f t="shared" si="288"/>
        <v>1</v>
      </c>
      <c r="O3471" s="61">
        <f t="shared" si="289"/>
        <v>1900</v>
      </c>
      <c r="P3471" s="61">
        <f t="shared" si="290"/>
        <v>1</v>
      </c>
      <c r="R3471" s="272"/>
      <c r="S3471" s="272"/>
    </row>
    <row r="3472" spans="9:19">
      <c r="I3472" s="213"/>
      <c r="J3472" s="213"/>
      <c r="L3472" s="272">
        <f t="shared" ref="L3472:L3535" si="291">YEAR(B3472)</f>
        <v>1900</v>
      </c>
      <c r="M3472" s="272">
        <f t="shared" ref="M3472:M3535" si="292">MONTH(B3472)</f>
        <v>1</v>
      </c>
      <c r="O3472" s="61">
        <f t="shared" ref="O3472:O3535" si="293">YEAR(B3472)</f>
        <v>1900</v>
      </c>
      <c r="P3472" s="61">
        <f t="shared" ref="P3472:P3535" si="294">MONTH(B3472)</f>
        <v>1</v>
      </c>
      <c r="R3472" s="272"/>
      <c r="S3472" s="272"/>
    </row>
    <row r="3473" spans="9:19">
      <c r="I3473" s="213"/>
      <c r="J3473" s="213"/>
      <c r="L3473" s="272">
        <f t="shared" si="291"/>
        <v>1900</v>
      </c>
      <c r="M3473" s="272">
        <f t="shared" si="292"/>
        <v>1</v>
      </c>
      <c r="O3473" s="61">
        <f t="shared" si="293"/>
        <v>1900</v>
      </c>
      <c r="P3473" s="61">
        <f t="shared" si="294"/>
        <v>1</v>
      </c>
      <c r="R3473" s="272"/>
      <c r="S3473" s="272"/>
    </row>
    <row r="3474" spans="9:19">
      <c r="I3474" s="213"/>
      <c r="J3474" s="213"/>
      <c r="L3474" s="272">
        <f t="shared" si="291"/>
        <v>1900</v>
      </c>
      <c r="M3474" s="272">
        <f t="shared" si="292"/>
        <v>1</v>
      </c>
      <c r="O3474" s="61">
        <f t="shared" si="293"/>
        <v>1900</v>
      </c>
      <c r="P3474" s="61">
        <f t="shared" si="294"/>
        <v>1</v>
      </c>
      <c r="R3474" s="272"/>
      <c r="S3474" s="272"/>
    </row>
    <row r="3475" spans="9:19">
      <c r="I3475" s="213"/>
      <c r="J3475" s="213"/>
      <c r="L3475" s="272">
        <f t="shared" si="291"/>
        <v>1900</v>
      </c>
      <c r="M3475" s="272">
        <f t="shared" si="292"/>
        <v>1</v>
      </c>
      <c r="O3475" s="61">
        <f t="shared" si="293"/>
        <v>1900</v>
      </c>
      <c r="P3475" s="61">
        <f t="shared" si="294"/>
        <v>1</v>
      </c>
      <c r="R3475" s="272"/>
      <c r="S3475" s="272"/>
    </row>
    <row r="3476" spans="9:19">
      <c r="I3476" s="213"/>
      <c r="J3476" s="213"/>
      <c r="L3476" s="272">
        <f t="shared" si="291"/>
        <v>1900</v>
      </c>
      <c r="M3476" s="272">
        <f t="shared" si="292"/>
        <v>1</v>
      </c>
      <c r="O3476" s="61">
        <f t="shared" si="293"/>
        <v>1900</v>
      </c>
      <c r="P3476" s="61">
        <f t="shared" si="294"/>
        <v>1</v>
      </c>
      <c r="R3476" s="272"/>
      <c r="S3476" s="272"/>
    </row>
    <row r="3477" spans="9:19">
      <c r="I3477" s="213"/>
      <c r="J3477" s="213"/>
      <c r="L3477" s="272">
        <f t="shared" si="291"/>
        <v>1900</v>
      </c>
      <c r="M3477" s="272">
        <f t="shared" si="292"/>
        <v>1</v>
      </c>
      <c r="O3477" s="61">
        <f t="shared" si="293"/>
        <v>1900</v>
      </c>
      <c r="P3477" s="61">
        <f t="shared" si="294"/>
        <v>1</v>
      </c>
      <c r="R3477" s="272"/>
      <c r="S3477" s="272"/>
    </row>
    <row r="3478" spans="9:19">
      <c r="I3478" s="213"/>
      <c r="J3478" s="213"/>
      <c r="L3478" s="272">
        <f t="shared" si="291"/>
        <v>1900</v>
      </c>
      <c r="M3478" s="272">
        <f t="shared" si="292"/>
        <v>1</v>
      </c>
      <c r="O3478" s="61">
        <f t="shared" si="293"/>
        <v>1900</v>
      </c>
      <c r="P3478" s="61">
        <f t="shared" si="294"/>
        <v>1</v>
      </c>
      <c r="R3478" s="272"/>
      <c r="S3478" s="272"/>
    </row>
    <row r="3479" spans="9:19">
      <c r="I3479" s="213"/>
      <c r="J3479" s="213"/>
      <c r="L3479" s="272">
        <f t="shared" si="291"/>
        <v>1900</v>
      </c>
      <c r="M3479" s="272">
        <f t="shared" si="292"/>
        <v>1</v>
      </c>
      <c r="O3479" s="61">
        <f t="shared" si="293"/>
        <v>1900</v>
      </c>
      <c r="P3479" s="61">
        <f t="shared" si="294"/>
        <v>1</v>
      </c>
      <c r="R3479" s="272"/>
      <c r="S3479" s="272"/>
    </row>
    <row r="3480" spans="9:19">
      <c r="I3480" s="213"/>
      <c r="J3480" s="213"/>
      <c r="L3480" s="272">
        <f t="shared" si="291"/>
        <v>1900</v>
      </c>
      <c r="M3480" s="272">
        <f t="shared" si="292"/>
        <v>1</v>
      </c>
      <c r="O3480" s="61">
        <f t="shared" si="293"/>
        <v>1900</v>
      </c>
      <c r="P3480" s="61">
        <f t="shared" si="294"/>
        <v>1</v>
      </c>
      <c r="R3480" s="272"/>
      <c r="S3480" s="272"/>
    </row>
    <row r="3481" spans="9:19">
      <c r="I3481" s="213"/>
      <c r="J3481" s="213"/>
      <c r="L3481" s="272">
        <f t="shared" si="291"/>
        <v>1900</v>
      </c>
      <c r="M3481" s="272">
        <f t="shared" si="292"/>
        <v>1</v>
      </c>
      <c r="O3481" s="61">
        <f t="shared" si="293"/>
        <v>1900</v>
      </c>
      <c r="P3481" s="61">
        <f t="shared" si="294"/>
        <v>1</v>
      </c>
      <c r="R3481" s="272"/>
      <c r="S3481" s="272"/>
    </row>
    <row r="3482" spans="9:19">
      <c r="I3482" s="213"/>
      <c r="J3482" s="213"/>
      <c r="L3482" s="272">
        <f t="shared" si="291"/>
        <v>1900</v>
      </c>
      <c r="M3482" s="272">
        <f t="shared" si="292"/>
        <v>1</v>
      </c>
      <c r="O3482" s="61">
        <f t="shared" si="293"/>
        <v>1900</v>
      </c>
      <c r="P3482" s="61">
        <f t="shared" si="294"/>
        <v>1</v>
      </c>
      <c r="R3482" s="272"/>
      <c r="S3482" s="272"/>
    </row>
    <row r="3483" spans="9:19">
      <c r="I3483" s="213"/>
      <c r="J3483" s="213"/>
      <c r="L3483" s="272">
        <f t="shared" si="291"/>
        <v>1900</v>
      </c>
      <c r="M3483" s="272">
        <f t="shared" si="292"/>
        <v>1</v>
      </c>
      <c r="O3483" s="61">
        <f t="shared" si="293"/>
        <v>1900</v>
      </c>
      <c r="P3483" s="61">
        <f t="shared" si="294"/>
        <v>1</v>
      </c>
      <c r="R3483" s="272"/>
      <c r="S3483" s="272"/>
    </row>
    <row r="3484" spans="9:19">
      <c r="I3484" s="213"/>
      <c r="J3484" s="213"/>
      <c r="L3484" s="272">
        <f t="shared" si="291"/>
        <v>1900</v>
      </c>
      <c r="M3484" s="272">
        <f t="shared" si="292"/>
        <v>1</v>
      </c>
      <c r="O3484" s="61">
        <f t="shared" si="293"/>
        <v>1900</v>
      </c>
      <c r="P3484" s="61">
        <f t="shared" si="294"/>
        <v>1</v>
      </c>
      <c r="R3484" s="272"/>
      <c r="S3484" s="272"/>
    </row>
    <row r="3485" spans="9:19">
      <c r="I3485" s="213"/>
      <c r="J3485" s="213"/>
      <c r="L3485" s="272">
        <f t="shared" si="291"/>
        <v>1900</v>
      </c>
      <c r="M3485" s="272">
        <f t="shared" si="292"/>
        <v>1</v>
      </c>
      <c r="O3485" s="61">
        <f t="shared" si="293"/>
        <v>1900</v>
      </c>
      <c r="P3485" s="61">
        <f t="shared" si="294"/>
        <v>1</v>
      </c>
      <c r="R3485" s="272"/>
      <c r="S3485" s="272"/>
    </row>
    <row r="3486" spans="9:19">
      <c r="I3486" s="213"/>
      <c r="J3486" s="213"/>
      <c r="L3486" s="272">
        <f t="shared" si="291"/>
        <v>1900</v>
      </c>
      <c r="M3486" s="272">
        <f t="shared" si="292"/>
        <v>1</v>
      </c>
      <c r="O3486" s="61">
        <f t="shared" si="293"/>
        <v>1900</v>
      </c>
      <c r="P3486" s="61">
        <f t="shared" si="294"/>
        <v>1</v>
      </c>
      <c r="R3486" s="272"/>
      <c r="S3486" s="272"/>
    </row>
    <row r="3487" spans="9:19">
      <c r="I3487" s="213"/>
      <c r="J3487" s="213"/>
      <c r="L3487" s="272">
        <f t="shared" si="291"/>
        <v>1900</v>
      </c>
      <c r="M3487" s="272">
        <f t="shared" si="292"/>
        <v>1</v>
      </c>
      <c r="O3487" s="61">
        <f t="shared" si="293"/>
        <v>1900</v>
      </c>
      <c r="P3487" s="61">
        <f t="shared" si="294"/>
        <v>1</v>
      </c>
      <c r="R3487" s="272"/>
      <c r="S3487" s="272"/>
    </row>
    <row r="3488" spans="9:19">
      <c r="I3488" s="213"/>
      <c r="J3488" s="213"/>
      <c r="L3488" s="272">
        <f t="shared" si="291"/>
        <v>1900</v>
      </c>
      <c r="M3488" s="272">
        <f t="shared" si="292"/>
        <v>1</v>
      </c>
      <c r="O3488" s="61">
        <f t="shared" si="293"/>
        <v>1900</v>
      </c>
      <c r="P3488" s="61">
        <f t="shared" si="294"/>
        <v>1</v>
      </c>
      <c r="R3488" s="272"/>
      <c r="S3488" s="272"/>
    </row>
    <row r="3489" spans="9:19">
      <c r="I3489" s="213"/>
      <c r="J3489" s="213"/>
      <c r="L3489" s="272">
        <f t="shared" si="291"/>
        <v>1900</v>
      </c>
      <c r="M3489" s="272">
        <f t="shared" si="292"/>
        <v>1</v>
      </c>
      <c r="O3489" s="61">
        <f t="shared" si="293"/>
        <v>1900</v>
      </c>
      <c r="P3489" s="61">
        <f t="shared" si="294"/>
        <v>1</v>
      </c>
      <c r="R3489" s="272"/>
      <c r="S3489" s="272"/>
    </row>
    <row r="3490" spans="9:19">
      <c r="I3490" s="213"/>
      <c r="J3490" s="213"/>
      <c r="L3490" s="272">
        <f t="shared" si="291"/>
        <v>1900</v>
      </c>
      <c r="M3490" s="272">
        <f t="shared" si="292"/>
        <v>1</v>
      </c>
      <c r="O3490" s="61">
        <f t="shared" si="293"/>
        <v>1900</v>
      </c>
      <c r="P3490" s="61">
        <f t="shared" si="294"/>
        <v>1</v>
      </c>
      <c r="R3490" s="272"/>
      <c r="S3490" s="272"/>
    </row>
    <row r="3491" spans="9:19">
      <c r="I3491" s="213"/>
      <c r="J3491" s="213"/>
      <c r="L3491" s="272">
        <f t="shared" si="291"/>
        <v>1900</v>
      </c>
      <c r="M3491" s="272">
        <f t="shared" si="292"/>
        <v>1</v>
      </c>
      <c r="O3491" s="61">
        <f t="shared" si="293"/>
        <v>1900</v>
      </c>
      <c r="P3491" s="61">
        <f t="shared" si="294"/>
        <v>1</v>
      </c>
      <c r="R3491" s="272"/>
      <c r="S3491" s="272"/>
    </row>
    <row r="3492" spans="9:19">
      <c r="I3492" s="213"/>
      <c r="J3492" s="213"/>
      <c r="L3492" s="272">
        <f t="shared" si="291"/>
        <v>1900</v>
      </c>
      <c r="M3492" s="272">
        <f t="shared" si="292"/>
        <v>1</v>
      </c>
      <c r="O3492" s="61">
        <f t="shared" si="293"/>
        <v>1900</v>
      </c>
      <c r="P3492" s="61">
        <f t="shared" si="294"/>
        <v>1</v>
      </c>
      <c r="R3492" s="272"/>
      <c r="S3492" s="272"/>
    </row>
    <row r="3493" spans="9:19">
      <c r="I3493" s="213"/>
      <c r="J3493" s="213"/>
      <c r="L3493" s="272">
        <f t="shared" si="291"/>
        <v>1900</v>
      </c>
      <c r="M3493" s="272">
        <f t="shared" si="292"/>
        <v>1</v>
      </c>
      <c r="O3493" s="61">
        <f t="shared" si="293"/>
        <v>1900</v>
      </c>
      <c r="P3493" s="61">
        <f t="shared" si="294"/>
        <v>1</v>
      </c>
      <c r="R3493" s="272"/>
      <c r="S3493" s="272"/>
    </row>
    <row r="3494" spans="9:19">
      <c r="I3494" s="213"/>
      <c r="J3494" s="213"/>
      <c r="L3494" s="272">
        <f t="shared" si="291"/>
        <v>1900</v>
      </c>
      <c r="M3494" s="272">
        <f t="shared" si="292"/>
        <v>1</v>
      </c>
      <c r="O3494" s="61">
        <f t="shared" si="293"/>
        <v>1900</v>
      </c>
      <c r="P3494" s="61">
        <f t="shared" si="294"/>
        <v>1</v>
      </c>
      <c r="R3494" s="272"/>
      <c r="S3494" s="272"/>
    </row>
    <row r="3495" spans="9:19">
      <c r="I3495" s="213"/>
      <c r="J3495" s="213"/>
      <c r="L3495" s="272">
        <f t="shared" si="291"/>
        <v>1900</v>
      </c>
      <c r="M3495" s="272">
        <f t="shared" si="292"/>
        <v>1</v>
      </c>
      <c r="O3495" s="61">
        <f t="shared" si="293"/>
        <v>1900</v>
      </c>
      <c r="P3495" s="61">
        <f t="shared" si="294"/>
        <v>1</v>
      </c>
      <c r="R3495" s="272"/>
      <c r="S3495" s="272"/>
    </row>
    <row r="3496" spans="9:19">
      <c r="I3496" s="213"/>
      <c r="J3496" s="213"/>
      <c r="L3496" s="272">
        <f t="shared" si="291"/>
        <v>1900</v>
      </c>
      <c r="M3496" s="272">
        <f t="shared" si="292"/>
        <v>1</v>
      </c>
      <c r="O3496" s="61">
        <f t="shared" si="293"/>
        <v>1900</v>
      </c>
      <c r="P3496" s="61">
        <f t="shared" si="294"/>
        <v>1</v>
      </c>
      <c r="R3496" s="272"/>
      <c r="S3496" s="272"/>
    </row>
    <row r="3497" spans="9:19">
      <c r="I3497" s="213"/>
      <c r="J3497" s="213"/>
      <c r="L3497" s="272">
        <f t="shared" si="291"/>
        <v>1900</v>
      </c>
      <c r="M3497" s="272">
        <f t="shared" si="292"/>
        <v>1</v>
      </c>
      <c r="O3497" s="61">
        <f t="shared" si="293"/>
        <v>1900</v>
      </c>
      <c r="P3497" s="61">
        <f t="shared" si="294"/>
        <v>1</v>
      </c>
      <c r="R3497" s="272"/>
      <c r="S3497" s="272"/>
    </row>
    <row r="3498" spans="9:19">
      <c r="I3498" s="213"/>
      <c r="J3498" s="213"/>
      <c r="L3498" s="272">
        <f t="shared" si="291"/>
        <v>1900</v>
      </c>
      <c r="M3498" s="272">
        <f t="shared" si="292"/>
        <v>1</v>
      </c>
      <c r="O3498" s="61">
        <f t="shared" si="293"/>
        <v>1900</v>
      </c>
      <c r="P3498" s="61">
        <f t="shared" si="294"/>
        <v>1</v>
      </c>
      <c r="R3498" s="272"/>
      <c r="S3498" s="272"/>
    </row>
    <row r="3499" spans="9:19">
      <c r="I3499" s="213"/>
      <c r="J3499" s="213"/>
      <c r="L3499" s="272">
        <f t="shared" si="291"/>
        <v>1900</v>
      </c>
      <c r="M3499" s="272">
        <f t="shared" si="292"/>
        <v>1</v>
      </c>
      <c r="O3499" s="61">
        <f t="shared" si="293"/>
        <v>1900</v>
      </c>
      <c r="P3499" s="61">
        <f t="shared" si="294"/>
        <v>1</v>
      </c>
      <c r="R3499" s="272"/>
      <c r="S3499" s="272"/>
    </row>
    <row r="3500" spans="9:19">
      <c r="I3500" s="213"/>
      <c r="J3500" s="213"/>
      <c r="L3500" s="272">
        <f t="shared" si="291"/>
        <v>1900</v>
      </c>
      <c r="M3500" s="272">
        <f t="shared" si="292"/>
        <v>1</v>
      </c>
      <c r="O3500" s="61">
        <f t="shared" si="293"/>
        <v>1900</v>
      </c>
      <c r="P3500" s="61">
        <f t="shared" si="294"/>
        <v>1</v>
      </c>
      <c r="R3500" s="272"/>
      <c r="S3500" s="272"/>
    </row>
    <row r="3501" spans="9:19">
      <c r="I3501" s="213"/>
      <c r="J3501" s="213"/>
      <c r="L3501" s="272">
        <f t="shared" si="291"/>
        <v>1900</v>
      </c>
      <c r="M3501" s="272">
        <f t="shared" si="292"/>
        <v>1</v>
      </c>
      <c r="O3501" s="61">
        <f t="shared" si="293"/>
        <v>1900</v>
      </c>
      <c r="P3501" s="61">
        <f t="shared" si="294"/>
        <v>1</v>
      </c>
      <c r="R3501" s="272"/>
      <c r="S3501" s="272"/>
    </row>
    <row r="3502" spans="9:19">
      <c r="I3502" s="213"/>
      <c r="J3502" s="213"/>
      <c r="L3502" s="272">
        <f t="shared" si="291"/>
        <v>1900</v>
      </c>
      <c r="M3502" s="272">
        <f t="shared" si="292"/>
        <v>1</v>
      </c>
      <c r="O3502" s="61">
        <f t="shared" si="293"/>
        <v>1900</v>
      </c>
      <c r="P3502" s="61">
        <f t="shared" si="294"/>
        <v>1</v>
      </c>
      <c r="R3502" s="272"/>
      <c r="S3502" s="272"/>
    </row>
    <row r="3503" spans="9:19">
      <c r="I3503" s="213"/>
      <c r="J3503" s="213"/>
      <c r="L3503" s="272">
        <f t="shared" si="291"/>
        <v>1900</v>
      </c>
      <c r="M3503" s="272">
        <f t="shared" si="292"/>
        <v>1</v>
      </c>
      <c r="O3503" s="61">
        <f t="shared" si="293"/>
        <v>1900</v>
      </c>
      <c r="P3503" s="61">
        <f t="shared" si="294"/>
        <v>1</v>
      </c>
      <c r="R3503" s="272"/>
      <c r="S3503" s="272"/>
    </row>
    <row r="3504" spans="9:19">
      <c r="I3504" s="213"/>
      <c r="J3504" s="213"/>
      <c r="L3504" s="272">
        <f t="shared" si="291"/>
        <v>1900</v>
      </c>
      <c r="M3504" s="272">
        <f t="shared" si="292"/>
        <v>1</v>
      </c>
      <c r="O3504" s="61">
        <f t="shared" si="293"/>
        <v>1900</v>
      </c>
      <c r="P3504" s="61">
        <f t="shared" si="294"/>
        <v>1</v>
      </c>
      <c r="R3504" s="272"/>
      <c r="S3504" s="272"/>
    </row>
    <row r="3505" spans="9:19">
      <c r="I3505" s="213"/>
      <c r="J3505" s="213"/>
      <c r="L3505" s="272">
        <f t="shared" si="291"/>
        <v>1900</v>
      </c>
      <c r="M3505" s="272">
        <f t="shared" si="292"/>
        <v>1</v>
      </c>
      <c r="O3505" s="61">
        <f t="shared" si="293"/>
        <v>1900</v>
      </c>
      <c r="P3505" s="61">
        <f t="shared" si="294"/>
        <v>1</v>
      </c>
      <c r="R3505" s="272"/>
      <c r="S3505" s="272"/>
    </row>
    <row r="3506" spans="9:19">
      <c r="I3506" s="213"/>
      <c r="J3506" s="213"/>
      <c r="L3506" s="272">
        <f t="shared" si="291"/>
        <v>1900</v>
      </c>
      <c r="M3506" s="272">
        <f t="shared" si="292"/>
        <v>1</v>
      </c>
      <c r="O3506" s="61">
        <f t="shared" si="293"/>
        <v>1900</v>
      </c>
      <c r="P3506" s="61">
        <f t="shared" si="294"/>
        <v>1</v>
      </c>
      <c r="R3506" s="272"/>
      <c r="S3506" s="272"/>
    </row>
    <row r="3507" spans="9:19">
      <c r="I3507" s="213"/>
      <c r="J3507" s="213"/>
      <c r="L3507" s="272">
        <f t="shared" si="291"/>
        <v>1900</v>
      </c>
      <c r="M3507" s="272">
        <f t="shared" si="292"/>
        <v>1</v>
      </c>
      <c r="O3507" s="61">
        <f t="shared" si="293"/>
        <v>1900</v>
      </c>
      <c r="P3507" s="61">
        <f t="shared" si="294"/>
        <v>1</v>
      </c>
      <c r="R3507" s="272"/>
      <c r="S3507" s="272"/>
    </row>
    <row r="3508" spans="9:19">
      <c r="I3508" s="213"/>
      <c r="J3508" s="213"/>
      <c r="L3508" s="272">
        <f t="shared" si="291"/>
        <v>1900</v>
      </c>
      <c r="M3508" s="272">
        <f t="shared" si="292"/>
        <v>1</v>
      </c>
      <c r="O3508" s="61">
        <f t="shared" si="293"/>
        <v>1900</v>
      </c>
      <c r="P3508" s="61">
        <f t="shared" si="294"/>
        <v>1</v>
      </c>
      <c r="R3508" s="272"/>
      <c r="S3508" s="272"/>
    </row>
    <row r="3509" spans="9:19">
      <c r="I3509" s="213"/>
      <c r="J3509" s="213"/>
      <c r="L3509" s="272">
        <f t="shared" si="291"/>
        <v>1900</v>
      </c>
      <c r="M3509" s="272">
        <f t="shared" si="292"/>
        <v>1</v>
      </c>
      <c r="O3509" s="61">
        <f t="shared" si="293"/>
        <v>1900</v>
      </c>
      <c r="P3509" s="61">
        <f t="shared" si="294"/>
        <v>1</v>
      </c>
      <c r="R3509" s="272"/>
      <c r="S3509" s="272"/>
    </row>
    <row r="3510" spans="9:19">
      <c r="I3510" s="213"/>
      <c r="J3510" s="213"/>
      <c r="L3510" s="272">
        <f t="shared" si="291"/>
        <v>1900</v>
      </c>
      <c r="M3510" s="272">
        <f t="shared" si="292"/>
        <v>1</v>
      </c>
      <c r="O3510" s="61">
        <f t="shared" si="293"/>
        <v>1900</v>
      </c>
      <c r="P3510" s="61">
        <f t="shared" si="294"/>
        <v>1</v>
      </c>
      <c r="R3510" s="272"/>
      <c r="S3510" s="272"/>
    </row>
    <row r="3511" spans="9:19">
      <c r="I3511" s="213"/>
      <c r="J3511" s="213"/>
      <c r="L3511" s="272">
        <f t="shared" si="291"/>
        <v>1900</v>
      </c>
      <c r="M3511" s="272">
        <f t="shared" si="292"/>
        <v>1</v>
      </c>
      <c r="O3511" s="61">
        <f t="shared" si="293"/>
        <v>1900</v>
      </c>
      <c r="P3511" s="61">
        <f t="shared" si="294"/>
        <v>1</v>
      </c>
      <c r="R3511" s="272"/>
      <c r="S3511" s="272"/>
    </row>
    <row r="3512" spans="9:19">
      <c r="I3512" s="213"/>
      <c r="J3512" s="213"/>
      <c r="L3512" s="272">
        <f t="shared" si="291"/>
        <v>1900</v>
      </c>
      <c r="M3512" s="272">
        <f t="shared" si="292"/>
        <v>1</v>
      </c>
      <c r="O3512" s="61">
        <f t="shared" si="293"/>
        <v>1900</v>
      </c>
      <c r="P3512" s="61">
        <f t="shared" si="294"/>
        <v>1</v>
      </c>
      <c r="R3512" s="272"/>
      <c r="S3512" s="272"/>
    </row>
    <row r="3513" spans="9:19">
      <c r="I3513" s="213"/>
      <c r="J3513" s="213"/>
      <c r="L3513" s="272">
        <f t="shared" si="291"/>
        <v>1900</v>
      </c>
      <c r="M3513" s="272">
        <f t="shared" si="292"/>
        <v>1</v>
      </c>
      <c r="O3513" s="61">
        <f t="shared" si="293"/>
        <v>1900</v>
      </c>
      <c r="P3513" s="61">
        <f t="shared" si="294"/>
        <v>1</v>
      </c>
      <c r="R3513" s="272"/>
      <c r="S3513" s="272"/>
    </row>
    <row r="3514" spans="9:19">
      <c r="I3514" s="213"/>
      <c r="J3514" s="213"/>
      <c r="L3514" s="272">
        <f t="shared" si="291"/>
        <v>1900</v>
      </c>
      <c r="M3514" s="272">
        <f t="shared" si="292"/>
        <v>1</v>
      </c>
      <c r="O3514" s="61">
        <f t="shared" si="293"/>
        <v>1900</v>
      </c>
      <c r="P3514" s="61">
        <f t="shared" si="294"/>
        <v>1</v>
      </c>
      <c r="R3514" s="272"/>
      <c r="S3514" s="272"/>
    </row>
    <row r="3515" spans="9:19">
      <c r="I3515" s="213"/>
      <c r="J3515" s="213"/>
      <c r="L3515" s="272">
        <f t="shared" si="291"/>
        <v>1900</v>
      </c>
      <c r="M3515" s="272">
        <f t="shared" si="292"/>
        <v>1</v>
      </c>
      <c r="O3515" s="61">
        <f t="shared" si="293"/>
        <v>1900</v>
      </c>
      <c r="P3515" s="61">
        <f t="shared" si="294"/>
        <v>1</v>
      </c>
      <c r="R3515" s="272"/>
      <c r="S3515" s="272"/>
    </row>
    <row r="3516" spans="9:19">
      <c r="I3516" s="213"/>
      <c r="J3516" s="213"/>
      <c r="L3516" s="272">
        <f t="shared" si="291"/>
        <v>1900</v>
      </c>
      <c r="M3516" s="272">
        <f t="shared" si="292"/>
        <v>1</v>
      </c>
      <c r="O3516" s="61">
        <f t="shared" si="293"/>
        <v>1900</v>
      </c>
      <c r="P3516" s="61">
        <f t="shared" si="294"/>
        <v>1</v>
      </c>
      <c r="R3516" s="272"/>
      <c r="S3516" s="272"/>
    </row>
    <row r="3517" spans="9:19">
      <c r="I3517" s="213"/>
      <c r="J3517" s="213"/>
      <c r="L3517" s="272">
        <f t="shared" si="291"/>
        <v>1900</v>
      </c>
      <c r="M3517" s="272">
        <f t="shared" si="292"/>
        <v>1</v>
      </c>
      <c r="O3517" s="61">
        <f t="shared" si="293"/>
        <v>1900</v>
      </c>
      <c r="P3517" s="61">
        <f t="shared" si="294"/>
        <v>1</v>
      </c>
      <c r="R3517" s="272"/>
      <c r="S3517" s="272"/>
    </row>
    <row r="3518" spans="9:19">
      <c r="I3518" s="213"/>
      <c r="J3518" s="213"/>
      <c r="L3518" s="272">
        <f t="shared" si="291"/>
        <v>1900</v>
      </c>
      <c r="M3518" s="272">
        <f t="shared" si="292"/>
        <v>1</v>
      </c>
      <c r="O3518" s="61">
        <f t="shared" si="293"/>
        <v>1900</v>
      </c>
      <c r="P3518" s="61">
        <f t="shared" si="294"/>
        <v>1</v>
      </c>
      <c r="R3518" s="272"/>
      <c r="S3518" s="272"/>
    </row>
    <row r="3519" spans="9:19">
      <c r="I3519" s="213"/>
      <c r="J3519" s="213"/>
      <c r="L3519" s="272">
        <f t="shared" si="291"/>
        <v>1900</v>
      </c>
      <c r="M3519" s="272">
        <f t="shared" si="292"/>
        <v>1</v>
      </c>
      <c r="O3519" s="61">
        <f t="shared" si="293"/>
        <v>1900</v>
      </c>
      <c r="P3519" s="61">
        <f t="shared" si="294"/>
        <v>1</v>
      </c>
      <c r="R3519" s="272"/>
      <c r="S3519" s="272"/>
    </row>
    <row r="3520" spans="9:19">
      <c r="I3520" s="213"/>
      <c r="J3520" s="213"/>
      <c r="L3520" s="272">
        <f t="shared" si="291"/>
        <v>1900</v>
      </c>
      <c r="M3520" s="272">
        <f t="shared" si="292"/>
        <v>1</v>
      </c>
      <c r="O3520" s="61">
        <f t="shared" si="293"/>
        <v>1900</v>
      </c>
      <c r="P3520" s="61">
        <f t="shared" si="294"/>
        <v>1</v>
      </c>
      <c r="R3520" s="272"/>
      <c r="S3520" s="272"/>
    </row>
    <row r="3521" spans="9:19">
      <c r="I3521" s="213"/>
      <c r="J3521" s="213"/>
      <c r="L3521" s="272">
        <f t="shared" si="291"/>
        <v>1900</v>
      </c>
      <c r="M3521" s="272">
        <f t="shared" si="292"/>
        <v>1</v>
      </c>
      <c r="O3521" s="61">
        <f t="shared" si="293"/>
        <v>1900</v>
      </c>
      <c r="P3521" s="61">
        <f t="shared" si="294"/>
        <v>1</v>
      </c>
      <c r="R3521" s="272"/>
      <c r="S3521" s="272"/>
    </row>
    <row r="3522" spans="9:19">
      <c r="I3522" s="213"/>
      <c r="J3522" s="213"/>
      <c r="L3522" s="272">
        <f t="shared" si="291"/>
        <v>1900</v>
      </c>
      <c r="M3522" s="272">
        <f t="shared" si="292"/>
        <v>1</v>
      </c>
      <c r="O3522" s="61">
        <f t="shared" si="293"/>
        <v>1900</v>
      </c>
      <c r="P3522" s="61">
        <f t="shared" si="294"/>
        <v>1</v>
      </c>
      <c r="R3522" s="272"/>
      <c r="S3522" s="272"/>
    </row>
    <row r="3523" spans="9:19">
      <c r="I3523" s="213"/>
      <c r="J3523" s="213"/>
      <c r="L3523" s="272">
        <f t="shared" si="291"/>
        <v>1900</v>
      </c>
      <c r="M3523" s="272">
        <f t="shared" si="292"/>
        <v>1</v>
      </c>
      <c r="O3523" s="61">
        <f t="shared" si="293"/>
        <v>1900</v>
      </c>
      <c r="P3523" s="61">
        <f t="shared" si="294"/>
        <v>1</v>
      </c>
      <c r="R3523" s="272"/>
      <c r="S3523" s="272"/>
    </row>
    <row r="3524" spans="9:19">
      <c r="I3524" s="213"/>
      <c r="J3524" s="213"/>
      <c r="L3524" s="272">
        <f t="shared" si="291"/>
        <v>1900</v>
      </c>
      <c r="M3524" s="272">
        <f t="shared" si="292"/>
        <v>1</v>
      </c>
      <c r="O3524" s="61">
        <f t="shared" si="293"/>
        <v>1900</v>
      </c>
      <c r="P3524" s="61">
        <f t="shared" si="294"/>
        <v>1</v>
      </c>
      <c r="R3524" s="272"/>
      <c r="S3524" s="272"/>
    </row>
    <row r="3525" spans="9:19">
      <c r="I3525" s="213"/>
      <c r="J3525" s="213"/>
      <c r="L3525" s="272">
        <f t="shared" si="291"/>
        <v>1900</v>
      </c>
      <c r="M3525" s="272">
        <f t="shared" si="292"/>
        <v>1</v>
      </c>
      <c r="O3525" s="61">
        <f t="shared" si="293"/>
        <v>1900</v>
      </c>
      <c r="P3525" s="61">
        <f t="shared" si="294"/>
        <v>1</v>
      </c>
      <c r="R3525" s="272"/>
      <c r="S3525" s="272"/>
    </row>
    <row r="3526" spans="9:19">
      <c r="I3526" s="213"/>
      <c r="J3526" s="213"/>
      <c r="L3526" s="272">
        <f t="shared" si="291"/>
        <v>1900</v>
      </c>
      <c r="M3526" s="272">
        <f t="shared" si="292"/>
        <v>1</v>
      </c>
      <c r="O3526" s="61">
        <f t="shared" si="293"/>
        <v>1900</v>
      </c>
      <c r="P3526" s="61">
        <f t="shared" si="294"/>
        <v>1</v>
      </c>
      <c r="R3526" s="272"/>
      <c r="S3526" s="272"/>
    </row>
    <row r="3527" spans="9:19">
      <c r="I3527" s="213"/>
      <c r="J3527" s="213"/>
      <c r="L3527" s="272">
        <f t="shared" si="291"/>
        <v>1900</v>
      </c>
      <c r="M3527" s="272">
        <f t="shared" si="292"/>
        <v>1</v>
      </c>
      <c r="O3527" s="61">
        <f t="shared" si="293"/>
        <v>1900</v>
      </c>
      <c r="P3527" s="61">
        <f t="shared" si="294"/>
        <v>1</v>
      </c>
      <c r="R3527" s="272"/>
      <c r="S3527" s="272"/>
    </row>
    <row r="3528" spans="9:19">
      <c r="I3528" s="213"/>
      <c r="J3528" s="213"/>
      <c r="L3528" s="272">
        <f t="shared" si="291"/>
        <v>1900</v>
      </c>
      <c r="M3528" s="272">
        <f t="shared" si="292"/>
        <v>1</v>
      </c>
      <c r="O3528" s="61">
        <f t="shared" si="293"/>
        <v>1900</v>
      </c>
      <c r="P3528" s="61">
        <f t="shared" si="294"/>
        <v>1</v>
      </c>
      <c r="R3528" s="272"/>
      <c r="S3528" s="272"/>
    </row>
    <row r="3529" spans="9:19">
      <c r="I3529" s="213"/>
      <c r="J3529" s="213"/>
      <c r="L3529" s="272">
        <f t="shared" si="291"/>
        <v>1900</v>
      </c>
      <c r="M3529" s="272">
        <f t="shared" si="292"/>
        <v>1</v>
      </c>
      <c r="O3529" s="61">
        <f t="shared" si="293"/>
        <v>1900</v>
      </c>
      <c r="P3529" s="61">
        <f t="shared" si="294"/>
        <v>1</v>
      </c>
      <c r="R3529" s="272"/>
      <c r="S3529" s="272"/>
    </row>
    <row r="3530" spans="9:19">
      <c r="I3530" s="213"/>
      <c r="J3530" s="213"/>
      <c r="L3530" s="272">
        <f t="shared" si="291"/>
        <v>1900</v>
      </c>
      <c r="M3530" s="272">
        <f t="shared" si="292"/>
        <v>1</v>
      </c>
      <c r="O3530" s="61">
        <f t="shared" si="293"/>
        <v>1900</v>
      </c>
      <c r="P3530" s="61">
        <f t="shared" si="294"/>
        <v>1</v>
      </c>
      <c r="R3530" s="272"/>
      <c r="S3530" s="272"/>
    </row>
    <row r="3531" spans="9:19">
      <c r="I3531" s="213"/>
      <c r="J3531" s="213"/>
      <c r="L3531" s="272">
        <f t="shared" si="291"/>
        <v>1900</v>
      </c>
      <c r="M3531" s="272">
        <f t="shared" si="292"/>
        <v>1</v>
      </c>
      <c r="O3531" s="61">
        <f t="shared" si="293"/>
        <v>1900</v>
      </c>
      <c r="P3531" s="61">
        <f t="shared" si="294"/>
        <v>1</v>
      </c>
      <c r="R3531" s="272"/>
      <c r="S3531" s="272"/>
    </row>
    <row r="3532" spans="9:19">
      <c r="I3532" s="213"/>
      <c r="J3532" s="213"/>
      <c r="L3532" s="272">
        <f t="shared" si="291"/>
        <v>1900</v>
      </c>
      <c r="M3532" s="272">
        <f t="shared" si="292"/>
        <v>1</v>
      </c>
      <c r="O3532" s="61">
        <f t="shared" si="293"/>
        <v>1900</v>
      </c>
      <c r="P3532" s="61">
        <f t="shared" si="294"/>
        <v>1</v>
      </c>
      <c r="R3532" s="272"/>
      <c r="S3532" s="272"/>
    </row>
    <row r="3533" spans="9:19">
      <c r="I3533" s="213"/>
      <c r="J3533" s="213"/>
      <c r="L3533" s="272">
        <f t="shared" si="291"/>
        <v>1900</v>
      </c>
      <c r="M3533" s="272">
        <f t="shared" si="292"/>
        <v>1</v>
      </c>
      <c r="O3533" s="61">
        <f t="shared" si="293"/>
        <v>1900</v>
      </c>
      <c r="P3533" s="61">
        <f t="shared" si="294"/>
        <v>1</v>
      </c>
      <c r="R3533" s="272"/>
      <c r="S3533" s="272"/>
    </row>
    <row r="3534" spans="9:19">
      <c r="I3534" s="213"/>
      <c r="J3534" s="213"/>
      <c r="L3534" s="272">
        <f t="shared" si="291"/>
        <v>1900</v>
      </c>
      <c r="M3534" s="272">
        <f t="shared" si="292"/>
        <v>1</v>
      </c>
      <c r="O3534" s="61">
        <f t="shared" si="293"/>
        <v>1900</v>
      </c>
      <c r="P3534" s="61">
        <f t="shared" si="294"/>
        <v>1</v>
      </c>
      <c r="R3534" s="272"/>
      <c r="S3534" s="272"/>
    </row>
    <row r="3535" spans="9:19">
      <c r="I3535" s="213"/>
      <c r="J3535" s="213"/>
      <c r="L3535" s="272">
        <f t="shared" si="291"/>
        <v>1900</v>
      </c>
      <c r="M3535" s="272">
        <f t="shared" si="292"/>
        <v>1</v>
      </c>
      <c r="O3535" s="61">
        <f t="shared" si="293"/>
        <v>1900</v>
      </c>
      <c r="P3535" s="61">
        <f t="shared" si="294"/>
        <v>1</v>
      </c>
      <c r="R3535" s="272"/>
      <c r="S3535" s="272"/>
    </row>
    <row r="3536" spans="9:19">
      <c r="I3536" s="213"/>
      <c r="J3536" s="213"/>
      <c r="L3536" s="272">
        <f t="shared" ref="L3536:L3599" si="295">YEAR(B3536)</f>
        <v>1900</v>
      </c>
      <c r="M3536" s="272">
        <f t="shared" ref="M3536:M3599" si="296">MONTH(B3536)</f>
        <v>1</v>
      </c>
      <c r="O3536" s="61">
        <f t="shared" ref="O3536:O3599" si="297">YEAR(B3536)</f>
        <v>1900</v>
      </c>
      <c r="P3536" s="61">
        <f t="shared" ref="P3536:P3599" si="298">MONTH(B3536)</f>
        <v>1</v>
      </c>
      <c r="R3536" s="272"/>
      <c r="S3536" s="272"/>
    </row>
    <row r="3537" spans="9:19">
      <c r="I3537" s="213"/>
      <c r="J3537" s="213"/>
      <c r="L3537" s="272">
        <f t="shared" si="295"/>
        <v>1900</v>
      </c>
      <c r="M3537" s="272">
        <f t="shared" si="296"/>
        <v>1</v>
      </c>
      <c r="O3537" s="61">
        <f t="shared" si="297"/>
        <v>1900</v>
      </c>
      <c r="P3537" s="61">
        <f t="shared" si="298"/>
        <v>1</v>
      </c>
      <c r="R3537" s="272"/>
      <c r="S3537" s="272"/>
    </row>
    <row r="3538" spans="9:19">
      <c r="I3538" s="213"/>
      <c r="J3538" s="213"/>
      <c r="L3538" s="272">
        <f t="shared" si="295"/>
        <v>1900</v>
      </c>
      <c r="M3538" s="272">
        <f t="shared" si="296"/>
        <v>1</v>
      </c>
      <c r="O3538" s="61">
        <f t="shared" si="297"/>
        <v>1900</v>
      </c>
      <c r="P3538" s="61">
        <f t="shared" si="298"/>
        <v>1</v>
      </c>
      <c r="R3538" s="272"/>
      <c r="S3538" s="272"/>
    </row>
    <row r="3539" spans="9:19">
      <c r="I3539" s="213"/>
      <c r="J3539" s="213"/>
      <c r="L3539" s="272">
        <f t="shared" si="295"/>
        <v>1900</v>
      </c>
      <c r="M3539" s="272">
        <f t="shared" si="296"/>
        <v>1</v>
      </c>
      <c r="O3539" s="61">
        <f t="shared" si="297"/>
        <v>1900</v>
      </c>
      <c r="P3539" s="61">
        <f t="shared" si="298"/>
        <v>1</v>
      </c>
      <c r="R3539" s="272"/>
      <c r="S3539" s="272"/>
    </row>
    <row r="3540" spans="9:19">
      <c r="I3540" s="213"/>
      <c r="J3540" s="213"/>
      <c r="L3540" s="272">
        <f t="shared" si="295"/>
        <v>1900</v>
      </c>
      <c r="M3540" s="272">
        <f t="shared" si="296"/>
        <v>1</v>
      </c>
      <c r="O3540" s="61">
        <f t="shared" si="297"/>
        <v>1900</v>
      </c>
      <c r="P3540" s="61">
        <f t="shared" si="298"/>
        <v>1</v>
      </c>
      <c r="R3540" s="272"/>
      <c r="S3540" s="272"/>
    </row>
    <row r="3541" spans="9:19">
      <c r="I3541" s="213"/>
      <c r="J3541" s="213"/>
      <c r="L3541" s="272">
        <f t="shared" si="295"/>
        <v>1900</v>
      </c>
      <c r="M3541" s="272">
        <f t="shared" si="296"/>
        <v>1</v>
      </c>
      <c r="O3541" s="61">
        <f t="shared" si="297"/>
        <v>1900</v>
      </c>
      <c r="P3541" s="61">
        <f t="shared" si="298"/>
        <v>1</v>
      </c>
      <c r="R3541" s="272"/>
      <c r="S3541" s="272"/>
    </row>
    <row r="3542" spans="9:19">
      <c r="I3542" s="213"/>
      <c r="J3542" s="213"/>
      <c r="L3542" s="272">
        <f t="shared" si="295"/>
        <v>1900</v>
      </c>
      <c r="M3542" s="272">
        <f t="shared" si="296"/>
        <v>1</v>
      </c>
      <c r="O3542" s="61">
        <f t="shared" si="297"/>
        <v>1900</v>
      </c>
      <c r="P3542" s="61">
        <f t="shared" si="298"/>
        <v>1</v>
      </c>
      <c r="R3542" s="272"/>
      <c r="S3542" s="272"/>
    </row>
    <row r="3543" spans="9:19">
      <c r="I3543" s="213"/>
      <c r="J3543" s="213"/>
      <c r="L3543" s="272">
        <f t="shared" si="295"/>
        <v>1900</v>
      </c>
      <c r="M3543" s="272">
        <f t="shared" si="296"/>
        <v>1</v>
      </c>
      <c r="O3543" s="61">
        <f t="shared" si="297"/>
        <v>1900</v>
      </c>
      <c r="P3543" s="61">
        <f t="shared" si="298"/>
        <v>1</v>
      </c>
      <c r="R3543" s="272"/>
      <c r="S3543" s="272"/>
    </row>
    <row r="3544" spans="9:19">
      <c r="I3544" s="213"/>
      <c r="J3544" s="213"/>
      <c r="L3544" s="272">
        <f t="shared" si="295"/>
        <v>1900</v>
      </c>
      <c r="M3544" s="272">
        <f t="shared" si="296"/>
        <v>1</v>
      </c>
      <c r="O3544" s="61">
        <f t="shared" si="297"/>
        <v>1900</v>
      </c>
      <c r="P3544" s="61">
        <f t="shared" si="298"/>
        <v>1</v>
      </c>
      <c r="R3544" s="272"/>
      <c r="S3544" s="272"/>
    </row>
    <row r="3545" spans="9:19">
      <c r="I3545" s="213"/>
      <c r="J3545" s="213"/>
      <c r="L3545" s="272">
        <f t="shared" si="295"/>
        <v>1900</v>
      </c>
      <c r="M3545" s="272">
        <f t="shared" si="296"/>
        <v>1</v>
      </c>
      <c r="O3545" s="61">
        <f t="shared" si="297"/>
        <v>1900</v>
      </c>
      <c r="P3545" s="61">
        <f t="shared" si="298"/>
        <v>1</v>
      </c>
      <c r="R3545" s="272"/>
      <c r="S3545" s="272"/>
    </row>
    <row r="3546" spans="9:19">
      <c r="I3546" s="213"/>
      <c r="J3546" s="213"/>
      <c r="L3546" s="272">
        <f t="shared" si="295"/>
        <v>1900</v>
      </c>
      <c r="M3546" s="272">
        <f t="shared" si="296"/>
        <v>1</v>
      </c>
      <c r="O3546" s="61">
        <f t="shared" si="297"/>
        <v>1900</v>
      </c>
      <c r="P3546" s="61">
        <f t="shared" si="298"/>
        <v>1</v>
      </c>
      <c r="R3546" s="272"/>
      <c r="S3546" s="272"/>
    </row>
    <row r="3547" spans="9:19">
      <c r="I3547" s="213"/>
      <c r="J3547" s="213"/>
      <c r="L3547" s="272">
        <f t="shared" si="295"/>
        <v>1900</v>
      </c>
      <c r="M3547" s="272">
        <f t="shared" si="296"/>
        <v>1</v>
      </c>
      <c r="O3547" s="61">
        <f t="shared" si="297"/>
        <v>1900</v>
      </c>
      <c r="P3547" s="61">
        <f t="shared" si="298"/>
        <v>1</v>
      </c>
      <c r="R3547" s="272"/>
      <c r="S3547" s="272"/>
    </row>
    <row r="3548" spans="9:19">
      <c r="I3548" s="213"/>
      <c r="J3548" s="213"/>
      <c r="L3548" s="272">
        <f t="shared" si="295"/>
        <v>1900</v>
      </c>
      <c r="M3548" s="272">
        <f t="shared" si="296"/>
        <v>1</v>
      </c>
      <c r="O3548" s="61">
        <f t="shared" si="297"/>
        <v>1900</v>
      </c>
      <c r="P3548" s="61">
        <f t="shared" si="298"/>
        <v>1</v>
      </c>
      <c r="R3548" s="272"/>
      <c r="S3548" s="272"/>
    </row>
    <row r="3549" spans="9:19">
      <c r="I3549" s="213"/>
      <c r="J3549" s="213"/>
      <c r="L3549" s="272">
        <f t="shared" si="295"/>
        <v>1900</v>
      </c>
      <c r="M3549" s="272">
        <f t="shared" si="296"/>
        <v>1</v>
      </c>
      <c r="O3549" s="61">
        <f t="shared" si="297"/>
        <v>1900</v>
      </c>
      <c r="P3549" s="61">
        <f t="shared" si="298"/>
        <v>1</v>
      </c>
      <c r="R3549" s="272"/>
      <c r="S3549" s="272"/>
    </row>
    <row r="3550" spans="9:19">
      <c r="I3550" s="213"/>
      <c r="J3550" s="213"/>
      <c r="L3550" s="272">
        <f t="shared" si="295"/>
        <v>1900</v>
      </c>
      <c r="M3550" s="272">
        <f t="shared" si="296"/>
        <v>1</v>
      </c>
      <c r="O3550" s="61">
        <f t="shared" si="297"/>
        <v>1900</v>
      </c>
      <c r="P3550" s="61">
        <f t="shared" si="298"/>
        <v>1</v>
      </c>
      <c r="R3550" s="272"/>
      <c r="S3550" s="272"/>
    </row>
    <row r="3551" spans="9:19">
      <c r="I3551" s="213"/>
      <c r="J3551" s="213"/>
      <c r="L3551" s="272">
        <f t="shared" si="295"/>
        <v>1900</v>
      </c>
      <c r="M3551" s="272">
        <f t="shared" si="296"/>
        <v>1</v>
      </c>
      <c r="O3551" s="61">
        <f t="shared" si="297"/>
        <v>1900</v>
      </c>
      <c r="P3551" s="61">
        <f t="shared" si="298"/>
        <v>1</v>
      </c>
      <c r="R3551" s="272"/>
      <c r="S3551" s="272"/>
    </row>
    <row r="3552" spans="9:19">
      <c r="I3552" s="213"/>
      <c r="J3552" s="213"/>
      <c r="L3552" s="272">
        <f t="shared" si="295"/>
        <v>1900</v>
      </c>
      <c r="M3552" s="272">
        <f t="shared" si="296"/>
        <v>1</v>
      </c>
      <c r="O3552" s="61">
        <f t="shared" si="297"/>
        <v>1900</v>
      </c>
      <c r="P3552" s="61">
        <f t="shared" si="298"/>
        <v>1</v>
      </c>
      <c r="R3552" s="272"/>
      <c r="S3552" s="272"/>
    </row>
    <row r="3553" spans="9:19">
      <c r="I3553" s="213"/>
      <c r="J3553" s="213"/>
      <c r="L3553" s="272">
        <f t="shared" si="295"/>
        <v>1900</v>
      </c>
      <c r="M3553" s="272">
        <f t="shared" si="296"/>
        <v>1</v>
      </c>
      <c r="O3553" s="61">
        <f t="shared" si="297"/>
        <v>1900</v>
      </c>
      <c r="P3553" s="61">
        <f t="shared" si="298"/>
        <v>1</v>
      </c>
      <c r="R3553" s="272"/>
      <c r="S3553" s="272"/>
    </row>
    <row r="3554" spans="9:19">
      <c r="I3554" s="213"/>
      <c r="J3554" s="213"/>
      <c r="L3554" s="272">
        <f t="shared" si="295"/>
        <v>1900</v>
      </c>
      <c r="M3554" s="272">
        <f t="shared" si="296"/>
        <v>1</v>
      </c>
      <c r="O3554" s="61">
        <f t="shared" si="297"/>
        <v>1900</v>
      </c>
      <c r="P3554" s="61">
        <f t="shared" si="298"/>
        <v>1</v>
      </c>
      <c r="R3554" s="272"/>
      <c r="S3554" s="272"/>
    </row>
    <row r="3555" spans="9:19">
      <c r="I3555" s="213"/>
      <c r="J3555" s="213"/>
      <c r="L3555" s="272">
        <f t="shared" si="295"/>
        <v>1900</v>
      </c>
      <c r="M3555" s="272">
        <f t="shared" si="296"/>
        <v>1</v>
      </c>
      <c r="O3555" s="61">
        <f t="shared" si="297"/>
        <v>1900</v>
      </c>
      <c r="P3555" s="61">
        <f t="shared" si="298"/>
        <v>1</v>
      </c>
      <c r="R3555" s="272"/>
      <c r="S3555" s="272"/>
    </row>
    <row r="3556" spans="9:19">
      <c r="I3556" s="213"/>
      <c r="J3556" s="213"/>
      <c r="L3556" s="272">
        <f t="shared" si="295"/>
        <v>1900</v>
      </c>
      <c r="M3556" s="272">
        <f t="shared" si="296"/>
        <v>1</v>
      </c>
      <c r="O3556" s="61">
        <f t="shared" si="297"/>
        <v>1900</v>
      </c>
      <c r="P3556" s="61">
        <f t="shared" si="298"/>
        <v>1</v>
      </c>
      <c r="R3556" s="272"/>
      <c r="S3556" s="272"/>
    </row>
    <row r="3557" spans="9:19">
      <c r="I3557" s="213"/>
      <c r="J3557" s="213"/>
      <c r="L3557" s="272">
        <f t="shared" si="295"/>
        <v>1900</v>
      </c>
      <c r="M3557" s="272">
        <f t="shared" si="296"/>
        <v>1</v>
      </c>
      <c r="O3557" s="61">
        <f t="shared" si="297"/>
        <v>1900</v>
      </c>
      <c r="P3557" s="61">
        <f t="shared" si="298"/>
        <v>1</v>
      </c>
      <c r="R3557" s="272"/>
      <c r="S3557" s="272"/>
    </row>
    <row r="3558" spans="9:19">
      <c r="I3558" s="213"/>
      <c r="J3558" s="213"/>
      <c r="L3558" s="272">
        <f t="shared" si="295"/>
        <v>1900</v>
      </c>
      <c r="M3558" s="272">
        <f t="shared" si="296"/>
        <v>1</v>
      </c>
      <c r="O3558" s="61">
        <f t="shared" si="297"/>
        <v>1900</v>
      </c>
      <c r="P3558" s="61">
        <f t="shared" si="298"/>
        <v>1</v>
      </c>
      <c r="R3558" s="272"/>
      <c r="S3558" s="272"/>
    </row>
    <row r="3559" spans="9:19">
      <c r="I3559" s="213"/>
      <c r="J3559" s="213"/>
      <c r="L3559" s="272">
        <f t="shared" si="295"/>
        <v>1900</v>
      </c>
      <c r="M3559" s="272">
        <f t="shared" si="296"/>
        <v>1</v>
      </c>
      <c r="O3559" s="61">
        <f t="shared" si="297"/>
        <v>1900</v>
      </c>
      <c r="P3559" s="61">
        <f t="shared" si="298"/>
        <v>1</v>
      </c>
      <c r="R3559" s="272"/>
      <c r="S3559" s="272"/>
    </row>
    <row r="3560" spans="9:19">
      <c r="I3560" s="213"/>
      <c r="J3560" s="213"/>
      <c r="L3560" s="272">
        <f t="shared" si="295"/>
        <v>1900</v>
      </c>
      <c r="M3560" s="272">
        <f t="shared" si="296"/>
        <v>1</v>
      </c>
      <c r="O3560" s="61">
        <f t="shared" si="297"/>
        <v>1900</v>
      </c>
      <c r="P3560" s="61">
        <f t="shared" si="298"/>
        <v>1</v>
      </c>
      <c r="R3560" s="272"/>
      <c r="S3560" s="272"/>
    </row>
    <row r="3561" spans="9:19">
      <c r="I3561" s="213"/>
      <c r="J3561" s="213"/>
      <c r="L3561" s="272">
        <f t="shared" si="295"/>
        <v>1900</v>
      </c>
      <c r="M3561" s="272">
        <f t="shared" si="296"/>
        <v>1</v>
      </c>
      <c r="O3561" s="61">
        <f t="shared" si="297"/>
        <v>1900</v>
      </c>
      <c r="P3561" s="61">
        <f t="shared" si="298"/>
        <v>1</v>
      </c>
      <c r="R3561" s="272"/>
      <c r="S3561" s="272"/>
    </row>
    <row r="3562" spans="9:19">
      <c r="I3562" s="213"/>
      <c r="J3562" s="213"/>
      <c r="L3562" s="272">
        <f t="shared" si="295"/>
        <v>1900</v>
      </c>
      <c r="M3562" s="272">
        <f t="shared" si="296"/>
        <v>1</v>
      </c>
      <c r="O3562" s="61">
        <f t="shared" si="297"/>
        <v>1900</v>
      </c>
      <c r="P3562" s="61">
        <f t="shared" si="298"/>
        <v>1</v>
      </c>
      <c r="R3562" s="272"/>
      <c r="S3562" s="272"/>
    </row>
    <row r="3563" spans="9:19">
      <c r="I3563" s="213"/>
      <c r="J3563" s="213"/>
      <c r="L3563" s="272">
        <f t="shared" si="295"/>
        <v>1900</v>
      </c>
      <c r="M3563" s="272">
        <f t="shared" si="296"/>
        <v>1</v>
      </c>
      <c r="O3563" s="61">
        <f t="shared" si="297"/>
        <v>1900</v>
      </c>
      <c r="P3563" s="61">
        <f t="shared" si="298"/>
        <v>1</v>
      </c>
      <c r="R3563" s="272"/>
      <c r="S3563" s="272"/>
    </row>
    <row r="3564" spans="9:19">
      <c r="I3564" s="213"/>
      <c r="J3564" s="213"/>
      <c r="L3564" s="272">
        <f t="shared" si="295"/>
        <v>1900</v>
      </c>
      <c r="M3564" s="272">
        <f t="shared" si="296"/>
        <v>1</v>
      </c>
      <c r="O3564" s="61">
        <f t="shared" si="297"/>
        <v>1900</v>
      </c>
      <c r="P3564" s="61">
        <f t="shared" si="298"/>
        <v>1</v>
      </c>
      <c r="R3564" s="272"/>
      <c r="S3564" s="272"/>
    </row>
    <row r="3565" spans="9:19">
      <c r="I3565" s="213"/>
      <c r="J3565" s="213"/>
      <c r="L3565" s="272">
        <f t="shared" si="295"/>
        <v>1900</v>
      </c>
      <c r="M3565" s="272">
        <f t="shared" si="296"/>
        <v>1</v>
      </c>
      <c r="O3565" s="61">
        <f t="shared" si="297"/>
        <v>1900</v>
      </c>
      <c r="P3565" s="61">
        <f t="shared" si="298"/>
        <v>1</v>
      </c>
      <c r="R3565" s="272"/>
      <c r="S3565" s="272"/>
    </row>
    <row r="3566" spans="9:19">
      <c r="I3566" s="213"/>
      <c r="J3566" s="213"/>
      <c r="L3566" s="272">
        <f t="shared" si="295"/>
        <v>1900</v>
      </c>
      <c r="M3566" s="272">
        <f t="shared" si="296"/>
        <v>1</v>
      </c>
      <c r="O3566" s="61">
        <f t="shared" si="297"/>
        <v>1900</v>
      </c>
      <c r="P3566" s="61">
        <f t="shared" si="298"/>
        <v>1</v>
      </c>
      <c r="R3566" s="272"/>
      <c r="S3566" s="272"/>
    </row>
    <row r="3567" spans="9:19">
      <c r="I3567" s="213"/>
      <c r="J3567" s="213"/>
      <c r="L3567" s="272">
        <f t="shared" si="295"/>
        <v>1900</v>
      </c>
      <c r="M3567" s="272">
        <f t="shared" si="296"/>
        <v>1</v>
      </c>
      <c r="O3567" s="61">
        <f t="shared" si="297"/>
        <v>1900</v>
      </c>
      <c r="P3567" s="61">
        <f t="shared" si="298"/>
        <v>1</v>
      </c>
      <c r="R3567" s="272"/>
      <c r="S3567" s="272"/>
    </row>
    <row r="3568" spans="9:19">
      <c r="I3568" s="213"/>
      <c r="J3568" s="213"/>
      <c r="L3568" s="272">
        <f t="shared" si="295"/>
        <v>1900</v>
      </c>
      <c r="M3568" s="272">
        <f t="shared" si="296"/>
        <v>1</v>
      </c>
      <c r="O3568" s="61">
        <f t="shared" si="297"/>
        <v>1900</v>
      </c>
      <c r="P3568" s="61">
        <f t="shared" si="298"/>
        <v>1</v>
      </c>
      <c r="R3568" s="272"/>
      <c r="S3568" s="272"/>
    </row>
    <row r="3569" spans="9:19">
      <c r="I3569" s="213"/>
      <c r="J3569" s="213"/>
      <c r="L3569" s="272">
        <f t="shared" si="295"/>
        <v>1900</v>
      </c>
      <c r="M3569" s="272">
        <f t="shared" si="296"/>
        <v>1</v>
      </c>
      <c r="O3569" s="61">
        <f t="shared" si="297"/>
        <v>1900</v>
      </c>
      <c r="P3569" s="61">
        <f t="shared" si="298"/>
        <v>1</v>
      </c>
      <c r="R3569" s="272"/>
      <c r="S3569" s="272"/>
    </row>
    <row r="3570" spans="9:19">
      <c r="I3570" s="213"/>
      <c r="J3570" s="213"/>
      <c r="L3570" s="272">
        <f t="shared" si="295"/>
        <v>1900</v>
      </c>
      <c r="M3570" s="272">
        <f t="shared" si="296"/>
        <v>1</v>
      </c>
      <c r="O3570" s="61">
        <f t="shared" si="297"/>
        <v>1900</v>
      </c>
      <c r="P3570" s="61">
        <f t="shared" si="298"/>
        <v>1</v>
      </c>
      <c r="R3570" s="272"/>
      <c r="S3570" s="272"/>
    </row>
    <row r="3571" spans="9:19">
      <c r="I3571" s="213"/>
      <c r="J3571" s="213"/>
      <c r="L3571" s="272">
        <f t="shared" si="295"/>
        <v>1900</v>
      </c>
      <c r="M3571" s="272">
        <f t="shared" si="296"/>
        <v>1</v>
      </c>
      <c r="O3571" s="61">
        <f t="shared" si="297"/>
        <v>1900</v>
      </c>
      <c r="P3571" s="61">
        <f t="shared" si="298"/>
        <v>1</v>
      </c>
      <c r="R3571" s="272"/>
      <c r="S3571" s="272"/>
    </row>
    <row r="3572" spans="9:19">
      <c r="I3572" s="213"/>
      <c r="J3572" s="213"/>
      <c r="L3572" s="272">
        <f t="shared" si="295"/>
        <v>1900</v>
      </c>
      <c r="M3572" s="272">
        <f t="shared" si="296"/>
        <v>1</v>
      </c>
      <c r="O3572" s="61">
        <f t="shared" si="297"/>
        <v>1900</v>
      </c>
      <c r="P3572" s="61">
        <f t="shared" si="298"/>
        <v>1</v>
      </c>
      <c r="R3572" s="272"/>
      <c r="S3572" s="272"/>
    </row>
    <row r="3573" spans="9:19">
      <c r="I3573" s="213"/>
      <c r="J3573" s="213"/>
      <c r="L3573" s="272">
        <f t="shared" si="295"/>
        <v>1900</v>
      </c>
      <c r="M3573" s="272">
        <f t="shared" si="296"/>
        <v>1</v>
      </c>
      <c r="O3573" s="61">
        <f t="shared" si="297"/>
        <v>1900</v>
      </c>
      <c r="P3573" s="61">
        <f t="shared" si="298"/>
        <v>1</v>
      </c>
      <c r="R3573" s="272"/>
      <c r="S3573" s="272"/>
    </row>
    <row r="3574" spans="9:19">
      <c r="I3574" s="213"/>
      <c r="J3574" s="213"/>
      <c r="L3574" s="272">
        <f t="shared" si="295"/>
        <v>1900</v>
      </c>
      <c r="M3574" s="272">
        <f t="shared" si="296"/>
        <v>1</v>
      </c>
      <c r="O3574" s="61">
        <f t="shared" si="297"/>
        <v>1900</v>
      </c>
      <c r="P3574" s="61">
        <f t="shared" si="298"/>
        <v>1</v>
      </c>
      <c r="R3574" s="272"/>
      <c r="S3574" s="272"/>
    </row>
    <row r="3575" spans="9:19">
      <c r="I3575" s="213"/>
      <c r="J3575" s="213"/>
      <c r="L3575" s="272">
        <f t="shared" si="295"/>
        <v>1900</v>
      </c>
      <c r="M3575" s="272">
        <f t="shared" si="296"/>
        <v>1</v>
      </c>
      <c r="O3575" s="61">
        <f t="shared" si="297"/>
        <v>1900</v>
      </c>
      <c r="P3575" s="61">
        <f t="shared" si="298"/>
        <v>1</v>
      </c>
      <c r="R3575" s="272"/>
      <c r="S3575" s="272"/>
    </row>
    <row r="3576" spans="9:19">
      <c r="I3576" s="213"/>
      <c r="J3576" s="213"/>
      <c r="L3576" s="272">
        <f t="shared" si="295"/>
        <v>1900</v>
      </c>
      <c r="M3576" s="272">
        <f t="shared" si="296"/>
        <v>1</v>
      </c>
      <c r="O3576" s="61">
        <f t="shared" si="297"/>
        <v>1900</v>
      </c>
      <c r="P3576" s="61">
        <f t="shared" si="298"/>
        <v>1</v>
      </c>
      <c r="R3576" s="272"/>
      <c r="S3576" s="272"/>
    </row>
    <row r="3577" spans="9:19">
      <c r="I3577" s="213"/>
      <c r="J3577" s="213"/>
      <c r="L3577" s="272">
        <f t="shared" si="295"/>
        <v>1900</v>
      </c>
      <c r="M3577" s="272">
        <f t="shared" si="296"/>
        <v>1</v>
      </c>
      <c r="O3577" s="61">
        <f t="shared" si="297"/>
        <v>1900</v>
      </c>
      <c r="P3577" s="61">
        <f t="shared" si="298"/>
        <v>1</v>
      </c>
      <c r="R3577" s="272"/>
      <c r="S3577" s="272"/>
    </row>
    <row r="3578" spans="9:19">
      <c r="I3578" s="213"/>
      <c r="J3578" s="213"/>
      <c r="L3578" s="272">
        <f t="shared" si="295"/>
        <v>1900</v>
      </c>
      <c r="M3578" s="272">
        <f t="shared" si="296"/>
        <v>1</v>
      </c>
      <c r="O3578" s="61">
        <f t="shared" si="297"/>
        <v>1900</v>
      </c>
      <c r="P3578" s="61">
        <f t="shared" si="298"/>
        <v>1</v>
      </c>
      <c r="R3578" s="272"/>
      <c r="S3578" s="272"/>
    </row>
    <row r="3579" spans="9:19">
      <c r="I3579" s="213"/>
      <c r="J3579" s="213"/>
      <c r="L3579" s="272">
        <f t="shared" si="295"/>
        <v>1900</v>
      </c>
      <c r="M3579" s="272">
        <f t="shared" si="296"/>
        <v>1</v>
      </c>
      <c r="O3579" s="61">
        <f t="shared" si="297"/>
        <v>1900</v>
      </c>
      <c r="P3579" s="61">
        <f t="shared" si="298"/>
        <v>1</v>
      </c>
      <c r="R3579" s="272"/>
      <c r="S3579" s="272"/>
    </row>
    <row r="3580" spans="9:19">
      <c r="I3580" s="213"/>
      <c r="J3580" s="213"/>
      <c r="L3580" s="272">
        <f t="shared" si="295"/>
        <v>1900</v>
      </c>
      <c r="M3580" s="272">
        <f t="shared" si="296"/>
        <v>1</v>
      </c>
      <c r="O3580" s="61">
        <f t="shared" si="297"/>
        <v>1900</v>
      </c>
      <c r="P3580" s="61">
        <f t="shared" si="298"/>
        <v>1</v>
      </c>
      <c r="R3580" s="272"/>
      <c r="S3580" s="272"/>
    </row>
    <row r="3581" spans="9:19">
      <c r="I3581" s="213"/>
      <c r="J3581" s="213"/>
      <c r="L3581" s="272">
        <f t="shared" si="295"/>
        <v>1900</v>
      </c>
      <c r="M3581" s="272">
        <f t="shared" si="296"/>
        <v>1</v>
      </c>
      <c r="O3581" s="61">
        <f t="shared" si="297"/>
        <v>1900</v>
      </c>
      <c r="P3581" s="61">
        <f t="shared" si="298"/>
        <v>1</v>
      </c>
      <c r="R3581" s="272"/>
      <c r="S3581" s="272"/>
    </row>
    <row r="3582" spans="9:19">
      <c r="I3582" s="213"/>
      <c r="J3582" s="213"/>
      <c r="L3582" s="272">
        <f t="shared" si="295"/>
        <v>1900</v>
      </c>
      <c r="M3582" s="272">
        <f t="shared" si="296"/>
        <v>1</v>
      </c>
      <c r="O3582" s="61">
        <f t="shared" si="297"/>
        <v>1900</v>
      </c>
      <c r="P3582" s="61">
        <f t="shared" si="298"/>
        <v>1</v>
      </c>
      <c r="R3582" s="272"/>
      <c r="S3582" s="272"/>
    </row>
    <row r="3583" spans="9:19">
      <c r="I3583" s="213"/>
      <c r="J3583" s="213"/>
      <c r="L3583" s="272">
        <f t="shared" si="295"/>
        <v>1900</v>
      </c>
      <c r="M3583" s="272">
        <f t="shared" si="296"/>
        <v>1</v>
      </c>
      <c r="O3583" s="61">
        <f t="shared" si="297"/>
        <v>1900</v>
      </c>
      <c r="P3583" s="61">
        <f t="shared" si="298"/>
        <v>1</v>
      </c>
      <c r="R3583" s="272"/>
      <c r="S3583" s="272"/>
    </row>
    <row r="3584" spans="9:19">
      <c r="I3584" s="213"/>
      <c r="J3584" s="213"/>
      <c r="L3584" s="272">
        <f t="shared" si="295"/>
        <v>1900</v>
      </c>
      <c r="M3584" s="272">
        <f t="shared" si="296"/>
        <v>1</v>
      </c>
      <c r="O3584" s="61">
        <f t="shared" si="297"/>
        <v>1900</v>
      </c>
      <c r="P3584" s="61">
        <f t="shared" si="298"/>
        <v>1</v>
      </c>
      <c r="R3584" s="272"/>
      <c r="S3584" s="272"/>
    </row>
    <row r="3585" spans="9:19">
      <c r="I3585" s="213"/>
      <c r="J3585" s="213"/>
      <c r="L3585" s="272">
        <f t="shared" si="295"/>
        <v>1900</v>
      </c>
      <c r="M3585" s="272">
        <f t="shared" si="296"/>
        <v>1</v>
      </c>
      <c r="O3585" s="61">
        <f t="shared" si="297"/>
        <v>1900</v>
      </c>
      <c r="P3585" s="61">
        <f t="shared" si="298"/>
        <v>1</v>
      </c>
      <c r="R3585" s="272"/>
      <c r="S3585" s="272"/>
    </row>
    <row r="3586" spans="9:19">
      <c r="I3586" s="213"/>
      <c r="J3586" s="213"/>
      <c r="L3586" s="272">
        <f t="shared" si="295"/>
        <v>1900</v>
      </c>
      <c r="M3586" s="272">
        <f t="shared" si="296"/>
        <v>1</v>
      </c>
      <c r="O3586" s="61">
        <f t="shared" si="297"/>
        <v>1900</v>
      </c>
      <c r="P3586" s="61">
        <f t="shared" si="298"/>
        <v>1</v>
      </c>
      <c r="R3586" s="272"/>
      <c r="S3586" s="272"/>
    </row>
    <row r="3587" spans="9:19">
      <c r="I3587" s="213"/>
      <c r="J3587" s="213"/>
      <c r="L3587" s="272">
        <f t="shared" si="295"/>
        <v>1900</v>
      </c>
      <c r="M3587" s="272">
        <f t="shared" si="296"/>
        <v>1</v>
      </c>
      <c r="O3587" s="61">
        <f t="shared" si="297"/>
        <v>1900</v>
      </c>
      <c r="P3587" s="61">
        <f t="shared" si="298"/>
        <v>1</v>
      </c>
      <c r="R3587" s="272"/>
      <c r="S3587" s="272"/>
    </row>
    <row r="3588" spans="9:19">
      <c r="I3588" s="213"/>
      <c r="J3588" s="213"/>
      <c r="L3588" s="272">
        <f t="shared" si="295"/>
        <v>1900</v>
      </c>
      <c r="M3588" s="272">
        <f t="shared" si="296"/>
        <v>1</v>
      </c>
      <c r="O3588" s="61">
        <f t="shared" si="297"/>
        <v>1900</v>
      </c>
      <c r="P3588" s="61">
        <f t="shared" si="298"/>
        <v>1</v>
      </c>
      <c r="R3588" s="272"/>
      <c r="S3588" s="272"/>
    </row>
    <row r="3589" spans="9:19">
      <c r="I3589" s="213"/>
      <c r="J3589" s="213"/>
      <c r="L3589" s="272">
        <f t="shared" si="295"/>
        <v>1900</v>
      </c>
      <c r="M3589" s="272">
        <f t="shared" si="296"/>
        <v>1</v>
      </c>
      <c r="O3589" s="61">
        <f t="shared" si="297"/>
        <v>1900</v>
      </c>
      <c r="P3589" s="61">
        <f t="shared" si="298"/>
        <v>1</v>
      </c>
      <c r="R3589" s="272"/>
      <c r="S3589" s="272"/>
    </row>
    <row r="3590" spans="9:19">
      <c r="I3590" s="213"/>
      <c r="J3590" s="213"/>
      <c r="L3590" s="272">
        <f t="shared" si="295"/>
        <v>1900</v>
      </c>
      <c r="M3590" s="272">
        <f t="shared" si="296"/>
        <v>1</v>
      </c>
      <c r="O3590" s="61">
        <f t="shared" si="297"/>
        <v>1900</v>
      </c>
      <c r="P3590" s="61">
        <f t="shared" si="298"/>
        <v>1</v>
      </c>
      <c r="R3590" s="272"/>
      <c r="S3590" s="272"/>
    </row>
    <row r="3591" spans="9:19">
      <c r="I3591" s="213"/>
      <c r="J3591" s="213"/>
      <c r="L3591" s="272">
        <f t="shared" si="295"/>
        <v>1900</v>
      </c>
      <c r="M3591" s="272">
        <f t="shared" si="296"/>
        <v>1</v>
      </c>
      <c r="O3591" s="61">
        <f t="shared" si="297"/>
        <v>1900</v>
      </c>
      <c r="P3591" s="61">
        <f t="shared" si="298"/>
        <v>1</v>
      </c>
      <c r="R3591" s="272"/>
      <c r="S3591" s="272"/>
    </row>
    <row r="3592" spans="9:19">
      <c r="I3592" s="213"/>
      <c r="J3592" s="213"/>
      <c r="L3592" s="272">
        <f t="shared" si="295"/>
        <v>1900</v>
      </c>
      <c r="M3592" s="272">
        <f t="shared" si="296"/>
        <v>1</v>
      </c>
      <c r="O3592" s="61">
        <f t="shared" si="297"/>
        <v>1900</v>
      </c>
      <c r="P3592" s="61">
        <f t="shared" si="298"/>
        <v>1</v>
      </c>
      <c r="R3592" s="272"/>
      <c r="S3592" s="272"/>
    </row>
    <row r="3593" spans="9:19">
      <c r="I3593" s="213"/>
      <c r="J3593" s="213"/>
      <c r="L3593" s="272">
        <f t="shared" si="295"/>
        <v>1900</v>
      </c>
      <c r="M3593" s="272">
        <f t="shared" si="296"/>
        <v>1</v>
      </c>
      <c r="O3593" s="61">
        <f t="shared" si="297"/>
        <v>1900</v>
      </c>
      <c r="P3593" s="61">
        <f t="shared" si="298"/>
        <v>1</v>
      </c>
      <c r="R3593" s="272"/>
      <c r="S3593" s="272"/>
    </row>
    <row r="3594" spans="9:19">
      <c r="I3594" s="213"/>
      <c r="J3594" s="213"/>
      <c r="L3594" s="272">
        <f t="shared" si="295"/>
        <v>1900</v>
      </c>
      <c r="M3594" s="272">
        <f t="shared" si="296"/>
        <v>1</v>
      </c>
      <c r="O3594" s="61">
        <f t="shared" si="297"/>
        <v>1900</v>
      </c>
      <c r="P3594" s="61">
        <f t="shared" si="298"/>
        <v>1</v>
      </c>
      <c r="R3594" s="272"/>
      <c r="S3594" s="272"/>
    </row>
    <row r="3595" spans="9:19">
      <c r="I3595" s="213"/>
      <c r="J3595" s="213"/>
      <c r="L3595" s="272">
        <f t="shared" si="295"/>
        <v>1900</v>
      </c>
      <c r="M3595" s="272">
        <f t="shared" si="296"/>
        <v>1</v>
      </c>
      <c r="O3595" s="61">
        <f t="shared" si="297"/>
        <v>1900</v>
      </c>
      <c r="P3595" s="61">
        <f t="shared" si="298"/>
        <v>1</v>
      </c>
      <c r="R3595" s="272"/>
      <c r="S3595" s="272"/>
    </row>
    <row r="3596" spans="9:19">
      <c r="I3596" s="213"/>
      <c r="J3596" s="213"/>
      <c r="L3596" s="272">
        <f t="shared" si="295"/>
        <v>1900</v>
      </c>
      <c r="M3596" s="272">
        <f t="shared" si="296"/>
        <v>1</v>
      </c>
      <c r="O3596" s="61">
        <f t="shared" si="297"/>
        <v>1900</v>
      </c>
      <c r="P3596" s="61">
        <f t="shared" si="298"/>
        <v>1</v>
      </c>
      <c r="R3596" s="272"/>
      <c r="S3596" s="272"/>
    </row>
    <row r="3597" spans="9:19">
      <c r="I3597" s="213"/>
      <c r="J3597" s="213"/>
      <c r="L3597" s="272">
        <f t="shared" si="295"/>
        <v>1900</v>
      </c>
      <c r="M3597" s="272">
        <f t="shared" si="296"/>
        <v>1</v>
      </c>
      <c r="O3597" s="61">
        <f t="shared" si="297"/>
        <v>1900</v>
      </c>
      <c r="P3597" s="61">
        <f t="shared" si="298"/>
        <v>1</v>
      </c>
      <c r="R3597" s="272"/>
      <c r="S3597" s="272"/>
    </row>
    <row r="3598" spans="9:19">
      <c r="I3598" s="213"/>
      <c r="J3598" s="213"/>
      <c r="L3598" s="272">
        <f t="shared" si="295"/>
        <v>1900</v>
      </c>
      <c r="M3598" s="272">
        <f t="shared" si="296"/>
        <v>1</v>
      </c>
      <c r="O3598" s="61">
        <f t="shared" si="297"/>
        <v>1900</v>
      </c>
      <c r="P3598" s="61">
        <f t="shared" si="298"/>
        <v>1</v>
      </c>
      <c r="R3598" s="272"/>
      <c r="S3598" s="272"/>
    </row>
    <row r="3599" spans="9:19">
      <c r="I3599" s="213"/>
      <c r="J3599" s="213"/>
      <c r="L3599" s="272">
        <f t="shared" si="295"/>
        <v>1900</v>
      </c>
      <c r="M3599" s="272">
        <f t="shared" si="296"/>
        <v>1</v>
      </c>
      <c r="O3599" s="61">
        <f t="shared" si="297"/>
        <v>1900</v>
      </c>
      <c r="P3599" s="61">
        <f t="shared" si="298"/>
        <v>1</v>
      </c>
      <c r="R3599" s="272"/>
      <c r="S3599" s="272"/>
    </row>
    <row r="3600" spans="9:19">
      <c r="I3600" s="213"/>
      <c r="J3600" s="213"/>
      <c r="L3600" s="272">
        <f t="shared" ref="L3600:L3663" si="299">YEAR(B3600)</f>
        <v>1900</v>
      </c>
      <c r="M3600" s="272">
        <f t="shared" ref="M3600:M3663" si="300">MONTH(B3600)</f>
        <v>1</v>
      </c>
      <c r="O3600" s="61">
        <f t="shared" ref="O3600:O3663" si="301">YEAR(B3600)</f>
        <v>1900</v>
      </c>
      <c r="P3600" s="61">
        <f t="shared" ref="P3600:P3663" si="302">MONTH(B3600)</f>
        <v>1</v>
      </c>
      <c r="R3600" s="272"/>
      <c r="S3600" s="272"/>
    </row>
    <row r="3601" spans="9:19">
      <c r="I3601" s="213"/>
      <c r="J3601" s="213"/>
      <c r="L3601" s="272">
        <f t="shared" si="299"/>
        <v>1900</v>
      </c>
      <c r="M3601" s="272">
        <f t="shared" si="300"/>
        <v>1</v>
      </c>
      <c r="O3601" s="61">
        <f t="shared" si="301"/>
        <v>1900</v>
      </c>
      <c r="P3601" s="61">
        <f t="shared" si="302"/>
        <v>1</v>
      </c>
      <c r="R3601" s="272"/>
      <c r="S3601" s="272"/>
    </row>
    <row r="3602" spans="9:19">
      <c r="I3602" s="213"/>
      <c r="J3602" s="213"/>
      <c r="L3602" s="272">
        <f t="shared" si="299"/>
        <v>1900</v>
      </c>
      <c r="M3602" s="272">
        <f t="shared" si="300"/>
        <v>1</v>
      </c>
      <c r="O3602" s="61">
        <f t="shared" si="301"/>
        <v>1900</v>
      </c>
      <c r="P3602" s="61">
        <f t="shared" si="302"/>
        <v>1</v>
      </c>
      <c r="R3602" s="272"/>
      <c r="S3602" s="272"/>
    </row>
    <row r="3603" spans="9:19">
      <c r="I3603" s="213"/>
      <c r="J3603" s="213"/>
      <c r="L3603" s="272">
        <f t="shared" si="299"/>
        <v>1900</v>
      </c>
      <c r="M3603" s="272">
        <f t="shared" si="300"/>
        <v>1</v>
      </c>
      <c r="O3603" s="61">
        <f t="shared" si="301"/>
        <v>1900</v>
      </c>
      <c r="P3603" s="61">
        <f t="shared" si="302"/>
        <v>1</v>
      </c>
      <c r="R3603" s="272"/>
      <c r="S3603" s="272"/>
    </row>
    <row r="3604" spans="9:19">
      <c r="I3604" s="213"/>
      <c r="J3604" s="213"/>
      <c r="L3604" s="272">
        <f t="shared" si="299"/>
        <v>1900</v>
      </c>
      <c r="M3604" s="272">
        <f t="shared" si="300"/>
        <v>1</v>
      </c>
      <c r="O3604" s="61">
        <f t="shared" si="301"/>
        <v>1900</v>
      </c>
      <c r="P3604" s="61">
        <f t="shared" si="302"/>
        <v>1</v>
      </c>
      <c r="R3604" s="272"/>
      <c r="S3604" s="272"/>
    </row>
    <row r="3605" spans="9:19">
      <c r="I3605" s="213"/>
      <c r="J3605" s="213"/>
      <c r="L3605" s="272">
        <f t="shared" si="299"/>
        <v>1900</v>
      </c>
      <c r="M3605" s="272">
        <f t="shared" si="300"/>
        <v>1</v>
      </c>
      <c r="O3605" s="61">
        <f t="shared" si="301"/>
        <v>1900</v>
      </c>
      <c r="P3605" s="61">
        <f t="shared" si="302"/>
        <v>1</v>
      </c>
      <c r="R3605" s="272"/>
      <c r="S3605" s="272"/>
    </row>
    <row r="3606" spans="9:19">
      <c r="I3606" s="213"/>
      <c r="J3606" s="213"/>
      <c r="L3606" s="272">
        <f t="shared" si="299"/>
        <v>1900</v>
      </c>
      <c r="M3606" s="272">
        <f t="shared" si="300"/>
        <v>1</v>
      </c>
      <c r="O3606" s="61">
        <f t="shared" si="301"/>
        <v>1900</v>
      </c>
      <c r="P3606" s="61">
        <f t="shared" si="302"/>
        <v>1</v>
      </c>
      <c r="R3606" s="272"/>
      <c r="S3606" s="272"/>
    </row>
    <row r="3607" spans="9:19">
      <c r="I3607" s="213"/>
      <c r="J3607" s="213"/>
      <c r="L3607" s="272">
        <f t="shared" si="299"/>
        <v>1900</v>
      </c>
      <c r="M3607" s="272">
        <f t="shared" si="300"/>
        <v>1</v>
      </c>
      <c r="O3607" s="61">
        <f t="shared" si="301"/>
        <v>1900</v>
      </c>
      <c r="P3607" s="61">
        <f t="shared" si="302"/>
        <v>1</v>
      </c>
      <c r="R3607" s="272"/>
      <c r="S3607" s="272"/>
    </row>
    <row r="3608" spans="9:19">
      <c r="I3608" s="213"/>
      <c r="J3608" s="213"/>
      <c r="L3608" s="272">
        <f t="shared" si="299"/>
        <v>1900</v>
      </c>
      <c r="M3608" s="272">
        <f t="shared" si="300"/>
        <v>1</v>
      </c>
      <c r="O3608" s="61">
        <f t="shared" si="301"/>
        <v>1900</v>
      </c>
      <c r="P3608" s="61">
        <f t="shared" si="302"/>
        <v>1</v>
      </c>
      <c r="R3608" s="272"/>
      <c r="S3608" s="272"/>
    </row>
    <row r="3609" spans="9:19">
      <c r="I3609" s="213"/>
      <c r="J3609" s="213"/>
      <c r="L3609" s="272">
        <f t="shared" si="299"/>
        <v>1900</v>
      </c>
      <c r="M3609" s="272">
        <f t="shared" si="300"/>
        <v>1</v>
      </c>
      <c r="O3609" s="61">
        <f t="shared" si="301"/>
        <v>1900</v>
      </c>
      <c r="P3609" s="61">
        <f t="shared" si="302"/>
        <v>1</v>
      </c>
      <c r="R3609" s="272"/>
      <c r="S3609" s="272"/>
    </row>
    <row r="3610" spans="9:19">
      <c r="I3610" s="213"/>
      <c r="J3610" s="213"/>
      <c r="L3610" s="272">
        <f t="shared" si="299"/>
        <v>1900</v>
      </c>
      <c r="M3610" s="272">
        <f t="shared" si="300"/>
        <v>1</v>
      </c>
      <c r="O3610" s="61">
        <f t="shared" si="301"/>
        <v>1900</v>
      </c>
      <c r="P3610" s="61">
        <f t="shared" si="302"/>
        <v>1</v>
      </c>
      <c r="R3610" s="272"/>
      <c r="S3610" s="272"/>
    </row>
    <row r="3611" spans="9:19">
      <c r="I3611" s="213"/>
      <c r="J3611" s="213"/>
      <c r="L3611" s="272">
        <f t="shared" si="299"/>
        <v>1900</v>
      </c>
      <c r="M3611" s="272">
        <f t="shared" si="300"/>
        <v>1</v>
      </c>
      <c r="O3611" s="61">
        <f t="shared" si="301"/>
        <v>1900</v>
      </c>
      <c r="P3611" s="61">
        <f t="shared" si="302"/>
        <v>1</v>
      </c>
      <c r="R3611" s="272"/>
      <c r="S3611" s="272"/>
    </row>
    <row r="3612" spans="9:19">
      <c r="I3612" s="213"/>
      <c r="J3612" s="213"/>
      <c r="L3612" s="272">
        <f t="shared" si="299"/>
        <v>1900</v>
      </c>
      <c r="M3612" s="272">
        <f t="shared" si="300"/>
        <v>1</v>
      </c>
      <c r="O3612" s="61">
        <f t="shared" si="301"/>
        <v>1900</v>
      </c>
      <c r="P3612" s="61">
        <f t="shared" si="302"/>
        <v>1</v>
      </c>
      <c r="R3612" s="272"/>
      <c r="S3612" s="272"/>
    </row>
    <row r="3613" spans="9:19">
      <c r="I3613" s="213"/>
      <c r="J3613" s="213"/>
      <c r="L3613" s="272">
        <f t="shared" si="299"/>
        <v>1900</v>
      </c>
      <c r="M3613" s="272">
        <f t="shared" si="300"/>
        <v>1</v>
      </c>
      <c r="O3613" s="61">
        <f t="shared" si="301"/>
        <v>1900</v>
      </c>
      <c r="P3613" s="61">
        <f t="shared" si="302"/>
        <v>1</v>
      </c>
      <c r="R3613" s="272"/>
      <c r="S3613" s="272"/>
    </row>
    <row r="3614" spans="9:19">
      <c r="I3614" s="213"/>
      <c r="J3614" s="213"/>
      <c r="L3614" s="272">
        <f t="shared" si="299"/>
        <v>1900</v>
      </c>
      <c r="M3614" s="272">
        <f t="shared" si="300"/>
        <v>1</v>
      </c>
      <c r="O3614" s="61">
        <f t="shared" si="301"/>
        <v>1900</v>
      </c>
      <c r="P3614" s="61">
        <f t="shared" si="302"/>
        <v>1</v>
      </c>
      <c r="R3614" s="272"/>
      <c r="S3614" s="272"/>
    </row>
    <row r="3615" spans="9:19">
      <c r="I3615" s="213"/>
      <c r="J3615" s="213"/>
      <c r="L3615" s="272">
        <f t="shared" si="299"/>
        <v>1900</v>
      </c>
      <c r="M3615" s="272">
        <f t="shared" si="300"/>
        <v>1</v>
      </c>
      <c r="O3615" s="61">
        <f t="shared" si="301"/>
        <v>1900</v>
      </c>
      <c r="P3615" s="61">
        <f t="shared" si="302"/>
        <v>1</v>
      </c>
      <c r="R3615" s="272"/>
      <c r="S3615" s="272"/>
    </row>
    <row r="3616" spans="9:19">
      <c r="I3616" s="213"/>
      <c r="J3616" s="213"/>
      <c r="L3616" s="272">
        <f t="shared" si="299"/>
        <v>1900</v>
      </c>
      <c r="M3616" s="272">
        <f t="shared" si="300"/>
        <v>1</v>
      </c>
      <c r="O3616" s="61">
        <f t="shared" si="301"/>
        <v>1900</v>
      </c>
      <c r="P3616" s="61">
        <f t="shared" si="302"/>
        <v>1</v>
      </c>
      <c r="R3616" s="272"/>
      <c r="S3616" s="272"/>
    </row>
    <row r="3617" spans="9:19">
      <c r="I3617" s="213"/>
      <c r="J3617" s="213"/>
      <c r="L3617" s="272">
        <f t="shared" si="299"/>
        <v>1900</v>
      </c>
      <c r="M3617" s="272">
        <f t="shared" si="300"/>
        <v>1</v>
      </c>
      <c r="O3617" s="61">
        <f t="shared" si="301"/>
        <v>1900</v>
      </c>
      <c r="P3617" s="61">
        <f t="shared" si="302"/>
        <v>1</v>
      </c>
      <c r="R3617" s="272"/>
      <c r="S3617" s="272"/>
    </row>
    <row r="3618" spans="9:19">
      <c r="I3618" s="213"/>
      <c r="J3618" s="213"/>
      <c r="L3618" s="272">
        <f t="shared" si="299"/>
        <v>1900</v>
      </c>
      <c r="M3618" s="272">
        <f t="shared" si="300"/>
        <v>1</v>
      </c>
      <c r="O3618" s="61">
        <f t="shared" si="301"/>
        <v>1900</v>
      </c>
      <c r="P3618" s="61">
        <f t="shared" si="302"/>
        <v>1</v>
      </c>
      <c r="R3618" s="272"/>
      <c r="S3618" s="272"/>
    </row>
    <row r="3619" spans="9:19">
      <c r="I3619" s="213"/>
      <c r="J3619" s="213"/>
      <c r="L3619" s="272">
        <f t="shared" si="299"/>
        <v>1900</v>
      </c>
      <c r="M3619" s="272">
        <f t="shared" si="300"/>
        <v>1</v>
      </c>
      <c r="O3619" s="61">
        <f t="shared" si="301"/>
        <v>1900</v>
      </c>
      <c r="P3619" s="61">
        <f t="shared" si="302"/>
        <v>1</v>
      </c>
      <c r="R3619" s="272"/>
      <c r="S3619" s="272"/>
    </row>
    <row r="3620" spans="9:19">
      <c r="I3620" s="213"/>
      <c r="J3620" s="213"/>
      <c r="L3620" s="272">
        <f t="shared" si="299"/>
        <v>1900</v>
      </c>
      <c r="M3620" s="272">
        <f t="shared" si="300"/>
        <v>1</v>
      </c>
      <c r="O3620" s="61">
        <f t="shared" si="301"/>
        <v>1900</v>
      </c>
      <c r="P3620" s="61">
        <f t="shared" si="302"/>
        <v>1</v>
      </c>
      <c r="R3620" s="272"/>
      <c r="S3620" s="272"/>
    </row>
    <row r="3621" spans="9:19">
      <c r="I3621" s="213"/>
      <c r="J3621" s="213"/>
      <c r="L3621" s="272">
        <f t="shared" si="299"/>
        <v>1900</v>
      </c>
      <c r="M3621" s="272">
        <f t="shared" si="300"/>
        <v>1</v>
      </c>
      <c r="O3621" s="61">
        <f t="shared" si="301"/>
        <v>1900</v>
      </c>
      <c r="P3621" s="61">
        <f t="shared" si="302"/>
        <v>1</v>
      </c>
      <c r="R3621" s="272"/>
      <c r="S3621" s="272"/>
    </row>
    <row r="3622" spans="9:19">
      <c r="I3622" s="213"/>
      <c r="J3622" s="213"/>
      <c r="L3622" s="272">
        <f t="shared" si="299"/>
        <v>1900</v>
      </c>
      <c r="M3622" s="272">
        <f t="shared" si="300"/>
        <v>1</v>
      </c>
      <c r="O3622" s="61">
        <f t="shared" si="301"/>
        <v>1900</v>
      </c>
      <c r="P3622" s="61">
        <f t="shared" si="302"/>
        <v>1</v>
      </c>
      <c r="R3622" s="272"/>
      <c r="S3622" s="272"/>
    </row>
    <row r="3623" spans="9:19">
      <c r="I3623" s="213"/>
      <c r="J3623" s="213"/>
      <c r="L3623" s="272">
        <f t="shared" si="299"/>
        <v>1900</v>
      </c>
      <c r="M3623" s="272">
        <f t="shared" si="300"/>
        <v>1</v>
      </c>
      <c r="O3623" s="61">
        <f t="shared" si="301"/>
        <v>1900</v>
      </c>
      <c r="P3623" s="61">
        <f t="shared" si="302"/>
        <v>1</v>
      </c>
      <c r="R3623" s="272"/>
      <c r="S3623" s="272"/>
    </row>
    <row r="3624" spans="9:19">
      <c r="I3624" s="213"/>
      <c r="J3624" s="213"/>
      <c r="L3624" s="272">
        <f t="shared" si="299"/>
        <v>1900</v>
      </c>
      <c r="M3624" s="272">
        <f t="shared" si="300"/>
        <v>1</v>
      </c>
      <c r="O3624" s="61">
        <f t="shared" si="301"/>
        <v>1900</v>
      </c>
      <c r="P3624" s="61">
        <f t="shared" si="302"/>
        <v>1</v>
      </c>
      <c r="R3624" s="272"/>
      <c r="S3624" s="272"/>
    </row>
    <row r="3625" spans="9:19">
      <c r="I3625" s="213"/>
      <c r="J3625" s="213"/>
      <c r="L3625" s="272">
        <f t="shared" si="299"/>
        <v>1900</v>
      </c>
      <c r="M3625" s="272">
        <f t="shared" si="300"/>
        <v>1</v>
      </c>
      <c r="O3625" s="61">
        <f t="shared" si="301"/>
        <v>1900</v>
      </c>
      <c r="P3625" s="61">
        <f t="shared" si="302"/>
        <v>1</v>
      </c>
      <c r="R3625" s="272"/>
      <c r="S3625" s="272"/>
    </row>
    <row r="3626" spans="9:19">
      <c r="I3626" s="213"/>
      <c r="J3626" s="213"/>
      <c r="L3626" s="272">
        <f t="shared" si="299"/>
        <v>1900</v>
      </c>
      <c r="M3626" s="272">
        <f t="shared" si="300"/>
        <v>1</v>
      </c>
      <c r="O3626" s="61">
        <f t="shared" si="301"/>
        <v>1900</v>
      </c>
      <c r="P3626" s="61">
        <f t="shared" si="302"/>
        <v>1</v>
      </c>
      <c r="R3626" s="272"/>
      <c r="S3626" s="272"/>
    </row>
    <row r="3627" spans="9:19">
      <c r="I3627" s="213"/>
      <c r="J3627" s="213"/>
      <c r="L3627" s="272">
        <f t="shared" si="299"/>
        <v>1900</v>
      </c>
      <c r="M3627" s="272">
        <f t="shared" si="300"/>
        <v>1</v>
      </c>
      <c r="O3627" s="61">
        <f t="shared" si="301"/>
        <v>1900</v>
      </c>
      <c r="P3627" s="61">
        <f t="shared" si="302"/>
        <v>1</v>
      </c>
      <c r="R3627" s="272"/>
      <c r="S3627" s="272"/>
    </row>
    <row r="3628" spans="9:19">
      <c r="I3628" s="213"/>
      <c r="J3628" s="213"/>
      <c r="L3628" s="272">
        <f t="shared" si="299"/>
        <v>1900</v>
      </c>
      <c r="M3628" s="272">
        <f t="shared" si="300"/>
        <v>1</v>
      </c>
      <c r="O3628" s="61">
        <f t="shared" si="301"/>
        <v>1900</v>
      </c>
      <c r="P3628" s="61">
        <f t="shared" si="302"/>
        <v>1</v>
      </c>
      <c r="R3628" s="272"/>
      <c r="S3628" s="272"/>
    </row>
    <row r="3629" spans="9:19">
      <c r="I3629" s="213"/>
      <c r="J3629" s="213"/>
      <c r="L3629" s="272">
        <f t="shared" si="299"/>
        <v>1900</v>
      </c>
      <c r="M3629" s="272">
        <f t="shared" si="300"/>
        <v>1</v>
      </c>
      <c r="O3629" s="61">
        <f t="shared" si="301"/>
        <v>1900</v>
      </c>
      <c r="P3629" s="61">
        <f t="shared" si="302"/>
        <v>1</v>
      </c>
      <c r="R3629" s="272"/>
      <c r="S3629" s="272"/>
    </row>
    <row r="3630" spans="9:19">
      <c r="I3630" s="213"/>
      <c r="J3630" s="213"/>
      <c r="L3630" s="272">
        <f t="shared" si="299"/>
        <v>1900</v>
      </c>
      <c r="M3630" s="272">
        <f t="shared" si="300"/>
        <v>1</v>
      </c>
      <c r="O3630" s="61">
        <f t="shared" si="301"/>
        <v>1900</v>
      </c>
      <c r="P3630" s="61">
        <f t="shared" si="302"/>
        <v>1</v>
      </c>
      <c r="R3630" s="272"/>
      <c r="S3630" s="272"/>
    </row>
    <row r="3631" spans="9:19">
      <c r="I3631" s="213"/>
      <c r="J3631" s="213"/>
      <c r="L3631" s="272">
        <f t="shared" si="299"/>
        <v>1900</v>
      </c>
      <c r="M3631" s="272">
        <f t="shared" si="300"/>
        <v>1</v>
      </c>
      <c r="O3631" s="61">
        <f t="shared" si="301"/>
        <v>1900</v>
      </c>
      <c r="P3631" s="61">
        <f t="shared" si="302"/>
        <v>1</v>
      </c>
      <c r="R3631" s="272"/>
      <c r="S3631" s="272"/>
    </row>
    <row r="3632" spans="9:19">
      <c r="I3632" s="213"/>
      <c r="J3632" s="213"/>
      <c r="L3632" s="272">
        <f t="shared" si="299"/>
        <v>1900</v>
      </c>
      <c r="M3632" s="272">
        <f t="shared" si="300"/>
        <v>1</v>
      </c>
      <c r="O3632" s="61">
        <f t="shared" si="301"/>
        <v>1900</v>
      </c>
      <c r="P3632" s="61">
        <f t="shared" si="302"/>
        <v>1</v>
      </c>
      <c r="R3632" s="272"/>
      <c r="S3632" s="272"/>
    </row>
    <row r="3633" spans="9:19">
      <c r="I3633" s="213"/>
      <c r="J3633" s="213"/>
      <c r="L3633" s="272">
        <f t="shared" si="299"/>
        <v>1900</v>
      </c>
      <c r="M3633" s="272">
        <f t="shared" si="300"/>
        <v>1</v>
      </c>
      <c r="O3633" s="61">
        <f t="shared" si="301"/>
        <v>1900</v>
      </c>
      <c r="P3633" s="61">
        <f t="shared" si="302"/>
        <v>1</v>
      </c>
      <c r="R3633" s="272"/>
      <c r="S3633" s="272"/>
    </row>
    <row r="3634" spans="9:19">
      <c r="I3634" s="213"/>
      <c r="J3634" s="213"/>
      <c r="L3634" s="272">
        <f t="shared" si="299"/>
        <v>1900</v>
      </c>
      <c r="M3634" s="272">
        <f t="shared" si="300"/>
        <v>1</v>
      </c>
      <c r="O3634" s="61">
        <f t="shared" si="301"/>
        <v>1900</v>
      </c>
      <c r="P3634" s="61">
        <f t="shared" si="302"/>
        <v>1</v>
      </c>
      <c r="R3634" s="272"/>
      <c r="S3634" s="272"/>
    </row>
    <row r="3635" spans="9:19">
      <c r="I3635" s="213"/>
      <c r="J3635" s="213"/>
      <c r="L3635" s="272">
        <f t="shared" si="299"/>
        <v>1900</v>
      </c>
      <c r="M3635" s="272">
        <f t="shared" si="300"/>
        <v>1</v>
      </c>
      <c r="O3635" s="61">
        <f t="shared" si="301"/>
        <v>1900</v>
      </c>
      <c r="P3635" s="61">
        <f t="shared" si="302"/>
        <v>1</v>
      </c>
      <c r="R3635" s="272"/>
      <c r="S3635" s="272"/>
    </row>
    <row r="3636" spans="9:19">
      <c r="I3636" s="213"/>
      <c r="J3636" s="213"/>
      <c r="L3636" s="272">
        <f t="shared" si="299"/>
        <v>1900</v>
      </c>
      <c r="M3636" s="272">
        <f t="shared" si="300"/>
        <v>1</v>
      </c>
      <c r="O3636" s="61">
        <f t="shared" si="301"/>
        <v>1900</v>
      </c>
      <c r="P3636" s="61">
        <f t="shared" si="302"/>
        <v>1</v>
      </c>
      <c r="R3636" s="272"/>
      <c r="S3636" s="272"/>
    </row>
    <row r="3637" spans="9:19">
      <c r="I3637" s="213"/>
      <c r="J3637" s="213"/>
      <c r="L3637" s="272">
        <f t="shared" si="299"/>
        <v>1900</v>
      </c>
      <c r="M3637" s="272">
        <f t="shared" si="300"/>
        <v>1</v>
      </c>
      <c r="O3637" s="61">
        <f t="shared" si="301"/>
        <v>1900</v>
      </c>
      <c r="P3637" s="61">
        <f t="shared" si="302"/>
        <v>1</v>
      </c>
      <c r="R3637" s="272"/>
      <c r="S3637" s="272"/>
    </row>
    <row r="3638" spans="9:19">
      <c r="I3638" s="213"/>
      <c r="J3638" s="213"/>
      <c r="L3638" s="272">
        <f t="shared" si="299"/>
        <v>1900</v>
      </c>
      <c r="M3638" s="272">
        <f t="shared" si="300"/>
        <v>1</v>
      </c>
      <c r="O3638" s="61">
        <f t="shared" si="301"/>
        <v>1900</v>
      </c>
      <c r="P3638" s="61">
        <f t="shared" si="302"/>
        <v>1</v>
      </c>
      <c r="R3638" s="272"/>
      <c r="S3638" s="272"/>
    </row>
    <row r="3639" spans="9:19">
      <c r="I3639" s="213"/>
      <c r="J3639" s="213"/>
      <c r="L3639" s="272">
        <f t="shared" si="299"/>
        <v>1900</v>
      </c>
      <c r="M3639" s="272">
        <f t="shared" si="300"/>
        <v>1</v>
      </c>
      <c r="O3639" s="61">
        <f t="shared" si="301"/>
        <v>1900</v>
      </c>
      <c r="P3639" s="61">
        <f t="shared" si="302"/>
        <v>1</v>
      </c>
      <c r="R3639" s="272"/>
      <c r="S3639" s="272"/>
    </row>
    <row r="3640" spans="9:19">
      <c r="I3640" s="213"/>
      <c r="J3640" s="213"/>
      <c r="L3640" s="272">
        <f t="shared" si="299"/>
        <v>1900</v>
      </c>
      <c r="M3640" s="272">
        <f t="shared" si="300"/>
        <v>1</v>
      </c>
      <c r="O3640" s="61">
        <f t="shared" si="301"/>
        <v>1900</v>
      </c>
      <c r="P3640" s="61">
        <f t="shared" si="302"/>
        <v>1</v>
      </c>
      <c r="R3640" s="272"/>
      <c r="S3640" s="272"/>
    </row>
    <row r="3641" spans="9:19">
      <c r="I3641" s="213"/>
      <c r="J3641" s="213"/>
      <c r="L3641" s="272">
        <f t="shared" si="299"/>
        <v>1900</v>
      </c>
      <c r="M3641" s="272">
        <f t="shared" si="300"/>
        <v>1</v>
      </c>
      <c r="O3641" s="61">
        <f t="shared" si="301"/>
        <v>1900</v>
      </c>
      <c r="P3641" s="61">
        <f t="shared" si="302"/>
        <v>1</v>
      </c>
      <c r="R3641" s="272"/>
      <c r="S3641" s="272"/>
    </row>
    <row r="3642" spans="9:19">
      <c r="I3642" s="213"/>
      <c r="J3642" s="213"/>
      <c r="L3642" s="272">
        <f t="shared" si="299"/>
        <v>1900</v>
      </c>
      <c r="M3642" s="272">
        <f t="shared" si="300"/>
        <v>1</v>
      </c>
      <c r="O3642" s="61">
        <f t="shared" si="301"/>
        <v>1900</v>
      </c>
      <c r="P3642" s="61">
        <f t="shared" si="302"/>
        <v>1</v>
      </c>
      <c r="R3642" s="272"/>
      <c r="S3642" s="272"/>
    </row>
    <row r="3643" spans="9:19">
      <c r="I3643" s="213"/>
      <c r="J3643" s="213"/>
      <c r="L3643" s="272">
        <f t="shared" si="299"/>
        <v>1900</v>
      </c>
      <c r="M3643" s="272">
        <f t="shared" si="300"/>
        <v>1</v>
      </c>
      <c r="O3643" s="61">
        <f t="shared" si="301"/>
        <v>1900</v>
      </c>
      <c r="P3643" s="61">
        <f t="shared" si="302"/>
        <v>1</v>
      </c>
      <c r="R3643" s="272"/>
      <c r="S3643" s="272"/>
    </row>
    <row r="3644" spans="9:19">
      <c r="I3644" s="213"/>
      <c r="J3644" s="213"/>
      <c r="L3644" s="272">
        <f t="shared" si="299"/>
        <v>1900</v>
      </c>
      <c r="M3644" s="272">
        <f t="shared" si="300"/>
        <v>1</v>
      </c>
      <c r="O3644" s="61">
        <f t="shared" si="301"/>
        <v>1900</v>
      </c>
      <c r="P3644" s="61">
        <f t="shared" si="302"/>
        <v>1</v>
      </c>
      <c r="R3644" s="272"/>
      <c r="S3644" s="272"/>
    </row>
    <row r="3645" spans="9:19">
      <c r="I3645" s="213"/>
      <c r="J3645" s="213"/>
      <c r="L3645" s="272">
        <f t="shared" si="299"/>
        <v>1900</v>
      </c>
      <c r="M3645" s="272">
        <f t="shared" si="300"/>
        <v>1</v>
      </c>
      <c r="O3645" s="61">
        <f t="shared" si="301"/>
        <v>1900</v>
      </c>
      <c r="P3645" s="61">
        <f t="shared" si="302"/>
        <v>1</v>
      </c>
      <c r="R3645" s="272"/>
      <c r="S3645" s="272"/>
    </row>
    <row r="3646" spans="9:19">
      <c r="I3646" s="213"/>
      <c r="J3646" s="213"/>
      <c r="L3646" s="272">
        <f t="shared" si="299"/>
        <v>1900</v>
      </c>
      <c r="M3646" s="272">
        <f t="shared" si="300"/>
        <v>1</v>
      </c>
      <c r="O3646" s="61">
        <f t="shared" si="301"/>
        <v>1900</v>
      </c>
      <c r="P3646" s="61">
        <f t="shared" si="302"/>
        <v>1</v>
      </c>
      <c r="R3646" s="272"/>
      <c r="S3646" s="272"/>
    </row>
    <row r="3647" spans="9:19">
      <c r="I3647" s="213"/>
      <c r="J3647" s="213"/>
      <c r="L3647" s="272">
        <f t="shared" si="299"/>
        <v>1900</v>
      </c>
      <c r="M3647" s="272">
        <f t="shared" si="300"/>
        <v>1</v>
      </c>
      <c r="O3647" s="61">
        <f t="shared" si="301"/>
        <v>1900</v>
      </c>
      <c r="P3647" s="61">
        <f t="shared" si="302"/>
        <v>1</v>
      </c>
      <c r="R3647" s="272"/>
      <c r="S3647" s="272"/>
    </row>
    <row r="3648" spans="9:19">
      <c r="I3648" s="213"/>
      <c r="J3648" s="213"/>
      <c r="L3648" s="272">
        <f t="shared" si="299"/>
        <v>1900</v>
      </c>
      <c r="M3648" s="272">
        <f t="shared" si="300"/>
        <v>1</v>
      </c>
      <c r="O3648" s="61">
        <f t="shared" si="301"/>
        <v>1900</v>
      </c>
      <c r="P3648" s="61">
        <f t="shared" si="302"/>
        <v>1</v>
      </c>
      <c r="R3648" s="272"/>
      <c r="S3648" s="272"/>
    </row>
    <row r="3649" spans="9:19">
      <c r="I3649" s="213"/>
      <c r="J3649" s="213"/>
      <c r="L3649" s="272">
        <f t="shared" si="299"/>
        <v>1900</v>
      </c>
      <c r="M3649" s="272">
        <f t="shared" si="300"/>
        <v>1</v>
      </c>
      <c r="O3649" s="61">
        <f t="shared" si="301"/>
        <v>1900</v>
      </c>
      <c r="P3649" s="61">
        <f t="shared" si="302"/>
        <v>1</v>
      </c>
      <c r="R3649" s="272"/>
      <c r="S3649" s="272"/>
    </row>
    <row r="3650" spans="9:19">
      <c r="I3650" s="213"/>
      <c r="J3650" s="213"/>
      <c r="L3650" s="272">
        <f t="shared" si="299"/>
        <v>1900</v>
      </c>
      <c r="M3650" s="272">
        <f t="shared" si="300"/>
        <v>1</v>
      </c>
      <c r="O3650" s="61">
        <f t="shared" si="301"/>
        <v>1900</v>
      </c>
      <c r="P3650" s="61">
        <f t="shared" si="302"/>
        <v>1</v>
      </c>
      <c r="R3650" s="272"/>
      <c r="S3650" s="272"/>
    </row>
    <row r="3651" spans="9:19">
      <c r="I3651" s="213"/>
      <c r="J3651" s="213"/>
      <c r="L3651" s="272">
        <f t="shared" si="299"/>
        <v>1900</v>
      </c>
      <c r="M3651" s="272">
        <f t="shared" si="300"/>
        <v>1</v>
      </c>
      <c r="O3651" s="61">
        <f t="shared" si="301"/>
        <v>1900</v>
      </c>
      <c r="P3651" s="61">
        <f t="shared" si="302"/>
        <v>1</v>
      </c>
      <c r="R3651" s="272"/>
      <c r="S3651" s="272"/>
    </row>
    <row r="3652" spans="9:19">
      <c r="I3652" s="213"/>
      <c r="J3652" s="213"/>
      <c r="L3652" s="272">
        <f t="shared" si="299"/>
        <v>1900</v>
      </c>
      <c r="M3652" s="272">
        <f t="shared" si="300"/>
        <v>1</v>
      </c>
      <c r="O3652" s="61">
        <f t="shared" si="301"/>
        <v>1900</v>
      </c>
      <c r="P3652" s="61">
        <f t="shared" si="302"/>
        <v>1</v>
      </c>
      <c r="R3652" s="272"/>
      <c r="S3652" s="272"/>
    </row>
    <row r="3653" spans="9:19">
      <c r="I3653" s="213"/>
      <c r="J3653" s="213"/>
      <c r="L3653" s="272">
        <f t="shared" si="299"/>
        <v>1900</v>
      </c>
      <c r="M3653" s="272">
        <f t="shared" si="300"/>
        <v>1</v>
      </c>
      <c r="O3653" s="61">
        <f t="shared" si="301"/>
        <v>1900</v>
      </c>
      <c r="P3653" s="61">
        <f t="shared" si="302"/>
        <v>1</v>
      </c>
      <c r="R3653" s="272"/>
      <c r="S3653" s="272"/>
    </row>
    <row r="3654" spans="9:19">
      <c r="I3654" s="213"/>
      <c r="J3654" s="213"/>
      <c r="L3654" s="272">
        <f t="shared" si="299"/>
        <v>1900</v>
      </c>
      <c r="M3654" s="272">
        <f t="shared" si="300"/>
        <v>1</v>
      </c>
      <c r="O3654" s="61">
        <f t="shared" si="301"/>
        <v>1900</v>
      </c>
      <c r="P3654" s="61">
        <f t="shared" si="302"/>
        <v>1</v>
      </c>
      <c r="R3654" s="272"/>
      <c r="S3654" s="272"/>
    </row>
    <row r="3655" spans="9:19">
      <c r="I3655" s="213"/>
      <c r="J3655" s="213"/>
      <c r="L3655" s="272">
        <f t="shared" si="299"/>
        <v>1900</v>
      </c>
      <c r="M3655" s="272">
        <f t="shared" si="300"/>
        <v>1</v>
      </c>
      <c r="O3655" s="61">
        <f t="shared" si="301"/>
        <v>1900</v>
      </c>
      <c r="P3655" s="61">
        <f t="shared" si="302"/>
        <v>1</v>
      </c>
      <c r="R3655" s="272"/>
      <c r="S3655" s="272"/>
    </row>
    <row r="3656" spans="9:19">
      <c r="I3656" s="213"/>
      <c r="J3656" s="213"/>
      <c r="L3656" s="272">
        <f t="shared" si="299"/>
        <v>1900</v>
      </c>
      <c r="M3656" s="272">
        <f t="shared" si="300"/>
        <v>1</v>
      </c>
      <c r="O3656" s="61">
        <f t="shared" si="301"/>
        <v>1900</v>
      </c>
      <c r="P3656" s="61">
        <f t="shared" si="302"/>
        <v>1</v>
      </c>
      <c r="R3656" s="272"/>
      <c r="S3656" s="272"/>
    </row>
    <row r="3657" spans="9:19">
      <c r="I3657" s="213"/>
      <c r="J3657" s="213"/>
      <c r="L3657" s="272">
        <f t="shared" si="299"/>
        <v>1900</v>
      </c>
      <c r="M3657" s="272">
        <f t="shared" si="300"/>
        <v>1</v>
      </c>
      <c r="O3657" s="61">
        <f t="shared" si="301"/>
        <v>1900</v>
      </c>
      <c r="P3657" s="61">
        <f t="shared" si="302"/>
        <v>1</v>
      </c>
      <c r="R3657" s="272"/>
      <c r="S3657" s="272"/>
    </row>
    <row r="3658" spans="9:19">
      <c r="I3658" s="213"/>
      <c r="J3658" s="213"/>
      <c r="L3658" s="272">
        <f t="shared" si="299"/>
        <v>1900</v>
      </c>
      <c r="M3658" s="272">
        <f t="shared" si="300"/>
        <v>1</v>
      </c>
      <c r="O3658" s="61">
        <f t="shared" si="301"/>
        <v>1900</v>
      </c>
      <c r="P3658" s="61">
        <f t="shared" si="302"/>
        <v>1</v>
      </c>
      <c r="R3658" s="272"/>
      <c r="S3658" s="272"/>
    </row>
    <row r="3659" spans="9:19">
      <c r="I3659" s="213"/>
      <c r="J3659" s="213"/>
      <c r="L3659" s="272">
        <f t="shared" si="299"/>
        <v>1900</v>
      </c>
      <c r="M3659" s="272">
        <f t="shared" si="300"/>
        <v>1</v>
      </c>
      <c r="O3659" s="61">
        <f t="shared" si="301"/>
        <v>1900</v>
      </c>
      <c r="P3659" s="61">
        <f t="shared" si="302"/>
        <v>1</v>
      </c>
      <c r="R3659" s="272"/>
      <c r="S3659" s="272"/>
    </row>
    <row r="3660" spans="9:19">
      <c r="I3660" s="213"/>
      <c r="J3660" s="213"/>
      <c r="L3660" s="272">
        <f t="shared" si="299"/>
        <v>1900</v>
      </c>
      <c r="M3660" s="272">
        <f t="shared" si="300"/>
        <v>1</v>
      </c>
      <c r="O3660" s="61">
        <f t="shared" si="301"/>
        <v>1900</v>
      </c>
      <c r="P3660" s="61">
        <f t="shared" si="302"/>
        <v>1</v>
      </c>
      <c r="R3660" s="272"/>
      <c r="S3660" s="272"/>
    </row>
    <row r="3661" spans="9:19">
      <c r="I3661" s="213"/>
      <c r="J3661" s="213"/>
      <c r="L3661" s="272">
        <f t="shared" si="299"/>
        <v>1900</v>
      </c>
      <c r="M3661" s="272">
        <f t="shared" si="300"/>
        <v>1</v>
      </c>
      <c r="O3661" s="61">
        <f t="shared" si="301"/>
        <v>1900</v>
      </c>
      <c r="P3661" s="61">
        <f t="shared" si="302"/>
        <v>1</v>
      </c>
      <c r="R3661" s="272"/>
      <c r="S3661" s="272"/>
    </row>
    <row r="3662" spans="9:19">
      <c r="I3662" s="213"/>
      <c r="J3662" s="213"/>
      <c r="L3662" s="272">
        <f t="shared" si="299"/>
        <v>1900</v>
      </c>
      <c r="M3662" s="272">
        <f t="shared" si="300"/>
        <v>1</v>
      </c>
      <c r="O3662" s="61">
        <f t="shared" si="301"/>
        <v>1900</v>
      </c>
      <c r="P3662" s="61">
        <f t="shared" si="302"/>
        <v>1</v>
      </c>
      <c r="R3662" s="272"/>
      <c r="S3662" s="272"/>
    </row>
    <row r="3663" spans="9:19">
      <c r="I3663" s="213"/>
      <c r="J3663" s="213"/>
      <c r="L3663" s="272">
        <f t="shared" si="299"/>
        <v>1900</v>
      </c>
      <c r="M3663" s="272">
        <f t="shared" si="300"/>
        <v>1</v>
      </c>
      <c r="O3663" s="61">
        <f t="shared" si="301"/>
        <v>1900</v>
      </c>
      <c r="P3663" s="61">
        <f t="shared" si="302"/>
        <v>1</v>
      </c>
      <c r="R3663" s="272"/>
      <c r="S3663" s="272"/>
    </row>
    <row r="3664" spans="9:19">
      <c r="I3664" s="213"/>
      <c r="J3664" s="213"/>
      <c r="L3664" s="272">
        <f t="shared" ref="L3664:L3727" si="303">YEAR(B3664)</f>
        <v>1900</v>
      </c>
      <c r="M3664" s="272">
        <f t="shared" ref="M3664:M3727" si="304">MONTH(B3664)</f>
        <v>1</v>
      </c>
      <c r="O3664" s="61">
        <f t="shared" ref="O3664:O3727" si="305">YEAR(B3664)</f>
        <v>1900</v>
      </c>
      <c r="P3664" s="61">
        <f t="shared" ref="P3664:P3727" si="306">MONTH(B3664)</f>
        <v>1</v>
      </c>
      <c r="R3664" s="272"/>
      <c r="S3664" s="272"/>
    </row>
    <row r="3665" spans="9:19">
      <c r="I3665" s="213"/>
      <c r="J3665" s="213"/>
      <c r="L3665" s="272">
        <f t="shared" si="303"/>
        <v>1900</v>
      </c>
      <c r="M3665" s="272">
        <f t="shared" si="304"/>
        <v>1</v>
      </c>
      <c r="O3665" s="61">
        <f t="shared" si="305"/>
        <v>1900</v>
      </c>
      <c r="P3665" s="61">
        <f t="shared" si="306"/>
        <v>1</v>
      </c>
      <c r="R3665" s="272"/>
      <c r="S3665" s="272"/>
    </row>
    <row r="3666" spans="9:19">
      <c r="I3666" s="213"/>
      <c r="J3666" s="213"/>
      <c r="L3666" s="272">
        <f t="shared" si="303"/>
        <v>1900</v>
      </c>
      <c r="M3666" s="272">
        <f t="shared" si="304"/>
        <v>1</v>
      </c>
      <c r="O3666" s="61">
        <f t="shared" si="305"/>
        <v>1900</v>
      </c>
      <c r="P3666" s="61">
        <f t="shared" si="306"/>
        <v>1</v>
      </c>
      <c r="R3666" s="272"/>
      <c r="S3666" s="272"/>
    </row>
    <row r="3667" spans="9:19">
      <c r="I3667" s="213"/>
      <c r="J3667" s="213"/>
      <c r="L3667" s="272">
        <f t="shared" si="303"/>
        <v>1900</v>
      </c>
      <c r="M3667" s="272">
        <f t="shared" si="304"/>
        <v>1</v>
      </c>
      <c r="O3667" s="61">
        <f t="shared" si="305"/>
        <v>1900</v>
      </c>
      <c r="P3667" s="61">
        <f t="shared" si="306"/>
        <v>1</v>
      </c>
      <c r="R3667" s="272"/>
      <c r="S3667" s="272"/>
    </row>
    <row r="3668" spans="9:19">
      <c r="I3668" s="213"/>
      <c r="J3668" s="213"/>
      <c r="L3668" s="272">
        <f t="shared" si="303"/>
        <v>1900</v>
      </c>
      <c r="M3668" s="272">
        <f t="shared" si="304"/>
        <v>1</v>
      </c>
      <c r="O3668" s="61">
        <f t="shared" si="305"/>
        <v>1900</v>
      </c>
      <c r="P3668" s="61">
        <f t="shared" si="306"/>
        <v>1</v>
      </c>
      <c r="R3668" s="272"/>
      <c r="S3668" s="272"/>
    </row>
    <row r="3669" spans="9:19">
      <c r="I3669" s="213"/>
      <c r="J3669" s="213"/>
      <c r="L3669" s="272">
        <f t="shared" si="303"/>
        <v>1900</v>
      </c>
      <c r="M3669" s="272">
        <f t="shared" si="304"/>
        <v>1</v>
      </c>
      <c r="O3669" s="61">
        <f t="shared" si="305"/>
        <v>1900</v>
      </c>
      <c r="P3669" s="61">
        <f t="shared" si="306"/>
        <v>1</v>
      </c>
      <c r="R3669" s="272"/>
      <c r="S3669" s="272"/>
    </row>
    <row r="3670" spans="9:19">
      <c r="I3670" s="213"/>
      <c r="J3670" s="213"/>
      <c r="L3670" s="272">
        <f t="shared" si="303"/>
        <v>1900</v>
      </c>
      <c r="M3670" s="272">
        <f t="shared" si="304"/>
        <v>1</v>
      </c>
      <c r="O3670" s="61">
        <f t="shared" si="305"/>
        <v>1900</v>
      </c>
      <c r="P3670" s="61">
        <f t="shared" si="306"/>
        <v>1</v>
      </c>
      <c r="R3670" s="272"/>
      <c r="S3670" s="272"/>
    </row>
    <row r="3671" spans="9:19">
      <c r="I3671" s="213"/>
      <c r="J3671" s="213"/>
      <c r="L3671" s="272">
        <f t="shared" si="303"/>
        <v>1900</v>
      </c>
      <c r="M3671" s="272">
        <f t="shared" si="304"/>
        <v>1</v>
      </c>
      <c r="O3671" s="61">
        <f t="shared" si="305"/>
        <v>1900</v>
      </c>
      <c r="P3671" s="61">
        <f t="shared" si="306"/>
        <v>1</v>
      </c>
      <c r="R3671" s="272"/>
      <c r="S3671" s="272"/>
    </row>
    <row r="3672" spans="9:19">
      <c r="I3672" s="213"/>
      <c r="J3672" s="213"/>
      <c r="L3672" s="272">
        <f t="shared" si="303"/>
        <v>1900</v>
      </c>
      <c r="M3672" s="272">
        <f t="shared" si="304"/>
        <v>1</v>
      </c>
      <c r="O3672" s="61">
        <f t="shared" si="305"/>
        <v>1900</v>
      </c>
      <c r="P3672" s="61">
        <f t="shared" si="306"/>
        <v>1</v>
      </c>
      <c r="R3672" s="272"/>
      <c r="S3672" s="272"/>
    </row>
    <row r="3673" spans="9:19">
      <c r="I3673" s="213"/>
      <c r="J3673" s="213"/>
      <c r="L3673" s="272">
        <f t="shared" si="303"/>
        <v>1900</v>
      </c>
      <c r="M3673" s="272">
        <f t="shared" si="304"/>
        <v>1</v>
      </c>
      <c r="O3673" s="61">
        <f t="shared" si="305"/>
        <v>1900</v>
      </c>
      <c r="P3673" s="61">
        <f t="shared" si="306"/>
        <v>1</v>
      </c>
      <c r="R3673" s="272"/>
      <c r="S3673" s="272"/>
    </row>
    <row r="3674" spans="9:19">
      <c r="I3674" s="213"/>
      <c r="J3674" s="213"/>
      <c r="L3674" s="272">
        <f t="shared" si="303"/>
        <v>1900</v>
      </c>
      <c r="M3674" s="272">
        <f t="shared" si="304"/>
        <v>1</v>
      </c>
      <c r="O3674" s="61">
        <f t="shared" si="305"/>
        <v>1900</v>
      </c>
      <c r="P3674" s="61">
        <f t="shared" si="306"/>
        <v>1</v>
      </c>
      <c r="R3674" s="272"/>
      <c r="S3674" s="272"/>
    </row>
    <row r="3675" spans="9:19">
      <c r="I3675" s="213"/>
      <c r="J3675" s="213"/>
      <c r="L3675" s="272">
        <f t="shared" si="303"/>
        <v>1900</v>
      </c>
      <c r="M3675" s="272">
        <f t="shared" si="304"/>
        <v>1</v>
      </c>
      <c r="O3675" s="61">
        <f t="shared" si="305"/>
        <v>1900</v>
      </c>
      <c r="P3675" s="61">
        <f t="shared" si="306"/>
        <v>1</v>
      </c>
      <c r="R3675" s="272"/>
      <c r="S3675" s="272"/>
    </row>
    <row r="3676" spans="9:19">
      <c r="I3676" s="213"/>
      <c r="J3676" s="213"/>
      <c r="L3676" s="272">
        <f t="shared" si="303"/>
        <v>1900</v>
      </c>
      <c r="M3676" s="272">
        <f t="shared" si="304"/>
        <v>1</v>
      </c>
      <c r="O3676" s="61">
        <f t="shared" si="305"/>
        <v>1900</v>
      </c>
      <c r="P3676" s="61">
        <f t="shared" si="306"/>
        <v>1</v>
      </c>
      <c r="R3676" s="272"/>
      <c r="S3676" s="272"/>
    </row>
    <row r="3677" spans="9:19">
      <c r="I3677" s="213"/>
      <c r="J3677" s="213"/>
      <c r="L3677" s="272">
        <f t="shared" si="303"/>
        <v>1900</v>
      </c>
      <c r="M3677" s="272">
        <f t="shared" si="304"/>
        <v>1</v>
      </c>
      <c r="O3677" s="61">
        <f t="shared" si="305"/>
        <v>1900</v>
      </c>
      <c r="P3677" s="61">
        <f t="shared" si="306"/>
        <v>1</v>
      </c>
      <c r="R3677" s="272"/>
      <c r="S3677" s="272"/>
    </row>
    <row r="3678" spans="9:19">
      <c r="I3678" s="213"/>
      <c r="J3678" s="213"/>
      <c r="L3678" s="272">
        <f t="shared" si="303"/>
        <v>1900</v>
      </c>
      <c r="M3678" s="272">
        <f t="shared" si="304"/>
        <v>1</v>
      </c>
      <c r="O3678" s="61">
        <f t="shared" si="305"/>
        <v>1900</v>
      </c>
      <c r="P3678" s="61">
        <f t="shared" si="306"/>
        <v>1</v>
      </c>
      <c r="R3678" s="272"/>
      <c r="S3678" s="272"/>
    </row>
    <row r="3679" spans="9:19">
      <c r="I3679" s="213"/>
      <c r="J3679" s="213"/>
      <c r="L3679" s="272">
        <f t="shared" si="303"/>
        <v>1900</v>
      </c>
      <c r="M3679" s="272">
        <f t="shared" si="304"/>
        <v>1</v>
      </c>
      <c r="O3679" s="61">
        <f t="shared" si="305"/>
        <v>1900</v>
      </c>
      <c r="P3679" s="61">
        <f t="shared" si="306"/>
        <v>1</v>
      </c>
      <c r="R3679" s="272"/>
      <c r="S3679" s="272"/>
    </row>
    <row r="3680" spans="9:19">
      <c r="I3680" s="213"/>
      <c r="J3680" s="213"/>
      <c r="L3680" s="272">
        <f t="shared" si="303"/>
        <v>1900</v>
      </c>
      <c r="M3680" s="272">
        <f t="shared" si="304"/>
        <v>1</v>
      </c>
      <c r="O3680" s="61">
        <f t="shared" si="305"/>
        <v>1900</v>
      </c>
      <c r="P3680" s="61">
        <f t="shared" si="306"/>
        <v>1</v>
      </c>
      <c r="R3680" s="272"/>
      <c r="S3680" s="272"/>
    </row>
    <row r="3681" spans="9:19">
      <c r="I3681" s="213"/>
      <c r="J3681" s="213"/>
      <c r="L3681" s="272">
        <f t="shared" si="303"/>
        <v>1900</v>
      </c>
      <c r="M3681" s="272">
        <f t="shared" si="304"/>
        <v>1</v>
      </c>
      <c r="O3681" s="61">
        <f t="shared" si="305"/>
        <v>1900</v>
      </c>
      <c r="P3681" s="61">
        <f t="shared" si="306"/>
        <v>1</v>
      </c>
      <c r="R3681" s="272"/>
      <c r="S3681" s="272"/>
    </row>
    <row r="3682" spans="9:19">
      <c r="I3682" s="213"/>
      <c r="J3682" s="213"/>
      <c r="L3682" s="272">
        <f t="shared" si="303"/>
        <v>1900</v>
      </c>
      <c r="M3682" s="272">
        <f t="shared" si="304"/>
        <v>1</v>
      </c>
      <c r="O3682" s="61">
        <f t="shared" si="305"/>
        <v>1900</v>
      </c>
      <c r="P3682" s="61">
        <f t="shared" si="306"/>
        <v>1</v>
      </c>
      <c r="R3682" s="272"/>
      <c r="S3682" s="272"/>
    </row>
    <row r="3683" spans="9:19">
      <c r="I3683" s="213"/>
      <c r="J3683" s="213"/>
      <c r="L3683" s="272">
        <f t="shared" si="303"/>
        <v>1900</v>
      </c>
      <c r="M3683" s="272">
        <f t="shared" si="304"/>
        <v>1</v>
      </c>
      <c r="O3683" s="61">
        <f t="shared" si="305"/>
        <v>1900</v>
      </c>
      <c r="P3683" s="61">
        <f t="shared" si="306"/>
        <v>1</v>
      </c>
      <c r="R3683" s="272"/>
      <c r="S3683" s="272"/>
    </row>
    <row r="3684" spans="9:19">
      <c r="I3684" s="213"/>
      <c r="J3684" s="213"/>
      <c r="L3684" s="272">
        <f t="shared" si="303"/>
        <v>1900</v>
      </c>
      <c r="M3684" s="272">
        <f t="shared" si="304"/>
        <v>1</v>
      </c>
      <c r="O3684" s="61">
        <f t="shared" si="305"/>
        <v>1900</v>
      </c>
      <c r="P3684" s="61">
        <f t="shared" si="306"/>
        <v>1</v>
      </c>
      <c r="R3684" s="272"/>
      <c r="S3684" s="272"/>
    </row>
    <row r="3685" spans="9:19">
      <c r="I3685" s="213"/>
      <c r="J3685" s="213"/>
      <c r="L3685" s="272">
        <f t="shared" si="303"/>
        <v>1900</v>
      </c>
      <c r="M3685" s="272">
        <f t="shared" si="304"/>
        <v>1</v>
      </c>
      <c r="O3685" s="61">
        <f t="shared" si="305"/>
        <v>1900</v>
      </c>
      <c r="P3685" s="61">
        <f t="shared" si="306"/>
        <v>1</v>
      </c>
      <c r="R3685" s="272"/>
      <c r="S3685" s="272"/>
    </row>
    <row r="3686" spans="9:19">
      <c r="I3686" s="213"/>
      <c r="J3686" s="213"/>
      <c r="L3686" s="272">
        <f t="shared" si="303"/>
        <v>1900</v>
      </c>
      <c r="M3686" s="272">
        <f t="shared" si="304"/>
        <v>1</v>
      </c>
      <c r="O3686" s="61">
        <f t="shared" si="305"/>
        <v>1900</v>
      </c>
      <c r="P3686" s="61">
        <f t="shared" si="306"/>
        <v>1</v>
      </c>
      <c r="R3686" s="272"/>
      <c r="S3686" s="272"/>
    </row>
    <row r="3687" spans="9:19">
      <c r="I3687" s="213"/>
      <c r="J3687" s="213"/>
      <c r="L3687" s="272">
        <f t="shared" si="303"/>
        <v>1900</v>
      </c>
      <c r="M3687" s="272">
        <f t="shared" si="304"/>
        <v>1</v>
      </c>
      <c r="O3687" s="61">
        <f t="shared" si="305"/>
        <v>1900</v>
      </c>
      <c r="P3687" s="61">
        <f t="shared" si="306"/>
        <v>1</v>
      </c>
      <c r="R3687" s="272"/>
      <c r="S3687" s="272"/>
    </row>
    <row r="3688" spans="9:19">
      <c r="I3688" s="213"/>
      <c r="J3688" s="213"/>
      <c r="L3688" s="272">
        <f t="shared" si="303"/>
        <v>1900</v>
      </c>
      <c r="M3688" s="272">
        <f t="shared" si="304"/>
        <v>1</v>
      </c>
      <c r="O3688" s="61">
        <f t="shared" si="305"/>
        <v>1900</v>
      </c>
      <c r="P3688" s="61">
        <f t="shared" si="306"/>
        <v>1</v>
      </c>
      <c r="R3688" s="272"/>
      <c r="S3688" s="272"/>
    </row>
    <row r="3689" spans="9:19">
      <c r="I3689" s="213"/>
      <c r="J3689" s="213"/>
      <c r="L3689" s="272">
        <f t="shared" si="303"/>
        <v>1900</v>
      </c>
      <c r="M3689" s="272">
        <f t="shared" si="304"/>
        <v>1</v>
      </c>
      <c r="O3689" s="61">
        <f t="shared" si="305"/>
        <v>1900</v>
      </c>
      <c r="P3689" s="61">
        <f t="shared" si="306"/>
        <v>1</v>
      </c>
      <c r="R3689" s="272"/>
      <c r="S3689" s="272"/>
    </row>
    <row r="3690" spans="9:19">
      <c r="I3690" s="213"/>
      <c r="J3690" s="213"/>
      <c r="L3690" s="272">
        <f t="shared" si="303"/>
        <v>1900</v>
      </c>
      <c r="M3690" s="272">
        <f t="shared" si="304"/>
        <v>1</v>
      </c>
      <c r="O3690" s="61">
        <f t="shared" si="305"/>
        <v>1900</v>
      </c>
      <c r="P3690" s="61">
        <f t="shared" si="306"/>
        <v>1</v>
      </c>
      <c r="R3690" s="272"/>
      <c r="S3690" s="272"/>
    </row>
    <row r="3691" spans="9:19">
      <c r="I3691" s="213"/>
      <c r="J3691" s="213"/>
      <c r="L3691" s="272">
        <f t="shared" si="303"/>
        <v>1900</v>
      </c>
      <c r="M3691" s="272">
        <f t="shared" si="304"/>
        <v>1</v>
      </c>
      <c r="O3691" s="61">
        <f t="shared" si="305"/>
        <v>1900</v>
      </c>
      <c r="P3691" s="61">
        <f t="shared" si="306"/>
        <v>1</v>
      </c>
      <c r="R3691" s="272"/>
      <c r="S3691" s="272"/>
    </row>
    <row r="3692" spans="9:19">
      <c r="I3692" s="213"/>
      <c r="J3692" s="213"/>
      <c r="L3692" s="272">
        <f t="shared" si="303"/>
        <v>1900</v>
      </c>
      <c r="M3692" s="272">
        <f t="shared" si="304"/>
        <v>1</v>
      </c>
      <c r="O3692" s="61">
        <f t="shared" si="305"/>
        <v>1900</v>
      </c>
      <c r="P3692" s="61">
        <f t="shared" si="306"/>
        <v>1</v>
      </c>
      <c r="R3692" s="272"/>
      <c r="S3692" s="272"/>
    </row>
    <row r="3693" spans="9:19">
      <c r="I3693" s="213"/>
      <c r="J3693" s="213"/>
      <c r="L3693" s="272">
        <f t="shared" si="303"/>
        <v>1900</v>
      </c>
      <c r="M3693" s="272">
        <f t="shared" si="304"/>
        <v>1</v>
      </c>
      <c r="O3693" s="61">
        <f t="shared" si="305"/>
        <v>1900</v>
      </c>
      <c r="P3693" s="61">
        <f t="shared" si="306"/>
        <v>1</v>
      </c>
      <c r="R3693" s="272"/>
      <c r="S3693" s="272"/>
    </row>
    <row r="3694" spans="9:19">
      <c r="I3694" s="213"/>
      <c r="J3694" s="213"/>
      <c r="L3694" s="272">
        <f t="shared" si="303"/>
        <v>1900</v>
      </c>
      <c r="M3694" s="272">
        <f t="shared" si="304"/>
        <v>1</v>
      </c>
      <c r="O3694" s="61">
        <f t="shared" si="305"/>
        <v>1900</v>
      </c>
      <c r="P3694" s="61">
        <f t="shared" si="306"/>
        <v>1</v>
      </c>
      <c r="R3694" s="272"/>
      <c r="S3694" s="272"/>
    </row>
    <row r="3695" spans="9:19">
      <c r="I3695" s="213"/>
      <c r="J3695" s="213"/>
      <c r="L3695" s="272">
        <f t="shared" si="303"/>
        <v>1900</v>
      </c>
      <c r="M3695" s="272">
        <f t="shared" si="304"/>
        <v>1</v>
      </c>
      <c r="O3695" s="61">
        <f t="shared" si="305"/>
        <v>1900</v>
      </c>
      <c r="P3695" s="61">
        <f t="shared" si="306"/>
        <v>1</v>
      </c>
      <c r="R3695" s="272"/>
      <c r="S3695" s="272"/>
    </row>
    <row r="3696" spans="9:19">
      <c r="I3696" s="213"/>
      <c r="J3696" s="213"/>
      <c r="L3696" s="272">
        <f t="shared" si="303"/>
        <v>1900</v>
      </c>
      <c r="M3696" s="272">
        <f t="shared" si="304"/>
        <v>1</v>
      </c>
      <c r="O3696" s="61">
        <f t="shared" si="305"/>
        <v>1900</v>
      </c>
      <c r="P3696" s="61">
        <f t="shared" si="306"/>
        <v>1</v>
      </c>
      <c r="R3696" s="272"/>
      <c r="S3696" s="272"/>
    </row>
    <row r="3697" spans="9:19">
      <c r="I3697" s="213"/>
      <c r="J3697" s="213"/>
      <c r="L3697" s="272">
        <f t="shared" si="303"/>
        <v>1900</v>
      </c>
      <c r="M3697" s="272">
        <f t="shared" si="304"/>
        <v>1</v>
      </c>
      <c r="O3697" s="61">
        <f t="shared" si="305"/>
        <v>1900</v>
      </c>
      <c r="P3697" s="61">
        <f t="shared" si="306"/>
        <v>1</v>
      </c>
      <c r="R3697" s="272"/>
      <c r="S3697" s="272"/>
    </row>
    <row r="3698" spans="9:19">
      <c r="I3698" s="213"/>
      <c r="J3698" s="213"/>
      <c r="L3698" s="272">
        <f t="shared" si="303"/>
        <v>1900</v>
      </c>
      <c r="M3698" s="272">
        <f t="shared" si="304"/>
        <v>1</v>
      </c>
      <c r="O3698" s="61">
        <f t="shared" si="305"/>
        <v>1900</v>
      </c>
      <c r="P3698" s="61">
        <f t="shared" si="306"/>
        <v>1</v>
      </c>
      <c r="R3698" s="272"/>
      <c r="S3698" s="272"/>
    </row>
    <row r="3699" spans="9:19">
      <c r="I3699" s="213"/>
      <c r="J3699" s="213"/>
      <c r="L3699" s="272">
        <f t="shared" si="303"/>
        <v>1900</v>
      </c>
      <c r="M3699" s="272">
        <f t="shared" si="304"/>
        <v>1</v>
      </c>
      <c r="O3699" s="61">
        <f t="shared" si="305"/>
        <v>1900</v>
      </c>
      <c r="P3699" s="61">
        <f t="shared" si="306"/>
        <v>1</v>
      </c>
      <c r="R3699" s="272"/>
      <c r="S3699" s="272"/>
    </row>
    <row r="3700" spans="9:19">
      <c r="I3700" s="213"/>
      <c r="J3700" s="213"/>
      <c r="L3700" s="272">
        <f t="shared" si="303"/>
        <v>1900</v>
      </c>
      <c r="M3700" s="272">
        <f t="shared" si="304"/>
        <v>1</v>
      </c>
      <c r="O3700" s="61">
        <f t="shared" si="305"/>
        <v>1900</v>
      </c>
      <c r="P3700" s="61">
        <f t="shared" si="306"/>
        <v>1</v>
      </c>
      <c r="R3700" s="272"/>
      <c r="S3700" s="272"/>
    </row>
    <row r="3701" spans="9:19">
      <c r="I3701" s="213"/>
      <c r="J3701" s="213"/>
      <c r="L3701" s="272">
        <f t="shared" si="303"/>
        <v>1900</v>
      </c>
      <c r="M3701" s="272">
        <f t="shared" si="304"/>
        <v>1</v>
      </c>
      <c r="O3701" s="61">
        <f t="shared" si="305"/>
        <v>1900</v>
      </c>
      <c r="P3701" s="61">
        <f t="shared" si="306"/>
        <v>1</v>
      </c>
      <c r="R3701" s="272"/>
      <c r="S3701" s="272"/>
    </row>
    <row r="3702" spans="9:19">
      <c r="I3702" s="213"/>
      <c r="J3702" s="213"/>
      <c r="L3702" s="272">
        <f t="shared" si="303"/>
        <v>1900</v>
      </c>
      <c r="M3702" s="272">
        <f t="shared" si="304"/>
        <v>1</v>
      </c>
      <c r="O3702" s="61">
        <f t="shared" si="305"/>
        <v>1900</v>
      </c>
      <c r="P3702" s="61">
        <f t="shared" si="306"/>
        <v>1</v>
      </c>
      <c r="R3702" s="272"/>
      <c r="S3702" s="272"/>
    </row>
    <row r="3703" spans="9:19">
      <c r="I3703" s="213"/>
      <c r="J3703" s="213"/>
      <c r="L3703" s="272">
        <f t="shared" si="303"/>
        <v>1900</v>
      </c>
      <c r="M3703" s="272">
        <f t="shared" si="304"/>
        <v>1</v>
      </c>
      <c r="O3703" s="61">
        <f t="shared" si="305"/>
        <v>1900</v>
      </c>
      <c r="P3703" s="61">
        <f t="shared" si="306"/>
        <v>1</v>
      </c>
      <c r="R3703" s="272"/>
      <c r="S3703" s="272"/>
    </row>
    <row r="3704" spans="9:19">
      <c r="I3704" s="213"/>
      <c r="J3704" s="213"/>
      <c r="L3704" s="272">
        <f t="shared" si="303"/>
        <v>1900</v>
      </c>
      <c r="M3704" s="272">
        <f t="shared" si="304"/>
        <v>1</v>
      </c>
      <c r="O3704" s="61">
        <f t="shared" si="305"/>
        <v>1900</v>
      </c>
      <c r="P3704" s="61">
        <f t="shared" si="306"/>
        <v>1</v>
      </c>
      <c r="R3704" s="272"/>
      <c r="S3704" s="272"/>
    </row>
    <row r="3705" spans="9:19">
      <c r="I3705" s="213"/>
      <c r="J3705" s="213"/>
      <c r="L3705" s="272">
        <f t="shared" si="303"/>
        <v>1900</v>
      </c>
      <c r="M3705" s="272">
        <f t="shared" si="304"/>
        <v>1</v>
      </c>
      <c r="O3705" s="61">
        <f t="shared" si="305"/>
        <v>1900</v>
      </c>
      <c r="P3705" s="61">
        <f t="shared" si="306"/>
        <v>1</v>
      </c>
      <c r="R3705" s="272"/>
      <c r="S3705" s="272"/>
    </row>
    <row r="3706" spans="9:19">
      <c r="I3706" s="213"/>
      <c r="J3706" s="213"/>
      <c r="L3706" s="272">
        <f t="shared" si="303"/>
        <v>1900</v>
      </c>
      <c r="M3706" s="272">
        <f t="shared" si="304"/>
        <v>1</v>
      </c>
      <c r="O3706" s="61">
        <f t="shared" si="305"/>
        <v>1900</v>
      </c>
      <c r="P3706" s="61">
        <f t="shared" si="306"/>
        <v>1</v>
      </c>
      <c r="R3706" s="272"/>
      <c r="S3706" s="272"/>
    </row>
    <row r="3707" spans="9:19">
      <c r="I3707" s="213"/>
      <c r="J3707" s="213"/>
      <c r="L3707" s="272">
        <f t="shared" si="303"/>
        <v>1900</v>
      </c>
      <c r="M3707" s="272">
        <f t="shared" si="304"/>
        <v>1</v>
      </c>
      <c r="O3707" s="61">
        <f t="shared" si="305"/>
        <v>1900</v>
      </c>
      <c r="P3707" s="61">
        <f t="shared" si="306"/>
        <v>1</v>
      </c>
      <c r="R3707" s="272"/>
      <c r="S3707" s="272"/>
    </row>
    <row r="3708" spans="9:19">
      <c r="I3708" s="213"/>
      <c r="J3708" s="213"/>
      <c r="L3708" s="272">
        <f t="shared" si="303"/>
        <v>1900</v>
      </c>
      <c r="M3708" s="272">
        <f t="shared" si="304"/>
        <v>1</v>
      </c>
      <c r="O3708" s="61">
        <f t="shared" si="305"/>
        <v>1900</v>
      </c>
      <c r="P3708" s="61">
        <f t="shared" si="306"/>
        <v>1</v>
      </c>
      <c r="R3708" s="272"/>
      <c r="S3708" s="272"/>
    </row>
    <row r="3709" spans="9:19">
      <c r="I3709" s="213"/>
      <c r="J3709" s="213"/>
      <c r="L3709" s="272">
        <f t="shared" si="303"/>
        <v>1900</v>
      </c>
      <c r="M3709" s="272">
        <f t="shared" si="304"/>
        <v>1</v>
      </c>
      <c r="O3709" s="61">
        <f t="shared" si="305"/>
        <v>1900</v>
      </c>
      <c r="P3709" s="61">
        <f t="shared" si="306"/>
        <v>1</v>
      </c>
      <c r="R3709" s="272"/>
      <c r="S3709" s="272"/>
    </row>
    <row r="3710" spans="9:19">
      <c r="I3710" s="213"/>
      <c r="J3710" s="213"/>
      <c r="L3710" s="272">
        <f t="shared" si="303"/>
        <v>1900</v>
      </c>
      <c r="M3710" s="272">
        <f t="shared" si="304"/>
        <v>1</v>
      </c>
      <c r="O3710" s="61">
        <f t="shared" si="305"/>
        <v>1900</v>
      </c>
      <c r="P3710" s="61">
        <f t="shared" si="306"/>
        <v>1</v>
      </c>
      <c r="R3710" s="272"/>
      <c r="S3710" s="272"/>
    </row>
    <row r="3711" spans="9:19">
      <c r="I3711" s="213"/>
      <c r="J3711" s="213"/>
      <c r="L3711" s="272">
        <f t="shared" si="303"/>
        <v>1900</v>
      </c>
      <c r="M3711" s="272">
        <f t="shared" si="304"/>
        <v>1</v>
      </c>
      <c r="O3711" s="61">
        <f t="shared" si="305"/>
        <v>1900</v>
      </c>
      <c r="P3711" s="61">
        <f t="shared" si="306"/>
        <v>1</v>
      </c>
      <c r="R3711" s="272"/>
      <c r="S3711" s="272"/>
    </row>
    <row r="3712" spans="9:19">
      <c r="I3712" s="213"/>
      <c r="J3712" s="213"/>
      <c r="L3712" s="272">
        <f t="shared" si="303"/>
        <v>1900</v>
      </c>
      <c r="M3712" s="272">
        <f t="shared" si="304"/>
        <v>1</v>
      </c>
      <c r="O3712" s="61">
        <f t="shared" si="305"/>
        <v>1900</v>
      </c>
      <c r="P3712" s="61">
        <f t="shared" si="306"/>
        <v>1</v>
      </c>
      <c r="R3712" s="272"/>
      <c r="S3712" s="272"/>
    </row>
    <row r="3713" spans="9:19">
      <c r="I3713" s="213"/>
      <c r="J3713" s="213"/>
      <c r="L3713" s="272">
        <f t="shared" si="303"/>
        <v>1900</v>
      </c>
      <c r="M3713" s="272">
        <f t="shared" si="304"/>
        <v>1</v>
      </c>
      <c r="O3713" s="61">
        <f t="shared" si="305"/>
        <v>1900</v>
      </c>
      <c r="P3713" s="61">
        <f t="shared" si="306"/>
        <v>1</v>
      </c>
      <c r="R3713" s="272"/>
      <c r="S3713" s="272"/>
    </row>
    <row r="3714" spans="9:19">
      <c r="I3714" s="213"/>
      <c r="J3714" s="213"/>
      <c r="L3714" s="272">
        <f t="shared" si="303"/>
        <v>1900</v>
      </c>
      <c r="M3714" s="272">
        <f t="shared" si="304"/>
        <v>1</v>
      </c>
      <c r="O3714" s="61">
        <f t="shared" si="305"/>
        <v>1900</v>
      </c>
      <c r="P3714" s="61">
        <f t="shared" si="306"/>
        <v>1</v>
      </c>
      <c r="R3714" s="272"/>
      <c r="S3714" s="272"/>
    </row>
    <row r="3715" spans="9:19">
      <c r="I3715" s="213"/>
      <c r="J3715" s="213"/>
      <c r="L3715" s="272">
        <f t="shared" si="303"/>
        <v>1900</v>
      </c>
      <c r="M3715" s="272">
        <f t="shared" si="304"/>
        <v>1</v>
      </c>
      <c r="O3715" s="61">
        <f t="shared" si="305"/>
        <v>1900</v>
      </c>
      <c r="P3715" s="61">
        <f t="shared" si="306"/>
        <v>1</v>
      </c>
      <c r="R3715" s="272"/>
      <c r="S3715" s="272"/>
    </row>
    <row r="3716" spans="9:19">
      <c r="I3716" s="213"/>
      <c r="J3716" s="213"/>
      <c r="L3716" s="272">
        <f t="shared" si="303"/>
        <v>1900</v>
      </c>
      <c r="M3716" s="272">
        <f t="shared" si="304"/>
        <v>1</v>
      </c>
      <c r="O3716" s="61">
        <f t="shared" si="305"/>
        <v>1900</v>
      </c>
      <c r="P3716" s="61">
        <f t="shared" si="306"/>
        <v>1</v>
      </c>
      <c r="R3716" s="272"/>
      <c r="S3716" s="272"/>
    </row>
    <row r="3717" spans="9:19">
      <c r="I3717" s="213"/>
      <c r="J3717" s="213"/>
      <c r="L3717" s="272">
        <f t="shared" si="303"/>
        <v>1900</v>
      </c>
      <c r="M3717" s="272">
        <f t="shared" si="304"/>
        <v>1</v>
      </c>
      <c r="O3717" s="61">
        <f t="shared" si="305"/>
        <v>1900</v>
      </c>
      <c r="P3717" s="61">
        <f t="shared" si="306"/>
        <v>1</v>
      </c>
      <c r="R3717" s="272"/>
      <c r="S3717" s="272"/>
    </row>
    <row r="3718" spans="9:19">
      <c r="I3718" s="213"/>
      <c r="J3718" s="213"/>
      <c r="L3718" s="272">
        <f t="shared" si="303"/>
        <v>1900</v>
      </c>
      <c r="M3718" s="272">
        <f t="shared" si="304"/>
        <v>1</v>
      </c>
      <c r="O3718" s="61">
        <f t="shared" si="305"/>
        <v>1900</v>
      </c>
      <c r="P3718" s="61">
        <f t="shared" si="306"/>
        <v>1</v>
      </c>
      <c r="R3718" s="272"/>
      <c r="S3718" s="272"/>
    </row>
    <row r="3719" spans="9:19">
      <c r="I3719" s="213"/>
      <c r="J3719" s="213"/>
      <c r="L3719" s="272">
        <f t="shared" si="303"/>
        <v>1900</v>
      </c>
      <c r="M3719" s="272">
        <f t="shared" si="304"/>
        <v>1</v>
      </c>
      <c r="O3719" s="61">
        <f t="shared" si="305"/>
        <v>1900</v>
      </c>
      <c r="P3719" s="61">
        <f t="shared" si="306"/>
        <v>1</v>
      </c>
      <c r="R3719" s="272"/>
      <c r="S3719" s="272"/>
    </row>
    <row r="3720" spans="9:19">
      <c r="I3720" s="213"/>
      <c r="J3720" s="213"/>
      <c r="L3720" s="272">
        <f t="shared" si="303"/>
        <v>1900</v>
      </c>
      <c r="M3720" s="272">
        <f t="shared" si="304"/>
        <v>1</v>
      </c>
      <c r="O3720" s="61">
        <f t="shared" si="305"/>
        <v>1900</v>
      </c>
      <c r="P3720" s="61">
        <f t="shared" si="306"/>
        <v>1</v>
      </c>
      <c r="R3720" s="272"/>
      <c r="S3720" s="272"/>
    </row>
    <row r="3721" spans="9:19">
      <c r="I3721" s="213"/>
      <c r="J3721" s="213"/>
      <c r="L3721" s="272">
        <f t="shared" si="303"/>
        <v>1900</v>
      </c>
      <c r="M3721" s="272">
        <f t="shared" si="304"/>
        <v>1</v>
      </c>
      <c r="O3721" s="61">
        <f t="shared" si="305"/>
        <v>1900</v>
      </c>
      <c r="P3721" s="61">
        <f t="shared" si="306"/>
        <v>1</v>
      </c>
      <c r="R3721" s="272"/>
      <c r="S3721" s="272"/>
    </row>
    <row r="3722" spans="9:19">
      <c r="I3722" s="213"/>
      <c r="J3722" s="213"/>
      <c r="L3722" s="272">
        <f t="shared" si="303"/>
        <v>1900</v>
      </c>
      <c r="M3722" s="272">
        <f t="shared" si="304"/>
        <v>1</v>
      </c>
      <c r="O3722" s="61">
        <f t="shared" si="305"/>
        <v>1900</v>
      </c>
      <c r="P3722" s="61">
        <f t="shared" si="306"/>
        <v>1</v>
      </c>
      <c r="R3722" s="272"/>
      <c r="S3722" s="272"/>
    </row>
    <row r="3723" spans="9:19">
      <c r="I3723" s="213"/>
      <c r="J3723" s="213"/>
      <c r="L3723" s="272">
        <f t="shared" si="303"/>
        <v>1900</v>
      </c>
      <c r="M3723" s="272">
        <f t="shared" si="304"/>
        <v>1</v>
      </c>
      <c r="O3723" s="61">
        <f t="shared" si="305"/>
        <v>1900</v>
      </c>
      <c r="P3723" s="61">
        <f t="shared" si="306"/>
        <v>1</v>
      </c>
      <c r="R3723" s="272"/>
      <c r="S3723" s="272"/>
    </row>
    <row r="3724" spans="9:19">
      <c r="I3724" s="213"/>
      <c r="J3724" s="213"/>
      <c r="L3724" s="272">
        <f t="shared" si="303"/>
        <v>1900</v>
      </c>
      <c r="M3724" s="272">
        <f t="shared" si="304"/>
        <v>1</v>
      </c>
      <c r="O3724" s="61">
        <f t="shared" si="305"/>
        <v>1900</v>
      </c>
      <c r="P3724" s="61">
        <f t="shared" si="306"/>
        <v>1</v>
      </c>
      <c r="R3724" s="272"/>
      <c r="S3724" s="272"/>
    </row>
    <row r="3725" spans="9:19">
      <c r="I3725" s="213"/>
      <c r="J3725" s="213"/>
      <c r="L3725" s="272">
        <f t="shared" si="303"/>
        <v>1900</v>
      </c>
      <c r="M3725" s="272">
        <f t="shared" si="304"/>
        <v>1</v>
      </c>
      <c r="O3725" s="61">
        <f t="shared" si="305"/>
        <v>1900</v>
      </c>
      <c r="P3725" s="61">
        <f t="shared" si="306"/>
        <v>1</v>
      </c>
      <c r="R3725" s="272"/>
      <c r="S3725" s="272"/>
    </row>
    <row r="3726" spans="9:19">
      <c r="I3726" s="213"/>
      <c r="J3726" s="213"/>
      <c r="L3726" s="272">
        <f t="shared" si="303"/>
        <v>1900</v>
      </c>
      <c r="M3726" s="272">
        <f t="shared" si="304"/>
        <v>1</v>
      </c>
      <c r="O3726" s="61">
        <f t="shared" si="305"/>
        <v>1900</v>
      </c>
      <c r="P3726" s="61">
        <f t="shared" si="306"/>
        <v>1</v>
      </c>
      <c r="R3726" s="272"/>
      <c r="S3726" s="272"/>
    </row>
    <row r="3727" spans="9:19">
      <c r="I3727" s="213"/>
      <c r="J3727" s="213"/>
      <c r="L3727" s="272">
        <f t="shared" si="303"/>
        <v>1900</v>
      </c>
      <c r="M3727" s="272">
        <f t="shared" si="304"/>
        <v>1</v>
      </c>
      <c r="O3727" s="61">
        <f t="shared" si="305"/>
        <v>1900</v>
      </c>
      <c r="P3727" s="61">
        <f t="shared" si="306"/>
        <v>1</v>
      </c>
      <c r="R3727" s="272"/>
      <c r="S3727" s="272"/>
    </row>
    <row r="3728" spans="9:19">
      <c r="I3728" s="213"/>
      <c r="J3728" s="213"/>
      <c r="L3728" s="272">
        <f t="shared" ref="L3728:L3791" si="307">YEAR(B3728)</f>
        <v>1900</v>
      </c>
      <c r="M3728" s="272">
        <f t="shared" ref="M3728:M3791" si="308">MONTH(B3728)</f>
        <v>1</v>
      </c>
      <c r="O3728" s="61">
        <f t="shared" ref="O3728:O3791" si="309">YEAR(B3728)</f>
        <v>1900</v>
      </c>
      <c r="P3728" s="61">
        <f t="shared" ref="P3728:P3791" si="310">MONTH(B3728)</f>
        <v>1</v>
      </c>
      <c r="R3728" s="272"/>
      <c r="S3728" s="272"/>
    </row>
    <row r="3729" spans="9:19">
      <c r="I3729" s="213"/>
      <c r="J3729" s="213"/>
      <c r="L3729" s="272">
        <f t="shared" si="307"/>
        <v>1900</v>
      </c>
      <c r="M3729" s="272">
        <f t="shared" si="308"/>
        <v>1</v>
      </c>
      <c r="O3729" s="61">
        <f t="shared" si="309"/>
        <v>1900</v>
      </c>
      <c r="P3729" s="61">
        <f t="shared" si="310"/>
        <v>1</v>
      </c>
      <c r="R3729" s="272"/>
      <c r="S3729" s="272"/>
    </row>
    <row r="3730" spans="9:19">
      <c r="I3730" s="213"/>
      <c r="J3730" s="213"/>
      <c r="L3730" s="272">
        <f t="shared" si="307"/>
        <v>1900</v>
      </c>
      <c r="M3730" s="272">
        <f t="shared" si="308"/>
        <v>1</v>
      </c>
      <c r="O3730" s="61">
        <f t="shared" si="309"/>
        <v>1900</v>
      </c>
      <c r="P3730" s="61">
        <f t="shared" si="310"/>
        <v>1</v>
      </c>
      <c r="R3730" s="272"/>
      <c r="S3730" s="272"/>
    </row>
    <row r="3731" spans="9:19">
      <c r="I3731" s="213"/>
      <c r="J3731" s="213"/>
      <c r="L3731" s="272">
        <f t="shared" si="307"/>
        <v>1900</v>
      </c>
      <c r="M3731" s="272">
        <f t="shared" si="308"/>
        <v>1</v>
      </c>
      <c r="O3731" s="61">
        <f t="shared" si="309"/>
        <v>1900</v>
      </c>
      <c r="P3731" s="61">
        <f t="shared" si="310"/>
        <v>1</v>
      </c>
      <c r="R3731" s="272"/>
      <c r="S3731" s="272"/>
    </row>
    <row r="3732" spans="9:19">
      <c r="I3732" s="213"/>
      <c r="J3732" s="213"/>
      <c r="L3732" s="272">
        <f t="shared" si="307"/>
        <v>1900</v>
      </c>
      <c r="M3732" s="272">
        <f t="shared" si="308"/>
        <v>1</v>
      </c>
      <c r="O3732" s="61">
        <f t="shared" si="309"/>
        <v>1900</v>
      </c>
      <c r="P3732" s="61">
        <f t="shared" si="310"/>
        <v>1</v>
      </c>
      <c r="R3732" s="272"/>
      <c r="S3732" s="272"/>
    </row>
    <row r="3733" spans="9:19">
      <c r="I3733" s="213"/>
      <c r="J3733" s="213"/>
      <c r="L3733" s="272">
        <f t="shared" si="307"/>
        <v>1900</v>
      </c>
      <c r="M3733" s="272">
        <f t="shared" si="308"/>
        <v>1</v>
      </c>
      <c r="O3733" s="61">
        <f t="shared" si="309"/>
        <v>1900</v>
      </c>
      <c r="P3733" s="61">
        <f t="shared" si="310"/>
        <v>1</v>
      </c>
      <c r="R3733" s="272"/>
      <c r="S3733" s="272"/>
    </row>
    <row r="3734" spans="9:19">
      <c r="I3734" s="213"/>
      <c r="J3734" s="213"/>
      <c r="L3734" s="272">
        <f t="shared" si="307"/>
        <v>1900</v>
      </c>
      <c r="M3734" s="272">
        <f t="shared" si="308"/>
        <v>1</v>
      </c>
      <c r="O3734" s="61">
        <f t="shared" si="309"/>
        <v>1900</v>
      </c>
      <c r="P3734" s="61">
        <f t="shared" si="310"/>
        <v>1</v>
      </c>
      <c r="R3734" s="272"/>
      <c r="S3734" s="272"/>
    </row>
    <row r="3735" spans="9:19">
      <c r="I3735" s="213"/>
      <c r="J3735" s="213"/>
      <c r="L3735" s="272">
        <f t="shared" si="307"/>
        <v>1900</v>
      </c>
      <c r="M3735" s="272">
        <f t="shared" si="308"/>
        <v>1</v>
      </c>
      <c r="O3735" s="61">
        <f t="shared" si="309"/>
        <v>1900</v>
      </c>
      <c r="P3735" s="61">
        <f t="shared" si="310"/>
        <v>1</v>
      </c>
      <c r="R3735" s="272"/>
      <c r="S3735" s="272"/>
    </row>
    <row r="3736" spans="9:19">
      <c r="I3736" s="213"/>
      <c r="J3736" s="213"/>
      <c r="L3736" s="272">
        <f t="shared" si="307"/>
        <v>1900</v>
      </c>
      <c r="M3736" s="272">
        <f t="shared" si="308"/>
        <v>1</v>
      </c>
      <c r="O3736" s="61">
        <f t="shared" si="309"/>
        <v>1900</v>
      </c>
      <c r="P3736" s="61">
        <f t="shared" si="310"/>
        <v>1</v>
      </c>
      <c r="R3736" s="272"/>
      <c r="S3736" s="272"/>
    </row>
    <row r="3737" spans="9:19">
      <c r="I3737" s="213"/>
      <c r="J3737" s="213"/>
      <c r="L3737" s="272">
        <f t="shared" si="307"/>
        <v>1900</v>
      </c>
      <c r="M3737" s="272">
        <f t="shared" si="308"/>
        <v>1</v>
      </c>
      <c r="O3737" s="61">
        <f t="shared" si="309"/>
        <v>1900</v>
      </c>
      <c r="P3737" s="61">
        <f t="shared" si="310"/>
        <v>1</v>
      </c>
      <c r="R3737" s="272"/>
      <c r="S3737" s="272"/>
    </row>
    <row r="3738" spans="9:19">
      <c r="I3738" s="213"/>
      <c r="J3738" s="213"/>
      <c r="L3738" s="272">
        <f t="shared" si="307"/>
        <v>1900</v>
      </c>
      <c r="M3738" s="272">
        <f t="shared" si="308"/>
        <v>1</v>
      </c>
      <c r="O3738" s="61">
        <f t="shared" si="309"/>
        <v>1900</v>
      </c>
      <c r="P3738" s="61">
        <f t="shared" si="310"/>
        <v>1</v>
      </c>
      <c r="R3738" s="272"/>
      <c r="S3738" s="272"/>
    </row>
    <row r="3739" spans="9:19">
      <c r="I3739" s="213"/>
      <c r="J3739" s="213"/>
      <c r="L3739" s="272">
        <f t="shared" si="307"/>
        <v>1900</v>
      </c>
      <c r="M3739" s="272">
        <f t="shared" si="308"/>
        <v>1</v>
      </c>
      <c r="O3739" s="61">
        <f t="shared" si="309"/>
        <v>1900</v>
      </c>
      <c r="P3739" s="61">
        <f t="shared" si="310"/>
        <v>1</v>
      </c>
      <c r="R3739" s="272"/>
      <c r="S3739" s="272"/>
    </row>
    <row r="3740" spans="9:19">
      <c r="I3740" s="213"/>
      <c r="J3740" s="213"/>
      <c r="L3740" s="272">
        <f t="shared" si="307"/>
        <v>1900</v>
      </c>
      <c r="M3740" s="272">
        <f t="shared" si="308"/>
        <v>1</v>
      </c>
      <c r="O3740" s="61">
        <f t="shared" si="309"/>
        <v>1900</v>
      </c>
      <c r="P3740" s="61">
        <f t="shared" si="310"/>
        <v>1</v>
      </c>
      <c r="R3740" s="272"/>
      <c r="S3740" s="272"/>
    </row>
    <row r="3741" spans="9:19">
      <c r="I3741" s="213"/>
      <c r="J3741" s="213"/>
      <c r="L3741" s="272">
        <f t="shared" si="307"/>
        <v>1900</v>
      </c>
      <c r="M3741" s="272">
        <f t="shared" si="308"/>
        <v>1</v>
      </c>
      <c r="O3741" s="61">
        <f t="shared" si="309"/>
        <v>1900</v>
      </c>
      <c r="P3741" s="61">
        <f t="shared" si="310"/>
        <v>1</v>
      </c>
      <c r="R3741" s="272"/>
      <c r="S3741" s="272"/>
    </row>
    <row r="3742" spans="9:19">
      <c r="I3742" s="213"/>
      <c r="J3742" s="213"/>
      <c r="L3742" s="272">
        <f t="shared" si="307"/>
        <v>1900</v>
      </c>
      <c r="M3742" s="272">
        <f t="shared" si="308"/>
        <v>1</v>
      </c>
      <c r="O3742" s="61">
        <f t="shared" si="309"/>
        <v>1900</v>
      </c>
      <c r="P3742" s="61">
        <f t="shared" si="310"/>
        <v>1</v>
      </c>
      <c r="R3742" s="272"/>
      <c r="S3742" s="272"/>
    </row>
    <row r="3743" spans="9:19">
      <c r="I3743" s="213"/>
      <c r="J3743" s="213"/>
      <c r="L3743" s="272">
        <f t="shared" si="307"/>
        <v>1900</v>
      </c>
      <c r="M3743" s="272">
        <f t="shared" si="308"/>
        <v>1</v>
      </c>
      <c r="O3743" s="61">
        <f t="shared" si="309"/>
        <v>1900</v>
      </c>
      <c r="P3743" s="61">
        <f t="shared" si="310"/>
        <v>1</v>
      </c>
      <c r="R3743" s="272"/>
      <c r="S3743" s="272"/>
    </row>
    <row r="3744" spans="9:19">
      <c r="I3744" s="213"/>
      <c r="J3744" s="213"/>
      <c r="L3744" s="272">
        <f t="shared" si="307"/>
        <v>1900</v>
      </c>
      <c r="M3744" s="272">
        <f t="shared" si="308"/>
        <v>1</v>
      </c>
      <c r="O3744" s="61">
        <f t="shared" si="309"/>
        <v>1900</v>
      </c>
      <c r="P3744" s="61">
        <f t="shared" si="310"/>
        <v>1</v>
      </c>
      <c r="R3744" s="272"/>
      <c r="S3744" s="272"/>
    </row>
    <row r="3745" spans="9:19">
      <c r="I3745" s="213"/>
      <c r="J3745" s="213"/>
      <c r="L3745" s="272">
        <f t="shared" si="307"/>
        <v>1900</v>
      </c>
      <c r="M3745" s="272">
        <f t="shared" si="308"/>
        <v>1</v>
      </c>
      <c r="O3745" s="61">
        <f t="shared" si="309"/>
        <v>1900</v>
      </c>
      <c r="P3745" s="61">
        <f t="shared" si="310"/>
        <v>1</v>
      </c>
      <c r="R3745" s="272"/>
      <c r="S3745" s="272"/>
    </row>
    <row r="3746" spans="9:19">
      <c r="I3746" s="213"/>
      <c r="J3746" s="213"/>
      <c r="L3746" s="272">
        <f t="shared" si="307"/>
        <v>1900</v>
      </c>
      <c r="M3746" s="272">
        <f t="shared" si="308"/>
        <v>1</v>
      </c>
      <c r="O3746" s="61">
        <f t="shared" si="309"/>
        <v>1900</v>
      </c>
      <c r="P3746" s="61">
        <f t="shared" si="310"/>
        <v>1</v>
      </c>
      <c r="R3746" s="272"/>
      <c r="S3746" s="272"/>
    </row>
    <row r="3747" spans="9:19">
      <c r="I3747" s="213"/>
      <c r="J3747" s="213"/>
      <c r="L3747" s="272">
        <f t="shared" si="307"/>
        <v>1900</v>
      </c>
      <c r="M3747" s="272">
        <f t="shared" si="308"/>
        <v>1</v>
      </c>
      <c r="O3747" s="61">
        <f t="shared" si="309"/>
        <v>1900</v>
      </c>
      <c r="P3747" s="61">
        <f t="shared" si="310"/>
        <v>1</v>
      </c>
      <c r="R3747" s="272"/>
      <c r="S3747" s="272"/>
    </row>
    <row r="3748" spans="9:19">
      <c r="I3748" s="213"/>
      <c r="J3748" s="213"/>
      <c r="L3748" s="272">
        <f t="shared" si="307"/>
        <v>1900</v>
      </c>
      <c r="M3748" s="272">
        <f t="shared" si="308"/>
        <v>1</v>
      </c>
      <c r="O3748" s="61">
        <f t="shared" si="309"/>
        <v>1900</v>
      </c>
      <c r="P3748" s="61">
        <f t="shared" si="310"/>
        <v>1</v>
      </c>
      <c r="R3748" s="272"/>
      <c r="S3748" s="272"/>
    </row>
    <row r="3749" spans="9:19">
      <c r="I3749" s="213"/>
      <c r="J3749" s="213"/>
      <c r="L3749" s="272">
        <f t="shared" si="307"/>
        <v>1900</v>
      </c>
      <c r="M3749" s="272">
        <f t="shared" si="308"/>
        <v>1</v>
      </c>
      <c r="O3749" s="61">
        <f t="shared" si="309"/>
        <v>1900</v>
      </c>
      <c r="P3749" s="61">
        <f t="shared" si="310"/>
        <v>1</v>
      </c>
      <c r="R3749" s="272"/>
      <c r="S3749" s="272"/>
    </row>
    <row r="3750" spans="9:19">
      <c r="I3750" s="213"/>
      <c r="J3750" s="213"/>
      <c r="L3750" s="272">
        <f t="shared" si="307"/>
        <v>1900</v>
      </c>
      <c r="M3750" s="272">
        <f t="shared" si="308"/>
        <v>1</v>
      </c>
      <c r="O3750" s="61">
        <f t="shared" si="309"/>
        <v>1900</v>
      </c>
      <c r="P3750" s="61">
        <f t="shared" si="310"/>
        <v>1</v>
      </c>
      <c r="R3750" s="272"/>
      <c r="S3750" s="272"/>
    </row>
    <row r="3751" spans="9:19">
      <c r="I3751" s="213"/>
      <c r="J3751" s="213"/>
      <c r="L3751" s="272">
        <f t="shared" si="307"/>
        <v>1900</v>
      </c>
      <c r="M3751" s="272">
        <f t="shared" si="308"/>
        <v>1</v>
      </c>
      <c r="O3751" s="61">
        <f t="shared" si="309"/>
        <v>1900</v>
      </c>
      <c r="P3751" s="61">
        <f t="shared" si="310"/>
        <v>1</v>
      </c>
      <c r="R3751" s="272"/>
      <c r="S3751" s="272"/>
    </row>
    <row r="3752" spans="9:19">
      <c r="I3752" s="213"/>
      <c r="J3752" s="213"/>
      <c r="L3752" s="272">
        <f t="shared" si="307"/>
        <v>1900</v>
      </c>
      <c r="M3752" s="272">
        <f t="shared" si="308"/>
        <v>1</v>
      </c>
      <c r="O3752" s="61">
        <f t="shared" si="309"/>
        <v>1900</v>
      </c>
      <c r="P3752" s="61">
        <f t="shared" si="310"/>
        <v>1</v>
      </c>
      <c r="R3752" s="272"/>
      <c r="S3752" s="272"/>
    </row>
    <row r="3753" spans="9:19">
      <c r="I3753" s="213"/>
      <c r="J3753" s="213"/>
      <c r="L3753" s="272">
        <f t="shared" si="307"/>
        <v>1900</v>
      </c>
      <c r="M3753" s="272">
        <f t="shared" si="308"/>
        <v>1</v>
      </c>
      <c r="O3753" s="61">
        <f t="shared" si="309"/>
        <v>1900</v>
      </c>
      <c r="P3753" s="61">
        <f t="shared" si="310"/>
        <v>1</v>
      </c>
      <c r="R3753" s="272"/>
      <c r="S3753" s="272"/>
    </row>
    <row r="3754" spans="9:19">
      <c r="I3754" s="213"/>
      <c r="J3754" s="213"/>
      <c r="L3754" s="272">
        <f t="shared" si="307"/>
        <v>1900</v>
      </c>
      <c r="M3754" s="272">
        <f t="shared" si="308"/>
        <v>1</v>
      </c>
      <c r="O3754" s="61">
        <f t="shared" si="309"/>
        <v>1900</v>
      </c>
      <c r="P3754" s="61">
        <f t="shared" si="310"/>
        <v>1</v>
      </c>
      <c r="R3754" s="272"/>
      <c r="S3754" s="272"/>
    </row>
    <row r="3755" spans="9:19">
      <c r="I3755" s="213"/>
      <c r="J3755" s="213"/>
      <c r="L3755" s="272">
        <f t="shared" si="307"/>
        <v>1900</v>
      </c>
      <c r="M3755" s="272">
        <f t="shared" si="308"/>
        <v>1</v>
      </c>
      <c r="O3755" s="61">
        <f t="shared" si="309"/>
        <v>1900</v>
      </c>
      <c r="P3755" s="61">
        <f t="shared" si="310"/>
        <v>1</v>
      </c>
      <c r="R3755" s="272"/>
      <c r="S3755" s="272"/>
    </row>
    <row r="3756" spans="9:19">
      <c r="I3756" s="213"/>
      <c r="J3756" s="213"/>
      <c r="L3756" s="272">
        <f t="shared" si="307"/>
        <v>1900</v>
      </c>
      <c r="M3756" s="272">
        <f t="shared" si="308"/>
        <v>1</v>
      </c>
      <c r="O3756" s="61">
        <f t="shared" si="309"/>
        <v>1900</v>
      </c>
      <c r="P3756" s="61">
        <f t="shared" si="310"/>
        <v>1</v>
      </c>
      <c r="R3756" s="272"/>
      <c r="S3756" s="272"/>
    </row>
    <row r="3757" spans="9:19">
      <c r="I3757" s="213"/>
      <c r="J3757" s="213"/>
      <c r="L3757" s="272">
        <f t="shared" si="307"/>
        <v>1900</v>
      </c>
      <c r="M3757" s="272">
        <f t="shared" si="308"/>
        <v>1</v>
      </c>
      <c r="O3757" s="61">
        <f t="shared" si="309"/>
        <v>1900</v>
      </c>
      <c r="P3757" s="61">
        <f t="shared" si="310"/>
        <v>1</v>
      </c>
      <c r="R3757" s="272"/>
      <c r="S3757" s="272"/>
    </row>
    <row r="3758" spans="9:19">
      <c r="I3758" s="213"/>
      <c r="J3758" s="213"/>
      <c r="L3758" s="272">
        <f t="shared" si="307"/>
        <v>1900</v>
      </c>
      <c r="M3758" s="272">
        <f t="shared" si="308"/>
        <v>1</v>
      </c>
      <c r="O3758" s="61">
        <f t="shared" si="309"/>
        <v>1900</v>
      </c>
      <c r="P3758" s="61">
        <f t="shared" si="310"/>
        <v>1</v>
      </c>
      <c r="R3758" s="272"/>
      <c r="S3758" s="272"/>
    </row>
    <row r="3759" spans="9:19">
      <c r="I3759" s="213"/>
      <c r="J3759" s="213"/>
      <c r="L3759" s="272">
        <f t="shared" si="307"/>
        <v>1900</v>
      </c>
      <c r="M3759" s="272">
        <f t="shared" si="308"/>
        <v>1</v>
      </c>
      <c r="O3759" s="61">
        <f t="shared" si="309"/>
        <v>1900</v>
      </c>
      <c r="P3759" s="61">
        <f t="shared" si="310"/>
        <v>1</v>
      </c>
      <c r="R3759" s="272"/>
      <c r="S3759" s="272"/>
    </row>
    <row r="3760" spans="9:19">
      <c r="I3760" s="213"/>
      <c r="J3760" s="213"/>
      <c r="L3760" s="272">
        <f t="shared" si="307"/>
        <v>1900</v>
      </c>
      <c r="M3760" s="272">
        <f t="shared" si="308"/>
        <v>1</v>
      </c>
      <c r="O3760" s="61">
        <f t="shared" si="309"/>
        <v>1900</v>
      </c>
      <c r="P3760" s="61">
        <f t="shared" si="310"/>
        <v>1</v>
      </c>
      <c r="R3760" s="272"/>
      <c r="S3760" s="272"/>
    </row>
    <row r="3761" spans="9:19">
      <c r="I3761" s="213"/>
      <c r="J3761" s="213"/>
      <c r="L3761" s="272">
        <f t="shared" si="307"/>
        <v>1900</v>
      </c>
      <c r="M3761" s="272">
        <f t="shared" si="308"/>
        <v>1</v>
      </c>
      <c r="O3761" s="61">
        <f t="shared" si="309"/>
        <v>1900</v>
      </c>
      <c r="P3761" s="61">
        <f t="shared" si="310"/>
        <v>1</v>
      </c>
      <c r="R3761" s="272"/>
      <c r="S3761" s="272"/>
    </row>
    <row r="3762" spans="9:19">
      <c r="I3762" s="213"/>
      <c r="J3762" s="213"/>
      <c r="L3762" s="272">
        <f t="shared" si="307"/>
        <v>1900</v>
      </c>
      <c r="M3762" s="272">
        <f t="shared" si="308"/>
        <v>1</v>
      </c>
      <c r="O3762" s="61">
        <f t="shared" si="309"/>
        <v>1900</v>
      </c>
      <c r="P3762" s="61">
        <f t="shared" si="310"/>
        <v>1</v>
      </c>
      <c r="R3762" s="272"/>
      <c r="S3762" s="272"/>
    </row>
    <row r="3763" spans="9:19">
      <c r="I3763" s="213"/>
      <c r="J3763" s="213"/>
      <c r="L3763" s="272">
        <f t="shared" si="307"/>
        <v>1900</v>
      </c>
      <c r="M3763" s="272">
        <f t="shared" si="308"/>
        <v>1</v>
      </c>
      <c r="O3763" s="61">
        <f t="shared" si="309"/>
        <v>1900</v>
      </c>
      <c r="P3763" s="61">
        <f t="shared" si="310"/>
        <v>1</v>
      </c>
      <c r="R3763" s="272"/>
      <c r="S3763" s="272"/>
    </row>
    <row r="3764" spans="9:19">
      <c r="I3764" s="213"/>
      <c r="J3764" s="213"/>
      <c r="L3764" s="272">
        <f t="shared" si="307"/>
        <v>1900</v>
      </c>
      <c r="M3764" s="272">
        <f t="shared" si="308"/>
        <v>1</v>
      </c>
      <c r="O3764" s="61">
        <f t="shared" si="309"/>
        <v>1900</v>
      </c>
      <c r="P3764" s="61">
        <f t="shared" si="310"/>
        <v>1</v>
      </c>
      <c r="R3764" s="272"/>
      <c r="S3764" s="272"/>
    </row>
    <row r="3765" spans="9:19">
      <c r="I3765" s="213"/>
      <c r="J3765" s="213"/>
      <c r="L3765" s="272">
        <f t="shared" si="307"/>
        <v>1900</v>
      </c>
      <c r="M3765" s="272">
        <f t="shared" si="308"/>
        <v>1</v>
      </c>
      <c r="O3765" s="61">
        <f t="shared" si="309"/>
        <v>1900</v>
      </c>
      <c r="P3765" s="61">
        <f t="shared" si="310"/>
        <v>1</v>
      </c>
      <c r="R3765" s="272"/>
      <c r="S3765" s="272"/>
    </row>
    <row r="3766" spans="9:19">
      <c r="I3766" s="213"/>
      <c r="J3766" s="213"/>
      <c r="L3766" s="272">
        <f t="shared" si="307"/>
        <v>1900</v>
      </c>
      <c r="M3766" s="272">
        <f t="shared" si="308"/>
        <v>1</v>
      </c>
      <c r="O3766" s="61">
        <f t="shared" si="309"/>
        <v>1900</v>
      </c>
      <c r="P3766" s="61">
        <f t="shared" si="310"/>
        <v>1</v>
      </c>
      <c r="R3766" s="272"/>
      <c r="S3766" s="272"/>
    </row>
    <row r="3767" spans="9:19">
      <c r="I3767" s="213"/>
      <c r="J3767" s="213"/>
      <c r="L3767" s="272">
        <f t="shared" si="307"/>
        <v>1900</v>
      </c>
      <c r="M3767" s="272">
        <f t="shared" si="308"/>
        <v>1</v>
      </c>
      <c r="O3767" s="61">
        <f t="shared" si="309"/>
        <v>1900</v>
      </c>
      <c r="P3767" s="61">
        <f t="shared" si="310"/>
        <v>1</v>
      </c>
      <c r="R3767" s="272"/>
      <c r="S3767" s="272"/>
    </row>
    <row r="3768" spans="9:19">
      <c r="I3768" s="213"/>
      <c r="J3768" s="213"/>
      <c r="L3768" s="272">
        <f t="shared" si="307"/>
        <v>1900</v>
      </c>
      <c r="M3768" s="272">
        <f t="shared" si="308"/>
        <v>1</v>
      </c>
      <c r="O3768" s="61">
        <f t="shared" si="309"/>
        <v>1900</v>
      </c>
      <c r="P3768" s="61">
        <f t="shared" si="310"/>
        <v>1</v>
      </c>
      <c r="R3768" s="272"/>
      <c r="S3768" s="272"/>
    </row>
    <row r="3769" spans="9:19">
      <c r="I3769" s="213"/>
      <c r="J3769" s="213"/>
      <c r="L3769" s="272">
        <f t="shared" si="307"/>
        <v>1900</v>
      </c>
      <c r="M3769" s="272">
        <f t="shared" si="308"/>
        <v>1</v>
      </c>
      <c r="O3769" s="61">
        <f t="shared" si="309"/>
        <v>1900</v>
      </c>
      <c r="P3769" s="61">
        <f t="shared" si="310"/>
        <v>1</v>
      </c>
      <c r="R3769" s="272"/>
      <c r="S3769" s="272"/>
    </row>
    <row r="3770" spans="9:19">
      <c r="I3770" s="213"/>
      <c r="J3770" s="213"/>
      <c r="L3770" s="272">
        <f t="shared" si="307"/>
        <v>1900</v>
      </c>
      <c r="M3770" s="272">
        <f t="shared" si="308"/>
        <v>1</v>
      </c>
      <c r="O3770" s="61">
        <f t="shared" si="309"/>
        <v>1900</v>
      </c>
      <c r="P3770" s="61">
        <f t="shared" si="310"/>
        <v>1</v>
      </c>
      <c r="R3770" s="272"/>
      <c r="S3770" s="272"/>
    </row>
    <row r="3771" spans="9:19">
      <c r="I3771" s="213"/>
      <c r="J3771" s="213"/>
      <c r="L3771" s="272">
        <f t="shared" si="307"/>
        <v>1900</v>
      </c>
      <c r="M3771" s="272">
        <f t="shared" si="308"/>
        <v>1</v>
      </c>
      <c r="O3771" s="61">
        <f t="shared" si="309"/>
        <v>1900</v>
      </c>
      <c r="P3771" s="61">
        <f t="shared" si="310"/>
        <v>1</v>
      </c>
      <c r="R3771" s="272"/>
      <c r="S3771" s="272"/>
    </row>
    <row r="3772" spans="9:19">
      <c r="I3772" s="213"/>
      <c r="J3772" s="213"/>
      <c r="L3772" s="272">
        <f t="shared" si="307"/>
        <v>1900</v>
      </c>
      <c r="M3772" s="272">
        <f t="shared" si="308"/>
        <v>1</v>
      </c>
      <c r="O3772" s="61">
        <f t="shared" si="309"/>
        <v>1900</v>
      </c>
      <c r="P3772" s="61">
        <f t="shared" si="310"/>
        <v>1</v>
      </c>
      <c r="R3772" s="272"/>
      <c r="S3772" s="272"/>
    </row>
    <row r="3773" spans="9:19">
      <c r="I3773" s="213"/>
      <c r="J3773" s="213"/>
      <c r="L3773" s="272">
        <f t="shared" si="307"/>
        <v>1900</v>
      </c>
      <c r="M3773" s="272">
        <f t="shared" si="308"/>
        <v>1</v>
      </c>
      <c r="O3773" s="61">
        <f t="shared" si="309"/>
        <v>1900</v>
      </c>
      <c r="P3773" s="61">
        <f t="shared" si="310"/>
        <v>1</v>
      </c>
      <c r="R3773" s="272"/>
      <c r="S3773" s="272"/>
    </row>
    <row r="3774" spans="9:19">
      <c r="I3774" s="213"/>
      <c r="J3774" s="213"/>
      <c r="L3774" s="272">
        <f t="shared" si="307"/>
        <v>1900</v>
      </c>
      <c r="M3774" s="272">
        <f t="shared" si="308"/>
        <v>1</v>
      </c>
      <c r="O3774" s="61">
        <f t="shared" si="309"/>
        <v>1900</v>
      </c>
      <c r="P3774" s="61">
        <f t="shared" si="310"/>
        <v>1</v>
      </c>
      <c r="R3774" s="272"/>
      <c r="S3774" s="272"/>
    </row>
    <row r="3775" spans="9:19">
      <c r="I3775" s="213"/>
      <c r="J3775" s="213"/>
      <c r="L3775" s="272">
        <f t="shared" si="307"/>
        <v>1900</v>
      </c>
      <c r="M3775" s="272">
        <f t="shared" si="308"/>
        <v>1</v>
      </c>
      <c r="O3775" s="61">
        <f t="shared" si="309"/>
        <v>1900</v>
      </c>
      <c r="P3775" s="61">
        <f t="shared" si="310"/>
        <v>1</v>
      </c>
      <c r="R3775" s="272"/>
      <c r="S3775" s="272"/>
    </row>
    <row r="3776" spans="9:19">
      <c r="I3776" s="213"/>
      <c r="J3776" s="213"/>
      <c r="L3776" s="272">
        <f t="shared" si="307"/>
        <v>1900</v>
      </c>
      <c r="M3776" s="272">
        <f t="shared" si="308"/>
        <v>1</v>
      </c>
      <c r="O3776" s="61">
        <f t="shared" si="309"/>
        <v>1900</v>
      </c>
      <c r="P3776" s="61">
        <f t="shared" si="310"/>
        <v>1</v>
      </c>
      <c r="R3776" s="272"/>
      <c r="S3776" s="272"/>
    </row>
    <row r="3777" spans="9:19">
      <c r="I3777" s="213"/>
      <c r="J3777" s="213"/>
      <c r="L3777" s="272">
        <f t="shared" si="307"/>
        <v>1900</v>
      </c>
      <c r="M3777" s="272">
        <f t="shared" si="308"/>
        <v>1</v>
      </c>
      <c r="O3777" s="61">
        <f t="shared" si="309"/>
        <v>1900</v>
      </c>
      <c r="P3777" s="61">
        <f t="shared" si="310"/>
        <v>1</v>
      </c>
      <c r="R3777" s="272"/>
      <c r="S3777" s="272"/>
    </row>
    <row r="3778" spans="9:19">
      <c r="I3778" s="213"/>
      <c r="J3778" s="213"/>
      <c r="L3778" s="272">
        <f t="shared" si="307"/>
        <v>1900</v>
      </c>
      <c r="M3778" s="272">
        <f t="shared" si="308"/>
        <v>1</v>
      </c>
      <c r="O3778" s="61">
        <f t="shared" si="309"/>
        <v>1900</v>
      </c>
      <c r="P3778" s="61">
        <f t="shared" si="310"/>
        <v>1</v>
      </c>
      <c r="R3778" s="272"/>
      <c r="S3778" s="272"/>
    </row>
    <row r="3779" spans="9:19">
      <c r="I3779" s="213"/>
      <c r="J3779" s="213"/>
      <c r="L3779" s="272">
        <f t="shared" si="307"/>
        <v>1900</v>
      </c>
      <c r="M3779" s="272">
        <f t="shared" si="308"/>
        <v>1</v>
      </c>
      <c r="O3779" s="61">
        <f t="shared" si="309"/>
        <v>1900</v>
      </c>
      <c r="P3779" s="61">
        <f t="shared" si="310"/>
        <v>1</v>
      </c>
      <c r="R3779" s="272"/>
      <c r="S3779" s="272"/>
    </row>
    <row r="3780" spans="9:19">
      <c r="I3780" s="213"/>
      <c r="J3780" s="213"/>
      <c r="L3780" s="272">
        <f t="shared" si="307"/>
        <v>1900</v>
      </c>
      <c r="M3780" s="272">
        <f t="shared" si="308"/>
        <v>1</v>
      </c>
      <c r="O3780" s="61">
        <f t="shared" si="309"/>
        <v>1900</v>
      </c>
      <c r="P3780" s="61">
        <f t="shared" si="310"/>
        <v>1</v>
      </c>
      <c r="R3780" s="272"/>
      <c r="S3780" s="272"/>
    </row>
    <row r="3781" spans="9:19">
      <c r="I3781" s="213"/>
      <c r="J3781" s="213"/>
      <c r="L3781" s="272">
        <f t="shared" si="307"/>
        <v>1900</v>
      </c>
      <c r="M3781" s="272">
        <f t="shared" si="308"/>
        <v>1</v>
      </c>
      <c r="O3781" s="61">
        <f t="shared" si="309"/>
        <v>1900</v>
      </c>
      <c r="P3781" s="61">
        <f t="shared" si="310"/>
        <v>1</v>
      </c>
      <c r="R3781" s="272"/>
      <c r="S3781" s="272"/>
    </row>
    <row r="3782" spans="9:19">
      <c r="I3782" s="213"/>
      <c r="J3782" s="213"/>
      <c r="L3782" s="272">
        <f t="shared" si="307"/>
        <v>1900</v>
      </c>
      <c r="M3782" s="272">
        <f t="shared" si="308"/>
        <v>1</v>
      </c>
      <c r="O3782" s="61">
        <f t="shared" si="309"/>
        <v>1900</v>
      </c>
      <c r="P3782" s="61">
        <f t="shared" si="310"/>
        <v>1</v>
      </c>
      <c r="R3782" s="272"/>
      <c r="S3782" s="272"/>
    </row>
    <row r="3783" spans="9:19">
      <c r="I3783" s="213"/>
      <c r="J3783" s="213"/>
      <c r="L3783" s="272">
        <f t="shared" si="307"/>
        <v>1900</v>
      </c>
      <c r="M3783" s="272">
        <f t="shared" si="308"/>
        <v>1</v>
      </c>
      <c r="O3783" s="61">
        <f t="shared" si="309"/>
        <v>1900</v>
      </c>
      <c r="P3783" s="61">
        <f t="shared" si="310"/>
        <v>1</v>
      </c>
      <c r="R3783" s="272"/>
      <c r="S3783" s="272"/>
    </row>
    <row r="3784" spans="9:19">
      <c r="I3784" s="213"/>
      <c r="J3784" s="213"/>
      <c r="L3784" s="272">
        <f t="shared" si="307"/>
        <v>1900</v>
      </c>
      <c r="M3784" s="272">
        <f t="shared" si="308"/>
        <v>1</v>
      </c>
      <c r="O3784" s="61">
        <f t="shared" si="309"/>
        <v>1900</v>
      </c>
      <c r="P3784" s="61">
        <f t="shared" si="310"/>
        <v>1</v>
      </c>
      <c r="R3784" s="272"/>
      <c r="S3784" s="272"/>
    </row>
    <row r="3785" spans="9:19">
      <c r="I3785" s="213"/>
      <c r="J3785" s="213"/>
      <c r="L3785" s="272">
        <f t="shared" si="307"/>
        <v>1900</v>
      </c>
      <c r="M3785" s="272">
        <f t="shared" si="308"/>
        <v>1</v>
      </c>
      <c r="O3785" s="61">
        <f t="shared" si="309"/>
        <v>1900</v>
      </c>
      <c r="P3785" s="61">
        <f t="shared" si="310"/>
        <v>1</v>
      </c>
      <c r="R3785" s="272"/>
      <c r="S3785" s="272"/>
    </row>
    <row r="3786" spans="9:19">
      <c r="I3786" s="213"/>
      <c r="J3786" s="213"/>
      <c r="L3786" s="272">
        <f t="shared" si="307"/>
        <v>1900</v>
      </c>
      <c r="M3786" s="272">
        <f t="shared" si="308"/>
        <v>1</v>
      </c>
      <c r="O3786" s="61">
        <f t="shared" si="309"/>
        <v>1900</v>
      </c>
      <c r="P3786" s="61">
        <f t="shared" si="310"/>
        <v>1</v>
      </c>
      <c r="R3786" s="272"/>
      <c r="S3786" s="272"/>
    </row>
    <row r="3787" spans="9:19">
      <c r="I3787" s="213"/>
      <c r="J3787" s="213"/>
      <c r="L3787" s="272">
        <f t="shared" si="307"/>
        <v>1900</v>
      </c>
      <c r="M3787" s="272">
        <f t="shared" si="308"/>
        <v>1</v>
      </c>
      <c r="O3787" s="61">
        <f t="shared" si="309"/>
        <v>1900</v>
      </c>
      <c r="P3787" s="61">
        <f t="shared" si="310"/>
        <v>1</v>
      </c>
      <c r="R3787" s="272"/>
      <c r="S3787" s="272"/>
    </row>
    <row r="3788" spans="9:19">
      <c r="I3788" s="213"/>
      <c r="J3788" s="213"/>
      <c r="L3788" s="272">
        <f t="shared" si="307"/>
        <v>1900</v>
      </c>
      <c r="M3788" s="272">
        <f t="shared" si="308"/>
        <v>1</v>
      </c>
      <c r="O3788" s="61">
        <f t="shared" si="309"/>
        <v>1900</v>
      </c>
      <c r="P3788" s="61">
        <f t="shared" si="310"/>
        <v>1</v>
      </c>
      <c r="R3788" s="272"/>
      <c r="S3788" s="272"/>
    </row>
    <row r="3789" spans="9:19">
      <c r="I3789" s="213"/>
      <c r="J3789" s="213"/>
      <c r="L3789" s="272">
        <f t="shared" si="307"/>
        <v>1900</v>
      </c>
      <c r="M3789" s="272">
        <f t="shared" si="308"/>
        <v>1</v>
      </c>
      <c r="O3789" s="61">
        <f t="shared" si="309"/>
        <v>1900</v>
      </c>
      <c r="P3789" s="61">
        <f t="shared" si="310"/>
        <v>1</v>
      </c>
      <c r="R3789" s="272"/>
      <c r="S3789" s="272"/>
    </row>
    <row r="3790" spans="9:19">
      <c r="I3790" s="213"/>
      <c r="J3790" s="213"/>
      <c r="L3790" s="272">
        <f t="shared" si="307"/>
        <v>1900</v>
      </c>
      <c r="M3790" s="272">
        <f t="shared" si="308"/>
        <v>1</v>
      </c>
      <c r="O3790" s="61">
        <f t="shared" si="309"/>
        <v>1900</v>
      </c>
      <c r="P3790" s="61">
        <f t="shared" si="310"/>
        <v>1</v>
      </c>
      <c r="R3790" s="272"/>
      <c r="S3790" s="272"/>
    </row>
    <row r="3791" spans="9:19">
      <c r="I3791" s="213"/>
      <c r="J3791" s="213"/>
      <c r="L3791" s="272">
        <f t="shared" si="307"/>
        <v>1900</v>
      </c>
      <c r="M3791" s="272">
        <f t="shared" si="308"/>
        <v>1</v>
      </c>
      <c r="O3791" s="61">
        <f t="shared" si="309"/>
        <v>1900</v>
      </c>
      <c r="P3791" s="61">
        <f t="shared" si="310"/>
        <v>1</v>
      </c>
      <c r="R3791" s="272"/>
      <c r="S3791" s="272"/>
    </row>
    <row r="3792" spans="9:19">
      <c r="I3792" s="213"/>
      <c r="J3792" s="213"/>
      <c r="L3792" s="272">
        <f t="shared" ref="L3792:L3855" si="311">YEAR(B3792)</f>
        <v>1900</v>
      </c>
      <c r="M3792" s="272">
        <f t="shared" ref="M3792:M3855" si="312">MONTH(B3792)</f>
        <v>1</v>
      </c>
      <c r="O3792" s="61">
        <f t="shared" ref="O3792:O3855" si="313">YEAR(B3792)</f>
        <v>1900</v>
      </c>
      <c r="P3792" s="61">
        <f t="shared" ref="P3792:P3855" si="314">MONTH(B3792)</f>
        <v>1</v>
      </c>
      <c r="R3792" s="272"/>
      <c r="S3792" s="272"/>
    </row>
    <row r="3793" spans="9:19">
      <c r="I3793" s="213"/>
      <c r="J3793" s="213"/>
      <c r="L3793" s="272">
        <f t="shared" si="311"/>
        <v>1900</v>
      </c>
      <c r="M3793" s="272">
        <f t="shared" si="312"/>
        <v>1</v>
      </c>
      <c r="O3793" s="61">
        <f t="shared" si="313"/>
        <v>1900</v>
      </c>
      <c r="P3793" s="61">
        <f t="shared" si="314"/>
        <v>1</v>
      </c>
      <c r="R3793" s="272"/>
      <c r="S3793" s="272"/>
    </row>
    <row r="3794" spans="9:19">
      <c r="I3794" s="213"/>
      <c r="J3794" s="213"/>
      <c r="L3794" s="272">
        <f t="shared" si="311"/>
        <v>1900</v>
      </c>
      <c r="M3794" s="272">
        <f t="shared" si="312"/>
        <v>1</v>
      </c>
      <c r="O3794" s="61">
        <f t="shared" si="313"/>
        <v>1900</v>
      </c>
      <c r="P3794" s="61">
        <f t="shared" si="314"/>
        <v>1</v>
      </c>
      <c r="R3794" s="272"/>
      <c r="S3794" s="272"/>
    </row>
    <row r="3795" spans="9:19">
      <c r="I3795" s="213"/>
      <c r="J3795" s="213"/>
      <c r="L3795" s="272">
        <f t="shared" si="311"/>
        <v>1900</v>
      </c>
      <c r="M3795" s="272">
        <f t="shared" si="312"/>
        <v>1</v>
      </c>
      <c r="O3795" s="61">
        <f t="shared" si="313"/>
        <v>1900</v>
      </c>
      <c r="P3795" s="61">
        <f t="shared" si="314"/>
        <v>1</v>
      </c>
      <c r="R3795" s="272"/>
      <c r="S3795" s="272"/>
    </row>
    <row r="3796" spans="9:19">
      <c r="I3796" s="213"/>
      <c r="J3796" s="213"/>
      <c r="L3796" s="272">
        <f t="shared" si="311"/>
        <v>1900</v>
      </c>
      <c r="M3796" s="272">
        <f t="shared" si="312"/>
        <v>1</v>
      </c>
      <c r="O3796" s="61">
        <f t="shared" si="313"/>
        <v>1900</v>
      </c>
      <c r="P3796" s="61">
        <f t="shared" si="314"/>
        <v>1</v>
      </c>
      <c r="R3796" s="272"/>
      <c r="S3796" s="272"/>
    </row>
    <row r="3797" spans="9:19">
      <c r="I3797" s="213"/>
      <c r="J3797" s="213"/>
      <c r="L3797" s="272">
        <f t="shared" si="311"/>
        <v>1900</v>
      </c>
      <c r="M3797" s="272">
        <f t="shared" si="312"/>
        <v>1</v>
      </c>
      <c r="O3797" s="61">
        <f t="shared" si="313"/>
        <v>1900</v>
      </c>
      <c r="P3797" s="61">
        <f t="shared" si="314"/>
        <v>1</v>
      </c>
      <c r="R3797" s="272"/>
      <c r="S3797" s="272"/>
    </row>
    <row r="3798" spans="9:19">
      <c r="I3798" s="213"/>
      <c r="J3798" s="213"/>
      <c r="L3798" s="272">
        <f t="shared" si="311"/>
        <v>1900</v>
      </c>
      <c r="M3798" s="272">
        <f t="shared" si="312"/>
        <v>1</v>
      </c>
      <c r="O3798" s="61">
        <f t="shared" si="313"/>
        <v>1900</v>
      </c>
      <c r="P3798" s="61">
        <f t="shared" si="314"/>
        <v>1</v>
      </c>
      <c r="R3798" s="272"/>
      <c r="S3798" s="272"/>
    </row>
    <row r="3799" spans="9:19">
      <c r="I3799" s="213"/>
      <c r="J3799" s="213"/>
      <c r="L3799" s="272">
        <f t="shared" si="311"/>
        <v>1900</v>
      </c>
      <c r="M3799" s="272">
        <f t="shared" si="312"/>
        <v>1</v>
      </c>
      <c r="O3799" s="61">
        <f t="shared" si="313"/>
        <v>1900</v>
      </c>
      <c r="P3799" s="61">
        <f t="shared" si="314"/>
        <v>1</v>
      </c>
      <c r="R3799" s="272"/>
      <c r="S3799" s="272"/>
    </row>
    <row r="3800" spans="9:19">
      <c r="I3800" s="213"/>
      <c r="J3800" s="213"/>
      <c r="L3800" s="272">
        <f t="shared" si="311"/>
        <v>1900</v>
      </c>
      <c r="M3800" s="272">
        <f t="shared" si="312"/>
        <v>1</v>
      </c>
      <c r="O3800" s="61">
        <f t="shared" si="313"/>
        <v>1900</v>
      </c>
      <c r="P3800" s="61">
        <f t="shared" si="314"/>
        <v>1</v>
      </c>
      <c r="R3800" s="272"/>
      <c r="S3800" s="272"/>
    </row>
    <row r="3801" spans="9:19">
      <c r="I3801" s="213"/>
      <c r="J3801" s="213"/>
      <c r="L3801" s="272">
        <f t="shared" si="311"/>
        <v>1900</v>
      </c>
      <c r="M3801" s="272">
        <f t="shared" si="312"/>
        <v>1</v>
      </c>
      <c r="O3801" s="61">
        <f t="shared" si="313"/>
        <v>1900</v>
      </c>
      <c r="P3801" s="61">
        <f t="shared" si="314"/>
        <v>1</v>
      </c>
      <c r="R3801" s="272"/>
      <c r="S3801" s="272"/>
    </row>
    <row r="3802" spans="9:19">
      <c r="I3802" s="213"/>
      <c r="J3802" s="213"/>
      <c r="L3802" s="272">
        <f t="shared" si="311"/>
        <v>1900</v>
      </c>
      <c r="M3802" s="272">
        <f t="shared" si="312"/>
        <v>1</v>
      </c>
      <c r="O3802" s="61">
        <f t="shared" si="313"/>
        <v>1900</v>
      </c>
      <c r="P3802" s="61">
        <f t="shared" si="314"/>
        <v>1</v>
      </c>
      <c r="R3802" s="272"/>
      <c r="S3802" s="272"/>
    </row>
    <row r="3803" spans="9:19">
      <c r="I3803" s="213"/>
      <c r="J3803" s="213"/>
      <c r="L3803" s="272">
        <f t="shared" si="311"/>
        <v>1900</v>
      </c>
      <c r="M3803" s="272">
        <f t="shared" si="312"/>
        <v>1</v>
      </c>
      <c r="O3803" s="61">
        <f t="shared" si="313"/>
        <v>1900</v>
      </c>
      <c r="P3803" s="61">
        <f t="shared" si="314"/>
        <v>1</v>
      </c>
      <c r="R3803" s="272"/>
      <c r="S3803" s="272"/>
    </row>
    <row r="3804" spans="9:19">
      <c r="I3804" s="213"/>
      <c r="J3804" s="213"/>
      <c r="L3804" s="272">
        <f t="shared" si="311"/>
        <v>1900</v>
      </c>
      <c r="M3804" s="272">
        <f t="shared" si="312"/>
        <v>1</v>
      </c>
      <c r="O3804" s="61">
        <f t="shared" si="313"/>
        <v>1900</v>
      </c>
      <c r="P3804" s="61">
        <f t="shared" si="314"/>
        <v>1</v>
      </c>
      <c r="R3804" s="272"/>
      <c r="S3804" s="272"/>
    </row>
    <row r="3805" spans="9:19">
      <c r="I3805" s="213"/>
      <c r="J3805" s="213"/>
      <c r="L3805" s="272">
        <f t="shared" si="311"/>
        <v>1900</v>
      </c>
      <c r="M3805" s="272">
        <f t="shared" si="312"/>
        <v>1</v>
      </c>
      <c r="O3805" s="61">
        <f t="shared" si="313"/>
        <v>1900</v>
      </c>
      <c r="P3805" s="61">
        <f t="shared" si="314"/>
        <v>1</v>
      </c>
      <c r="R3805" s="272"/>
      <c r="S3805" s="272"/>
    </row>
    <row r="3806" spans="9:19">
      <c r="I3806" s="213"/>
      <c r="J3806" s="213"/>
      <c r="L3806" s="272">
        <f t="shared" si="311"/>
        <v>1900</v>
      </c>
      <c r="M3806" s="272">
        <f t="shared" si="312"/>
        <v>1</v>
      </c>
      <c r="O3806" s="61">
        <f t="shared" si="313"/>
        <v>1900</v>
      </c>
      <c r="P3806" s="61">
        <f t="shared" si="314"/>
        <v>1</v>
      </c>
      <c r="R3806" s="272"/>
      <c r="S3806" s="272"/>
    </row>
    <row r="3807" spans="9:19">
      <c r="I3807" s="213"/>
      <c r="J3807" s="213"/>
      <c r="L3807" s="272">
        <f t="shared" si="311"/>
        <v>1900</v>
      </c>
      <c r="M3807" s="272">
        <f t="shared" si="312"/>
        <v>1</v>
      </c>
      <c r="O3807" s="61">
        <f t="shared" si="313"/>
        <v>1900</v>
      </c>
      <c r="P3807" s="61">
        <f t="shared" si="314"/>
        <v>1</v>
      </c>
      <c r="R3807" s="272"/>
      <c r="S3807" s="272"/>
    </row>
    <row r="3808" spans="9:19">
      <c r="I3808" s="213"/>
      <c r="J3808" s="213"/>
      <c r="L3808" s="272">
        <f t="shared" si="311"/>
        <v>1900</v>
      </c>
      <c r="M3808" s="272">
        <f t="shared" si="312"/>
        <v>1</v>
      </c>
      <c r="O3808" s="61">
        <f t="shared" si="313"/>
        <v>1900</v>
      </c>
      <c r="P3808" s="61">
        <f t="shared" si="314"/>
        <v>1</v>
      </c>
      <c r="R3808" s="272"/>
      <c r="S3808" s="272"/>
    </row>
    <row r="3809" spans="9:19">
      <c r="I3809" s="213"/>
      <c r="J3809" s="213"/>
      <c r="L3809" s="272">
        <f t="shared" si="311"/>
        <v>1900</v>
      </c>
      <c r="M3809" s="272">
        <f t="shared" si="312"/>
        <v>1</v>
      </c>
      <c r="O3809" s="61">
        <f t="shared" si="313"/>
        <v>1900</v>
      </c>
      <c r="P3809" s="61">
        <f t="shared" si="314"/>
        <v>1</v>
      </c>
      <c r="R3809" s="272"/>
      <c r="S3809" s="272"/>
    </row>
    <row r="3810" spans="9:19">
      <c r="I3810" s="213"/>
      <c r="J3810" s="213"/>
      <c r="L3810" s="272">
        <f t="shared" si="311"/>
        <v>1900</v>
      </c>
      <c r="M3810" s="272">
        <f t="shared" si="312"/>
        <v>1</v>
      </c>
      <c r="O3810" s="61">
        <f t="shared" si="313"/>
        <v>1900</v>
      </c>
      <c r="P3810" s="61">
        <f t="shared" si="314"/>
        <v>1</v>
      </c>
      <c r="R3810" s="272"/>
      <c r="S3810" s="272"/>
    </row>
    <row r="3811" spans="9:19">
      <c r="I3811" s="213"/>
      <c r="J3811" s="213"/>
      <c r="L3811" s="272">
        <f t="shared" si="311"/>
        <v>1900</v>
      </c>
      <c r="M3811" s="272">
        <f t="shared" si="312"/>
        <v>1</v>
      </c>
      <c r="O3811" s="61">
        <f t="shared" si="313"/>
        <v>1900</v>
      </c>
      <c r="P3811" s="61">
        <f t="shared" si="314"/>
        <v>1</v>
      </c>
      <c r="R3811" s="272"/>
      <c r="S3811" s="272"/>
    </row>
    <row r="3812" spans="9:19">
      <c r="I3812" s="213"/>
      <c r="J3812" s="213"/>
      <c r="L3812" s="272">
        <f t="shared" si="311"/>
        <v>1900</v>
      </c>
      <c r="M3812" s="272">
        <f t="shared" si="312"/>
        <v>1</v>
      </c>
      <c r="O3812" s="61">
        <f t="shared" si="313"/>
        <v>1900</v>
      </c>
      <c r="P3812" s="61">
        <f t="shared" si="314"/>
        <v>1</v>
      </c>
      <c r="R3812" s="272"/>
      <c r="S3812" s="272"/>
    </row>
    <row r="3813" spans="9:19">
      <c r="I3813" s="213"/>
      <c r="J3813" s="213"/>
      <c r="L3813" s="272">
        <f t="shared" si="311"/>
        <v>1900</v>
      </c>
      <c r="M3813" s="272">
        <f t="shared" si="312"/>
        <v>1</v>
      </c>
      <c r="O3813" s="61">
        <f t="shared" si="313"/>
        <v>1900</v>
      </c>
      <c r="P3813" s="61">
        <f t="shared" si="314"/>
        <v>1</v>
      </c>
      <c r="R3813" s="272"/>
      <c r="S3813" s="272"/>
    </row>
    <row r="3814" spans="9:19">
      <c r="I3814" s="213"/>
      <c r="J3814" s="213"/>
      <c r="L3814" s="272">
        <f t="shared" si="311"/>
        <v>1900</v>
      </c>
      <c r="M3814" s="272">
        <f t="shared" si="312"/>
        <v>1</v>
      </c>
      <c r="O3814" s="61">
        <f t="shared" si="313"/>
        <v>1900</v>
      </c>
      <c r="P3814" s="61">
        <f t="shared" si="314"/>
        <v>1</v>
      </c>
      <c r="R3814" s="272"/>
      <c r="S3814" s="272"/>
    </row>
    <row r="3815" spans="9:19">
      <c r="I3815" s="213"/>
      <c r="J3815" s="213"/>
      <c r="L3815" s="272">
        <f t="shared" si="311"/>
        <v>1900</v>
      </c>
      <c r="M3815" s="272">
        <f t="shared" si="312"/>
        <v>1</v>
      </c>
      <c r="O3815" s="61">
        <f t="shared" si="313"/>
        <v>1900</v>
      </c>
      <c r="P3815" s="61">
        <f t="shared" si="314"/>
        <v>1</v>
      </c>
      <c r="R3815" s="272"/>
      <c r="S3815" s="272"/>
    </row>
    <row r="3816" spans="9:19">
      <c r="I3816" s="213"/>
      <c r="J3816" s="213"/>
      <c r="L3816" s="272">
        <f t="shared" si="311"/>
        <v>1900</v>
      </c>
      <c r="M3816" s="272">
        <f t="shared" si="312"/>
        <v>1</v>
      </c>
      <c r="O3816" s="61">
        <f t="shared" si="313"/>
        <v>1900</v>
      </c>
      <c r="P3816" s="61">
        <f t="shared" si="314"/>
        <v>1</v>
      </c>
      <c r="R3816" s="272"/>
      <c r="S3816" s="272"/>
    </row>
    <row r="3817" spans="9:19">
      <c r="I3817" s="213"/>
      <c r="J3817" s="213"/>
      <c r="L3817" s="272">
        <f t="shared" si="311"/>
        <v>1900</v>
      </c>
      <c r="M3817" s="272">
        <f t="shared" si="312"/>
        <v>1</v>
      </c>
      <c r="O3817" s="61">
        <f t="shared" si="313"/>
        <v>1900</v>
      </c>
      <c r="P3817" s="61">
        <f t="shared" si="314"/>
        <v>1</v>
      </c>
      <c r="R3817" s="272"/>
      <c r="S3817" s="272"/>
    </row>
    <row r="3818" spans="9:19">
      <c r="I3818" s="213"/>
      <c r="J3818" s="213"/>
      <c r="L3818" s="272">
        <f t="shared" si="311"/>
        <v>1900</v>
      </c>
      <c r="M3818" s="272">
        <f t="shared" si="312"/>
        <v>1</v>
      </c>
      <c r="O3818" s="61">
        <f t="shared" si="313"/>
        <v>1900</v>
      </c>
      <c r="P3818" s="61">
        <f t="shared" si="314"/>
        <v>1</v>
      </c>
      <c r="R3818" s="272"/>
      <c r="S3818" s="272"/>
    </row>
    <row r="3819" spans="9:19">
      <c r="I3819" s="213"/>
      <c r="J3819" s="213"/>
      <c r="L3819" s="272">
        <f t="shared" si="311"/>
        <v>1900</v>
      </c>
      <c r="M3819" s="272">
        <f t="shared" si="312"/>
        <v>1</v>
      </c>
      <c r="O3819" s="61">
        <f t="shared" si="313"/>
        <v>1900</v>
      </c>
      <c r="P3819" s="61">
        <f t="shared" si="314"/>
        <v>1</v>
      </c>
      <c r="R3819" s="272"/>
      <c r="S3819" s="272"/>
    </row>
    <row r="3820" spans="9:19">
      <c r="I3820" s="213"/>
      <c r="J3820" s="213"/>
      <c r="L3820" s="272">
        <f t="shared" si="311"/>
        <v>1900</v>
      </c>
      <c r="M3820" s="272">
        <f t="shared" si="312"/>
        <v>1</v>
      </c>
      <c r="O3820" s="61">
        <f t="shared" si="313"/>
        <v>1900</v>
      </c>
      <c r="P3820" s="61">
        <f t="shared" si="314"/>
        <v>1</v>
      </c>
      <c r="R3820" s="272"/>
      <c r="S3820" s="272"/>
    </row>
    <row r="3821" spans="9:19">
      <c r="I3821" s="213"/>
      <c r="J3821" s="213"/>
      <c r="L3821" s="272">
        <f t="shared" si="311"/>
        <v>1900</v>
      </c>
      <c r="M3821" s="272">
        <f t="shared" si="312"/>
        <v>1</v>
      </c>
      <c r="O3821" s="61">
        <f t="shared" si="313"/>
        <v>1900</v>
      </c>
      <c r="P3821" s="61">
        <f t="shared" si="314"/>
        <v>1</v>
      </c>
      <c r="R3821" s="272"/>
      <c r="S3821" s="272"/>
    </row>
    <row r="3822" spans="9:19">
      <c r="I3822" s="213"/>
      <c r="J3822" s="213"/>
      <c r="L3822" s="272">
        <f t="shared" si="311"/>
        <v>1900</v>
      </c>
      <c r="M3822" s="272">
        <f t="shared" si="312"/>
        <v>1</v>
      </c>
      <c r="O3822" s="61">
        <f t="shared" si="313"/>
        <v>1900</v>
      </c>
      <c r="P3822" s="61">
        <f t="shared" si="314"/>
        <v>1</v>
      </c>
      <c r="R3822" s="272"/>
      <c r="S3822" s="272"/>
    </row>
    <row r="3823" spans="9:19">
      <c r="I3823" s="213"/>
      <c r="J3823" s="213"/>
      <c r="L3823" s="272">
        <f t="shared" si="311"/>
        <v>1900</v>
      </c>
      <c r="M3823" s="272">
        <f t="shared" si="312"/>
        <v>1</v>
      </c>
      <c r="O3823" s="61">
        <f t="shared" si="313"/>
        <v>1900</v>
      </c>
      <c r="P3823" s="61">
        <f t="shared" si="314"/>
        <v>1</v>
      </c>
      <c r="R3823" s="272"/>
      <c r="S3823" s="272"/>
    </row>
    <row r="3824" spans="9:19">
      <c r="I3824" s="213"/>
      <c r="J3824" s="213"/>
      <c r="L3824" s="272">
        <f t="shared" si="311"/>
        <v>1900</v>
      </c>
      <c r="M3824" s="272">
        <f t="shared" si="312"/>
        <v>1</v>
      </c>
      <c r="O3824" s="61">
        <f t="shared" si="313"/>
        <v>1900</v>
      </c>
      <c r="P3824" s="61">
        <f t="shared" si="314"/>
        <v>1</v>
      </c>
      <c r="R3824" s="272"/>
      <c r="S3824" s="272"/>
    </row>
    <row r="3825" spans="9:19">
      <c r="I3825" s="213"/>
      <c r="J3825" s="213"/>
      <c r="L3825" s="272">
        <f t="shared" si="311"/>
        <v>1900</v>
      </c>
      <c r="M3825" s="272">
        <f t="shared" si="312"/>
        <v>1</v>
      </c>
      <c r="O3825" s="61">
        <f t="shared" si="313"/>
        <v>1900</v>
      </c>
      <c r="P3825" s="61">
        <f t="shared" si="314"/>
        <v>1</v>
      </c>
      <c r="R3825" s="272"/>
      <c r="S3825" s="272"/>
    </row>
    <row r="3826" spans="9:19">
      <c r="I3826" s="213"/>
      <c r="J3826" s="213"/>
      <c r="L3826" s="272">
        <f t="shared" si="311"/>
        <v>1900</v>
      </c>
      <c r="M3826" s="272">
        <f t="shared" si="312"/>
        <v>1</v>
      </c>
      <c r="O3826" s="61">
        <f t="shared" si="313"/>
        <v>1900</v>
      </c>
      <c r="P3826" s="61">
        <f t="shared" si="314"/>
        <v>1</v>
      </c>
      <c r="R3826" s="272"/>
      <c r="S3826" s="272"/>
    </row>
    <row r="3827" spans="9:19">
      <c r="I3827" s="213"/>
      <c r="J3827" s="213"/>
      <c r="L3827" s="272">
        <f t="shared" si="311"/>
        <v>1900</v>
      </c>
      <c r="M3827" s="272">
        <f t="shared" si="312"/>
        <v>1</v>
      </c>
      <c r="O3827" s="61">
        <f t="shared" si="313"/>
        <v>1900</v>
      </c>
      <c r="P3827" s="61">
        <f t="shared" si="314"/>
        <v>1</v>
      </c>
      <c r="R3827" s="272"/>
      <c r="S3827" s="272"/>
    </row>
    <row r="3828" spans="9:19">
      <c r="I3828" s="213"/>
      <c r="J3828" s="213"/>
      <c r="L3828" s="272">
        <f t="shared" si="311"/>
        <v>1900</v>
      </c>
      <c r="M3828" s="272">
        <f t="shared" si="312"/>
        <v>1</v>
      </c>
      <c r="O3828" s="61">
        <f t="shared" si="313"/>
        <v>1900</v>
      </c>
      <c r="P3828" s="61">
        <f t="shared" si="314"/>
        <v>1</v>
      </c>
      <c r="R3828" s="272"/>
      <c r="S3828" s="272"/>
    </row>
    <row r="3829" spans="9:19">
      <c r="I3829" s="213"/>
      <c r="J3829" s="213"/>
      <c r="L3829" s="272">
        <f t="shared" si="311"/>
        <v>1900</v>
      </c>
      <c r="M3829" s="272">
        <f t="shared" si="312"/>
        <v>1</v>
      </c>
      <c r="O3829" s="61">
        <f t="shared" si="313"/>
        <v>1900</v>
      </c>
      <c r="P3829" s="61">
        <f t="shared" si="314"/>
        <v>1</v>
      </c>
      <c r="R3829" s="272"/>
      <c r="S3829" s="272"/>
    </row>
    <row r="3830" spans="9:19">
      <c r="I3830" s="213"/>
      <c r="J3830" s="213"/>
      <c r="L3830" s="272">
        <f t="shared" si="311"/>
        <v>1900</v>
      </c>
      <c r="M3830" s="272">
        <f t="shared" si="312"/>
        <v>1</v>
      </c>
      <c r="O3830" s="61">
        <f t="shared" si="313"/>
        <v>1900</v>
      </c>
      <c r="P3830" s="61">
        <f t="shared" si="314"/>
        <v>1</v>
      </c>
      <c r="R3830" s="272"/>
      <c r="S3830" s="272"/>
    </row>
    <row r="3831" spans="9:19">
      <c r="I3831" s="213"/>
      <c r="J3831" s="213"/>
      <c r="L3831" s="272">
        <f t="shared" si="311"/>
        <v>1900</v>
      </c>
      <c r="M3831" s="272">
        <f t="shared" si="312"/>
        <v>1</v>
      </c>
      <c r="O3831" s="61">
        <f t="shared" si="313"/>
        <v>1900</v>
      </c>
      <c r="P3831" s="61">
        <f t="shared" si="314"/>
        <v>1</v>
      </c>
      <c r="R3831" s="272"/>
      <c r="S3831" s="272"/>
    </row>
    <row r="3832" spans="9:19">
      <c r="I3832" s="213"/>
      <c r="J3832" s="213"/>
      <c r="L3832" s="272">
        <f t="shared" si="311"/>
        <v>1900</v>
      </c>
      <c r="M3832" s="272">
        <f t="shared" si="312"/>
        <v>1</v>
      </c>
      <c r="O3832" s="61">
        <f t="shared" si="313"/>
        <v>1900</v>
      </c>
      <c r="P3832" s="61">
        <f t="shared" si="314"/>
        <v>1</v>
      </c>
      <c r="R3832" s="272"/>
      <c r="S3832" s="272"/>
    </row>
    <row r="3833" spans="9:19">
      <c r="I3833" s="213"/>
      <c r="J3833" s="213"/>
      <c r="L3833" s="272">
        <f t="shared" si="311"/>
        <v>1900</v>
      </c>
      <c r="M3833" s="272">
        <f t="shared" si="312"/>
        <v>1</v>
      </c>
      <c r="O3833" s="61">
        <f t="shared" si="313"/>
        <v>1900</v>
      </c>
      <c r="P3833" s="61">
        <f t="shared" si="314"/>
        <v>1</v>
      </c>
      <c r="R3833" s="272"/>
      <c r="S3833" s="272"/>
    </row>
    <row r="3834" spans="9:19">
      <c r="I3834" s="213"/>
      <c r="J3834" s="213"/>
      <c r="L3834" s="272">
        <f t="shared" si="311"/>
        <v>1900</v>
      </c>
      <c r="M3834" s="272">
        <f t="shared" si="312"/>
        <v>1</v>
      </c>
      <c r="O3834" s="61">
        <f t="shared" si="313"/>
        <v>1900</v>
      </c>
      <c r="P3834" s="61">
        <f t="shared" si="314"/>
        <v>1</v>
      </c>
      <c r="R3834" s="272"/>
      <c r="S3834" s="272"/>
    </row>
    <row r="3835" spans="9:19">
      <c r="I3835" s="213"/>
      <c r="J3835" s="213"/>
      <c r="L3835" s="272">
        <f t="shared" si="311"/>
        <v>1900</v>
      </c>
      <c r="M3835" s="272">
        <f t="shared" si="312"/>
        <v>1</v>
      </c>
      <c r="O3835" s="61">
        <f t="shared" si="313"/>
        <v>1900</v>
      </c>
      <c r="P3835" s="61">
        <f t="shared" si="314"/>
        <v>1</v>
      </c>
      <c r="R3835" s="272"/>
      <c r="S3835" s="272"/>
    </row>
    <row r="3836" spans="9:19">
      <c r="I3836" s="213"/>
      <c r="J3836" s="213"/>
      <c r="L3836" s="272">
        <f t="shared" si="311"/>
        <v>1900</v>
      </c>
      <c r="M3836" s="272">
        <f t="shared" si="312"/>
        <v>1</v>
      </c>
      <c r="O3836" s="61">
        <f t="shared" si="313"/>
        <v>1900</v>
      </c>
      <c r="P3836" s="61">
        <f t="shared" si="314"/>
        <v>1</v>
      </c>
      <c r="R3836" s="272"/>
      <c r="S3836" s="272"/>
    </row>
    <row r="3837" spans="9:19">
      <c r="I3837" s="213"/>
      <c r="J3837" s="213"/>
      <c r="L3837" s="272">
        <f t="shared" si="311"/>
        <v>1900</v>
      </c>
      <c r="M3837" s="272">
        <f t="shared" si="312"/>
        <v>1</v>
      </c>
      <c r="O3837" s="61">
        <f t="shared" si="313"/>
        <v>1900</v>
      </c>
      <c r="P3837" s="61">
        <f t="shared" si="314"/>
        <v>1</v>
      </c>
      <c r="R3837" s="272"/>
      <c r="S3837" s="272"/>
    </row>
    <row r="3838" spans="9:19">
      <c r="I3838" s="213"/>
      <c r="J3838" s="213"/>
      <c r="L3838" s="272">
        <f t="shared" si="311"/>
        <v>1900</v>
      </c>
      <c r="M3838" s="272">
        <f t="shared" si="312"/>
        <v>1</v>
      </c>
      <c r="O3838" s="61">
        <f t="shared" si="313"/>
        <v>1900</v>
      </c>
      <c r="P3838" s="61">
        <f t="shared" si="314"/>
        <v>1</v>
      </c>
      <c r="R3838" s="272"/>
      <c r="S3838" s="272"/>
    </row>
    <row r="3839" spans="9:19">
      <c r="I3839" s="213"/>
      <c r="J3839" s="213"/>
      <c r="L3839" s="272">
        <f t="shared" si="311"/>
        <v>1900</v>
      </c>
      <c r="M3839" s="272">
        <f t="shared" si="312"/>
        <v>1</v>
      </c>
      <c r="O3839" s="61">
        <f t="shared" si="313"/>
        <v>1900</v>
      </c>
      <c r="P3839" s="61">
        <f t="shared" si="314"/>
        <v>1</v>
      </c>
      <c r="R3839" s="272"/>
      <c r="S3839" s="272"/>
    </row>
    <row r="3840" spans="9:19">
      <c r="I3840" s="213"/>
      <c r="J3840" s="213"/>
      <c r="L3840" s="272">
        <f t="shared" si="311"/>
        <v>1900</v>
      </c>
      <c r="M3840" s="272">
        <f t="shared" si="312"/>
        <v>1</v>
      </c>
      <c r="O3840" s="61">
        <f t="shared" si="313"/>
        <v>1900</v>
      </c>
      <c r="P3840" s="61">
        <f t="shared" si="314"/>
        <v>1</v>
      </c>
      <c r="R3840" s="272"/>
      <c r="S3840" s="272"/>
    </row>
    <row r="3841" spans="9:19">
      <c r="I3841" s="213"/>
      <c r="J3841" s="213"/>
      <c r="L3841" s="272">
        <f t="shared" si="311"/>
        <v>1900</v>
      </c>
      <c r="M3841" s="272">
        <f t="shared" si="312"/>
        <v>1</v>
      </c>
      <c r="O3841" s="61">
        <f t="shared" si="313"/>
        <v>1900</v>
      </c>
      <c r="P3841" s="61">
        <f t="shared" si="314"/>
        <v>1</v>
      </c>
      <c r="R3841" s="272"/>
      <c r="S3841" s="272"/>
    </row>
    <row r="3842" spans="9:19">
      <c r="I3842" s="213"/>
      <c r="J3842" s="213"/>
      <c r="L3842" s="272">
        <f t="shared" si="311"/>
        <v>1900</v>
      </c>
      <c r="M3842" s="272">
        <f t="shared" si="312"/>
        <v>1</v>
      </c>
      <c r="O3842" s="61">
        <f t="shared" si="313"/>
        <v>1900</v>
      </c>
      <c r="P3842" s="61">
        <f t="shared" si="314"/>
        <v>1</v>
      </c>
      <c r="R3842" s="272"/>
      <c r="S3842" s="272"/>
    </row>
    <row r="3843" spans="9:19">
      <c r="I3843" s="213"/>
      <c r="J3843" s="213"/>
      <c r="L3843" s="272">
        <f t="shared" si="311"/>
        <v>1900</v>
      </c>
      <c r="M3843" s="272">
        <f t="shared" si="312"/>
        <v>1</v>
      </c>
      <c r="O3843" s="61">
        <f t="shared" si="313"/>
        <v>1900</v>
      </c>
      <c r="P3843" s="61">
        <f t="shared" si="314"/>
        <v>1</v>
      </c>
      <c r="R3843" s="272"/>
      <c r="S3843" s="272"/>
    </row>
    <row r="3844" spans="9:19">
      <c r="I3844" s="213"/>
      <c r="J3844" s="213"/>
      <c r="L3844" s="272">
        <f t="shared" si="311"/>
        <v>1900</v>
      </c>
      <c r="M3844" s="272">
        <f t="shared" si="312"/>
        <v>1</v>
      </c>
      <c r="O3844" s="61">
        <f t="shared" si="313"/>
        <v>1900</v>
      </c>
      <c r="P3844" s="61">
        <f t="shared" si="314"/>
        <v>1</v>
      </c>
      <c r="R3844" s="272"/>
      <c r="S3844" s="272"/>
    </row>
    <row r="3845" spans="9:19">
      <c r="I3845" s="213"/>
      <c r="J3845" s="213"/>
      <c r="L3845" s="272">
        <f t="shared" si="311"/>
        <v>1900</v>
      </c>
      <c r="M3845" s="272">
        <f t="shared" si="312"/>
        <v>1</v>
      </c>
      <c r="O3845" s="61">
        <f t="shared" si="313"/>
        <v>1900</v>
      </c>
      <c r="P3845" s="61">
        <f t="shared" si="314"/>
        <v>1</v>
      </c>
      <c r="R3845" s="272"/>
      <c r="S3845" s="272"/>
    </row>
    <row r="3846" spans="9:19">
      <c r="I3846" s="213"/>
      <c r="J3846" s="213"/>
      <c r="L3846" s="272">
        <f t="shared" si="311"/>
        <v>1900</v>
      </c>
      <c r="M3846" s="272">
        <f t="shared" si="312"/>
        <v>1</v>
      </c>
      <c r="O3846" s="61">
        <f t="shared" si="313"/>
        <v>1900</v>
      </c>
      <c r="P3846" s="61">
        <f t="shared" si="314"/>
        <v>1</v>
      </c>
      <c r="R3846" s="272"/>
      <c r="S3846" s="272"/>
    </row>
    <row r="3847" spans="9:19">
      <c r="I3847" s="213"/>
      <c r="J3847" s="213"/>
      <c r="L3847" s="272">
        <f t="shared" si="311"/>
        <v>1900</v>
      </c>
      <c r="M3847" s="272">
        <f t="shared" si="312"/>
        <v>1</v>
      </c>
      <c r="O3847" s="61">
        <f t="shared" si="313"/>
        <v>1900</v>
      </c>
      <c r="P3847" s="61">
        <f t="shared" si="314"/>
        <v>1</v>
      </c>
      <c r="R3847" s="272"/>
      <c r="S3847" s="272"/>
    </row>
    <row r="3848" spans="9:19">
      <c r="I3848" s="213"/>
      <c r="J3848" s="213"/>
      <c r="L3848" s="272">
        <f t="shared" si="311"/>
        <v>1900</v>
      </c>
      <c r="M3848" s="272">
        <f t="shared" si="312"/>
        <v>1</v>
      </c>
      <c r="O3848" s="61">
        <f t="shared" si="313"/>
        <v>1900</v>
      </c>
      <c r="P3848" s="61">
        <f t="shared" si="314"/>
        <v>1</v>
      </c>
      <c r="R3848" s="272"/>
      <c r="S3848" s="272"/>
    </row>
    <row r="3849" spans="9:19">
      <c r="I3849" s="213"/>
      <c r="J3849" s="213"/>
      <c r="L3849" s="272">
        <f t="shared" si="311"/>
        <v>1900</v>
      </c>
      <c r="M3849" s="272">
        <f t="shared" si="312"/>
        <v>1</v>
      </c>
      <c r="O3849" s="61">
        <f t="shared" si="313"/>
        <v>1900</v>
      </c>
      <c r="P3849" s="61">
        <f t="shared" si="314"/>
        <v>1</v>
      </c>
      <c r="R3849" s="272"/>
      <c r="S3849" s="272"/>
    </row>
    <row r="3850" spans="9:19">
      <c r="I3850" s="213"/>
      <c r="J3850" s="213"/>
      <c r="L3850" s="272">
        <f t="shared" si="311"/>
        <v>1900</v>
      </c>
      <c r="M3850" s="272">
        <f t="shared" si="312"/>
        <v>1</v>
      </c>
      <c r="O3850" s="61">
        <f t="shared" si="313"/>
        <v>1900</v>
      </c>
      <c r="P3850" s="61">
        <f t="shared" si="314"/>
        <v>1</v>
      </c>
      <c r="R3850" s="272"/>
      <c r="S3850" s="272"/>
    </row>
    <row r="3851" spans="9:19">
      <c r="I3851" s="213"/>
      <c r="J3851" s="213"/>
      <c r="L3851" s="272">
        <f t="shared" si="311"/>
        <v>1900</v>
      </c>
      <c r="M3851" s="272">
        <f t="shared" si="312"/>
        <v>1</v>
      </c>
      <c r="O3851" s="61">
        <f t="shared" si="313"/>
        <v>1900</v>
      </c>
      <c r="P3851" s="61">
        <f t="shared" si="314"/>
        <v>1</v>
      </c>
      <c r="R3851" s="272"/>
      <c r="S3851" s="272"/>
    </row>
    <row r="3852" spans="9:19">
      <c r="I3852" s="213"/>
      <c r="J3852" s="213"/>
      <c r="L3852" s="272">
        <f t="shared" si="311"/>
        <v>1900</v>
      </c>
      <c r="M3852" s="272">
        <f t="shared" si="312"/>
        <v>1</v>
      </c>
      <c r="O3852" s="61">
        <f t="shared" si="313"/>
        <v>1900</v>
      </c>
      <c r="P3852" s="61">
        <f t="shared" si="314"/>
        <v>1</v>
      </c>
      <c r="R3852" s="272"/>
      <c r="S3852" s="272"/>
    </row>
    <row r="3853" spans="9:19">
      <c r="I3853" s="213"/>
      <c r="J3853" s="213"/>
      <c r="L3853" s="272">
        <f t="shared" si="311"/>
        <v>1900</v>
      </c>
      <c r="M3853" s="272">
        <f t="shared" si="312"/>
        <v>1</v>
      </c>
      <c r="O3853" s="61">
        <f t="shared" si="313"/>
        <v>1900</v>
      </c>
      <c r="P3853" s="61">
        <f t="shared" si="314"/>
        <v>1</v>
      </c>
      <c r="R3853" s="272"/>
      <c r="S3853" s="272"/>
    </row>
    <row r="3854" spans="9:19">
      <c r="I3854" s="213"/>
      <c r="J3854" s="213"/>
      <c r="L3854" s="272">
        <f t="shared" si="311"/>
        <v>1900</v>
      </c>
      <c r="M3854" s="272">
        <f t="shared" si="312"/>
        <v>1</v>
      </c>
      <c r="O3854" s="61">
        <f t="shared" si="313"/>
        <v>1900</v>
      </c>
      <c r="P3854" s="61">
        <f t="shared" si="314"/>
        <v>1</v>
      </c>
      <c r="R3854" s="272"/>
      <c r="S3854" s="272"/>
    </row>
    <row r="3855" spans="9:19">
      <c r="I3855" s="213"/>
      <c r="J3855" s="213"/>
      <c r="L3855" s="272">
        <f t="shared" si="311"/>
        <v>1900</v>
      </c>
      <c r="M3855" s="272">
        <f t="shared" si="312"/>
        <v>1</v>
      </c>
      <c r="O3855" s="61">
        <f t="shared" si="313"/>
        <v>1900</v>
      </c>
      <c r="P3855" s="61">
        <f t="shared" si="314"/>
        <v>1</v>
      </c>
      <c r="R3855" s="272"/>
      <c r="S3855" s="272"/>
    </row>
    <row r="3856" spans="9:19">
      <c r="I3856" s="213"/>
      <c r="J3856" s="213"/>
      <c r="L3856" s="272">
        <f t="shared" ref="L3856:L3919" si="315">YEAR(B3856)</f>
        <v>1900</v>
      </c>
      <c r="M3856" s="272">
        <f t="shared" ref="M3856:M3919" si="316">MONTH(B3856)</f>
        <v>1</v>
      </c>
      <c r="O3856" s="61">
        <f t="shared" ref="O3856:O3919" si="317">YEAR(B3856)</f>
        <v>1900</v>
      </c>
      <c r="P3856" s="61">
        <f t="shared" ref="P3856:P3919" si="318">MONTH(B3856)</f>
        <v>1</v>
      </c>
      <c r="R3856" s="272"/>
      <c r="S3856" s="272"/>
    </row>
    <row r="3857" spans="9:19">
      <c r="I3857" s="213"/>
      <c r="J3857" s="213"/>
      <c r="L3857" s="272">
        <f t="shared" si="315"/>
        <v>1900</v>
      </c>
      <c r="M3857" s="272">
        <f t="shared" si="316"/>
        <v>1</v>
      </c>
      <c r="O3857" s="61">
        <f t="shared" si="317"/>
        <v>1900</v>
      </c>
      <c r="P3857" s="61">
        <f t="shared" si="318"/>
        <v>1</v>
      </c>
      <c r="R3857" s="272"/>
      <c r="S3857" s="272"/>
    </row>
    <row r="3858" spans="9:19">
      <c r="I3858" s="213"/>
      <c r="J3858" s="213"/>
      <c r="L3858" s="272">
        <f t="shared" si="315"/>
        <v>1900</v>
      </c>
      <c r="M3858" s="272">
        <f t="shared" si="316"/>
        <v>1</v>
      </c>
      <c r="O3858" s="61">
        <f t="shared" si="317"/>
        <v>1900</v>
      </c>
      <c r="P3858" s="61">
        <f t="shared" si="318"/>
        <v>1</v>
      </c>
      <c r="R3858" s="272"/>
      <c r="S3858" s="272"/>
    </row>
    <row r="3859" spans="9:19">
      <c r="I3859" s="213"/>
      <c r="J3859" s="213"/>
      <c r="L3859" s="272">
        <f t="shared" si="315"/>
        <v>1900</v>
      </c>
      <c r="M3859" s="272">
        <f t="shared" si="316"/>
        <v>1</v>
      </c>
      <c r="O3859" s="61">
        <f t="shared" si="317"/>
        <v>1900</v>
      </c>
      <c r="P3859" s="61">
        <f t="shared" si="318"/>
        <v>1</v>
      </c>
      <c r="R3859" s="272"/>
      <c r="S3859" s="272"/>
    </row>
    <row r="3860" spans="9:19">
      <c r="I3860" s="213"/>
      <c r="J3860" s="213"/>
      <c r="L3860" s="272">
        <f t="shared" si="315"/>
        <v>1900</v>
      </c>
      <c r="M3860" s="272">
        <f t="shared" si="316"/>
        <v>1</v>
      </c>
      <c r="O3860" s="61">
        <f t="shared" si="317"/>
        <v>1900</v>
      </c>
      <c r="P3860" s="61">
        <f t="shared" si="318"/>
        <v>1</v>
      </c>
      <c r="R3860" s="272"/>
      <c r="S3860" s="272"/>
    </row>
    <row r="3861" spans="9:19">
      <c r="I3861" s="213"/>
      <c r="J3861" s="213"/>
      <c r="L3861" s="272">
        <f t="shared" si="315"/>
        <v>1900</v>
      </c>
      <c r="M3861" s="272">
        <f t="shared" si="316"/>
        <v>1</v>
      </c>
      <c r="O3861" s="61">
        <f t="shared" si="317"/>
        <v>1900</v>
      </c>
      <c r="P3861" s="61">
        <f t="shared" si="318"/>
        <v>1</v>
      </c>
      <c r="R3861" s="272"/>
      <c r="S3861" s="272"/>
    </row>
    <row r="3862" spans="9:19">
      <c r="I3862" s="213"/>
      <c r="J3862" s="213"/>
      <c r="L3862" s="272">
        <f t="shared" si="315"/>
        <v>1900</v>
      </c>
      <c r="M3862" s="272">
        <f t="shared" si="316"/>
        <v>1</v>
      </c>
      <c r="O3862" s="61">
        <f t="shared" si="317"/>
        <v>1900</v>
      </c>
      <c r="P3862" s="61">
        <f t="shared" si="318"/>
        <v>1</v>
      </c>
      <c r="R3862" s="272"/>
      <c r="S3862" s="272"/>
    </row>
    <row r="3863" spans="9:19">
      <c r="I3863" s="213"/>
      <c r="J3863" s="213"/>
      <c r="L3863" s="272">
        <f t="shared" si="315"/>
        <v>1900</v>
      </c>
      <c r="M3863" s="272">
        <f t="shared" si="316"/>
        <v>1</v>
      </c>
      <c r="O3863" s="61">
        <f t="shared" si="317"/>
        <v>1900</v>
      </c>
      <c r="P3863" s="61">
        <f t="shared" si="318"/>
        <v>1</v>
      </c>
      <c r="R3863" s="272"/>
      <c r="S3863" s="272"/>
    </row>
    <row r="3864" spans="9:19">
      <c r="I3864" s="213"/>
      <c r="J3864" s="213"/>
      <c r="L3864" s="272">
        <f t="shared" si="315"/>
        <v>1900</v>
      </c>
      <c r="M3864" s="272">
        <f t="shared" si="316"/>
        <v>1</v>
      </c>
      <c r="O3864" s="61">
        <f t="shared" si="317"/>
        <v>1900</v>
      </c>
      <c r="P3864" s="61">
        <f t="shared" si="318"/>
        <v>1</v>
      </c>
      <c r="R3864" s="272"/>
      <c r="S3864" s="272"/>
    </row>
    <row r="3865" spans="9:19">
      <c r="I3865" s="213"/>
      <c r="J3865" s="213"/>
      <c r="L3865" s="272">
        <f t="shared" si="315"/>
        <v>1900</v>
      </c>
      <c r="M3865" s="272">
        <f t="shared" si="316"/>
        <v>1</v>
      </c>
      <c r="O3865" s="61">
        <f t="shared" si="317"/>
        <v>1900</v>
      </c>
      <c r="P3865" s="61">
        <f t="shared" si="318"/>
        <v>1</v>
      </c>
      <c r="R3865" s="272"/>
      <c r="S3865" s="272"/>
    </row>
    <row r="3866" spans="9:19">
      <c r="I3866" s="213"/>
      <c r="J3866" s="213"/>
      <c r="L3866" s="272">
        <f t="shared" si="315"/>
        <v>1900</v>
      </c>
      <c r="M3866" s="272">
        <f t="shared" si="316"/>
        <v>1</v>
      </c>
      <c r="O3866" s="61">
        <f t="shared" si="317"/>
        <v>1900</v>
      </c>
      <c r="P3866" s="61">
        <f t="shared" si="318"/>
        <v>1</v>
      </c>
      <c r="R3866" s="272"/>
      <c r="S3866" s="272"/>
    </row>
    <row r="3867" spans="9:19">
      <c r="I3867" s="213"/>
      <c r="J3867" s="213"/>
      <c r="L3867" s="272">
        <f t="shared" si="315"/>
        <v>1900</v>
      </c>
      <c r="M3867" s="272">
        <f t="shared" si="316"/>
        <v>1</v>
      </c>
      <c r="O3867" s="61">
        <f t="shared" si="317"/>
        <v>1900</v>
      </c>
      <c r="P3867" s="61">
        <f t="shared" si="318"/>
        <v>1</v>
      </c>
      <c r="R3867" s="272"/>
      <c r="S3867" s="272"/>
    </row>
    <row r="3868" spans="9:19">
      <c r="I3868" s="213"/>
      <c r="J3868" s="213"/>
      <c r="L3868" s="272">
        <f t="shared" si="315"/>
        <v>1900</v>
      </c>
      <c r="M3868" s="272">
        <f t="shared" si="316"/>
        <v>1</v>
      </c>
      <c r="O3868" s="61">
        <f t="shared" si="317"/>
        <v>1900</v>
      </c>
      <c r="P3868" s="61">
        <f t="shared" si="318"/>
        <v>1</v>
      </c>
      <c r="R3868" s="272"/>
      <c r="S3868" s="272"/>
    </row>
    <row r="3869" spans="9:19">
      <c r="I3869" s="213"/>
      <c r="J3869" s="213"/>
      <c r="L3869" s="272">
        <f t="shared" si="315"/>
        <v>1900</v>
      </c>
      <c r="M3869" s="272">
        <f t="shared" si="316"/>
        <v>1</v>
      </c>
      <c r="O3869" s="61">
        <f t="shared" si="317"/>
        <v>1900</v>
      </c>
      <c r="P3869" s="61">
        <f t="shared" si="318"/>
        <v>1</v>
      </c>
      <c r="R3869" s="272"/>
      <c r="S3869" s="272"/>
    </row>
    <row r="3870" spans="9:19">
      <c r="I3870" s="213"/>
      <c r="J3870" s="213"/>
      <c r="L3870" s="272">
        <f t="shared" si="315"/>
        <v>1900</v>
      </c>
      <c r="M3870" s="272">
        <f t="shared" si="316"/>
        <v>1</v>
      </c>
      <c r="O3870" s="61">
        <f t="shared" si="317"/>
        <v>1900</v>
      </c>
      <c r="P3870" s="61">
        <f t="shared" si="318"/>
        <v>1</v>
      </c>
      <c r="R3870" s="272"/>
      <c r="S3870" s="272"/>
    </row>
    <row r="3871" spans="9:19">
      <c r="I3871" s="213"/>
      <c r="J3871" s="213"/>
      <c r="L3871" s="272">
        <f t="shared" si="315"/>
        <v>1900</v>
      </c>
      <c r="M3871" s="272">
        <f t="shared" si="316"/>
        <v>1</v>
      </c>
      <c r="O3871" s="61">
        <f t="shared" si="317"/>
        <v>1900</v>
      </c>
      <c r="P3871" s="61">
        <f t="shared" si="318"/>
        <v>1</v>
      </c>
      <c r="R3871" s="272"/>
      <c r="S3871" s="272"/>
    </row>
    <row r="3872" spans="9:19">
      <c r="I3872" s="213"/>
      <c r="J3872" s="213"/>
      <c r="L3872" s="272">
        <f t="shared" si="315"/>
        <v>1900</v>
      </c>
      <c r="M3872" s="272">
        <f t="shared" si="316"/>
        <v>1</v>
      </c>
      <c r="O3872" s="61">
        <f t="shared" si="317"/>
        <v>1900</v>
      </c>
      <c r="P3872" s="61">
        <f t="shared" si="318"/>
        <v>1</v>
      </c>
      <c r="R3872" s="272"/>
      <c r="S3872" s="272"/>
    </row>
    <row r="3873" spans="9:19">
      <c r="I3873" s="213"/>
      <c r="J3873" s="213"/>
      <c r="L3873" s="272">
        <f t="shared" si="315"/>
        <v>1900</v>
      </c>
      <c r="M3873" s="272">
        <f t="shared" si="316"/>
        <v>1</v>
      </c>
      <c r="O3873" s="61">
        <f t="shared" si="317"/>
        <v>1900</v>
      </c>
      <c r="P3873" s="61">
        <f t="shared" si="318"/>
        <v>1</v>
      </c>
      <c r="R3873" s="272"/>
      <c r="S3873" s="272"/>
    </row>
    <row r="3874" spans="9:19">
      <c r="I3874" s="213"/>
      <c r="J3874" s="213"/>
      <c r="L3874" s="272">
        <f t="shared" si="315"/>
        <v>1900</v>
      </c>
      <c r="M3874" s="272">
        <f t="shared" si="316"/>
        <v>1</v>
      </c>
      <c r="O3874" s="61">
        <f t="shared" si="317"/>
        <v>1900</v>
      </c>
      <c r="P3874" s="61">
        <f t="shared" si="318"/>
        <v>1</v>
      </c>
      <c r="R3874" s="272"/>
      <c r="S3874" s="272"/>
    </row>
    <row r="3875" spans="9:19">
      <c r="I3875" s="213"/>
      <c r="J3875" s="213"/>
      <c r="L3875" s="272">
        <f t="shared" si="315"/>
        <v>1900</v>
      </c>
      <c r="M3875" s="272">
        <f t="shared" si="316"/>
        <v>1</v>
      </c>
      <c r="O3875" s="61">
        <f t="shared" si="317"/>
        <v>1900</v>
      </c>
      <c r="P3875" s="61">
        <f t="shared" si="318"/>
        <v>1</v>
      </c>
      <c r="R3875" s="272"/>
      <c r="S3875" s="272"/>
    </row>
    <row r="3876" spans="9:19">
      <c r="I3876" s="213"/>
      <c r="J3876" s="213"/>
      <c r="L3876" s="272">
        <f t="shared" si="315"/>
        <v>1900</v>
      </c>
      <c r="M3876" s="272">
        <f t="shared" si="316"/>
        <v>1</v>
      </c>
      <c r="O3876" s="61">
        <f t="shared" si="317"/>
        <v>1900</v>
      </c>
      <c r="P3876" s="61">
        <f t="shared" si="318"/>
        <v>1</v>
      </c>
      <c r="R3876" s="272"/>
      <c r="S3876" s="272"/>
    </row>
    <row r="3877" spans="9:19">
      <c r="I3877" s="213"/>
      <c r="J3877" s="213"/>
      <c r="L3877" s="272">
        <f t="shared" si="315"/>
        <v>1900</v>
      </c>
      <c r="M3877" s="272">
        <f t="shared" si="316"/>
        <v>1</v>
      </c>
      <c r="O3877" s="61">
        <f t="shared" si="317"/>
        <v>1900</v>
      </c>
      <c r="P3877" s="61">
        <f t="shared" si="318"/>
        <v>1</v>
      </c>
      <c r="R3877" s="272"/>
      <c r="S3877" s="272"/>
    </row>
    <row r="3878" spans="9:19">
      <c r="I3878" s="213"/>
      <c r="J3878" s="213"/>
      <c r="L3878" s="272">
        <f t="shared" si="315"/>
        <v>1900</v>
      </c>
      <c r="M3878" s="272">
        <f t="shared" si="316"/>
        <v>1</v>
      </c>
      <c r="O3878" s="61">
        <f t="shared" si="317"/>
        <v>1900</v>
      </c>
      <c r="P3878" s="61">
        <f t="shared" si="318"/>
        <v>1</v>
      </c>
      <c r="R3878" s="272"/>
      <c r="S3878" s="272"/>
    </row>
    <row r="3879" spans="9:19">
      <c r="I3879" s="213"/>
      <c r="J3879" s="213"/>
      <c r="L3879" s="272">
        <f t="shared" si="315"/>
        <v>1900</v>
      </c>
      <c r="M3879" s="272">
        <f t="shared" si="316"/>
        <v>1</v>
      </c>
      <c r="O3879" s="61">
        <f t="shared" si="317"/>
        <v>1900</v>
      </c>
      <c r="P3879" s="61">
        <f t="shared" si="318"/>
        <v>1</v>
      </c>
      <c r="R3879" s="272"/>
      <c r="S3879" s="272"/>
    </row>
    <row r="3880" spans="9:19">
      <c r="I3880" s="213"/>
      <c r="J3880" s="213"/>
      <c r="L3880" s="272">
        <f t="shared" si="315"/>
        <v>1900</v>
      </c>
      <c r="M3880" s="272">
        <f t="shared" si="316"/>
        <v>1</v>
      </c>
      <c r="O3880" s="61">
        <f t="shared" si="317"/>
        <v>1900</v>
      </c>
      <c r="P3880" s="61">
        <f t="shared" si="318"/>
        <v>1</v>
      </c>
      <c r="R3880" s="272"/>
      <c r="S3880" s="272"/>
    </row>
    <row r="3881" spans="9:19">
      <c r="I3881" s="213"/>
      <c r="J3881" s="213"/>
      <c r="L3881" s="272">
        <f t="shared" si="315"/>
        <v>1900</v>
      </c>
      <c r="M3881" s="272">
        <f t="shared" si="316"/>
        <v>1</v>
      </c>
      <c r="O3881" s="61">
        <f t="shared" si="317"/>
        <v>1900</v>
      </c>
      <c r="P3881" s="61">
        <f t="shared" si="318"/>
        <v>1</v>
      </c>
      <c r="R3881" s="272"/>
      <c r="S3881" s="272"/>
    </row>
    <row r="3882" spans="9:19">
      <c r="I3882" s="213"/>
      <c r="J3882" s="213"/>
      <c r="L3882" s="272">
        <f t="shared" si="315"/>
        <v>1900</v>
      </c>
      <c r="M3882" s="272">
        <f t="shared" si="316"/>
        <v>1</v>
      </c>
      <c r="O3882" s="61">
        <f t="shared" si="317"/>
        <v>1900</v>
      </c>
      <c r="P3882" s="61">
        <f t="shared" si="318"/>
        <v>1</v>
      </c>
      <c r="R3882" s="272"/>
      <c r="S3882" s="272"/>
    </row>
    <row r="3883" spans="9:19">
      <c r="I3883" s="213"/>
      <c r="J3883" s="213"/>
      <c r="L3883" s="272">
        <f t="shared" si="315"/>
        <v>1900</v>
      </c>
      <c r="M3883" s="272">
        <f t="shared" si="316"/>
        <v>1</v>
      </c>
      <c r="O3883" s="61">
        <f t="shared" si="317"/>
        <v>1900</v>
      </c>
      <c r="P3883" s="61">
        <f t="shared" si="318"/>
        <v>1</v>
      </c>
      <c r="R3883" s="272"/>
      <c r="S3883" s="272"/>
    </row>
    <row r="3884" spans="9:19">
      <c r="I3884" s="213"/>
      <c r="J3884" s="213"/>
      <c r="L3884" s="272">
        <f t="shared" si="315"/>
        <v>1900</v>
      </c>
      <c r="M3884" s="272">
        <f t="shared" si="316"/>
        <v>1</v>
      </c>
      <c r="O3884" s="61">
        <f t="shared" si="317"/>
        <v>1900</v>
      </c>
      <c r="P3884" s="61">
        <f t="shared" si="318"/>
        <v>1</v>
      </c>
      <c r="R3884" s="272"/>
      <c r="S3884" s="272"/>
    </row>
    <row r="3885" spans="9:19">
      <c r="I3885" s="213"/>
      <c r="J3885" s="213"/>
      <c r="L3885" s="272">
        <f t="shared" si="315"/>
        <v>1900</v>
      </c>
      <c r="M3885" s="272">
        <f t="shared" si="316"/>
        <v>1</v>
      </c>
      <c r="O3885" s="61">
        <f t="shared" si="317"/>
        <v>1900</v>
      </c>
      <c r="P3885" s="61">
        <f t="shared" si="318"/>
        <v>1</v>
      </c>
      <c r="R3885" s="272"/>
      <c r="S3885" s="272"/>
    </row>
    <row r="3886" spans="9:19">
      <c r="I3886" s="213"/>
      <c r="J3886" s="213"/>
      <c r="L3886" s="272">
        <f t="shared" si="315"/>
        <v>1900</v>
      </c>
      <c r="M3886" s="272">
        <f t="shared" si="316"/>
        <v>1</v>
      </c>
      <c r="O3886" s="61">
        <f t="shared" si="317"/>
        <v>1900</v>
      </c>
      <c r="P3886" s="61">
        <f t="shared" si="318"/>
        <v>1</v>
      </c>
      <c r="R3886" s="272"/>
      <c r="S3886" s="272"/>
    </row>
    <row r="3887" spans="9:19">
      <c r="I3887" s="213"/>
      <c r="J3887" s="213"/>
      <c r="L3887" s="272">
        <f t="shared" si="315"/>
        <v>1900</v>
      </c>
      <c r="M3887" s="272">
        <f t="shared" si="316"/>
        <v>1</v>
      </c>
      <c r="O3887" s="61">
        <f t="shared" si="317"/>
        <v>1900</v>
      </c>
      <c r="P3887" s="61">
        <f t="shared" si="318"/>
        <v>1</v>
      </c>
      <c r="R3887" s="272"/>
      <c r="S3887" s="272"/>
    </row>
    <row r="3888" spans="9:19">
      <c r="I3888" s="213"/>
      <c r="J3888" s="213"/>
      <c r="L3888" s="272">
        <f t="shared" si="315"/>
        <v>1900</v>
      </c>
      <c r="M3888" s="272">
        <f t="shared" si="316"/>
        <v>1</v>
      </c>
      <c r="O3888" s="61">
        <f t="shared" si="317"/>
        <v>1900</v>
      </c>
      <c r="P3888" s="61">
        <f t="shared" si="318"/>
        <v>1</v>
      </c>
      <c r="R3888" s="272"/>
      <c r="S3888" s="272"/>
    </row>
    <row r="3889" spans="9:19">
      <c r="I3889" s="213"/>
      <c r="J3889" s="213"/>
      <c r="L3889" s="272">
        <f t="shared" si="315"/>
        <v>1900</v>
      </c>
      <c r="M3889" s="272">
        <f t="shared" si="316"/>
        <v>1</v>
      </c>
      <c r="O3889" s="61">
        <f t="shared" si="317"/>
        <v>1900</v>
      </c>
      <c r="P3889" s="61">
        <f t="shared" si="318"/>
        <v>1</v>
      </c>
      <c r="R3889" s="272"/>
      <c r="S3889" s="272"/>
    </row>
    <row r="3890" spans="9:19">
      <c r="I3890" s="213"/>
      <c r="J3890" s="213"/>
      <c r="L3890" s="272">
        <f t="shared" si="315"/>
        <v>1900</v>
      </c>
      <c r="M3890" s="272">
        <f t="shared" si="316"/>
        <v>1</v>
      </c>
      <c r="O3890" s="61">
        <f t="shared" si="317"/>
        <v>1900</v>
      </c>
      <c r="P3890" s="61">
        <f t="shared" si="318"/>
        <v>1</v>
      </c>
      <c r="R3890" s="272"/>
      <c r="S3890" s="272"/>
    </row>
    <row r="3891" spans="9:19">
      <c r="I3891" s="213"/>
      <c r="J3891" s="213"/>
      <c r="L3891" s="272">
        <f t="shared" si="315"/>
        <v>1900</v>
      </c>
      <c r="M3891" s="272">
        <f t="shared" si="316"/>
        <v>1</v>
      </c>
      <c r="O3891" s="61">
        <f t="shared" si="317"/>
        <v>1900</v>
      </c>
      <c r="P3891" s="61">
        <f t="shared" si="318"/>
        <v>1</v>
      </c>
      <c r="R3891" s="272"/>
      <c r="S3891" s="272"/>
    </row>
    <row r="3892" spans="9:19">
      <c r="I3892" s="213"/>
      <c r="J3892" s="213"/>
      <c r="L3892" s="272">
        <f t="shared" si="315"/>
        <v>1900</v>
      </c>
      <c r="M3892" s="272">
        <f t="shared" si="316"/>
        <v>1</v>
      </c>
      <c r="O3892" s="61">
        <f t="shared" si="317"/>
        <v>1900</v>
      </c>
      <c r="P3892" s="61">
        <f t="shared" si="318"/>
        <v>1</v>
      </c>
      <c r="R3892" s="272"/>
      <c r="S3892" s="272"/>
    </row>
    <row r="3893" spans="9:19">
      <c r="I3893" s="213"/>
      <c r="J3893" s="213"/>
      <c r="L3893" s="272">
        <f t="shared" si="315"/>
        <v>1900</v>
      </c>
      <c r="M3893" s="272">
        <f t="shared" si="316"/>
        <v>1</v>
      </c>
      <c r="O3893" s="61">
        <f t="shared" si="317"/>
        <v>1900</v>
      </c>
      <c r="P3893" s="61">
        <f t="shared" si="318"/>
        <v>1</v>
      </c>
      <c r="R3893" s="272"/>
      <c r="S3893" s="272"/>
    </row>
    <row r="3894" spans="9:19">
      <c r="I3894" s="213"/>
      <c r="J3894" s="213"/>
      <c r="L3894" s="272">
        <f t="shared" si="315"/>
        <v>1900</v>
      </c>
      <c r="M3894" s="272">
        <f t="shared" si="316"/>
        <v>1</v>
      </c>
      <c r="O3894" s="61">
        <f t="shared" si="317"/>
        <v>1900</v>
      </c>
      <c r="P3894" s="61">
        <f t="shared" si="318"/>
        <v>1</v>
      </c>
      <c r="R3894" s="272"/>
      <c r="S3894" s="272"/>
    </row>
    <row r="3895" spans="9:19">
      <c r="I3895" s="213"/>
      <c r="J3895" s="213"/>
      <c r="L3895" s="272">
        <f t="shared" si="315"/>
        <v>1900</v>
      </c>
      <c r="M3895" s="272">
        <f t="shared" si="316"/>
        <v>1</v>
      </c>
      <c r="O3895" s="61">
        <f t="shared" si="317"/>
        <v>1900</v>
      </c>
      <c r="P3895" s="61">
        <f t="shared" si="318"/>
        <v>1</v>
      </c>
      <c r="R3895" s="272"/>
      <c r="S3895" s="272"/>
    </row>
    <row r="3896" spans="9:19">
      <c r="I3896" s="213"/>
      <c r="J3896" s="213"/>
      <c r="L3896" s="272">
        <f t="shared" si="315"/>
        <v>1900</v>
      </c>
      <c r="M3896" s="272">
        <f t="shared" si="316"/>
        <v>1</v>
      </c>
      <c r="O3896" s="61">
        <f t="shared" si="317"/>
        <v>1900</v>
      </c>
      <c r="P3896" s="61">
        <f t="shared" si="318"/>
        <v>1</v>
      </c>
      <c r="R3896" s="272"/>
      <c r="S3896" s="272"/>
    </row>
    <row r="3897" spans="9:19">
      <c r="I3897" s="213"/>
      <c r="J3897" s="213"/>
      <c r="L3897" s="272">
        <f t="shared" si="315"/>
        <v>1900</v>
      </c>
      <c r="M3897" s="272">
        <f t="shared" si="316"/>
        <v>1</v>
      </c>
      <c r="O3897" s="61">
        <f t="shared" si="317"/>
        <v>1900</v>
      </c>
      <c r="P3897" s="61">
        <f t="shared" si="318"/>
        <v>1</v>
      </c>
      <c r="R3897" s="272"/>
      <c r="S3897" s="272"/>
    </row>
    <row r="3898" spans="9:19">
      <c r="I3898" s="213"/>
      <c r="J3898" s="213"/>
      <c r="L3898" s="272">
        <f t="shared" si="315"/>
        <v>1900</v>
      </c>
      <c r="M3898" s="272">
        <f t="shared" si="316"/>
        <v>1</v>
      </c>
      <c r="O3898" s="61">
        <f t="shared" si="317"/>
        <v>1900</v>
      </c>
      <c r="P3898" s="61">
        <f t="shared" si="318"/>
        <v>1</v>
      </c>
      <c r="R3898" s="272"/>
      <c r="S3898" s="272"/>
    </row>
    <row r="3899" spans="9:19">
      <c r="I3899" s="213"/>
      <c r="J3899" s="213"/>
      <c r="L3899" s="272">
        <f t="shared" si="315"/>
        <v>1900</v>
      </c>
      <c r="M3899" s="272">
        <f t="shared" si="316"/>
        <v>1</v>
      </c>
      <c r="O3899" s="61">
        <f t="shared" si="317"/>
        <v>1900</v>
      </c>
      <c r="P3899" s="61">
        <f t="shared" si="318"/>
        <v>1</v>
      </c>
      <c r="R3899" s="272"/>
      <c r="S3899" s="272"/>
    </row>
    <row r="3900" spans="9:19">
      <c r="I3900" s="213"/>
      <c r="J3900" s="213"/>
      <c r="L3900" s="272">
        <f t="shared" si="315"/>
        <v>1900</v>
      </c>
      <c r="M3900" s="272">
        <f t="shared" si="316"/>
        <v>1</v>
      </c>
      <c r="O3900" s="61">
        <f t="shared" si="317"/>
        <v>1900</v>
      </c>
      <c r="P3900" s="61">
        <f t="shared" si="318"/>
        <v>1</v>
      </c>
      <c r="R3900" s="272"/>
      <c r="S3900" s="272"/>
    </row>
    <row r="3901" spans="9:19">
      <c r="I3901" s="213"/>
      <c r="J3901" s="213"/>
      <c r="L3901" s="272">
        <f t="shared" si="315"/>
        <v>1900</v>
      </c>
      <c r="M3901" s="272">
        <f t="shared" si="316"/>
        <v>1</v>
      </c>
      <c r="O3901" s="61">
        <f t="shared" si="317"/>
        <v>1900</v>
      </c>
      <c r="P3901" s="61">
        <f t="shared" si="318"/>
        <v>1</v>
      </c>
      <c r="R3901" s="272"/>
      <c r="S3901" s="272"/>
    </row>
    <row r="3902" spans="9:19">
      <c r="I3902" s="213"/>
      <c r="J3902" s="213"/>
      <c r="L3902" s="272">
        <f t="shared" si="315"/>
        <v>1900</v>
      </c>
      <c r="M3902" s="272">
        <f t="shared" si="316"/>
        <v>1</v>
      </c>
      <c r="O3902" s="61">
        <f t="shared" si="317"/>
        <v>1900</v>
      </c>
      <c r="P3902" s="61">
        <f t="shared" si="318"/>
        <v>1</v>
      </c>
      <c r="R3902" s="272"/>
      <c r="S3902" s="272"/>
    </row>
    <row r="3903" spans="9:19">
      <c r="I3903" s="213"/>
      <c r="J3903" s="213"/>
      <c r="L3903" s="272">
        <f t="shared" si="315"/>
        <v>1900</v>
      </c>
      <c r="M3903" s="272">
        <f t="shared" si="316"/>
        <v>1</v>
      </c>
      <c r="O3903" s="61">
        <f t="shared" si="317"/>
        <v>1900</v>
      </c>
      <c r="P3903" s="61">
        <f t="shared" si="318"/>
        <v>1</v>
      </c>
      <c r="R3903" s="272"/>
      <c r="S3903" s="272"/>
    </row>
    <row r="3904" spans="9:19">
      <c r="I3904" s="213"/>
      <c r="J3904" s="213"/>
      <c r="L3904" s="272">
        <f t="shared" si="315"/>
        <v>1900</v>
      </c>
      <c r="M3904" s="272">
        <f t="shared" si="316"/>
        <v>1</v>
      </c>
      <c r="O3904" s="61">
        <f t="shared" si="317"/>
        <v>1900</v>
      </c>
      <c r="P3904" s="61">
        <f t="shared" si="318"/>
        <v>1</v>
      </c>
      <c r="R3904" s="272"/>
      <c r="S3904" s="272"/>
    </row>
    <row r="3905" spans="9:19">
      <c r="I3905" s="213"/>
      <c r="J3905" s="213"/>
      <c r="L3905" s="272">
        <f t="shared" si="315"/>
        <v>1900</v>
      </c>
      <c r="M3905" s="272">
        <f t="shared" si="316"/>
        <v>1</v>
      </c>
      <c r="O3905" s="61">
        <f t="shared" si="317"/>
        <v>1900</v>
      </c>
      <c r="P3905" s="61">
        <f t="shared" si="318"/>
        <v>1</v>
      </c>
      <c r="R3905" s="272"/>
      <c r="S3905" s="272"/>
    </row>
    <row r="3906" spans="9:19">
      <c r="I3906" s="213"/>
      <c r="J3906" s="213"/>
      <c r="L3906" s="272">
        <f t="shared" si="315"/>
        <v>1900</v>
      </c>
      <c r="M3906" s="272">
        <f t="shared" si="316"/>
        <v>1</v>
      </c>
      <c r="O3906" s="61">
        <f t="shared" si="317"/>
        <v>1900</v>
      </c>
      <c r="P3906" s="61">
        <f t="shared" si="318"/>
        <v>1</v>
      </c>
      <c r="R3906" s="272"/>
      <c r="S3906" s="272"/>
    </row>
    <row r="3907" spans="9:19">
      <c r="I3907" s="213"/>
      <c r="J3907" s="213"/>
      <c r="L3907" s="272">
        <f t="shared" si="315"/>
        <v>1900</v>
      </c>
      <c r="M3907" s="272">
        <f t="shared" si="316"/>
        <v>1</v>
      </c>
      <c r="O3907" s="61">
        <f t="shared" si="317"/>
        <v>1900</v>
      </c>
      <c r="P3907" s="61">
        <f t="shared" si="318"/>
        <v>1</v>
      </c>
      <c r="R3907" s="272"/>
      <c r="S3907" s="272"/>
    </row>
    <row r="3908" spans="9:19">
      <c r="I3908" s="213"/>
      <c r="J3908" s="213"/>
      <c r="L3908" s="272">
        <f t="shared" si="315"/>
        <v>1900</v>
      </c>
      <c r="M3908" s="272">
        <f t="shared" si="316"/>
        <v>1</v>
      </c>
      <c r="O3908" s="61">
        <f t="shared" si="317"/>
        <v>1900</v>
      </c>
      <c r="P3908" s="61">
        <f t="shared" si="318"/>
        <v>1</v>
      </c>
      <c r="R3908" s="272"/>
      <c r="S3908" s="272"/>
    </row>
    <row r="3909" spans="9:19">
      <c r="I3909" s="213"/>
      <c r="J3909" s="213"/>
      <c r="L3909" s="272">
        <f t="shared" si="315"/>
        <v>1900</v>
      </c>
      <c r="M3909" s="272">
        <f t="shared" si="316"/>
        <v>1</v>
      </c>
      <c r="O3909" s="61">
        <f t="shared" si="317"/>
        <v>1900</v>
      </c>
      <c r="P3909" s="61">
        <f t="shared" si="318"/>
        <v>1</v>
      </c>
      <c r="R3909" s="272"/>
      <c r="S3909" s="272"/>
    </row>
    <row r="3910" spans="9:19">
      <c r="I3910" s="213"/>
      <c r="J3910" s="213"/>
      <c r="L3910" s="272">
        <f t="shared" si="315"/>
        <v>1900</v>
      </c>
      <c r="M3910" s="272">
        <f t="shared" si="316"/>
        <v>1</v>
      </c>
      <c r="O3910" s="61">
        <f t="shared" si="317"/>
        <v>1900</v>
      </c>
      <c r="P3910" s="61">
        <f t="shared" si="318"/>
        <v>1</v>
      </c>
      <c r="R3910" s="272"/>
      <c r="S3910" s="272"/>
    </row>
    <row r="3911" spans="9:19">
      <c r="I3911" s="213"/>
      <c r="J3911" s="213"/>
      <c r="L3911" s="272">
        <f t="shared" si="315"/>
        <v>1900</v>
      </c>
      <c r="M3911" s="272">
        <f t="shared" si="316"/>
        <v>1</v>
      </c>
      <c r="O3911" s="61">
        <f t="shared" si="317"/>
        <v>1900</v>
      </c>
      <c r="P3911" s="61">
        <f t="shared" si="318"/>
        <v>1</v>
      </c>
      <c r="R3911" s="272"/>
      <c r="S3911" s="272"/>
    </row>
    <row r="3912" spans="9:19">
      <c r="I3912" s="213"/>
      <c r="J3912" s="213"/>
      <c r="L3912" s="272">
        <f t="shared" si="315"/>
        <v>1900</v>
      </c>
      <c r="M3912" s="272">
        <f t="shared" si="316"/>
        <v>1</v>
      </c>
      <c r="O3912" s="61">
        <f t="shared" si="317"/>
        <v>1900</v>
      </c>
      <c r="P3912" s="61">
        <f t="shared" si="318"/>
        <v>1</v>
      </c>
      <c r="R3912" s="272"/>
      <c r="S3912" s="272"/>
    </row>
    <row r="3913" spans="9:19">
      <c r="I3913" s="213"/>
      <c r="J3913" s="213"/>
      <c r="L3913" s="272">
        <f t="shared" si="315"/>
        <v>1900</v>
      </c>
      <c r="M3913" s="272">
        <f t="shared" si="316"/>
        <v>1</v>
      </c>
      <c r="O3913" s="61">
        <f t="shared" si="317"/>
        <v>1900</v>
      </c>
      <c r="P3913" s="61">
        <f t="shared" si="318"/>
        <v>1</v>
      </c>
      <c r="R3913" s="272"/>
      <c r="S3913" s="272"/>
    </row>
    <row r="3914" spans="9:19">
      <c r="I3914" s="213"/>
      <c r="J3914" s="213"/>
      <c r="L3914" s="272">
        <f t="shared" si="315"/>
        <v>1900</v>
      </c>
      <c r="M3914" s="272">
        <f t="shared" si="316"/>
        <v>1</v>
      </c>
      <c r="O3914" s="61">
        <f t="shared" si="317"/>
        <v>1900</v>
      </c>
      <c r="P3914" s="61">
        <f t="shared" si="318"/>
        <v>1</v>
      </c>
      <c r="R3914" s="272"/>
      <c r="S3914" s="272"/>
    </row>
    <row r="3915" spans="9:19">
      <c r="I3915" s="213"/>
      <c r="J3915" s="213"/>
      <c r="L3915" s="272">
        <f t="shared" si="315"/>
        <v>1900</v>
      </c>
      <c r="M3915" s="272">
        <f t="shared" si="316"/>
        <v>1</v>
      </c>
      <c r="O3915" s="61">
        <f t="shared" si="317"/>
        <v>1900</v>
      </c>
      <c r="P3915" s="61">
        <f t="shared" si="318"/>
        <v>1</v>
      </c>
      <c r="R3915" s="272"/>
      <c r="S3915" s="272"/>
    </row>
    <row r="3916" spans="9:19">
      <c r="I3916" s="213"/>
      <c r="J3916" s="213"/>
      <c r="L3916" s="272">
        <f t="shared" si="315"/>
        <v>1900</v>
      </c>
      <c r="M3916" s="272">
        <f t="shared" si="316"/>
        <v>1</v>
      </c>
      <c r="O3916" s="61">
        <f t="shared" si="317"/>
        <v>1900</v>
      </c>
      <c r="P3916" s="61">
        <f t="shared" si="318"/>
        <v>1</v>
      </c>
      <c r="R3916" s="272"/>
      <c r="S3916" s="272"/>
    </row>
    <row r="3917" spans="9:19">
      <c r="I3917" s="213"/>
      <c r="J3917" s="213"/>
      <c r="L3917" s="272">
        <f t="shared" si="315"/>
        <v>1900</v>
      </c>
      <c r="M3917" s="272">
        <f t="shared" si="316"/>
        <v>1</v>
      </c>
      <c r="O3917" s="61">
        <f t="shared" si="317"/>
        <v>1900</v>
      </c>
      <c r="P3917" s="61">
        <f t="shared" si="318"/>
        <v>1</v>
      </c>
      <c r="R3917" s="272"/>
      <c r="S3917" s="272"/>
    </row>
    <row r="3918" spans="9:19">
      <c r="I3918" s="213"/>
      <c r="J3918" s="213"/>
      <c r="L3918" s="272">
        <f t="shared" si="315"/>
        <v>1900</v>
      </c>
      <c r="M3918" s="272">
        <f t="shared" si="316"/>
        <v>1</v>
      </c>
      <c r="O3918" s="61">
        <f t="shared" si="317"/>
        <v>1900</v>
      </c>
      <c r="P3918" s="61">
        <f t="shared" si="318"/>
        <v>1</v>
      </c>
      <c r="R3918" s="272"/>
      <c r="S3918" s="272"/>
    </row>
    <row r="3919" spans="9:19">
      <c r="I3919" s="213"/>
      <c r="J3919" s="213"/>
      <c r="L3919" s="272">
        <f t="shared" si="315"/>
        <v>1900</v>
      </c>
      <c r="M3919" s="272">
        <f t="shared" si="316"/>
        <v>1</v>
      </c>
      <c r="O3919" s="61">
        <f t="shared" si="317"/>
        <v>1900</v>
      </c>
      <c r="P3919" s="61">
        <f t="shared" si="318"/>
        <v>1</v>
      </c>
      <c r="R3919" s="272"/>
      <c r="S3919" s="272"/>
    </row>
    <row r="3920" spans="9:19">
      <c r="I3920" s="213"/>
      <c r="J3920" s="213"/>
      <c r="L3920" s="272">
        <f t="shared" ref="L3920:L3983" si="319">YEAR(B3920)</f>
        <v>1900</v>
      </c>
      <c r="M3920" s="272">
        <f t="shared" ref="M3920:M3983" si="320">MONTH(B3920)</f>
        <v>1</v>
      </c>
      <c r="O3920" s="61">
        <f t="shared" ref="O3920:O3983" si="321">YEAR(B3920)</f>
        <v>1900</v>
      </c>
      <c r="P3920" s="61">
        <f t="shared" ref="P3920:P3983" si="322">MONTH(B3920)</f>
        <v>1</v>
      </c>
      <c r="R3920" s="272"/>
      <c r="S3920" s="272"/>
    </row>
    <row r="3921" spans="9:19">
      <c r="I3921" s="213"/>
      <c r="J3921" s="213"/>
      <c r="L3921" s="272">
        <f t="shared" si="319"/>
        <v>1900</v>
      </c>
      <c r="M3921" s="272">
        <f t="shared" si="320"/>
        <v>1</v>
      </c>
      <c r="O3921" s="61">
        <f t="shared" si="321"/>
        <v>1900</v>
      </c>
      <c r="P3921" s="61">
        <f t="shared" si="322"/>
        <v>1</v>
      </c>
      <c r="R3921" s="272"/>
      <c r="S3921" s="272"/>
    </row>
    <row r="3922" spans="9:19">
      <c r="I3922" s="213"/>
      <c r="J3922" s="213"/>
      <c r="L3922" s="272">
        <f t="shared" si="319"/>
        <v>1900</v>
      </c>
      <c r="M3922" s="272">
        <f t="shared" si="320"/>
        <v>1</v>
      </c>
      <c r="O3922" s="61">
        <f t="shared" si="321"/>
        <v>1900</v>
      </c>
      <c r="P3922" s="61">
        <f t="shared" si="322"/>
        <v>1</v>
      </c>
      <c r="R3922" s="272"/>
      <c r="S3922" s="272"/>
    </row>
    <row r="3923" spans="9:19">
      <c r="I3923" s="213"/>
      <c r="J3923" s="213"/>
      <c r="L3923" s="272">
        <f t="shared" si="319"/>
        <v>1900</v>
      </c>
      <c r="M3923" s="272">
        <f t="shared" si="320"/>
        <v>1</v>
      </c>
      <c r="O3923" s="61">
        <f t="shared" si="321"/>
        <v>1900</v>
      </c>
      <c r="P3923" s="61">
        <f t="shared" si="322"/>
        <v>1</v>
      </c>
      <c r="R3923" s="272"/>
      <c r="S3923" s="272"/>
    </row>
    <row r="3924" spans="9:19">
      <c r="I3924" s="213"/>
      <c r="J3924" s="213"/>
      <c r="L3924" s="272">
        <f t="shared" si="319"/>
        <v>1900</v>
      </c>
      <c r="M3924" s="272">
        <f t="shared" si="320"/>
        <v>1</v>
      </c>
      <c r="O3924" s="61">
        <f t="shared" si="321"/>
        <v>1900</v>
      </c>
      <c r="P3924" s="61">
        <f t="shared" si="322"/>
        <v>1</v>
      </c>
      <c r="R3924" s="272"/>
      <c r="S3924" s="272"/>
    </row>
    <row r="3925" spans="9:19">
      <c r="I3925" s="213"/>
      <c r="J3925" s="213"/>
      <c r="L3925" s="272">
        <f t="shared" si="319"/>
        <v>1900</v>
      </c>
      <c r="M3925" s="272">
        <f t="shared" si="320"/>
        <v>1</v>
      </c>
      <c r="O3925" s="61">
        <f t="shared" si="321"/>
        <v>1900</v>
      </c>
      <c r="P3925" s="61">
        <f t="shared" si="322"/>
        <v>1</v>
      </c>
      <c r="R3925" s="272"/>
      <c r="S3925" s="272"/>
    </row>
    <row r="3926" spans="9:19">
      <c r="I3926" s="213"/>
      <c r="J3926" s="213"/>
      <c r="L3926" s="272">
        <f t="shared" si="319"/>
        <v>1900</v>
      </c>
      <c r="M3926" s="272">
        <f t="shared" si="320"/>
        <v>1</v>
      </c>
      <c r="O3926" s="61">
        <f t="shared" si="321"/>
        <v>1900</v>
      </c>
      <c r="P3926" s="61">
        <f t="shared" si="322"/>
        <v>1</v>
      </c>
      <c r="R3926" s="272"/>
      <c r="S3926" s="272"/>
    </row>
    <row r="3927" spans="9:19">
      <c r="I3927" s="213"/>
      <c r="J3927" s="213"/>
      <c r="L3927" s="272">
        <f t="shared" si="319"/>
        <v>1900</v>
      </c>
      <c r="M3927" s="272">
        <f t="shared" si="320"/>
        <v>1</v>
      </c>
      <c r="O3927" s="61">
        <f t="shared" si="321"/>
        <v>1900</v>
      </c>
      <c r="P3927" s="61">
        <f t="shared" si="322"/>
        <v>1</v>
      </c>
      <c r="R3927" s="272"/>
      <c r="S3927" s="272"/>
    </row>
    <row r="3928" spans="9:19">
      <c r="I3928" s="213"/>
      <c r="J3928" s="213"/>
      <c r="L3928" s="272">
        <f t="shared" si="319"/>
        <v>1900</v>
      </c>
      <c r="M3928" s="272">
        <f t="shared" si="320"/>
        <v>1</v>
      </c>
      <c r="O3928" s="61">
        <f t="shared" si="321"/>
        <v>1900</v>
      </c>
      <c r="P3928" s="61">
        <f t="shared" si="322"/>
        <v>1</v>
      </c>
      <c r="R3928" s="272"/>
      <c r="S3928" s="272"/>
    </row>
    <row r="3929" spans="9:19">
      <c r="I3929" s="213"/>
      <c r="J3929" s="213"/>
      <c r="L3929" s="272">
        <f t="shared" si="319"/>
        <v>1900</v>
      </c>
      <c r="M3929" s="272">
        <f t="shared" si="320"/>
        <v>1</v>
      </c>
      <c r="O3929" s="61">
        <f t="shared" si="321"/>
        <v>1900</v>
      </c>
      <c r="P3929" s="61">
        <f t="shared" si="322"/>
        <v>1</v>
      </c>
      <c r="R3929" s="272"/>
      <c r="S3929" s="272"/>
    </row>
    <row r="3930" spans="9:19">
      <c r="I3930" s="213"/>
      <c r="J3930" s="213"/>
      <c r="L3930" s="272">
        <f t="shared" si="319"/>
        <v>1900</v>
      </c>
      <c r="M3930" s="272">
        <f t="shared" si="320"/>
        <v>1</v>
      </c>
      <c r="O3930" s="61">
        <f t="shared" si="321"/>
        <v>1900</v>
      </c>
      <c r="P3930" s="61">
        <f t="shared" si="322"/>
        <v>1</v>
      </c>
      <c r="R3930" s="272"/>
      <c r="S3930" s="272"/>
    </row>
    <row r="3931" spans="9:19">
      <c r="I3931" s="213"/>
      <c r="J3931" s="213"/>
      <c r="L3931" s="272">
        <f t="shared" si="319"/>
        <v>1900</v>
      </c>
      <c r="M3931" s="272">
        <f t="shared" si="320"/>
        <v>1</v>
      </c>
      <c r="O3931" s="61">
        <f t="shared" si="321"/>
        <v>1900</v>
      </c>
      <c r="P3931" s="61">
        <f t="shared" si="322"/>
        <v>1</v>
      </c>
      <c r="R3931" s="272"/>
      <c r="S3931" s="272"/>
    </row>
    <row r="3932" spans="9:19">
      <c r="I3932" s="213"/>
      <c r="J3932" s="213"/>
      <c r="L3932" s="272">
        <f t="shared" si="319"/>
        <v>1900</v>
      </c>
      <c r="M3932" s="272">
        <f t="shared" si="320"/>
        <v>1</v>
      </c>
      <c r="O3932" s="61">
        <f t="shared" si="321"/>
        <v>1900</v>
      </c>
      <c r="P3932" s="61">
        <f t="shared" si="322"/>
        <v>1</v>
      </c>
      <c r="R3932" s="272"/>
      <c r="S3932" s="272"/>
    </row>
    <row r="3933" spans="9:19">
      <c r="I3933" s="213"/>
      <c r="J3933" s="213"/>
      <c r="L3933" s="272">
        <f t="shared" si="319"/>
        <v>1900</v>
      </c>
      <c r="M3933" s="272">
        <f t="shared" si="320"/>
        <v>1</v>
      </c>
      <c r="O3933" s="61">
        <f t="shared" si="321"/>
        <v>1900</v>
      </c>
      <c r="P3933" s="61">
        <f t="shared" si="322"/>
        <v>1</v>
      </c>
      <c r="R3933" s="272"/>
      <c r="S3933" s="272"/>
    </row>
    <row r="3934" spans="9:19">
      <c r="I3934" s="213"/>
      <c r="J3934" s="213"/>
      <c r="L3934" s="272">
        <f t="shared" si="319"/>
        <v>1900</v>
      </c>
      <c r="M3934" s="272">
        <f t="shared" si="320"/>
        <v>1</v>
      </c>
      <c r="O3934" s="61">
        <f t="shared" si="321"/>
        <v>1900</v>
      </c>
      <c r="P3934" s="61">
        <f t="shared" si="322"/>
        <v>1</v>
      </c>
      <c r="R3934" s="272"/>
      <c r="S3934" s="272"/>
    </row>
    <row r="3935" spans="9:19">
      <c r="I3935" s="213"/>
      <c r="J3935" s="213"/>
      <c r="L3935" s="272">
        <f t="shared" si="319"/>
        <v>1900</v>
      </c>
      <c r="M3935" s="272">
        <f t="shared" si="320"/>
        <v>1</v>
      </c>
      <c r="O3935" s="61">
        <f t="shared" si="321"/>
        <v>1900</v>
      </c>
      <c r="P3935" s="61">
        <f t="shared" si="322"/>
        <v>1</v>
      </c>
      <c r="R3935" s="272"/>
      <c r="S3935" s="272"/>
    </row>
    <row r="3936" spans="9:19">
      <c r="I3936" s="213"/>
      <c r="J3936" s="213"/>
      <c r="L3936" s="272">
        <f t="shared" si="319"/>
        <v>1900</v>
      </c>
      <c r="M3936" s="272">
        <f t="shared" si="320"/>
        <v>1</v>
      </c>
      <c r="O3936" s="61">
        <f t="shared" si="321"/>
        <v>1900</v>
      </c>
      <c r="P3936" s="61">
        <f t="shared" si="322"/>
        <v>1</v>
      </c>
      <c r="R3936" s="272"/>
      <c r="S3936" s="272"/>
    </row>
    <row r="3937" spans="9:19">
      <c r="I3937" s="213"/>
      <c r="J3937" s="213"/>
      <c r="L3937" s="272">
        <f t="shared" si="319"/>
        <v>1900</v>
      </c>
      <c r="M3937" s="272">
        <f t="shared" si="320"/>
        <v>1</v>
      </c>
      <c r="O3937" s="61">
        <f t="shared" si="321"/>
        <v>1900</v>
      </c>
      <c r="P3937" s="61">
        <f t="shared" si="322"/>
        <v>1</v>
      </c>
      <c r="R3937" s="272"/>
      <c r="S3937" s="272"/>
    </row>
    <row r="3938" spans="9:19">
      <c r="I3938" s="213"/>
      <c r="J3938" s="213"/>
      <c r="L3938" s="272">
        <f t="shared" si="319"/>
        <v>1900</v>
      </c>
      <c r="M3938" s="272">
        <f t="shared" si="320"/>
        <v>1</v>
      </c>
      <c r="O3938" s="61">
        <f t="shared" si="321"/>
        <v>1900</v>
      </c>
      <c r="P3938" s="61">
        <f t="shared" si="322"/>
        <v>1</v>
      </c>
      <c r="R3938" s="272"/>
      <c r="S3938" s="272"/>
    </row>
    <row r="3939" spans="9:19">
      <c r="I3939" s="213"/>
      <c r="J3939" s="213"/>
      <c r="L3939" s="272">
        <f t="shared" si="319"/>
        <v>1900</v>
      </c>
      <c r="M3939" s="272">
        <f t="shared" si="320"/>
        <v>1</v>
      </c>
      <c r="O3939" s="61">
        <f t="shared" si="321"/>
        <v>1900</v>
      </c>
      <c r="P3939" s="61">
        <f t="shared" si="322"/>
        <v>1</v>
      </c>
      <c r="R3939" s="272"/>
      <c r="S3939" s="272"/>
    </row>
    <row r="3940" spans="9:19">
      <c r="I3940" s="213"/>
      <c r="J3940" s="213"/>
      <c r="L3940" s="272">
        <f t="shared" si="319"/>
        <v>1900</v>
      </c>
      <c r="M3940" s="272">
        <f t="shared" si="320"/>
        <v>1</v>
      </c>
      <c r="O3940" s="61">
        <f t="shared" si="321"/>
        <v>1900</v>
      </c>
      <c r="P3940" s="61">
        <f t="shared" si="322"/>
        <v>1</v>
      </c>
      <c r="R3940" s="272"/>
      <c r="S3940" s="272"/>
    </row>
    <row r="3941" spans="9:19">
      <c r="I3941" s="213"/>
      <c r="J3941" s="213"/>
      <c r="L3941" s="272">
        <f t="shared" si="319"/>
        <v>1900</v>
      </c>
      <c r="M3941" s="272">
        <f t="shared" si="320"/>
        <v>1</v>
      </c>
      <c r="O3941" s="61">
        <f t="shared" si="321"/>
        <v>1900</v>
      </c>
      <c r="P3941" s="61">
        <f t="shared" si="322"/>
        <v>1</v>
      </c>
      <c r="R3941" s="272"/>
      <c r="S3941" s="272"/>
    </row>
    <row r="3942" spans="9:19">
      <c r="I3942" s="213"/>
      <c r="J3942" s="213"/>
      <c r="L3942" s="272">
        <f t="shared" si="319"/>
        <v>1900</v>
      </c>
      <c r="M3942" s="272">
        <f t="shared" si="320"/>
        <v>1</v>
      </c>
      <c r="O3942" s="61">
        <f t="shared" si="321"/>
        <v>1900</v>
      </c>
      <c r="P3942" s="61">
        <f t="shared" si="322"/>
        <v>1</v>
      </c>
      <c r="R3942" s="272"/>
      <c r="S3942" s="272"/>
    </row>
    <row r="3943" spans="9:19">
      <c r="I3943" s="213"/>
      <c r="J3943" s="213"/>
      <c r="L3943" s="272">
        <f t="shared" si="319"/>
        <v>1900</v>
      </c>
      <c r="M3943" s="272">
        <f t="shared" si="320"/>
        <v>1</v>
      </c>
      <c r="O3943" s="61">
        <f t="shared" si="321"/>
        <v>1900</v>
      </c>
      <c r="P3943" s="61">
        <f t="shared" si="322"/>
        <v>1</v>
      </c>
      <c r="R3943" s="272"/>
      <c r="S3943" s="272"/>
    </row>
    <row r="3944" spans="9:19">
      <c r="I3944" s="213"/>
      <c r="J3944" s="213"/>
      <c r="L3944" s="272">
        <f t="shared" si="319"/>
        <v>1900</v>
      </c>
      <c r="M3944" s="272">
        <f t="shared" si="320"/>
        <v>1</v>
      </c>
      <c r="O3944" s="61">
        <f t="shared" si="321"/>
        <v>1900</v>
      </c>
      <c r="P3944" s="61">
        <f t="shared" si="322"/>
        <v>1</v>
      </c>
      <c r="R3944" s="272"/>
      <c r="S3944" s="272"/>
    </row>
    <row r="3945" spans="9:19">
      <c r="I3945" s="213"/>
      <c r="J3945" s="213"/>
      <c r="L3945" s="272">
        <f t="shared" si="319"/>
        <v>1900</v>
      </c>
      <c r="M3945" s="272">
        <f t="shared" si="320"/>
        <v>1</v>
      </c>
      <c r="O3945" s="61">
        <f t="shared" si="321"/>
        <v>1900</v>
      </c>
      <c r="P3945" s="61">
        <f t="shared" si="322"/>
        <v>1</v>
      </c>
      <c r="R3945" s="272"/>
      <c r="S3945" s="272"/>
    </row>
    <row r="3946" spans="9:19">
      <c r="I3946" s="213"/>
      <c r="J3946" s="213"/>
      <c r="L3946" s="272">
        <f t="shared" si="319"/>
        <v>1900</v>
      </c>
      <c r="M3946" s="272">
        <f t="shared" si="320"/>
        <v>1</v>
      </c>
      <c r="O3946" s="61">
        <f t="shared" si="321"/>
        <v>1900</v>
      </c>
      <c r="P3946" s="61">
        <f t="shared" si="322"/>
        <v>1</v>
      </c>
      <c r="R3946" s="272"/>
      <c r="S3946" s="272"/>
    </row>
    <row r="3947" spans="9:19">
      <c r="I3947" s="213"/>
      <c r="J3947" s="213"/>
      <c r="L3947" s="272">
        <f t="shared" si="319"/>
        <v>1900</v>
      </c>
      <c r="M3947" s="272">
        <f t="shared" si="320"/>
        <v>1</v>
      </c>
      <c r="O3947" s="61">
        <f t="shared" si="321"/>
        <v>1900</v>
      </c>
      <c r="P3947" s="61">
        <f t="shared" si="322"/>
        <v>1</v>
      </c>
      <c r="R3947" s="272"/>
      <c r="S3947" s="272"/>
    </row>
    <row r="3948" spans="9:19">
      <c r="I3948" s="213"/>
      <c r="J3948" s="213"/>
      <c r="L3948" s="272">
        <f t="shared" si="319"/>
        <v>1900</v>
      </c>
      <c r="M3948" s="272">
        <f t="shared" si="320"/>
        <v>1</v>
      </c>
      <c r="O3948" s="61">
        <f t="shared" si="321"/>
        <v>1900</v>
      </c>
      <c r="P3948" s="61">
        <f t="shared" si="322"/>
        <v>1</v>
      </c>
      <c r="R3948" s="272"/>
      <c r="S3948" s="272"/>
    </row>
    <row r="3949" spans="9:19">
      <c r="I3949" s="213"/>
      <c r="J3949" s="213"/>
      <c r="L3949" s="272">
        <f t="shared" si="319"/>
        <v>1900</v>
      </c>
      <c r="M3949" s="272">
        <f t="shared" si="320"/>
        <v>1</v>
      </c>
      <c r="O3949" s="61">
        <f t="shared" si="321"/>
        <v>1900</v>
      </c>
      <c r="P3949" s="61">
        <f t="shared" si="322"/>
        <v>1</v>
      </c>
      <c r="R3949" s="272"/>
      <c r="S3949" s="272"/>
    </row>
    <row r="3950" spans="9:19">
      <c r="I3950" s="213"/>
      <c r="J3950" s="213"/>
      <c r="L3950" s="272">
        <f t="shared" si="319"/>
        <v>1900</v>
      </c>
      <c r="M3950" s="272">
        <f t="shared" si="320"/>
        <v>1</v>
      </c>
      <c r="O3950" s="61">
        <f t="shared" si="321"/>
        <v>1900</v>
      </c>
      <c r="P3950" s="61">
        <f t="shared" si="322"/>
        <v>1</v>
      </c>
      <c r="R3950" s="272"/>
      <c r="S3950" s="272"/>
    </row>
    <row r="3951" spans="9:19">
      <c r="I3951" s="213"/>
      <c r="J3951" s="213"/>
      <c r="L3951" s="272">
        <f t="shared" si="319"/>
        <v>1900</v>
      </c>
      <c r="M3951" s="272">
        <f t="shared" si="320"/>
        <v>1</v>
      </c>
      <c r="O3951" s="61">
        <f t="shared" si="321"/>
        <v>1900</v>
      </c>
      <c r="P3951" s="61">
        <f t="shared" si="322"/>
        <v>1</v>
      </c>
      <c r="R3951" s="272"/>
      <c r="S3951" s="272"/>
    </row>
    <row r="3952" spans="9:19">
      <c r="I3952" s="213"/>
      <c r="J3952" s="213"/>
      <c r="L3952" s="272">
        <f t="shared" si="319"/>
        <v>1900</v>
      </c>
      <c r="M3952" s="272">
        <f t="shared" si="320"/>
        <v>1</v>
      </c>
      <c r="O3952" s="61">
        <f t="shared" si="321"/>
        <v>1900</v>
      </c>
      <c r="P3952" s="61">
        <f t="shared" si="322"/>
        <v>1</v>
      </c>
      <c r="R3952" s="272"/>
      <c r="S3952" s="272"/>
    </row>
    <row r="3953" spans="9:19">
      <c r="I3953" s="213"/>
      <c r="J3953" s="213"/>
      <c r="L3953" s="272">
        <f t="shared" si="319"/>
        <v>1900</v>
      </c>
      <c r="M3953" s="272">
        <f t="shared" si="320"/>
        <v>1</v>
      </c>
      <c r="O3953" s="61">
        <f t="shared" si="321"/>
        <v>1900</v>
      </c>
      <c r="P3953" s="61">
        <f t="shared" si="322"/>
        <v>1</v>
      </c>
      <c r="R3953" s="272"/>
      <c r="S3953" s="272"/>
    </row>
    <row r="3954" spans="9:19">
      <c r="I3954" s="213"/>
      <c r="J3954" s="213"/>
      <c r="L3954" s="272">
        <f t="shared" si="319"/>
        <v>1900</v>
      </c>
      <c r="M3954" s="272">
        <f t="shared" si="320"/>
        <v>1</v>
      </c>
      <c r="O3954" s="61">
        <f t="shared" si="321"/>
        <v>1900</v>
      </c>
      <c r="P3954" s="61">
        <f t="shared" si="322"/>
        <v>1</v>
      </c>
      <c r="R3954" s="272"/>
      <c r="S3954" s="272"/>
    </row>
    <row r="3955" spans="9:19">
      <c r="I3955" s="213"/>
      <c r="J3955" s="213"/>
      <c r="L3955" s="272">
        <f t="shared" si="319"/>
        <v>1900</v>
      </c>
      <c r="M3955" s="272">
        <f t="shared" si="320"/>
        <v>1</v>
      </c>
      <c r="O3955" s="61">
        <f t="shared" si="321"/>
        <v>1900</v>
      </c>
      <c r="P3955" s="61">
        <f t="shared" si="322"/>
        <v>1</v>
      </c>
      <c r="R3955" s="272"/>
      <c r="S3955" s="272"/>
    </row>
    <row r="3956" spans="9:19">
      <c r="I3956" s="213"/>
      <c r="J3956" s="213"/>
      <c r="L3956" s="272">
        <f t="shared" si="319"/>
        <v>1900</v>
      </c>
      <c r="M3956" s="272">
        <f t="shared" si="320"/>
        <v>1</v>
      </c>
      <c r="O3956" s="61">
        <f t="shared" si="321"/>
        <v>1900</v>
      </c>
      <c r="P3956" s="61">
        <f t="shared" si="322"/>
        <v>1</v>
      </c>
      <c r="R3956" s="272"/>
      <c r="S3956" s="272"/>
    </row>
    <row r="3957" spans="9:19">
      <c r="I3957" s="213"/>
      <c r="J3957" s="213"/>
      <c r="L3957" s="272">
        <f t="shared" si="319"/>
        <v>1900</v>
      </c>
      <c r="M3957" s="272">
        <f t="shared" si="320"/>
        <v>1</v>
      </c>
      <c r="O3957" s="61">
        <f t="shared" si="321"/>
        <v>1900</v>
      </c>
      <c r="P3957" s="61">
        <f t="shared" si="322"/>
        <v>1</v>
      </c>
      <c r="R3957" s="272"/>
      <c r="S3957" s="272"/>
    </row>
    <row r="3958" spans="9:19">
      <c r="I3958" s="213"/>
      <c r="J3958" s="213"/>
      <c r="L3958" s="272">
        <f t="shared" si="319"/>
        <v>1900</v>
      </c>
      <c r="M3958" s="272">
        <f t="shared" si="320"/>
        <v>1</v>
      </c>
      <c r="O3958" s="61">
        <f t="shared" si="321"/>
        <v>1900</v>
      </c>
      <c r="P3958" s="61">
        <f t="shared" si="322"/>
        <v>1</v>
      </c>
      <c r="R3958" s="272"/>
      <c r="S3958" s="272"/>
    </row>
    <row r="3959" spans="9:19">
      <c r="I3959" s="213"/>
      <c r="J3959" s="213"/>
      <c r="L3959" s="272">
        <f t="shared" si="319"/>
        <v>1900</v>
      </c>
      <c r="M3959" s="272">
        <f t="shared" si="320"/>
        <v>1</v>
      </c>
      <c r="O3959" s="61">
        <f t="shared" si="321"/>
        <v>1900</v>
      </c>
      <c r="P3959" s="61">
        <f t="shared" si="322"/>
        <v>1</v>
      </c>
      <c r="R3959" s="272"/>
      <c r="S3959" s="272"/>
    </row>
    <row r="3960" spans="9:19">
      <c r="I3960" s="213"/>
      <c r="J3960" s="213"/>
      <c r="L3960" s="272">
        <f t="shared" si="319"/>
        <v>1900</v>
      </c>
      <c r="M3960" s="272">
        <f t="shared" si="320"/>
        <v>1</v>
      </c>
      <c r="O3960" s="61">
        <f t="shared" si="321"/>
        <v>1900</v>
      </c>
      <c r="P3960" s="61">
        <f t="shared" si="322"/>
        <v>1</v>
      </c>
      <c r="R3960" s="272"/>
      <c r="S3960" s="272"/>
    </row>
    <row r="3961" spans="9:19">
      <c r="I3961" s="213"/>
      <c r="J3961" s="213"/>
      <c r="L3961" s="272">
        <f t="shared" si="319"/>
        <v>1900</v>
      </c>
      <c r="M3961" s="272">
        <f t="shared" si="320"/>
        <v>1</v>
      </c>
      <c r="O3961" s="61">
        <f t="shared" si="321"/>
        <v>1900</v>
      </c>
      <c r="P3961" s="61">
        <f t="shared" si="322"/>
        <v>1</v>
      </c>
      <c r="R3961" s="272"/>
      <c r="S3961" s="272"/>
    </row>
    <row r="3962" spans="9:19">
      <c r="I3962" s="213"/>
      <c r="J3962" s="213"/>
      <c r="L3962" s="272">
        <f t="shared" si="319"/>
        <v>1900</v>
      </c>
      <c r="M3962" s="272">
        <f t="shared" si="320"/>
        <v>1</v>
      </c>
      <c r="O3962" s="61">
        <f t="shared" si="321"/>
        <v>1900</v>
      </c>
      <c r="P3962" s="61">
        <f t="shared" si="322"/>
        <v>1</v>
      </c>
      <c r="R3962" s="272"/>
      <c r="S3962" s="272"/>
    </row>
    <row r="3963" spans="9:19">
      <c r="I3963" s="213"/>
      <c r="J3963" s="213"/>
      <c r="L3963" s="272">
        <f t="shared" si="319"/>
        <v>1900</v>
      </c>
      <c r="M3963" s="272">
        <f t="shared" si="320"/>
        <v>1</v>
      </c>
      <c r="O3963" s="61">
        <f t="shared" si="321"/>
        <v>1900</v>
      </c>
      <c r="P3963" s="61">
        <f t="shared" si="322"/>
        <v>1</v>
      </c>
      <c r="R3963" s="272"/>
      <c r="S3963" s="272"/>
    </row>
    <row r="3964" spans="9:19">
      <c r="I3964" s="213"/>
      <c r="J3964" s="213"/>
      <c r="L3964" s="272">
        <f t="shared" si="319"/>
        <v>1900</v>
      </c>
      <c r="M3964" s="272">
        <f t="shared" si="320"/>
        <v>1</v>
      </c>
      <c r="O3964" s="61">
        <f t="shared" si="321"/>
        <v>1900</v>
      </c>
      <c r="P3964" s="61">
        <f t="shared" si="322"/>
        <v>1</v>
      </c>
      <c r="R3964" s="272"/>
      <c r="S3964" s="272"/>
    </row>
    <row r="3965" spans="9:19">
      <c r="I3965" s="213"/>
      <c r="J3965" s="213"/>
      <c r="L3965" s="272">
        <f t="shared" si="319"/>
        <v>1900</v>
      </c>
      <c r="M3965" s="272">
        <f t="shared" si="320"/>
        <v>1</v>
      </c>
      <c r="O3965" s="61">
        <f t="shared" si="321"/>
        <v>1900</v>
      </c>
      <c r="P3965" s="61">
        <f t="shared" si="322"/>
        <v>1</v>
      </c>
      <c r="R3965" s="272"/>
      <c r="S3965" s="272"/>
    </row>
    <row r="3966" spans="9:19">
      <c r="I3966" s="213"/>
      <c r="J3966" s="213"/>
      <c r="L3966" s="272">
        <f t="shared" si="319"/>
        <v>1900</v>
      </c>
      <c r="M3966" s="272">
        <f t="shared" si="320"/>
        <v>1</v>
      </c>
      <c r="O3966" s="61">
        <f t="shared" si="321"/>
        <v>1900</v>
      </c>
      <c r="P3966" s="61">
        <f t="shared" si="322"/>
        <v>1</v>
      </c>
      <c r="R3966" s="272"/>
      <c r="S3966" s="272"/>
    </row>
    <row r="3967" spans="9:19">
      <c r="I3967" s="213"/>
      <c r="J3967" s="213"/>
      <c r="L3967" s="272">
        <f t="shared" si="319"/>
        <v>1900</v>
      </c>
      <c r="M3967" s="272">
        <f t="shared" si="320"/>
        <v>1</v>
      </c>
      <c r="O3967" s="61">
        <f t="shared" si="321"/>
        <v>1900</v>
      </c>
      <c r="P3967" s="61">
        <f t="shared" si="322"/>
        <v>1</v>
      </c>
      <c r="R3967" s="272"/>
      <c r="S3967" s="272"/>
    </row>
    <row r="3968" spans="9:19">
      <c r="I3968" s="213"/>
      <c r="J3968" s="213"/>
      <c r="L3968" s="272">
        <f t="shared" si="319"/>
        <v>1900</v>
      </c>
      <c r="M3968" s="272">
        <f t="shared" si="320"/>
        <v>1</v>
      </c>
      <c r="O3968" s="61">
        <f t="shared" si="321"/>
        <v>1900</v>
      </c>
      <c r="P3968" s="61">
        <f t="shared" si="322"/>
        <v>1</v>
      </c>
      <c r="R3968" s="272"/>
      <c r="S3968" s="272"/>
    </row>
    <row r="3969" spans="9:19">
      <c r="I3969" s="213"/>
      <c r="J3969" s="213"/>
      <c r="L3969" s="272">
        <f t="shared" si="319"/>
        <v>1900</v>
      </c>
      <c r="M3969" s="272">
        <f t="shared" si="320"/>
        <v>1</v>
      </c>
      <c r="O3969" s="61">
        <f t="shared" si="321"/>
        <v>1900</v>
      </c>
      <c r="P3969" s="61">
        <f t="shared" si="322"/>
        <v>1</v>
      </c>
      <c r="R3969" s="272"/>
      <c r="S3969" s="272"/>
    </row>
    <row r="3970" spans="9:19">
      <c r="I3970" s="213"/>
      <c r="J3970" s="213"/>
      <c r="L3970" s="272">
        <f t="shared" si="319"/>
        <v>1900</v>
      </c>
      <c r="M3970" s="272">
        <f t="shared" si="320"/>
        <v>1</v>
      </c>
      <c r="O3970" s="61">
        <f t="shared" si="321"/>
        <v>1900</v>
      </c>
      <c r="P3970" s="61">
        <f t="shared" si="322"/>
        <v>1</v>
      </c>
      <c r="R3970" s="272"/>
      <c r="S3970" s="272"/>
    </row>
    <row r="3971" spans="9:19">
      <c r="I3971" s="213"/>
      <c r="J3971" s="213"/>
      <c r="L3971" s="272">
        <f t="shared" si="319"/>
        <v>1900</v>
      </c>
      <c r="M3971" s="272">
        <f t="shared" si="320"/>
        <v>1</v>
      </c>
      <c r="O3971" s="61">
        <f t="shared" si="321"/>
        <v>1900</v>
      </c>
      <c r="P3971" s="61">
        <f t="shared" si="322"/>
        <v>1</v>
      </c>
      <c r="R3971" s="272"/>
      <c r="S3971" s="272"/>
    </row>
    <row r="3972" spans="9:19">
      <c r="I3972" s="213"/>
      <c r="J3972" s="213"/>
      <c r="L3972" s="272">
        <f t="shared" si="319"/>
        <v>1900</v>
      </c>
      <c r="M3972" s="272">
        <f t="shared" si="320"/>
        <v>1</v>
      </c>
      <c r="O3972" s="61">
        <f t="shared" si="321"/>
        <v>1900</v>
      </c>
      <c r="P3972" s="61">
        <f t="shared" si="322"/>
        <v>1</v>
      </c>
      <c r="R3972" s="272"/>
      <c r="S3972" s="272"/>
    </row>
    <row r="3973" spans="9:19">
      <c r="I3973" s="213"/>
      <c r="J3973" s="213"/>
      <c r="L3973" s="272">
        <f t="shared" si="319"/>
        <v>1900</v>
      </c>
      <c r="M3973" s="272">
        <f t="shared" si="320"/>
        <v>1</v>
      </c>
      <c r="O3973" s="61">
        <f t="shared" si="321"/>
        <v>1900</v>
      </c>
      <c r="P3973" s="61">
        <f t="shared" si="322"/>
        <v>1</v>
      </c>
      <c r="R3973" s="272"/>
      <c r="S3973" s="272"/>
    </row>
    <row r="3974" spans="9:19">
      <c r="I3974" s="213"/>
      <c r="J3974" s="213"/>
      <c r="L3974" s="272">
        <f t="shared" si="319"/>
        <v>1900</v>
      </c>
      <c r="M3974" s="272">
        <f t="shared" si="320"/>
        <v>1</v>
      </c>
      <c r="O3974" s="61">
        <f t="shared" si="321"/>
        <v>1900</v>
      </c>
      <c r="P3974" s="61">
        <f t="shared" si="322"/>
        <v>1</v>
      </c>
      <c r="R3974" s="272"/>
      <c r="S3974" s="272"/>
    </row>
    <row r="3975" spans="9:19">
      <c r="I3975" s="213"/>
      <c r="J3975" s="213"/>
      <c r="L3975" s="272">
        <f t="shared" si="319"/>
        <v>1900</v>
      </c>
      <c r="M3975" s="272">
        <f t="shared" si="320"/>
        <v>1</v>
      </c>
      <c r="O3975" s="61">
        <f t="shared" si="321"/>
        <v>1900</v>
      </c>
      <c r="P3975" s="61">
        <f t="shared" si="322"/>
        <v>1</v>
      </c>
      <c r="R3975" s="272"/>
      <c r="S3975" s="272"/>
    </row>
    <row r="3976" spans="9:19">
      <c r="I3976" s="213"/>
      <c r="J3976" s="213"/>
      <c r="L3976" s="272">
        <f t="shared" si="319"/>
        <v>1900</v>
      </c>
      <c r="M3976" s="272">
        <f t="shared" si="320"/>
        <v>1</v>
      </c>
      <c r="O3976" s="61">
        <f t="shared" si="321"/>
        <v>1900</v>
      </c>
      <c r="P3976" s="61">
        <f t="shared" si="322"/>
        <v>1</v>
      </c>
      <c r="R3976" s="272"/>
      <c r="S3976" s="272"/>
    </row>
    <row r="3977" spans="9:19">
      <c r="I3977" s="213"/>
      <c r="J3977" s="213"/>
      <c r="L3977" s="272">
        <f t="shared" si="319"/>
        <v>1900</v>
      </c>
      <c r="M3977" s="272">
        <f t="shared" si="320"/>
        <v>1</v>
      </c>
      <c r="O3977" s="61">
        <f t="shared" si="321"/>
        <v>1900</v>
      </c>
      <c r="P3977" s="61">
        <f t="shared" si="322"/>
        <v>1</v>
      </c>
      <c r="R3977" s="272"/>
      <c r="S3977" s="272"/>
    </row>
    <row r="3978" spans="9:19">
      <c r="I3978" s="213"/>
      <c r="J3978" s="213"/>
      <c r="L3978" s="272">
        <f t="shared" si="319"/>
        <v>1900</v>
      </c>
      <c r="M3978" s="272">
        <f t="shared" si="320"/>
        <v>1</v>
      </c>
      <c r="O3978" s="61">
        <f t="shared" si="321"/>
        <v>1900</v>
      </c>
      <c r="P3978" s="61">
        <f t="shared" si="322"/>
        <v>1</v>
      </c>
      <c r="R3978" s="272"/>
      <c r="S3978" s="272"/>
    </row>
    <row r="3979" spans="9:19">
      <c r="I3979" s="213"/>
      <c r="J3979" s="213"/>
      <c r="L3979" s="272">
        <f t="shared" si="319"/>
        <v>1900</v>
      </c>
      <c r="M3979" s="272">
        <f t="shared" si="320"/>
        <v>1</v>
      </c>
      <c r="O3979" s="61">
        <f t="shared" si="321"/>
        <v>1900</v>
      </c>
      <c r="P3979" s="61">
        <f t="shared" si="322"/>
        <v>1</v>
      </c>
      <c r="R3979" s="272"/>
      <c r="S3979" s="272"/>
    </row>
    <row r="3980" spans="9:19">
      <c r="I3980" s="213"/>
      <c r="J3980" s="213"/>
      <c r="L3980" s="272">
        <f t="shared" si="319"/>
        <v>1900</v>
      </c>
      <c r="M3980" s="272">
        <f t="shared" si="320"/>
        <v>1</v>
      </c>
      <c r="O3980" s="61">
        <f t="shared" si="321"/>
        <v>1900</v>
      </c>
      <c r="P3980" s="61">
        <f t="shared" si="322"/>
        <v>1</v>
      </c>
      <c r="R3980" s="272"/>
      <c r="S3980" s="272"/>
    </row>
    <row r="3981" spans="9:19">
      <c r="I3981" s="213"/>
      <c r="J3981" s="213"/>
      <c r="L3981" s="272">
        <f t="shared" si="319"/>
        <v>1900</v>
      </c>
      <c r="M3981" s="272">
        <f t="shared" si="320"/>
        <v>1</v>
      </c>
      <c r="O3981" s="61">
        <f t="shared" si="321"/>
        <v>1900</v>
      </c>
      <c r="P3981" s="61">
        <f t="shared" si="322"/>
        <v>1</v>
      </c>
      <c r="R3981" s="272"/>
      <c r="S3981" s="272"/>
    </row>
    <row r="3982" spans="9:19">
      <c r="I3982" s="213"/>
      <c r="J3982" s="213"/>
      <c r="L3982" s="272">
        <f t="shared" si="319"/>
        <v>1900</v>
      </c>
      <c r="M3982" s="272">
        <f t="shared" si="320"/>
        <v>1</v>
      </c>
      <c r="O3982" s="61">
        <f t="shared" si="321"/>
        <v>1900</v>
      </c>
      <c r="P3982" s="61">
        <f t="shared" si="322"/>
        <v>1</v>
      </c>
      <c r="R3982" s="272"/>
      <c r="S3982" s="272"/>
    </row>
    <row r="3983" spans="9:19">
      <c r="I3983" s="213"/>
      <c r="J3983" s="213"/>
      <c r="L3983" s="272">
        <f t="shared" si="319"/>
        <v>1900</v>
      </c>
      <c r="M3983" s="272">
        <f t="shared" si="320"/>
        <v>1</v>
      </c>
      <c r="O3983" s="61">
        <f t="shared" si="321"/>
        <v>1900</v>
      </c>
      <c r="P3983" s="61">
        <f t="shared" si="322"/>
        <v>1</v>
      </c>
      <c r="R3983" s="272"/>
      <c r="S3983" s="272"/>
    </row>
    <row r="3984" spans="9:19">
      <c r="I3984" s="213"/>
      <c r="J3984" s="213"/>
      <c r="L3984" s="272">
        <f t="shared" ref="L3984:L4047" si="323">YEAR(B3984)</f>
        <v>1900</v>
      </c>
      <c r="M3984" s="272">
        <f t="shared" ref="M3984:M4047" si="324">MONTH(B3984)</f>
        <v>1</v>
      </c>
      <c r="O3984" s="61">
        <f t="shared" ref="O3984:O4047" si="325">YEAR(B3984)</f>
        <v>1900</v>
      </c>
      <c r="P3984" s="61">
        <f t="shared" ref="P3984:P4047" si="326">MONTH(B3984)</f>
        <v>1</v>
      </c>
      <c r="R3984" s="272"/>
      <c r="S3984" s="272"/>
    </row>
    <row r="3985" spans="9:19">
      <c r="I3985" s="213"/>
      <c r="J3985" s="213"/>
      <c r="L3985" s="272">
        <f t="shared" si="323"/>
        <v>1900</v>
      </c>
      <c r="M3985" s="272">
        <f t="shared" si="324"/>
        <v>1</v>
      </c>
      <c r="O3985" s="61">
        <f t="shared" si="325"/>
        <v>1900</v>
      </c>
      <c r="P3985" s="61">
        <f t="shared" si="326"/>
        <v>1</v>
      </c>
      <c r="R3985" s="272"/>
      <c r="S3985" s="272"/>
    </row>
    <row r="3986" spans="9:19">
      <c r="I3986" s="213"/>
      <c r="J3986" s="213"/>
      <c r="L3986" s="272">
        <f t="shared" si="323"/>
        <v>1900</v>
      </c>
      <c r="M3986" s="272">
        <f t="shared" si="324"/>
        <v>1</v>
      </c>
      <c r="O3986" s="61">
        <f t="shared" si="325"/>
        <v>1900</v>
      </c>
      <c r="P3986" s="61">
        <f t="shared" si="326"/>
        <v>1</v>
      </c>
      <c r="R3986" s="272"/>
      <c r="S3986" s="272"/>
    </row>
    <row r="3987" spans="9:19">
      <c r="I3987" s="213"/>
      <c r="J3987" s="213"/>
      <c r="L3987" s="272">
        <f t="shared" si="323"/>
        <v>1900</v>
      </c>
      <c r="M3987" s="272">
        <f t="shared" si="324"/>
        <v>1</v>
      </c>
      <c r="O3987" s="61">
        <f t="shared" si="325"/>
        <v>1900</v>
      </c>
      <c r="P3987" s="61">
        <f t="shared" si="326"/>
        <v>1</v>
      </c>
      <c r="R3987" s="272"/>
      <c r="S3987" s="272"/>
    </row>
    <row r="3988" spans="9:19">
      <c r="I3988" s="213"/>
      <c r="J3988" s="213"/>
      <c r="L3988" s="272">
        <f t="shared" si="323"/>
        <v>1900</v>
      </c>
      <c r="M3988" s="272">
        <f t="shared" si="324"/>
        <v>1</v>
      </c>
      <c r="O3988" s="61">
        <f t="shared" si="325"/>
        <v>1900</v>
      </c>
      <c r="P3988" s="61">
        <f t="shared" si="326"/>
        <v>1</v>
      </c>
      <c r="R3988" s="272"/>
      <c r="S3988" s="272"/>
    </row>
    <row r="3989" spans="9:19">
      <c r="I3989" s="213"/>
      <c r="J3989" s="213"/>
      <c r="L3989" s="272">
        <f t="shared" si="323"/>
        <v>1900</v>
      </c>
      <c r="M3989" s="272">
        <f t="shared" si="324"/>
        <v>1</v>
      </c>
      <c r="O3989" s="61">
        <f t="shared" si="325"/>
        <v>1900</v>
      </c>
      <c r="P3989" s="61">
        <f t="shared" si="326"/>
        <v>1</v>
      </c>
      <c r="R3989" s="272"/>
      <c r="S3989" s="272"/>
    </row>
    <row r="3990" spans="9:19">
      <c r="I3990" s="213"/>
      <c r="J3990" s="213"/>
      <c r="L3990" s="272">
        <f t="shared" si="323"/>
        <v>1900</v>
      </c>
      <c r="M3990" s="272">
        <f t="shared" si="324"/>
        <v>1</v>
      </c>
      <c r="O3990" s="61">
        <f t="shared" si="325"/>
        <v>1900</v>
      </c>
      <c r="P3990" s="61">
        <f t="shared" si="326"/>
        <v>1</v>
      </c>
      <c r="R3990" s="272"/>
      <c r="S3990" s="272"/>
    </row>
    <row r="3991" spans="9:19">
      <c r="I3991" s="213"/>
      <c r="J3991" s="213"/>
      <c r="L3991" s="272">
        <f t="shared" si="323"/>
        <v>1900</v>
      </c>
      <c r="M3991" s="272">
        <f t="shared" si="324"/>
        <v>1</v>
      </c>
      <c r="O3991" s="61">
        <f t="shared" si="325"/>
        <v>1900</v>
      </c>
      <c r="P3991" s="61">
        <f t="shared" si="326"/>
        <v>1</v>
      </c>
      <c r="R3991" s="272"/>
      <c r="S3991" s="272"/>
    </row>
    <row r="3992" spans="9:19">
      <c r="I3992" s="213"/>
      <c r="J3992" s="213"/>
      <c r="L3992" s="272">
        <f t="shared" si="323"/>
        <v>1900</v>
      </c>
      <c r="M3992" s="272">
        <f t="shared" si="324"/>
        <v>1</v>
      </c>
      <c r="O3992" s="61">
        <f t="shared" si="325"/>
        <v>1900</v>
      </c>
      <c r="P3992" s="61">
        <f t="shared" si="326"/>
        <v>1</v>
      </c>
      <c r="R3992" s="272"/>
      <c r="S3992" s="272"/>
    </row>
    <row r="3993" spans="9:19">
      <c r="I3993" s="213"/>
      <c r="J3993" s="213"/>
      <c r="L3993" s="272">
        <f t="shared" si="323"/>
        <v>1900</v>
      </c>
      <c r="M3993" s="272">
        <f t="shared" si="324"/>
        <v>1</v>
      </c>
      <c r="O3993" s="61">
        <f t="shared" si="325"/>
        <v>1900</v>
      </c>
      <c r="P3993" s="61">
        <f t="shared" si="326"/>
        <v>1</v>
      </c>
      <c r="R3993" s="272"/>
      <c r="S3993" s="272"/>
    </row>
    <row r="3994" spans="9:19">
      <c r="I3994" s="213"/>
      <c r="J3994" s="213"/>
      <c r="L3994" s="272">
        <f t="shared" si="323"/>
        <v>1900</v>
      </c>
      <c r="M3994" s="272">
        <f t="shared" si="324"/>
        <v>1</v>
      </c>
      <c r="O3994" s="61">
        <f t="shared" si="325"/>
        <v>1900</v>
      </c>
      <c r="P3994" s="61">
        <f t="shared" si="326"/>
        <v>1</v>
      </c>
      <c r="R3994" s="272"/>
      <c r="S3994" s="272"/>
    </row>
    <row r="3995" spans="9:19">
      <c r="I3995" s="213"/>
      <c r="J3995" s="213"/>
      <c r="L3995" s="272">
        <f t="shared" si="323"/>
        <v>1900</v>
      </c>
      <c r="M3995" s="272">
        <f t="shared" si="324"/>
        <v>1</v>
      </c>
      <c r="O3995" s="61">
        <f t="shared" si="325"/>
        <v>1900</v>
      </c>
      <c r="P3995" s="61">
        <f t="shared" si="326"/>
        <v>1</v>
      </c>
      <c r="R3995" s="272"/>
      <c r="S3995" s="272"/>
    </row>
    <row r="3996" spans="9:19">
      <c r="I3996" s="213"/>
      <c r="J3996" s="213"/>
      <c r="L3996" s="272">
        <f t="shared" si="323"/>
        <v>1900</v>
      </c>
      <c r="M3996" s="272">
        <f t="shared" si="324"/>
        <v>1</v>
      </c>
      <c r="O3996" s="61">
        <f t="shared" si="325"/>
        <v>1900</v>
      </c>
      <c r="P3996" s="61">
        <f t="shared" si="326"/>
        <v>1</v>
      </c>
      <c r="R3996" s="272"/>
      <c r="S3996" s="272"/>
    </row>
    <row r="3997" spans="9:19">
      <c r="I3997" s="213"/>
      <c r="J3997" s="213"/>
      <c r="L3997" s="272">
        <f t="shared" si="323"/>
        <v>1900</v>
      </c>
      <c r="M3997" s="272">
        <f t="shared" si="324"/>
        <v>1</v>
      </c>
      <c r="O3997" s="61">
        <f t="shared" si="325"/>
        <v>1900</v>
      </c>
      <c r="P3997" s="61">
        <f t="shared" si="326"/>
        <v>1</v>
      </c>
      <c r="R3997" s="272"/>
      <c r="S3997" s="272"/>
    </row>
    <row r="3998" spans="9:19">
      <c r="I3998" s="213"/>
      <c r="J3998" s="213"/>
      <c r="L3998" s="272">
        <f t="shared" si="323"/>
        <v>1900</v>
      </c>
      <c r="M3998" s="272">
        <f t="shared" si="324"/>
        <v>1</v>
      </c>
      <c r="O3998" s="61">
        <f t="shared" si="325"/>
        <v>1900</v>
      </c>
      <c r="P3998" s="61">
        <f t="shared" si="326"/>
        <v>1</v>
      </c>
      <c r="R3998" s="272"/>
      <c r="S3998" s="272"/>
    </row>
    <row r="3999" spans="9:19">
      <c r="I3999" s="213"/>
      <c r="J3999" s="213"/>
      <c r="L3999" s="272">
        <f t="shared" si="323"/>
        <v>1900</v>
      </c>
      <c r="M3999" s="272">
        <f t="shared" si="324"/>
        <v>1</v>
      </c>
      <c r="O3999" s="61">
        <f t="shared" si="325"/>
        <v>1900</v>
      </c>
      <c r="P3999" s="61">
        <f t="shared" si="326"/>
        <v>1</v>
      </c>
      <c r="R3999" s="272"/>
      <c r="S3999" s="272"/>
    </row>
    <row r="4000" spans="9:19">
      <c r="I4000" s="213"/>
      <c r="J4000" s="213"/>
      <c r="L4000" s="272">
        <f t="shared" si="323"/>
        <v>1900</v>
      </c>
      <c r="M4000" s="272">
        <f t="shared" si="324"/>
        <v>1</v>
      </c>
      <c r="O4000" s="61">
        <f t="shared" si="325"/>
        <v>1900</v>
      </c>
      <c r="P4000" s="61">
        <f t="shared" si="326"/>
        <v>1</v>
      </c>
      <c r="R4000" s="272"/>
      <c r="S4000" s="272"/>
    </row>
    <row r="4001" spans="9:19">
      <c r="I4001" s="213"/>
      <c r="J4001" s="213"/>
      <c r="L4001" s="272">
        <f t="shared" si="323"/>
        <v>1900</v>
      </c>
      <c r="M4001" s="272">
        <f t="shared" si="324"/>
        <v>1</v>
      </c>
      <c r="O4001" s="61">
        <f t="shared" si="325"/>
        <v>1900</v>
      </c>
      <c r="P4001" s="61">
        <f t="shared" si="326"/>
        <v>1</v>
      </c>
      <c r="R4001" s="272"/>
      <c r="S4001" s="272"/>
    </row>
    <row r="4002" spans="9:19">
      <c r="I4002" s="213"/>
      <c r="J4002" s="213"/>
      <c r="L4002" s="272">
        <f t="shared" si="323"/>
        <v>1900</v>
      </c>
      <c r="M4002" s="272">
        <f t="shared" si="324"/>
        <v>1</v>
      </c>
      <c r="O4002" s="61">
        <f t="shared" si="325"/>
        <v>1900</v>
      </c>
      <c r="P4002" s="61">
        <f t="shared" si="326"/>
        <v>1</v>
      </c>
      <c r="R4002" s="272"/>
      <c r="S4002" s="272"/>
    </row>
    <row r="4003" spans="9:19">
      <c r="I4003" s="213"/>
      <c r="J4003" s="213"/>
      <c r="L4003" s="272">
        <f t="shared" si="323"/>
        <v>1900</v>
      </c>
      <c r="M4003" s="272">
        <f t="shared" si="324"/>
        <v>1</v>
      </c>
      <c r="O4003" s="61">
        <f t="shared" si="325"/>
        <v>1900</v>
      </c>
      <c r="P4003" s="61">
        <f t="shared" si="326"/>
        <v>1</v>
      </c>
      <c r="R4003" s="272"/>
      <c r="S4003" s="272"/>
    </row>
    <row r="4004" spans="9:19">
      <c r="I4004" s="213"/>
      <c r="J4004" s="213"/>
      <c r="L4004" s="272">
        <f t="shared" si="323"/>
        <v>1900</v>
      </c>
      <c r="M4004" s="272">
        <f t="shared" si="324"/>
        <v>1</v>
      </c>
      <c r="O4004" s="61">
        <f t="shared" si="325"/>
        <v>1900</v>
      </c>
      <c r="P4004" s="61">
        <f t="shared" si="326"/>
        <v>1</v>
      </c>
      <c r="R4004" s="272"/>
      <c r="S4004" s="272"/>
    </row>
    <row r="4005" spans="9:19">
      <c r="I4005" s="213"/>
      <c r="J4005" s="213"/>
      <c r="L4005" s="272">
        <f t="shared" si="323"/>
        <v>1900</v>
      </c>
      <c r="M4005" s="272">
        <f t="shared" si="324"/>
        <v>1</v>
      </c>
      <c r="O4005" s="61">
        <f t="shared" si="325"/>
        <v>1900</v>
      </c>
      <c r="P4005" s="61">
        <f t="shared" si="326"/>
        <v>1</v>
      </c>
      <c r="R4005" s="272"/>
      <c r="S4005" s="272"/>
    </row>
    <row r="4006" spans="9:19">
      <c r="I4006" s="213"/>
      <c r="J4006" s="213"/>
      <c r="L4006" s="272">
        <f t="shared" si="323"/>
        <v>1900</v>
      </c>
      <c r="M4006" s="272">
        <f t="shared" si="324"/>
        <v>1</v>
      </c>
      <c r="O4006" s="61">
        <f t="shared" si="325"/>
        <v>1900</v>
      </c>
      <c r="P4006" s="61">
        <f t="shared" si="326"/>
        <v>1</v>
      </c>
      <c r="R4006" s="272"/>
      <c r="S4006" s="272"/>
    </row>
    <row r="4007" spans="9:19">
      <c r="I4007" s="213"/>
      <c r="J4007" s="213"/>
      <c r="L4007" s="272">
        <f t="shared" si="323"/>
        <v>1900</v>
      </c>
      <c r="M4007" s="272">
        <f t="shared" si="324"/>
        <v>1</v>
      </c>
      <c r="O4007" s="61">
        <f t="shared" si="325"/>
        <v>1900</v>
      </c>
      <c r="P4007" s="61">
        <f t="shared" si="326"/>
        <v>1</v>
      </c>
      <c r="R4007" s="272"/>
      <c r="S4007" s="272"/>
    </row>
    <row r="4008" spans="9:19">
      <c r="I4008" s="213"/>
      <c r="J4008" s="213"/>
      <c r="L4008" s="272">
        <f t="shared" si="323"/>
        <v>1900</v>
      </c>
      <c r="M4008" s="272">
        <f t="shared" si="324"/>
        <v>1</v>
      </c>
      <c r="O4008" s="61">
        <f t="shared" si="325"/>
        <v>1900</v>
      </c>
      <c r="P4008" s="61">
        <f t="shared" si="326"/>
        <v>1</v>
      </c>
      <c r="R4008" s="272"/>
      <c r="S4008" s="272"/>
    </row>
    <row r="4009" spans="9:19">
      <c r="I4009" s="213"/>
      <c r="J4009" s="213"/>
      <c r="L4009" s="272">
        <f t="shared" si="323"/>
        <v>1900</v>
      </c>
      <c r="M4009" s="272">
        <f t="shared" si="324"/>
        <v>1</v>
      </c>
      <c r="O4009" s="61">
        <f t="shared" si="325"/>
        <v>1900</v>
      </c>
      <c r="P4009" s="61">
        <f t="shared" si="326"/>
        <v>1</v>
      </c>
      <c r="R4009" s="272"/>
      <c r="S4009" s="272"/>
    </row>
    <row r="4010" spans="9:19">
      <c r="I4010" s="213"/>
      <c r="J4010" s="213"/>
      <c r="L4010" s="272">
        <f t="shared" si="323"/>
        <v>1900</v>
      </c>
      <c r="M4010" s="272">
        <f t="shared" si="324"/>
        <v>1</v>
      </c>
      <c r="O4010" s="61">
        <f t="shared" si="325"/>
        <v>1900</v>
      </c>
      <c r="P4010" s="61">
        <f t="shared" si="326"/>
        <v>1</v>
      </c>
      <c r="R4010" s="272"/>
      <c r="S4010" s="272"/>
    </row>
    <row r="4011" spans="9:19">
      <c r="I4011" s="213"/>
      <c r="J4011" s="213"/>
      <c r="L4011" s="272">
        <f t="shared" si="323"/>
        <v>1900</v>
      </c>
      <c r="M4011" s="272">
        <f t="shared" si="324"/>
        <v>1</v>
      </c>
      <c r="O4011" s="61">
        <f t="shared" si="325"/>
        <v>1900</v>
      </c>
      <c r="P4011" s="61">
        <f t="shared" si="326"/>
        <v>1</v>
      </c>
      <c r="R4011" s="272"/>
      <c r="S4011" s="272"/>
    </row>
    <row r="4012" spans="9:19">
      <c r="I4012" s="213"/>
      <c r="J4012" s="213"/>
      <c r="L4012" s="272">
        <f t="shared" si="323"/>
        <v>1900</v>
      </c>
      <c r="M4012" s="272">
        <f t="shared" si="324"/>
        <v>1</v>
      </c>
      <c r="O4012" s="61">
        <f t="shared" si="325"/>
        <v>1900</v>
      </c>
      <c r="P4012" s="61">
        <f t="shared" si="326"/>
        <v>1</v>
      </c>
      <c r="R4012" s="272"/>
      <c r="S4012" s="272"/>
    </row>
    <row r="4013" spans="9:19">
      <c r="I4013" s="213"/>
      <c r="J4013" s="213"/>
      <c r="L4013" s="272">
        <f t="shared" si="323"/>
        <v>1900</v>
      </c>
      <c r="M4013" s="272">
        <f t="shared" si="324"/>
        <v>1</v>
      </c>
      <c r="O4013" s="61">
        <f t="shared" si="325"/>
        <v>1900</v>
      </c>
      <c r="P4013" s="61">
        <f t="shared" si="326"/>
        <v>1</v>
      </c>
      <c r="R4013" s="272"/>
      <c r="S4013" s="272"/>
    </row>
    <row r="4014" spans="9:19">
      <c r="I4014" s="213"/>
      <c r="J4014" s="213"/>
      <c r="L4014" s="272">
        <f t="shared" si="323"/>
        <v>1900</v>
      </c>
      <c r="M4014" s="272">
        <f t="shared" si="324"/>
        <v>1</v>
      </c>
      <c r="O4014" s="61">
        <f t="shared" si="325"/>
        <v>1900</v>
      </c>
      <c r="P4014" s="61">
        <f t="shared" si="326"/>
        <v>1</v>
      </c>
      <c r="R4014" s="272"/>
      <c r="S4014" s="272"/>
    </row>
    <row r="4015" spans="9:19">
      <c r="I4015" s="213"/>
      <c r="J4015" s="213"/>
      <c r="L4015" s="272">
        <f t="shared" si="323"/>
        <v>1900</v>
      </c>
      <c r="M4015" s="272">
        <f t="shared" si="324"/>
        <v>1</v>
      </c>
      <c r="O4015" s="61">
        <f t="shared" si="325"/>
        <v>1900</v>
      </c>
      <c r="P4015" s="61">
        <f t="shared" si="326"/>
        <v>1</v>
      </c>
      <c r="R4015" s="272"/>
      <c r="S4015" s="272"/>
    </row>
    <row r="4016" spans="9:19">
      <c r="I4016" s="213"/>
      <c r="J4016" s="213"/>
      <c r="L4016" s="272">
        <f t="shared" si="323"/>
        <v>1900</v>
      </c>
      <c r="M4016" s="272">
        <f t="shared" si="324"/>
        <v>1</v>
      </c>
      <c r="O4016" s="61">
        <f t="shared" si="325"/>
        <v>1900</v>
      </c>
      <c r="P4016" s="61">
        <f t="shared" si="326"/>
        <v>1</v>
      </c>
      <c r="R4016" s="272"/>
      <c r="S4016" s="272"/>
    </row>
    <row r="4017" spans="9:19">
      <c r="I4017" s="213"/>
      <c r="J4017" s="213"/>
      <c r="L4017" s="272">
        <f t="shared" si="323"/>
        <v>1900</v>
      </c>
      <c r="M4017" s="272">
        <f t="shared" si="324"/>
        <v>1</v>
      </c>
      <c r="O4017" s="61">
        <f t="shared" si="325"/>
        <v>1900</v>
      </c>
      <c r="P4017" s="61">
        <f t="shared" si="326"/>
        <v>1</v>
      </c>
      <c r="R4017" s="272"/>
      <c r="S4017" s="272"/>
    </row>
    <row r="4018" spans="9:19">
      <c r="I4018" s="213"/>
      <c r="J4018" s="213"/>
      <c r="L4018" s="272">
        <f t="shared" si="323"/>
        <v>1900</v>
      </c>
      <c r="M4018" s="272">
        <f t="shared" si="324"/>
        <v>1</v>
      </c>
      <c r="O4018" s="61">
        <f t="shared" si="325"/>
        <v>1900</v>
      </c>
      <c r="P4018" s="61">
        <f t="shared" si="326"/>
        <v>1</v>
      </c>
      <c r="R4018" s="272"/>
      <c r="S4018" s="272"/>
    </row>
    <row r="4019" spans="9:19">
      <c r="I4019" s="213"/>
      <c r="J4019" s="213"/>
      <c r="L4019" s="272">
        <f t="shared" si="323"/>
        <v>1900</v>
      </c>
      <c r="M4019" s="272">
        <f t="shared" si="324"/>
        <v>1</v>
      </c>
      <c r="O4019" s="61">
        <f t="shared" si="325"/>
        <v>1900</v>
      </c>
      <c r="P4019" s="61">
        <f t="shared" si="326"/>
        <v>1</v>
      </c>
      <c r="R4019" s="272"/>
      <c r="S4019" s="272"/>
    </row>
    <row r="4020" spans="9:19">
      <c r="I4020" s="213"/>
      <c r="J4020" s="213"/>
      <c r="L4020" s="272">
        <f t="shared" si="323"/>
        <v>1900</v>
      </c>
      <c r="M4020" s="272">
        <f t="shared" si="324"/>
        <v>1</v>
      </c>
      <c r="O4020" s="61">
        <f t="shared" si="325"/>
        <v>1900</v>
      </c>
      <c r="P4020" s="61">
        <f t="shared" si="326"/>
        <v>1</v>
      </c>
      <c r="R4020" s="272"/>
      <c r="S4020" s="272"/>
    </row>
    <row r="4021" spans="9:19">
      <c r="I4021" s="213"/>
      <c r="J4021" s="213"/>
      <c r="L4021" s="272">
        <f t="shared" si="323"/>
        <v>1900</v>
      </c>
      <c r="M4021" s="272">
        <f t="shared" si="324"/>
        <v>1</v>
      </c>
      <c r="O4021" s="61">
        <f t="shared" si="325"/>
        <v>1900</v>
      </c>
      <c r="P4021" s="61">
        <f t="shared" si="326"/>
        <v>1</v>
      </c>
      <c r="R4021" s="272"/>
      <c r="S4021" s="272"/>
    </row>
    <row r="4022" spans="9:19">
      <c r="I4022" s="213"/>
      <c r="J4022" s="213"/>
      <c r="L4022" s="272">
        <f t="shared" si="323"/>
        <v>1900</v>
      </c>
      <c r="M4022" s="272">
        <f t="shared" si="324"/>
        <v>1</v>
      </c>
      <c r="O4022" s="61">
        <f t="shared" si="325"/>
        <v>1900</v>
      </c>
      <c r="P4022" s="61">
        <f t="shared" si="326"/>
        <v>1</v>
      </c>
      <c r="R4022" s="272"/>
      <c r="S4022" s="272"/>
    </row>
    <row r="4023" spans="9:19">
      <c r="I4023" s="213"/>
      <c r="J4023" s="213"/>
      <c r="L4023" s="272">
        <f t="shared" si="323"/>
        <v>1900</v>
      </c>
      <c r="M4023" s="272">
        <f t="shared" si="324"/>
        <v>1</v>
      </c>
      <c r="O4023" s="61">
        <f t="shared" si="325"/>
        <v>1900</v>
      </c>
      <c r="P4023" s="61">
        <f t="shared" si="326"/>
        <v>1</v>
      </c>
      <c r="R4023" s="272"/>
      <c r="S4023" s="272"/>
    </row>
    <row r="4024" spans="9:19">
      <c r="I4024" s="213"/>
      <c r="J4024" s="213"/>
      <c r="L4024" s="272">
        <f t="shared" si="323"/>
        <v>1900</v>
      </c>
      <c r="M4024" s="272">
        <f t="shared" si="324"/>
        <v>1</v>
      </c>
      <c r="O4024" s="61">
        <f t="shared" si="325"/>
        <v>1900</v>
      </c>
      <c r="P4024" s="61">
        <f t="shared" si="326"/>
        <v>1</v>
      </c>
      <c r="R4024" s="272"/>
      <c r="S4024" s="272"/>
    </row>
    <row r="4025" spans="9:19">
      <c r="I4025" s="213"/>
      <c r="J4025" s="213"/>
      <c r="L4025" s="272">
        <f t="shared" si="323"/>
        <v>1900</v>
      </c>
      <c r="M4025" s="272">
        <f t="shared" si="324"/>
        <v>1</v>
      </c>
      <c r="O4025" s="61">
        <f t="shared" si="325"/>
        <v>1900</v>
      </c>
      <c r="P4025" s="61">
        <f t="shared" si="326"/>
        <v>1</v>
      </c>
      <c r="R4025" s="272"/>
      <c r="S4025" s="272"/>
    </row>
    <row r="4026" spans="9:19">
      <c r="I4026" s="213"/>
      <c r="J4026" s="213"/>
      <c r="L4026" s="272">
        <f t="shared" si="323"/>
        <v>1900</v>
      </c>
      <c r="M4026" s="272">
        <f t="shared" si="324"/>
        <v>1</v>
      </c>
      <c r="O4026" s="61">
        <f t="shared" si="325"/>
        <v>1900</v>
      </c>
      <c r="P4026" s="61">
        <f t="shared" si="326"/>
        <v>1</v>
      </c>
      <c r="R4026" s="272"/>
      <c r="S4026" s="272"/>
    </row>
    <row r="4027" spans="9:19">
      <c r="I4027" s="213"/>
      <c r="J4027" s="213"/>
      <c r="L4027" s="272">
        <f t="shared" si="323"/>
        <v>1900</v>
      </c>
      <c r="M4027" s="272">
        <f t="shared" si="324"/>
        <v>1</v>
      </c>
      <c r="O4027" s="61">
        <f t="shared" si="325"/>
        <v>1900</v>
      </c>
      <c r="P4027" s="61">
        <f t="shared" si="326"/>
        <v>1</v>
      </c>
      <c r="R4027" s="272"/>
      <c r="S4027" s="272"/>
    </row>
    <row r="4028" spans="9:19">
      <c r="I4028" s="213"/>
      <c r="J4028" s="213"/>
      <c r="L4028" s="272">
        <f t="shared" si="323"/>
        <v>1900</v>
      </c>
      <c r="M4028" s="272">
        <f t="shared" si="324"/>
        <v>1</v>
      </c>
      <c r="O4028" s="61">
        <f t="shared" si="325"/>
        <v>1900</v>
      </c>
      <c r="P4028" s="61">
        <f t="shared" si="326"/>
        <v>1</v>
      </c>
      <c r="R4028" s="272"/>
      <c r="S4028" s="272"/>
    </row>
    <row r="4029" spans="9:19">
      <c r="I4029" s="213"/>
      <c r="J4029" s="213"/>
      <c r="L4029" s="272">
        <f t="shared" si="323"/>
        <v>1900</v>
      </c>
      <c r="M4029" s="272">
        <f t="shared" si="324"/>
        <v>1</v>
      </c>
      <c r="O4029" s="61">
        <f t="shared" si="325"/>
        <v>1900</v>
      </c>
      <c r="P4029" s="61">
        <f t="shared" si="326"/>
        <v>1</v>
      </c>
      <c r="R4029" s="272"/>
      <c r="S4029" s="272"/>
    </row>
    <row r="4030" spans="9:19">
      <c r="I4030" s="213"/>
      <c r="J4030" s="213"/>
      <c r="L4030" s="272">
        <f t="shared" si="323"/>
        <v>1900</v>
      </c>
      <c r="M4030" s="272">
        <f t="shared" si="324"/>
        <v>1</v>
      </c>
      <c r="O4030" s="61">
        <f t="shared" si="325"/>
        <v>1900</v>
      </c>
      <c r="P4030" s="61">
        <f t="shared" si="326"/>
        <v>1</v>
      </c>
      <c r="R4030" s="272"/>
      <c r="S4030" s="272"/>
    </row>
    <row r="4031" spans="9:19">
      <c r="I4031" s="213"/>
      <c r="J4031" s="213"/>
      <c r="L4031" s="272">
        <f t="shared" si="323"/>
        <v>1900</v>
      </c>
      <c r="M4031" s="272">
        <f t="shared" si="324"/>
        <v>1</v>
      </c>
      <c r="O4031" s="61">
        <f t="shared" si="325"/>
        <v>1900</v>
      </c>
      <c r="P4031" s="61">
        <f t="shared" si="326"/>
        <v>1</v>
      </c>
      <c r="R4031" s="272"/>
      <c r="S4031" s="272"/>
    </row>
    <row r="4032" spans="9:19">
      <c r="I4032" s="213"/>
      <c r="J4032" s="213"/>
      <c r="L4032" s="272">
        <f t="shared" si="323"/>
        <v>1900</v>
      </c>
      <c r="M4032" s="272">
        <f t="shared" si="324"/>
        <v>1</v>
      </c>
      <c r="O4032" s="61">
        <f t="shared" si="325"/>
        <v>1900</v>
      </c>
      <c r="P4032" s="61">
        <f t="shared" si="326"/>
        <v>1</v>
      </c>
      <c r="R4032" s="272"/>
      <c r="S4032" s="272"/>
    </row>
    <row r="4033" spans="9:19">
      <c r="I4033" s="213"/>
      <c r="J4033" s="213"/>
      <c r="L4033" s="272">
        <f t="shared" si="323"/>
        <v>1900</v>
      </c>
      <c r="M4033" s="272">
        <f t="shared" si="324"/>
        <v>1</v>
      </c>
      <c r="O4033" s="61">
        <f t="shared" si="325"/>
        <v>1900</v>
      </c>
      <c r="P4033" s="61">
        <f t="shared" si="326"/>
        <v>1</v>
      </c>
      <c r="R4033" s="272"/>
      <c r="S4033" s="272"/>
    </row>
    <row r="4034" spans="9:19">
      <c r="I4034" s="213"/>
      <c r="J4034" s="213"/>
      <c r="L4034" s="272">
        <f t="shared" si="323"/>
        <v>1900</v>
      </c>
      <c r="M4034" s="272">
        <f t="shared" si="324"/>
        <v>1</v>
      </c>
      <c r="O4034" s="61">
        <f t="shared" si="325"/>
        <v>1900</v>
      </c>
      <c r="P4034" s="61">
        <f t="shared" si="326"/>
        <v>1</v>
      </c>
      <c r="R4034" s="272"/>
      <c r="S4034" s="272"/>
    </row>
    <row r="4035" spans="9:19">
      <c r="I4035" s="213"/>
      <c r="J4035" s="213"/>
      <c r="L4035" s="272">
        <f t="shared" si="323"/>
        <v>1900</v>
      </c>
      <c r="M4035" s="272">
        <f t="shared" si="324"/>
        <v>1</v>
      </c>
      <c r="O4035" s="61">
        <f t="shared" si="325"/>
        <v>1900</v>
      </c>
      <c r="P4035" s="61">
        <f t="shared" si="326"/>
        <v>1</v>
      </c>
      <c r="R4035" s="272"/>
      <c r="S4035" s="272"/>
    </row>
    <row r="4036" spans="9:19">
      <c r="I4036" s="213"/>
      <c r="J4036" s="213"/>
      <c r="L4036" s="272">
        <f t="shared" si="323"/>
        <v>1900</v>
      </c>
      <c r="M4036" s="272">
        <f t="shared" si="324"/>
        <v>1</v>
      </c>
      <c r="O4036" s="61">
        <f t="shared" si="325"/>
        <v>1900</v>
      </c>
      <c r="P4036" s="61">
        <f t="shared" si="326"/>
        <v>1</v>
      </c>
      <c r="R4036" s="272"/>
      <c r="S4036" s="272"/>
    </row>
    <row r="4037" spans="9:19">
      <c r="I4037" s="213"/>
      <c r="J4037" s="213"/>
      <c r="L4037" s="272">
        <f t="shared" si="323"/>
        <v>1900</v>
      </c>
      <c r="M4037" s="272">
        <f t="shared" si="324"/>
        <v>1</v>
      </c>
      <c r="O4037" s="61">
        <f t="shared" si="325"/>
        <v>1900</v>
      </c>
      <c r="P4037" s="61">
        <f t="shared" si="326"/>
        <v>1</v>
      </c>
      <c r="R4037" s="272"/>
      <c r="S4037" s="272"/>
    </row>
    <row r="4038" spans="9:19">
      <c r="I4038" s="213"/>
      <c r="J4038" s="213"/>
      <c r="L4038" s="272">
        <f t="shared" si="323"/>
        <v>1900</v>
      </c>
      <c r="M4038" s="272">
        <f t="shared" si="324"/>
        <v>1</v>
      </c>
      <c r="O4038" s="61">
        <f t="shared" si="325"/>
        <v>1900</v>
      </c>
      <c r="P4038" s="61">
        <f t="shared" si="326"/>
        <v>1</v>
      </c>
      <c r="R4038" s="272"/>
      <c r="S4038" s="272"/>
    </row>
    <row r="4039" spans="9:19">
      <c r="I4039" s="213"/>
      <c r="J4039" s="213"/>
      <c r="L4039" s="272">
        <f t="shared" si="323"/>
        <v>1900</v>
      </c>
      <c r="M4039" s="272">
        <f t="shared" si="324"/>
        <v>1</v>
      </c>
      <c r="O4039" s="61">
        <f t="shared" si="325"/>
        <v>1900</v>
      </c>
      <c r="P4039" s="61">
        <f t="shared" si="326"/>
        <v>1</v>
      </c>
      <c r="R4039" s="272"/>
      <c r="S4039" s="272"/>
    </row>
    <row r="4040" spans="9:19">
      <c r="I4040" s="213"/>
      <c r="J4040" s="213"/>
      <c r="L4040" s="272">
        <f t="shared" si="323"/>
        <v>1900</v>
      </c>
      <c r="M4040" s="272">
        <f t="shared" si="324"/>
        <v>1</v>
      </c>
      <c r="O4040" s="61">
        <f t="shared" si="325"/>
        <v>1900</v>
      </c>
      <c r="P4040" s="61">
        <f t="shared" si="326"/>
        <v>1</v>
      </c>
      <c r="R4040" s="272"/>
      <c r="S4040" s="272"/>
    </row>
    <row r="4041" spans="9:19">
      <c r="I4041" s="213"/>
      <c r="J4041" s="213"/>
      <c r="L4041" s="272">
        <f t="shared" si="323"/>
        <v>1900</v>
      </c>
      <c r="M4041" s="272">
        <f t="shared" si="324"/>
        <v>1</v>
      </c>
      <c r="O4041" s="61">
        <f t="shared" si="325"/>
        <v>1900</v>
      </c>
      <c r="P4041" s="61">
        <f t="shared" si="326"/>
        <v>1</v>
      </c>
      <c r="R4041" s="272"/>
      <c r="S4041" s="272"/>
    </row>
    <row r="4042" spans="9:19">
      <c r="I4042" s="213"/>
      <c r="J4042" s="213"/>
      <c r="L4042" s="272">
        <f t="shared" si="323"/>
        <v>1900</v>
      </c>
      <c r="M4042" s="272">
        <f t="shared" si="324"/>
        <v>1</v>
      </c>
      <c r="O4042" s="61">
        <f t="shared" si="325"/>
        <v>1900</v>
      </c>
      <c r="P4042" s="61">
        <f t="shared" si="326"/>
        <v>1</v>
      </c>
      <c r="R4042" s="272"/>
      <c r="S4042" s="272"/>
    </row>
    <row r="4043" spans="9:19">
      <c r="I4043" s="213"/>
      <c r="J4043" s="213"/>
      <c r="L4043" s="272">
        <f t="shared" si="323"/>
        <v>1900</v>
      </c>
      <c r="M4043" s="272">
        <f t="shared" si="324"/>
        <v>1</v>
      </c>
      <c r="O4043" s="61">
        <f t="shared" si="325"/>
        <v>1900</v>
      </c>
      <c r="P4043" s="61">
        <f t="shared" si="326"/>
        <v>1</v>
      </c>
      <c r="R4043" s="272"/>
      <c r="S4043" s="272"/>
    </row>
    <row r="4044" spans="9:19">
      <c r="I4044" s="213"/>
      <c r="J4044" s="213"/>
      <c r="L4044" s="272">
        <f t="shared" si="323"/>
        <v>1900</v>
      </c>
      <c r="M4044" s="272">
        <f t="shared" si="324"/>
        <v>1</v>
      </c>
      <c r="O4044" s="61">
        <f t="shared" si="325"/>
        <v>1900</v>
      </c>
      <c r="P4044" s="61">
        <f t="shared" si="326"/>
        <v>1</v>
      </c>
      <c r="R4044" s="272"/>
      <c r="S4044" s="272"/>
    </row>
    <row r="4045" spans="9:19">
      <c r="I4045" s="213"/>
      <c r="J4045" s="213"/>
      <c r="L4045" s="272">
        <f t="shared" si="323"/>
        <v>1900</v>
      </c>
      <c r="M4045" s="272">
        <f t="shared" si="324"/>
        <v>1</v>
      </c>
      <c r="O4045" s="61">
        <f t="shared" si="325"/>
        <v>1900</v>
      </c>
      <c r="P4045" s="61">
        <f t="shared" si="326"/>
        <v>1</v>
      </c>
      <c r="R4045" s="272"/>
      <c r="S4045" s="272"/>
    </row>
    <row r="4046" spans="9:19">
      <c r="I4046" s="213"/>
      <c r="J4046" s="213"/>
      <c r="L4046" s="272">
        <f t="shared" si="323"/>
        <v>1900</v>
      </c>
      <c r="M4046" s="272">
        <f t="shared" si="324"/>
        <v>1</v>
      </c>
      <c r="O4046" s="61">
        <f t="shared" si="325"/>
        <v>1900</v>
      </c>
      <c r="P4046" s="61">
        <f t="shared" si="326"/>
        <v>1</v>
      </c>
      <c r="R4046" s="272"/>
      <c r="S4046" s="272"/>
    </row>
    <row r="4047" spans="9:19">
      <c r="I4047" s="213"/>
      <c r="J4047" s="213"/>
      <c r="L4047" s="272">
        <f t="shared" si="323"/>
        <v>1900</v>
      </c>
      <c r="M4047" s="272">
        <f t="shared" si="324"/>
        <v>1</v>
      </c>
      <c r="O4047" s="61">
        <f t="shared" si="325"/>
        <v>1900</v>
      </c>
      <c r="P4047" s="61">
        <f t="shared" si="326"/>
        <v>1</v>
      </c>
      <c r="R4047" s="272"/>
      <c r="S4047" s="272"/>
    </row>
    <row r="4048" spans="9:19">
      <c r="I4048" s="213"/>
      <c r="J4048" s="213"/>
      <c r="L4048" s="272">
        <f t="shared" ref="L4048:L4111" si="327">YEAR(B4048)</f>
        <v>1900</v>
      </c>
      <c r="M4048" s="272">
        <f t="shared" ref="M4048:M4111" si="328">MONTH(B4048)</f>
        <v>1</v>
      </c>
      <c r="O4048" s="61">
        <f t="shared" ref="O4048:O4111" si="329">YEAR(B4048)</f>
        <v>1900</v>
      </c>
      <c r="P4048" s="61">
        <f t="shared" ref="P4048:P4111" si="330">MONTH(B4048)</f>
        <v>1</v>
      </c>
      <c r="R4048" s="272"/>
      <c r="S4048" s="272"/>
    </row>
    <row r="4049" spans="9:19">
      <c r="I4049" s="213"/>
      <c r="J4049" s="213"/>
      <c r="L4049" s="272">
        <f t="shared" si="327"/>
        <v>1900</v>
      </c>
      <c r="M4049" s="272">
        <f t="shared" si="328"/>
        <v>1</v>
      </c>
      <c r="O4049" s="61">
        <f t="shared" si="329"/>
        <v>1900</v>
      </c>
      <c r="P4049" s="61">
        <f t="shared" si="330"/>
        <v>1</v>
      </c>
      <c r="R4049" s="272"/>
      <c r="S4049" s="272"/>
    </row>
    <row r="4050" spans="9:19">
      <c r="I4050" s="213"/>
      <c r="J4050" s="213"/>
      <c r="L4050" s="272">
        <f t="shared" si="327"/>
        <v>1900</v>
      </c>
      <c r="M4050" s="272">
        <f t="shared" si="328"/>
        <v>1</v>
      </c>
      <c r="O4050" s="61">
        <f t="shared" si="329"/>
        <v>1900</v>
      </c>
      <c r="P4050" s="61">
        <f t="shared" si="330"/>
        <v>1</v>
      </c>
      <c r="R4050" s="272"/>
      <c r="S4050" s="272"/>
    </row>
    <row r="4051" spans="9:19">
      <c r="I4051" s="213"/>
      <c r="J4051" s="213"/>
      <c r="L4051" s="272">
        <f t="shared" si="327"/>
        <v>1900</v>
      </c>
      <c r="M4051" s="272">
        <f t="shared" si="328"/>
        <v>1</v>
      </c>
      <c r="O4051" s="61">
        <f t="shared" si="329"/>
        <v>1900</v>
      </c>
      <c r="P4051" s="61">
        <f t="shared" si="330"/>
        <v>1</v>
      </c>
      <c r="R4051" s="272"/>
      <c r="S4051" s="272"/>
    </row>
    <row r="4052" spans="9:19">
      <c r="I4052" s="213"/>
      <c r="J4052" s="213"/>
      <c r="L4052" s="272">
        <f t="shared" si="327"/>
        <v>1900</v>
      </c>
      <c r="M4052" s="272">
        <f t="shared" si="328"/>
        <v>1</v>
      </c>
      <c r="O4052" s="61">
        <f t="shared" si="329"/>
        <v>1900</v>
      </c>
      <c r="P4052" s="61">
        <f t="shared" si="330"/>
        <v>1</v>
      </c>
      <c r="R4052" s="272"/>
      <c r="S4052" s="272"/>
    </row>
    <row r="4053" spans="9:19">
      <c r="I4053" s="213"/>
      <c r="J4053" s="213"/>
      <c r="L4053" s="272">
        <f t="shared" si="327"/>
        <v>1900</v>
      </c>
      <c r="M4053" s="272">
        <f t="shared" si="328"/>
        <v>1</v>
      </c>
      <c r="O4053" s="61">
        <f t="shared" si="329"/>
        <v>1900</v>
      </c>
      <c r="P4053" s="61">
        <f t="shared" si="330"/>
        <v>1</v>
      </c>
      <c r="R4053" s="272"/>
      <c r="S4053" s="272"/>
    </row>
    <row r="4054" spans="9:19">
      <c r="I4054" s="213"/>
      <c r="J4054" s="213"/>
      <c r="L4054" s="272">
        <f t="shared" si="327"/>
        <v>1900</v>
      </c>
      <c r="M4054" s="272">
        <f t="shared" si="328"/>
        <v>1</v>
      </c>
      <c r="O4054" s="61">
        <f t="shared" si="329"/>
        <v>1900</v>
      </c>
      <c r="P4054" s="61">
        <f t="shared" si="330"/>
        <v>1</v>
      </c>
      <c r="R4054" s="272"/>
      <c r="S4054" s="272"/>
    </row>
    <row r="4055" spans="9:19">
      <c r="I4055" s="213"/>
      <c r="J4055" s="213"/>
      <c r="L4055" s="272">
        <f t="shared" si="327"/>
        <v>1900</v>
      </c>
      <c r="M4055" s="272">
        <f t="shared" si="328"/>
        <v>1</v>
      </c>
      <c r="O4055" s="61">
        <f t="shared" si="329"/>
        <v>1900</v>
      </c>
      <c r="P4055" s="61">
        <f t="shared" si="330"/>
        <v>1</v>
      </c>
      <c r="R4055" s="272"/>
      <c r="S4055" s="272"/>
    </row>
    <row r="4056" spans="9:19">
      <c r="I4056" s="213"/>
      <c r="J4056" s="213"/>
      <c r="L4056" s="272">
        <f t="shared" si="327"/>
        <v>1900</v>
      </c>
      <c r="M4056" s="272">
        <f t="shared" si="328"/>
        <v>1</v>
      </c>
      <c r="O4056" s="61">
        <f t="shared" si="329"/>
        <v>1900</v>
      </c>
      <c r="P4056" s="61">
        <f t="shared" si="330"/>
        <v>1</v>
      </c>
      <c r="R4056" s="272"/>
      <c r="S4056" s="272"/>
    </row>
    <row r="4057" spans="9:19">
      <c r="I4057" s="213"/>
      <c r="J4057" s="213"/>
      <c r="L4057" s="272">
        <f t="shared" si="327"/>
        <v>1900</v>
      </c>
      <c r="M4057" s="272">
        <f t="shared" si="328"/>
        <v>1</v>
      </c>
      <c r="O4057" s="61">
        <f t="shared" si="329"/>
        <v>1900</v>
      </c>
      <c r="P4057" s="61">
        <f t="shared" si="330"/>
        <v>1</v>
      </c>
      <c r="R4057" s="272"/>
      <c r="S4057" s="272"/>
    </row>
    <row r="4058" spans="9:19">
      <c r="I4058" s="213"/>
      <c r="J4058" s="213"/>
      <c r="L4058" s="272">
        <f t="shared" si="327"/>
        <v>1900</v>
      </c>
      <c r="M4058" s="272">
        <f t="shared" si="328"/>
        <v>1</v>
      </c>
      <c r="O4058" s="61">
        <f t="shared" si="329"/>
        <v>1900</v>
      </c>
      <c r="P4058" s="61">
        <f t="shared" si="330"/>
        <v>1</v>
      </c>
      <c r="R4058" s="272"/>
      <c r="S4058" s="272"/>
    </row>
    <row r="4059" spans="9:19">
      <c r="I4059" s="213"/>
      <c r="J4059" s="213"/>
      <c r="L4059" s="272">
        <f t="shared" si="327"/>
        <v>1900</v>
      </c>
      <c r="M4059" s="272">
        <f t="shared" si="328"/>
        <v>1</v>
      </c>
      <c r="O4059" s="61">
        <f t="shared" si="329"/>
        <v>1900</v>
      </c>
      <c r="P4059" s="61">
        <f t="shared" si="330"/>
        <v>1</v>
      </c>
      <c r="R4059" s="272"/>
      <c r="S4059" s="272"/>
    </row>
    <row r="4060" spans="9:19">
      <c r="I4060" s="213"/>
      <c r="J4060" s="213"/>
      <c r="L4060" s="272">
        <f t="shared" si="327"/>
        <v>1900</v>
      </c>
      <c r="M4060" s="272">
        <f t="shared" si="328"/>
        <v>1</v>
      </c>
      <c r="O4060" s="61">
        <f t="shared" si="329"/>
        <v>1900</v>
      </c>
      <c r="P4060" s="61">
        <f t="shared" si="330"/>
        <v>1</v>
      </c>
      <c r="R4060" s="272"/>
      <c r="S4060" s="272"/>
    </row>
    <row r="4061" spans="9:19">
      <c r="I4061" s="213"/>
      <c r="J4061" s="213"/>
      <c r="L4061" s="272">
        <f t="shared" si="327"/>
        <v>1900</v>
      </c>
      <c r="M4061" s="272">
        <f t="shared" si="328"/>
        <v>1</v>
      </c>
      <c r="O4061" s="61">
        <f t="shared" si="329"/>
        <v>1900</v>
      </c>
      <c r="P4061" s="61">
        <f t="shared" si="330"/>
        <v>1</v>
      </c>
      <c r="R4061" s="272"/>
      <c r="S4061" s="272"/>
    </row>
    <row r="4062" spans="9:19">
      <c r="I4062" s="213"/>
      <c r="J4062" s="213"/>
      <c r="L4062" s="272">
        <f t="shared" si="327"/>
        <v>1900</v>
      </c>
      <c r="M4062" s="272">
        <f t="shared" si="328"/>
        <v>1</v>
      </c>
      <c r="O4062" s="61">
        <f t="shared" si="329"/>
        <v>1900</v>
      </c>
      <c r="P4062" s="61">
        <f t="shared" si="330"/>
        <v>1</v>
      </c>
      <c r="R4062" s="272"/>
      <c r="S4062" s="272"/>
    </row>
    <row r="4063" spans="9:19">
      <c r="I4063" s="213"/>
      <c r="J4063" s="213"/>
      <c r="L4063" s="272">
        <f t="shared" si="327"/>
        <v>1900</v>
      </c>
      <c r="M4063" s="272">
        <f t="shared" si="328"/>
        <v>1</v>
      </c>
      <c r="O4063" s="61">
        <f t="shared" si="329"/>
        <v>1900</v>
      </c>
      <c r="P4063" s="61">
        <f t="shared" si="330"/>
        <v>1</v>
      </c>
      <c r="R4063" s="272"/>
      <c r="S4063" s="272"/>
    </row>
    <row r="4064" spans="9:19">
      <c r="I4064" s="213"/>
      <c r="J4064" s="213"/>
      <c r="L4064" s="272">
        <f t="shared" si="327"/>
        <v>1900</v>
      </c>
      <c r="M4064" s="272">
        <f t="shared" si="328"/>
        <v>1</v>
      </c>
      <c r="O4064" s="61">
        <f t="shared" si="329"/>
        <v>1900</v>
      </c>
      <c r="P4064" s="61">
        <f t="shared" si="330"/>
        <v>1</v>
      </c>
      <c r="R4064" s="272"/>
      <c r="S4064" s="272"/>
    </row>
    <row r="4065" spans="9:19">
      <c r="I4065" s="213"/>
      <c r="J4065" s="213"/>
      <c r="L4065" s="272">
        <f t="shared" si="327"/>
        <v>1900</v>
      </c>
      <c r="M4065" s="272">
        <f t="shared" si="328"/>
        <v>1</v>
      </c>
      <c r="O4065" s="61">
        <f t="shared" si="329"/>
        <v>1900</v>
      </c>
      <c r="P4065" s="61">
        <f t="shared" si="330"/>
        <v>1</v>
      </c>
      <c r="R4065" s="272"/>
      <c r="S4065" s="272"/>
    </row>
    <row r="4066" spans="9:19">
      <c r="I4066" s="213"/>
      <c r="J4066" s="213"/>
      <c r="L4066" s="272">
        <f t="shared" si="327"/>
        <v>1900</v>
      </c>
      <c r="M4066" s="272">
        <f t="shared" si="328"/>
        <v>1</v>
      </c>
      <c r="O4066" s="61">
        <f t="shared" si="329"/>
        <v>1900</v>
      </c>
      <c r="P4066" s="61">
        <f t="shared" si="330"/>
        <v>1</v>
      </c>
      <c r="R4066" s="272"/>
      <c r="S4066" s="272"/>
    </row>
    <row r="4067" spans="9:19">
      <c r="I4067" s="213"/>
      <c r="J4067" s="213"/>
      <c r="L4067" s="272">
        <f t="shared" si="327"/>
        <v>1900</v>
      </c>
      <c r="M4067" s="272">
        <f t="shared" si="328"/>
        <v>1</v>
      </c>
      <c r="O4067" s="61">
        <f t="shared" si="329"/>
        <v>1900</v>
      </c>
      <c r="P4067" s="61">
        <f t="shared" si="330"/>
        <v>1</v>
      </c>
      <c r="R4067" s="272"/>
      <c r="S4067" s="272"/>
    </row>
    <row r="4068" spans="9:19">
      <c r="I4068" s="213"/>
      <c r="J4068" s="213"/>
      <c r="L4068" s="272">
        <f t="shared" si="327"/>
        <v>1900</v>
      </c>
      <c r="M4068" s="272">
        <f t="shared" si="328"/>
        <v>1</v>
      </c>
      <c r="O4068" s="61">
        <f t="shared" si="329"/>
        <v>1900</v>
      </c>
      <c r="P4068" s="61">
        <f t="shared" si="330"/>
        <v>1</v>
      </c>
      <c r="R4068" s="272"/>
      <c r="S4068" s="272"/>
    </row>
    <row r="4069" spans="9:19">
      <c r="I4069" s="213"/>
      <c r="J4069" s="213"/>
      <c r="L4069" s="272">
        <f t="shared" si="327"/>
        <v>1900</v>
      </c>
      <c r="M4069" s="272">
        <f t="shared" si="328"/>
        <v>1</v>
      </c>
      <c r="O4069" s="61">
        <f t="shared" si="329"/>
        <v>1900</v>
      </c>
      <c r="P4069" s="61">
        <f t="shared" si="330"/>
        <v>1</v>
      </c>
      <c r="R4069" s="272"/>
      <c r="S4069" s="272"/>
    </row>
    <row r="4070" spans="9:19">
      <c r="I4070" s="213"/>
      <c r="J4070" s="213"/>
      <c r="L4070" s="272">
        <f t="shared" si="327"/>
        <v>1900</v>
      </c>
      <c r="M4070" s="272">
        <f t="shared" si="328"/>
        <v>1</v>
      </c>
      <c r="O4070" s="61">
        <f t="shared" si="329"/>
        <v>1900</v>
      </c>
      <c r="P4070" s="61">
        <f t="shared" si="330"/>
        <v>1</v>
      </c>
      <c r="R4070" s="272"/>
      <c r="S4070" s="272"/>
    </row>
    <row r="4071" spans="9:19">
      <c r="I4071" s="213"/>
      <c r="J4071" s="213"/>
      <c r="L4071" s="272">
        <f t="shared" si="327"/>
        <v>1900</v>
      </c>
      <c r="M4071" s="272">
        <f t="shared" si="328"/>
        <v>1</v>
      </c>
      <c r="O4071" s="61">
        <f t="shared" si="329"/>
        <v>1900</v>
      </c>
      <c r="P4071" s="61">
        <f t="shared" si="330"/>
        <v>1</v>
      </c>
      <c r="R4071" s="272"/>
      <c r="S4071" s="272"/>
    </row>
    <row r="4072" spans="9:19">
      <c r="I4072" s="213"/>
      <c r="J4072" s="213"/>
      <c r="L4072" s="272">
        <f t="shared" si="327"/>
        <v>1900</v>
      </c>
      <c r="M4072" s="272">
        <f t="shared" si="328"/>
        <v>1</v>
      </c>
      <c r="O4072" s="61">
        <f t="shared" si="329"/>
        <v>1900</v>
      </c>
      <c r="P4072" s="61">
        <f t="shared" si="330"/>
        <v>1</v>
      </c>
      <c r="R4072" s="272"/>
      <c r="S4072" s="272"/>
    </row>
    <row r="4073" spans="9:19">
      <c r="I4073" s="213"/>
      <c r="J4073" s="213"/>
      <c r="L4073" s="272">
        <f t="shared" si="327"/>
        <v>1900</v>
      </c>
      <c r="M4073" s="272">
        <f t="shared" si="328"/>
        <v>1</v>
      </c>
      <c r="O4073" s="61">
        <f t="shared" si="329"/>
        <v>1900</v>
      </c>
      <c r="P4073" s="61">
        <f t="shared" si="330"/>
        <v>1</v>
      </c>
      <c r="R4073" s="272"/>
      <c r="S4073" s="272"/>
    </row>
    <row r="4074" spans="9:19">
      <c r="I4074" s="213"/>
      <c r="J4074" s="213"/>
      <c r="L4074" s="272">
        <f t="shared" si="327"/>
        <v>1900</v>
      </c>
      <c r="M4074" s="272">
        <f t="shared" si="328"/>
        <v>1</v>
      </c>
      <c r="O4074" s="61">
        <f t="shared" si="329"/>
        <v>1900</v>
      </c>
      <c r="P4074" s="61">
        <f t="shared" si="330"/>
        <v>1</v>
      </c>
      <c r="R4074" s="272"/>
      <c r="S4074" s="272"/>
    </row>
    <row r="4075" spans="9:19">
      <c r="I4075" s="213"/>
      <c r="J4075" s="213"/>
      <c r="L4075" s="272">
        <f t="shared" si="327"/>
        <v>1900</v>
      </c>
      <c r="M4075" s="272">
        <f t="shared" si="328"/>
        <v>1</v>
      </c>
      <c r="O4075" s="61">
        <f t="shared" si="329"/>
        <v>1900</v>
      </c>
      <c r="P4075" s="61">
        <f t="shared" si="330"/>
        <v>1</v>
      </c>
      <c r="R4075" s="272"/>
      <c r="S4075" s="272"/>
    </row>
    <row r="4076" spans="9:19">
      <c r="I4076" s="213"/>
      <c r="J4076" s="213"/>
      <c r="L4076" s="272">
        <f t="shared" si="327"/>
        <v>1900</v>
      </c>
      <c r="M4076" s="272">
        <f t="shared" si="328"/>
        <v>1</v>
      </c>
      <c r="O4076" s="61">
        <f t="shared" si="329"/>
        <v>1900</v>
      </c>
      <c r="P4076" s="61">
        <f t="shared" si="330"/>
        <v>1</v>
      </c>
      <c r="R4076" s="272"/>
      <c r="S4076" s="272"/>
    </row>
    <row r="4077" spans="9:19">
      <c r="I4077" s="213"/>
      <c r="J4077" s="213"/>
      <c r="L4077" s="272">
        <f t="shared" si="327"/>
        <v>1900</v>
      </c>
      <c r="M4077" s="272">
        <f t="shared" si="328"/>
        <v>1</v>
      </c>
      <c r="O4077" s="61">
        <f t="shared" si="329"/>
        <v>1900</v>
      </c>
      <c r="P4077" s="61">
        <f t="shared" si="330"/>
        <v>1</v>
      </c>
      <c r="R4077" s="272"/>
      <c r="S4077" s="272"/>
    </row>
    <row r="4078" spans="9:19">
      <c r="I4078" s="213"/>
      <c r="J4078" s="213"/>
      <c r="L4078" s="272">
        <f t="shared" si="327"/>
        <v>1900</v>
      </c>
      <c r="M4078" s="272">
        <f t="shared" si="328"/>
        <v>1</v>
      </c>
      <c r="O4078" s="61">
        <f t="shared" si="329"/>
        <v>1900</v>
      </c>
      <c r="P4078" s="61">
        <f t="shared" si="330"/>
        <v>1</v>
      </c>
      <c r="R4078" s="272"/>
      <c r="S4078" s="272"/>
    </row>
    <row r="4079" spans="9:19">
      <c r="I4079" s="213"/>
      <c r="J4079" s="213"/>
      <c r="L4079" s="272">
        <f t="shared" si="327"/>
        <v>1900</v>
      </c>
      <c r="M4079" s="272">
        <f t="shared" si="328"/>
        <v>1</v>
      </c>
      <c r="O4079" s="61">
        <f t="shared" si="329"/>
        <v>1900</v>
      </c>
      <c r="P4079" s="61">
        <f t="shared" si="330"/>
        <v>1</v>
      </c>
      <c r="R4079" s="272"/>
      <c r="S4079" s="272"/>
    </row>
    <row r="4080" spans="9:19">
      <c r="I4080" s="213"/>
      <c r="J4080" s="213"/>
      <c r="L4080" s="272">
        <f t="shared" si="327"/>
        <v>1900</v>
      </c>
      <c r="M4080" s="272">
        <f t="shared" si="328"/>
        <v>1</v>
      </c>
      <c r="O4080" s="61">
        <f t="shared" si="329"/>
        <v>1900</v>
      </c>
      <c r="P4080" s="61">
        <f t="shared" si="330"/>
        <v>1</v>
      </c>
      <c r="R4080" s="272"/>
      <c r="S4080" s="272"/>
    </row>
    <row r="4081" spans="9:19">
      <c r="I4081" s="213"/>
      <c r="J4081" s="213"/>
      <c r="L4081" s="272">
        <f t="shared" si="327"/>
        <v>1900</v>
      </c>
      <c r="M4081" s="272">
        <f t="shared" si="328"/>
        <v>1</v>
      </c>
      <c r="O4081" s="61">
        <f t="shared" si="329"/>
        <v>1900</v>
      </c>
      <c r="P4081" s="61">
        <f t="shared" si="330"/>
        <v>1</v>
      </c>
      <c r="R4081" s="272"/>
      <c r="S4081" s="272"/>
    </row>
    <row r="4082" spans="9:19">
      <c r="I4082" s="213"/>
      <c r="J4082" s="213"/>
      <c r="L4082" s="272">
        <f t="shared" si="327"/>
        <v>1900</v>
      </c>
      <c r="M4082" s="272">
        <f t="shared" si="328"/>
        <v>1</v>
      </c>
      <c r="O4082" s="61">
        <f t="shared" si="329"/>
        <v>1900</v>
      </c>
      <c r="P4082" s="61">
        <f t="shared" si="330"/>
        <v>1</v>
      </c>
      <c r="R4082" s="272"/>
      <c r="S4082" s="272"/>
    </row>
    <row r="4083" spans="9:19">
      <c r="I4083" s="213"/>
      <c r="J4083" s="213"/>
      <c r="L4083" s="272">
        <f t="shared" si="327"/>
        <v>1900</v>
      </c>
      <c r="M4083" s="272">
        <f t="shared" si="328"/>
        <v>1</v>
      </c>
      <c r="O4083" s="61">
        <f t="shared" si="329"/>
        <v>1900</v>
      </c>
      <c r="P4083" s="61">
        <f t="shared" si="330"/>
        <v>1</v>
      </c>
      <c r="R4083" s="272"/>
      <c r="S4083" s="272"/>
    </row>
    <row r="4084" spans="9:19">
      <c r="I4084" s="213"/>
      <c r="J4084" s="213"/>
      <c r="L4084" s="272">
        <f t="shared" si="327"/>
        <v>1900</v>
      </c>
      <c r="M4084" s="272">
        <f t="shared" si="328"/>
        <v>1</v>
      </c>
      <c r="O4084" s="61">
        <f t="shared" si="329"/>
        <v>1900</v>
      </c>
      <c r="P4084" s="61">
        <f t="shared" si="330"/>
        <v>1</v>
      </c>
      <c r="R4084" s="272"/>
      <c r="S4084" s="272"/>
    </row>
    <row r="4085" spans="9:19">
      <c r="I4085" s="213"/>
      <c r="J4085" s="213"/>
      <c r="L4085" s="272">
        <f t="shared" si="327"/>
        <v>1900</v>
      </c>
      <c r="M4085" s="272">
        <f t="shared" si="328"/>
        <v>1</v>
      </c>
      <c r="O4085" s="61">
        <f t="shared" si="329"/>
        <v>1900</v>
      </c>
      <c r="P4085" s="61">
        <f t="shared" si="330"/>
        <v>1</v>
      </c>
      <c r="R4085" s="272"/>
      <c r="S4085" s="272"/>
    </row>
    <row r="4086" spans="9:19">
      <c r="I4086" s="213"/>
      <c r="J4086" s="213"/>
      <c r="L4086" s="272">
        <f t="shared" si="327"/>
        <v>1900</v>
      </c>
      <c r="M4086" s="272">
        <f t="shared" si="328"/>
        <v>1</v>
      </c>
      <c r="O4086" s="61">
        <f t="shared" si="329"/>
        <v>1900</v>
      </c>
      <c r="P4086" s="61">
        <f t="shared" si="330"/>
        <v>1</v>
      </c>
      <c r="R4086" s="272"/>
      <c r="S4086" s="272"/>
    </row>
    <row r="4087" spans="9:19">
      <c r="I4087" s="213"/>
      <c r="J4087" s="213"/>
      <c r="L4087" s="272">
        <f t="shared" si="327"/>
        <v>1900</v>
      </c>
      <c r="M4087" s="272">
        <f t="shared" si="328"/>
        <v>1</v>
      </c>
      <c r="O4087" s="61">
        <f t="shared" si="329"/>
        <v>1900</v>
      </c>
      <c r="P4087" s="61">
        <f t="shared" si="330"/>
        <v>1</v>
      </c>
      <c r="R4087" s="272"/>
      <c r="S4087" s="272"/>
    </row>
    <row r="4088" spans="9:19">
      <c r="I4088" s="213"/>
      <c r="J4088" s="213"/>
      <c r="L4088" s="272">
        <f t="shared" si="327"/>
        <v>1900</v>
      </c>
      <c r="M4088" s="272">
        <f t="shared" si="328"/>
        <v>1</v>
      </c>
      <c r="O4088" s="61">
        <f t="shared" si="329"/>
        <v>1900</v>
      </c>
      <c r="P4088" s="61">
        <f t="shared" si="330"/>
        <v>1</v>
      </c>
      <c r="R4088" s="272"/>
      <c r="S4088" s="272"/>
    </row>
    <row r="4089" spans="9:19">
      <c r="I4089" s="213"/>
      <c r="J4089" s="213"/>
      <c r="L4089" s="272">
        <f t="shared" si="327"/>
        <v>1900</v>
      </c>
      <c r="M4089" s="272">
        <f t="shared" si="328"/>
        <v>1</v>
      </c>
      <c r="O4089" s="61">
        <f t="shared" si="329"/>
        <v>1900</v>
      </c>
      <c r="P4089" s="61">
        <f t="shared" si="330"/>
        <v>1</v>
      </c>
      <c r="R4089" s="272"/>
      <c r="S4089" s="272"/>
    </row>
    <row r="4090" spans="9:19">
      <c r="I4090" s="213"/>
      <c r="J4090" s="213"/>
      <c r="L4090" s="272">
        <f t="shared" si="327"/>
        <v>1900</v>
      </c>
      <c r="M4090" s="272">
        <f t="shared" si="328"/>
        <v>1</v>
      </c>
      <c r="O4090" s="61">
        <f t="shared" si="329"/>
        <v>1900</v>
      </c>
      <c r="P4090" s="61">
        <f t="shared" si="330"/>
        <v>1</v>
      </c>
      <c r="R4090" s="272"/>
      <c r="S4090" s="272"/>
    </row>
    <row r="4091" spans="9:19">
      <c r="I4091" s="213"/>
      <c r="J4091" s="213"/>
      <c r="L4091" s="272">
        <f t="shared" si="327"/>
        <v>1900</v>
      </c>
      <c r="M4091" s="272">
        <f t="shared" si="328"/>
        <v>1</v>
      </c>
      <c r="O4091" s="61">
        <f t="shared" si="329"/>
        <v>1900</v>
      </c>
      <c r="P4091" s="61">
        <f t="shared" si="330"/>
        <v>1</v>
      </c>
      <c r="R4091" s="272"/>
      <c r="S4091" s="272"/>
    </row>
    <row r="4092" spans="9:19">
      <c r="I4092" s="213"/>
      <c r="J4092" s="213"/>
      <c r="L4092" s="272">
        <f t="shared" si="327"/>
        <v>1900</v>
      </c>
      <c r="M4092" s="272">
        <f t="shared" si="328"/>
        <v>1</v>
      </c>
      <c r="O4092" s="61">
        <f t="shared" si="329"/>
        <v>1900</v>
      </c>
      <c r="P4092" s="61">
        <f t="shared" si="330"/>
        <v>1</v>
      </c>
      <c r="R4092" s="272"/>
      <c r="S4092" s="272"/>
    </row>
    <row r="4093" spans="9:19">
      <c r="I4093" s="213"/>
      <c r="J4093" s="213"/>
      <c r="L4093" s="272">
        <f t="shared" si="327"/>
        <v>1900</v>
      </c>
      <c r="M4093" s="272">
        <f t="shared" si="328"/>
        <v>1</v>
      </c>
      <c r="O4093" s="61">
        <f t="shared" si="329"/>
        <v>1900</v>
      </c>
      <c r="P4093" s="61">
        <f t="shared" si="330"/>
        <v>1</v>
      </c>
      <c r="R4093" s="272"/>
      <c r="S4093" s="272"/>
    </row>
    <row r="4094" spans="9:19">
      <c r="I4094" s="213"/>
      <c r="J4094" s="213"/>
      <c r="L4094" s="272">
        <f t="shared" si="327"/>
        <v>1900</v>
      </c>
      <c r="M4094" s="272">
        <f t="shared" si="328"/>
        <v>1</v>
      </c>
      <c r="O4094" s="61">
        <f t="shared" si="329"/>
        <v>1900</v>
      </c>
      <c r="P4094" s="61">
        <f t="shared" si="330"/>
        <v>1</v>
      </c>
      <c r="R4094" s="272"/>
      <c r="S4094" s="272"/>
    </row>
    <row r="4095" spans="9:19">
      <c r="I4095" s="213"/>
      <c r="J4095" s="213"/>
      <c r="L4095" s="272">
        <f t="shared" si="327"/>
        <v>1900</v>
      </c>
      <c r="M4095" s="272">
        <f t="shared" si="328"/>
        <v>1</v>
      </c>
      <c r="O4095" s="61">
        <f t="shared" si="329"/>
        <v>1900</v>
      </c>
      <c r="P4095" s="61">
        <f t="shared" si="330"/>
        <v>1</v>
      </c>
      <c r="R4095" s="272"/>
      <c r="S4095" s="272"/>
    </row>
    <row r="4096" spans="9:19">
      <c r="I4096" s="213"/>
      <c r="J4096" s="213"/>
      <c r="L4096" s="272">
        <f t="shared" si="327"/>
        <v>1900</v>
      </c>
      <c r="M4096" s="272">
        <f t="shared" si="328"/>
        <v>1</v>
      </c>
      <c r="O4096" s="61">
        <f t="shared" si="329"/>
        <v>1900</v>
      </c>
      <c r="P4096" s="61">
        <f t="shared" si="330"/>
        <v>1</v>
      </c>
      <c r="R4096" s="272"/>
      <c r="S4096" s="272"/>
    </row>
    <row r="4097" spans="9:19">
      <c r="I4097" s="213"/>
      <c r="J4097" s="213"/>
      <c r="L4097" s="272">
        <f t="shared" si="327"/>
        <v>1900</v>
      </c>
      <c r="M4097" s="272">
        <f t="shared" si="328"/>
        <v>1</v>
      </c>
      <c r="O4097" s="61">
        <f t="shared" si="329"/>
        <v>1900</v>
      </c>
      <c r="P4097" s="61">
        <f t="shared" si="330"/>
        <v>1</v>
      </c>
      <c r="R4097" s="272"/>
      <c r="S4097" s="272"/>
    </row>
    <row r="4098" spans="9:19">
      <c r="I4098" s="213"/>
      <c r="J4098" s="213"/>
      <c r="L4098" s="272">
        <f t="shared" si="327"/>
        <v>1900</v>
      </c>
      <c r="M4098" s="272">
        <f t="shared" si="328"/>
        <v>1</v>
      </c>
      <c r="O4098" s="61">
        <f t="shared" si="329"/>
        <v>1900</v>
      </c>
      <c r="P4098" s="61">
        <f t="shared" si="330"/>
        <v>1</v>
      </c>
      <c r="R4098" s="272"/>
      <c r="S4098" s="272"/>
    </row>
    <row r="4099" spans="9:19">
      <c r="I4099" s="213"/>
      <c r="J4099" s="213"/>
      <c r="L4099" s="272">
        <f t="shared" si="327"/>
        <v>1900</v>
      </c>
      <c r="M4099" s="272">
        <f t="shared" si="328"/>
        <v>1</v>
      </c>
      <c r="O4099" s="61">
        <f t="shared" si="329"/>
        <v>1900</v>
      </c>
      <c r="P4099" s="61">
        <f t="shared" si="330"/>
        <v>1</v>
      </c>
      <c r="R4099" s="272"/>
      <c r="S4099" s="272"/>
    </row>
    <row r="4100" spans="9:19">
      <c r="I4100" s="213"/>
      <c r="J4100" s="213"/>
      <c r="L4100" s="272">
        <f t="shared" si="327"/>
        <v>1900</v>
      </c>
      <c r="M4100" s="272">
        <f t="shared" si="328"/>
        <v>1</v>
      </c>
      <c r="O4100" s="61">
        <f t="shared" si="329"/>
        <v>1900</v>
      </c>
      <c r="P4100" s="61">
        <f t="shared" si="330"/>
        <v>1</v>
      </c>
      <c r="R4100" s="272"/>
      <c r="S4100" s="272"/>
    </row>
    <row r="4101" spans="9:19">
      <c r="I4101" s="213"/>
      <c r="J4101" s="213"/>
      <c r="L4101" s="272">
        <f t="shared" si="327"/>
        <v>1900</v>
      </c>
      <c r="M4101" s="272">
        <f t="shared" si="328"/>
        <v>1</v>
      </c>
      <c r="O4101" s="61">
        <f t="shared" si="329"/>
        <v>1900</v>
      </c>
      <c r="P4101" s="61">
        <f t="shared" si="330"/>
        <v>1</v>
      </c>
      <c r="R4101" s="272"/>
      <c r="S4101" s="272"/>
    </row>
    <row r="4102" spans="9:19">
      <c r="I4102" s="213"/>
      <c r="J4102" s="213"/>
      <c r="L4102" s="272">
        <f t="shared" si="327"/>
        <v>1900</v>
      </c>
      <c r="M4102" s="272">
        <f t="shared" si="328"/>
        <v>1</v>
      </c>
      <c r="O4102" s="61">
        <f t="shared" si="329"/>
        <v>1900</v>
      </c>
      <c r="P4102" s="61">
        <f t="shared" si="330"/>
        <v>1</v>
      </c>
      <c r="R4102" s="272"/>
      <c r="S4102" s="272"/>
    </row>
    <row r="4103" spans="9:19">
      <c r="I4103" s="213"/>
      <c r="J4103" s="213"/>
      <c r="L4103" s="272">
        <f t="shared" si="327"/>
        <v>1900</v>
      </c>
      <c r="M4103" s="272">
        <f t="shared" si="328"/>
        <v>1</v>
      </c>
      <c r="O4103" s="61">
        <f t="shared" si="329"/>
        <v>1900</v>
      </c>
      <c r="P4103" s="61">
        <f t="shared" si="330"/>
        <v>1</v>
      </c>
      <c r="R4103" s="272"/>
      <c r="S4103" s="272"/>
    </row>
    <row r="4104" spans="9:19">
      <c r="I4104" s="213"/>
      <c r="J4104" s="213"/>
      <c r="L4104" s="272">
        <f t="shared" si="327"/>
        <v>1900</v>
      </c>
      <c r="M4104" s="272">
        <f t="shared" si="328"/>
        <v>1</v>
      </c>
      <c r="O4104" s="61">
        <f t="shared" si="329"/>
        <v>1900</v>
      </c>
      <c r="P4104" s="61">
        <f t="shared" si="330"/>
        <v>1</v>
      </c>
      <c r="R4104" s="272"/>
      <c r="S4104" s="272"/>
    </row>
    <row r="4105" spans="9:19">
      <c r="I4105" s="213"/>
      <c r="J4105" s="213"/>
      <c r="L4105" s="272">
        <f t="shared" si="327"/>
        <v>1900</v>
      </c>
      <c r="M4105" s="272">
        <f t="shared" si="328"/>
        <v>1</v>
      </c>
      <c r="O4105" s="61">
        <f t="shared" si="329"/>
        <v>1900</v>
      </c>
      <c r="P4105" s="61">
        <f t="shared" si="330"/>
        <v>1</v>
      </c>
      <c r="R4105" s="272"/>
      <c r="S4105" s="272"/>
    </row>
    <row r="4106" spans="9:19">
      <c r="I4106" s="213"/>
      <c r="J4106" s="213"/>
      <c r="L4106" s="272">
        <f t="shared" si="327"/>
        <v>1900</v>
      </c>
      <c r="M4106" s="272">
        <f t="shared" si="328"/>
        <v>1</v>
      </c>
      <c r="O4106" s="61">
        <f t="shared" si="329"/>
        <v>1900</v>
      </c>
      <c r="P4106" s="61">
        <f t="shared" si="330"/>
        <v>1</v>
      </c>
      <c r="R4106" s="272"/>
      <c r="S4106" s="272"/>
    </row>
    <row r="4107" spans="9:19">
      <c r="I4107" s="213"/>
      <c r="J4107" s="213"/>
      <c r="L4107" s="272">
        <f t="shared" si="327"/>
        <v>1900</v>
      </c>
      <c r="M4107" s="272">
        <f t="shared" si="328"/>
        <v>1</v>
      </c>
      <c r="O4107" s="61">
        <f t="shared" si="329"/>
        <v>1900</v>
      </c>
      <c r="P4107" s="61">
        <f t="shared" si="330"/>
        <v>1</v>
      </c>
      <c r="R4107" s="272"/>
      <c r="S4107" s="272"/>
    </row>
    <row r="4108" spans="9:19">
      <c r="I4108" s="213"/>
      <c r="J4108" s="213"/>
      <c r="L4108" s="272">
        <f t="shared" si="327"/>
        <v>1900</v>
      </c>
      <c r="M4108" s="272">
        <f t="shared" si="328"/>
        <v>1</v>
      </c>
      <c r="O4108" s="61">
        <f t="shared" si="329"/>
        <v>1900</v>
      </c>
      <c r="P4108" s="61">
        <f t="shared" si="330"/>
        <v>1</v>
      </c>
      <c r="R4108" s="272"/>
      <c r="S4108" s="272"/>
    </row>
    <row r="4109" spans="9:19">
      <c r="I4109" s="213"/>
      <c r="J4109" s="213"/>
      <c r="L4109" s="272">
        <f t="shared" si="327"/>
        <v>1900</v>
      </c>
      <c r="M4109" s="272">
        <f t="shared" si="328"/>
        <v>1</v>
      </c>
      <c r="O4109" s="61">
        <f t="shared" si="329"/>
        <v>1900</v>
      </c>
      <c r="P4109" s="61">
        <f t="shared" si="330"/>
        <v>1</v>
      </c>
      <c r="R4109" s="272"/>
      <c r="S4109" s="272"/>
    </row>
    <row r="4110" spans="9:19">
      <c r="I4110" s="213"/>
      <c r="J4110" s="213"/>
      <c r="L4110" s="272">
        <f t="shared" si="327"/>
        <v>1900</v>
      </c>
      <c r="M4110" s="272">
        <f t="shared" si="328"/>
        <v>1</v>
      </c>
      <c r="O4110" s="61">
        <f t="shared" si="329"/>
        <v>1900</v>
      </c>
      <c r="P4110" s="61">
        <f t="shared" si="330"/>
        <v>1</v>
      </c>
      <c r="R4110" s="272"/>
      <c r="S4110" s="272"/>
    </row>
    <row r="4111" spans="9:19">
      <c r="I4111" s="213"/>
      <c r="J4111" s="213"/>
      <c r="L4111" s="272">
        <f t="shared" si="327"/>
        <v>1900</v>
      </c>
      <c r="M4111" s="272">
        <f t="shared" si="328"/>
        <v>1</v>
      </c>
      <c r="O4111" s="61">
        <f t="shared" si="329"/>
        <v>1900</v>
      </c>
      <c r="P4111" s="61">
        <f t="shared" si="330"/>
        <v>1</v>
      </c>
      <c r="R4111" s="272"/>
      <c r="S4111" s="272"/>
    </row>
    <row r="4112" spans="9:19">
      <c r="I4112" s="213"/>
      <c r="J4112" s="213"/>
      <c r="L4112" s="272">
        <f t="shared" ref="L4112:L4175" si="331">YEAR(B4112)</f>
        <v>1900</v>
      </c>
      <c r="M4112" s="272">
        <f t="shared" ref="M4112:M4175" si="332">MONTH(B4112)</f>
        <v>1</v>
      </c>
      <c r="O4112" s="61">
        <f t="shared" ref="O4112:O4175" si="333">YEAR(B4112)</f>
        <v>1900</v>
      </c>
      <c r="P4112" s="61">
        <f t="shared" ref="P4112:P4175" si="334">MONTH(B4112)</f>
        <v>1</v>
      </c>
      <c r="R4112" s="272"/>
      <c r="S4112" s="272"/>
    </row>
    <row r="4113" spans="9:19">
      <c r="I4113" s="213"/>
      <c r="J4113" s="213"/>
      <c r="L4113" s="272">
        <f t="shared" si="331"/>
        <v>1900</v>
      </c>
      <c r="M4113" s="272">
        <f t="shared" si="332"/>
        <v>1</v>
      </c>
      <c r="O4113" s="61">
        <f t="shared" si="333"/>
        <v>1900</v>
      </c>
      <c r="P4113" s="61">
        <f t="shared" si="334"/>
        <v>1</v>
      </c>
      <c r="R4113" s="272"/>
      <c r="S4113" s="272"/>
    </row>
    <row r="4114" spans="9:19">
      <c r="I4114" s="213"/>
      <c r="J4114" s="213"/>
      <c r="L4114" s="272">
        <f t="shared" si="331"/>
        <v>1900</v>
      </c>
      <c r="M4114" s="272">
        <f t="shared" si="332"/>
        <v>1</v>
      </c>
      <c r="O4114" s="61">
        <f t="shared" si="333"/>
        <v>1900</v>
      </c>
      <c r="P4114" s="61">
        <f t="shared" si="334"/>
        <v>1</v>
      </c>
      <c r="R4114" s="272"/>
      <c r="S4114" s="272"/>
    </row>
    <row r="4115" spans="9:19">
      <c r="I4115" s="213"/>
      <c r="J4115" s="213"/>
      <c r="L4115" s="272">
        <f t="shared" si="331"/>
        <v>1900</v>
      </c>
      <c r="M4115" s="272">
        <f t="shared" si="332"/>
        <v>1</v>
      </c>
      <c r="O4115" s="61">
        <f t="shared" si="333"/>
        <v>1900</v>
      </c>
      <c r="P4115" s="61">
        <f t="shared" si="334"/>
        <v>1</v>
      </c>
      <c r="R4115" s="272"/>
      <c r="S4115" s="272"/>
    </row>
    <row r="4116" spans="9:19">
      <c r="I4116" s="213"/>
      <c r="J4116" s="213"/>
      <c r="L4116" s="272">
        <f t="shared" si="331"/>
        <v>1900</v>
      </c>
      <c r="M4116" s="272">
        <f t="shared" si="332"/>
        <v>1</v>
      </c>
      <c r="O4116" s="61">
        <f t="shared" si="333"/>
        <v>1900</v>
      </c>
      <c r="P4116" s="61">
        <f t="shared" si="334"/>
        <v>1</v>
      </c>
      <c r="R4116" s="272"/>
      <c r="S4116" s="272"/>
    </row>
    <row r="4117" spans="9:19">
      <c r="I4117" s="213"/>
      <c r="J4117" s="213"/>
      <c r="L4117" s="272">
        <f t="shared" si="331"/>
        <v>1900</v>
      </c>
      <c r="M4117" s="272">
        <f t="shared" si="332"/>
        <v>1</v>
      </c>
      <c r="O4117" s="61">
        <f t="shared" si="333"/>
        <v>1900</v>
      </c>
      <c r="P4117" s="61">
        <f t="shared" si="334"/>
        <v>1</v>
      </c>
      <c r="R4117" s="272"/>
      <c r="S4117" s="272"/>
    </row>
    <row r="4118" spans="9:19">
      <c r="I4118" s="213"/>
      <c r="J4118" s="213"/>
      <c r="L4118" s="272">
        <f t="shared" si="331"/>
        <v>1900</v>
      </c>
      <c r="M4118" s="272">
        <f t="shared" si="332"/>
        <v>1</v>
      </c>
      <c r="O4118" s="61">
        <f t="shared" si="333"/>
        <v>1900</v>
      </c>
      <c r="P4118" s="61">
        <f t="shared" si="334"/>
        <v>1</v>
      </c>
      <c r="R4118" s="272"/>
      <c r="S4118" s="272"/>
    </row>
    <row r="4119" spans="9:19">
      <c r="I4119" s="213"/>
      <c r="J4119" s="213"/>
      <c r="L4119" s="272">
        <f t="shared" si="331"/>
        <v>1900</v>
      </c>
      <c r="M4119" s="272">
        <f t="shared" si="332"/>
        <v>1</v>
      </c>
      <c r="O4119" s="61">
        <f t="shared" si="333"/>
        <v>1900</v>
      </c>
      <c r="P4119" s="61">
        <f t="shared" si="334"/>
        <v>1</v>
      </c>
      <c r="R4119" s="272"/>
      <c r="S4119" s="272"/>
    </row>
    <row r="4120" spans="9:19">
      <c r="I4120" s="213"/>
      <c r="J4120" s="213"/>
      <c r="L4120" s="272">
        <f t="shared" si="331"/>
        <v>1900</v>
      </c>
      <c r="M4120" s="272">
        <f t="shared" si="332"/>
        <v>1</v>
      </c>
      <c r="O4120" s="61">
        <f t="shared" si="333"/>
        <v>1900</v>
      </c>
      <c r="P4120" s="61">
        <f t="shared" si="334"/>
        <v>1</v>
      </c>
      <c r="R4120" s="272"/>
      <c r="S4120" s="272"/>
    </row>
    <row r="4121" spans="9:19">
      <c r="I4121" s="213"/>
      <c r="J4121" s="213"/>
      <c r="L4121" s="272">
        <f t="shared" si="331"/>
        <v>1900</v>
      </c>
      <c r="M4121" s="272">
        <f t="shared" si="332"/>
        <v>1</v>
      </c>
      <c r="O4121" s="61">
        <f t="shared" si="333"/>
        <v>1900</v>
      </c>
      <c r="P4121" s="61">
        <f t="shared" si="334"/>
        <v>1</v>
      </c>
      <c r="R4121" s="272"/>
      <c r="S4121" s="272"/>
    </row>
    <row r="4122" spans="9:19">
      <c r="I4122" s="213"/>
      <c r="J4122" s="213"/>
      <c r="L4122" s="272">
        <f t="shared" si="331"/>
        <v>1900</v>
      </c>
      <c r="M4122" s="272">
        <f t="shared" si="332"/>
        <v>1</v>
      </c>
      <c r="O4122" s="61">
        <f t="shared" si="333"/>
        <v>1900</v>
      </c>
      <c r="P4122" s="61">
        <f t="shared" si="334"/>
        <v>1</v>
      </c>
      <c r="R4122" s="272"/>
      <c r="S4122" s="272"/>
    </row>
    <row r="4123" spans="9:19">
      <c r="I4123" s="213"/>
      <c r="J4123" s="213"/>
      <c r="L4123" s="272">
        <f t="shared" si="331"/>
        <v>1900</v>
      </c>
      <c r="M4123" s="272">
        <f t="shared" si="332"/>
        <v>1</v>
      </c>
      <c r="O4123" s="61">
        <f t="shared" si="333"/>
        <v>1900</v>
      </c>
      <c r="P4123" s="61">
        <f t="shared" si="334"/>
        <v>1</v>
      </c>
      <c r="R4123" s="272"/>
      <c r="S4123" s="272"/>
    </row>
    <row r="4124" spans="9:19">
      <c r="I4124" s="213"/>
      <c r="J4124" s="213"/>
      <c r="L4124" s="272">
        <f t="shared" si="331"/>
        <v>1900</v>
      </c>
      <c r="M4124" s="272">
        <f t="shared" si="332"/>
        <v>1</v>
      </c>
      <c r="O4124" s="61">
        <f t="shared" si="333"/>
        <v>1900</v>
      </c>
      <c r="P4124" s="61">
        <f t="shared" si="334"/>
        <v>1</v>
      </c>
      <c r="R4124" s="272"/>
      <c r="S4124" s="272"/>
    </row>
    <row r="4125" spans="9:19">
      <c r="I4125" s="213"/>
      <c r="J4125" s="213"/>
      <c r="L4125" s="272">
        <f t="shared" si="331"/>
        <v>1900</v>
      </c>
      <c r="M4125" s="272">
        <f t="shared" si="332"/>
        <v>1</v>
      </c>
      <c r="O4125" s="61">
        <f t="shared" si="333"/>
        <v>1900</v>
      </c>
      <c r="P4125" s="61">
        <f t="shared" si="334"/>
        <v>1</v>
      </c>
      <c r="R4125" s="272"/>
      <c r="S4125" s="272"/>
    </row>
    <row r="4126" spans="9:19">
      <c r="I4126" s="213"/>
      <c r="J4126" s="213"/>
      <c r="L4126" s="272">
        <f t="shared" si="331"/>
        <v>1900</v>
      </c>
      <c r="M4126" s="272">
        <f t="shared" si="332"/>
        <v>1</v>
      </c>
      <c r="O4126" s="61">
        <f t="shared" si="333"/>
        <v>1900</v>
      </c>
      <c r="P4126" s="61">
        <f t="shared" si="334"/>
        <v>1</v>
      </c>
      <c r="R4126" s="272"/>
      <c r="S4126" s="272"/>
    </row>
    <row r="4127" spans="9:19">
      <c r="I4127" s="213"/>
      <c r="J4127" s="213"/>
      <c r="L4127" s="272">
        <f t="shared" si="331"/>
        <v>1900</v>
      </c>
      <c r="M4127" s="272">
        <f t="shared" si="332"/>
        <v>1</v>
      </c>
      <c r="O4127" s="61">
        <f t="shared" si="333"/>
        <v>1900</v>
      </c>
      <c r="P4127" s="61">
        <f t="shared" si="334"/>
        <v>1</v>
      </c>
      <c r="R4127" s="272"/>
      <c r="S4127" s="272"/>
    </row>
    <row r="4128" spans="9:19">
      <c r="I4128" s="213"/>
      <c r="J4128" s="213"/>
      <c r="L4128" s="272">
        <f t="shared" si="331"/>
        <v>1900</v>
      </c>
      <c r="M4128" s="272">
        <f t="shared" si="332"/>
        <v>1</v>
      </c>
      <c r="O4128" s="61">
        <f t="shared" si="333"/>
        <v>1900</v>
      </c>
      <c r="P4128" s="61">
        <f t="shared" si="334"/>
        <v>1</v>
      </c>
      <c r="R4128" s="272"/>
      <c r="S4128" s="272"/>
    </row>
    <row r="4129" spans="9:19">
      <c r="I4129" s="213"/>
      <c r="J4129" s="213"/>
      <c r="L4129" s="272">
        <f t="shared" si="331"/>
        <v>1900</v>
      </c>
      <c r="M4129" s="272">
        <f t="shared" si="332"/>
        <v>1</v>
      </c>
      <c r="O4129" s="61">
        <f t="shared" si="333"/>
        <v>1900</v>
      </c>
      <c r="P4129" s="61">
        <f t="shared" si="334"/>
        <v>1</v>
      </c>
      <c r="R4129" s="272"/>
      <c r="S4129" s="272"/>
    </row>
    <row r="4130" spans="9:19">
      <c r="I4130" s="213"/>
      <c r="J4130" s="213"/>
      <c r="L4130" s="272">
        <f t="shared" si="331"/>
        <v>1900</v>
      </c>
      <c r="M4130" s="272">
        <f t="shared" si="332"/>
        <v>1</v>
      </c>
      <c r="O4130" s="61">
        <f t="shared" si="333"/>
        <v>1900</v>
      </c>
      <c r="P4130" s="61">
        <f t="shared" si="334"/>
        <v>1</v>
      </c>
      <c r="R4130" s="272"/>
      <c r="S4130" s="272"/>
    </row>
    <row r="4131" spans="9:19">
      <c r="I4131" s="213"/>
      <c r="J4131" s="213"/>
      <c r="L4131" s="272">
        <f t="shared" si="331"/>
        <v>1900</v>
      </c>
      <c r="M4131" s="272">
        <f t="shared" si="332"/>
        <v>1</v>
      </c>
      <c r="O4131" s="61">
        <f t="shared" si="333"/>
        <v>1900</v>
      </c>
      <c r="P4131" s="61">
        <f t="shared" si="334"/>
        <v>1</v>
      </c>
      <c r="R4131" s="272"/>
      <c r="S4131" s="272"/>
    </row>
    <row r="4132" spans="9:19">
      <c r="I4132" s="213"/>
      <c r="J4132" s="213"/>
      <c r="L4132" s="272">
        <f t="shared" si="331"/>
        <v>1900</v>
      </c>
      <c r="M4132" s="272">
        <f t="shared" si="332"/>
        <v>1</v>
      </c>
      <c r="O4132" s="61">
        <f t="shared" si="333"/>
        <v>1900</v>
      </c>
      <c r="P4132" s="61">
        <f t="shared" si="334"/>
        <v>1</v>
      </c>
      <c r="R4132" s="272"/>
      <c r="S4132" s="272"/>
    </row>
    <row r="4133" spans="9:19">
      <c r="I4133" s="213"/>
      <c r="J4133" s="213"/>
      <c r="L4133" s="272">
        <f t="shared" si="331"/>
        <v>1900</v>
      </c>
      <c r="M4133" s="272">
        <f t="shared" si="332"/>
        <v>1</v>
      </c>
      <c r="O4133" s="61">
        <f t="shared" si="333"/>
        <v>1900</v>
      </c>
      <c r="P4133" s="61">
        <f t="shared" si="334"/>
        <v>1</v>
      </c>
      <c r="R4133" s="272"/>
      <c r="S4133" s="272"/>
    </row>
    <row r="4134" spans="9:19">
      <c r="I4134" s="213"/>
      <c r="J4134" s="213"/>
      <c r="L4134" s="272">
        <f t="shared" si="331"/>
        <v>1900</v>
      </c>
      <c r="M4134" s="272">
        <f t="shared" si="332"/>
        <v>1</v>
      </c>
      <c r="O4134" s="61">
        <f t="shared" si="333"/>
        <v>1900</v>
      </c>
      <c r="P4134" s="61">
        <f t="shared" si="334"/>
        <v>1</v>
      </c>
      <c r="R4134" s="272"/>
      <c r="S4134" s="272"/>
    </row>
    <row r="4135" spans="9:19">
      <c r="I4135" s="213"/>
      <c r="J4135" s="213"/>
      <c r="L4135" s="272">
        <f t="shared" si="331"/>
        <v>1900</v>
      </c>
      <c r="M4135" s="272">
        <f t="shared" si="332"/>
        <v>1</v>
      </c>
      <c r="O4135" s="61">
        <f t="shared" si="333"/>
        <v>1900</v>
      </c>
      <c r="P4135" s="61">
        <f t="shared" si="334"/>
        <v>1</v>
      </c>
      <c r="R4135" s="272"/>
      <c r="S4135" s="272"/>
    </row>
    <row r="4136" spans="9:19">
      <c r="I4136" s="213"/>
      <c r="J4136" s="213"/>
      <c r="L4136" s="272">
        <f t="shared" si="331"/>
        <v>1900</v>
      </c>
      <c r="M4136" s="272">
        <f t="shared" si="332"/>
        <v>1</v>
      </c>
      <c r="O4136" s="61">
        <f t="shared" si="333"/>
        <v>1900</v>
      </c>
      <c r="P4136" s="61">
        <f t="shared" si="334"/>
        <v>1</v>
      </c>
      <c r="R4136" s="272"/>
      <c r="S4136" s="272"/>
    </row>
    <row r="4137" spans="9:19">
      <c r="I4137" s="213"/>
      <c r="J4137" s="213"/>
      <c r="L4137" s="272">
        <f t="shared" si="331"/>
        <v>1900</v>
      </c>
      <c r="M4137" s="272">
        <f t="shared" si="332"/>
        <v>1</v>
      </c>
      <c r="O4137" s="61">
        <f t="shared" si="333"/>
        <v>1900</v>
      </c>
      <c r="P4137" s="61">
        <f t="shared" si="334"/>
        <v>1</v>
      </c>
      <c r="R4137" s="272"/>
      <c r="S4137" s="272"/>
    </row>
    <row r="4138" spans="9:19">
      <c r="I4138" s="213"/>
      <c r="J4138" s="213"/>
      <c r="L4138" s="272">
        <f t="shared" si="331"/>
        <v>1900</v>
      </c>
      <c r="M4138" s="272">
        <f t="shared" si="332"/>
        <v>1</v>
      </c>
      <c r="O4138" s="61">
        <f t="shared" si="333"/>
        <v>1900</v>
      </c>
      <c r="P4138" s="61">
        <f t="shared" si="334"/>
        <v>1</v>
      </c>
      <c r="R4138" s="272"/>
      <c r="S4138" s="272"/>
    </row>
    <row r="4139" spans="9:19">
      <c r="I4139" s="213"/>
      <c r="J4139" s="213"/>
      <c r="L4139" s="272">
        <f t="shared" si="331"/>
        <v>1900</v>
      </c>
      <c r="M4139" s="272">
        <f t="shared" si="332"/>
        <v>1</v>
      </c>
      <c r="O4139" s="61">
        <f t="shared" si="333"/>
        <v>1900</v>
      </c>
      <c r="P4139" s="61">
        <f t="shared" si="334"/>
        <v>1</v>
      </c>
      <c r="R4139" s="272"/>
      <c r="S4139" s="272"/>
    </row>
    <row r="4140" spans="9:19">
      <c r="I4140" s="213"/>
      <c r="J4140" s="213"/>
      <c r="L4140" s="272">
        <f t="shared" si="331"/>
        <v>1900</v>
      </c>
      <c r="M4140" s="272">
        <f t="shared" si="332"/>
        <v>1</v>
      </c>
      <c r="O4140" s="61">
        <f t="shared" si="333"/>
        <v>1900</v>
      </c>
      <c r="P4140" s="61">
        <f t="shared" si="334"/>
        <v>1</v>
      </c>
      <c r="R4140" s="272"/>
      <c r="S4140" s="272"/>
    </row>
    <row r="4141" spans="9:19">
      <c r="I4141" s="213"/>
      <c r="J4141" s="213"/>
      <c r="L4141" s="272">
        <f t="shared" si="331"/>
        <v>1900</v>
      </c>
      <c r="M4141" s="272">
        <f t="shared" si="332"/>
        <v>1</v>
      </c>
      <c r="O4141" s="61">
        <f t="shared" si="333"/>
        <v>1900</v>
      </c>
      <c r="P4141" s="61">
        <f t="shared" si="334"/>
        <v>1</v>
      </c>
      <c r="R4141" s="272"/>
      <c r="S4141" s="272"/>
    </row>
    <row r="4142" spans="9:19">
      <c r="I4142" s="213"/>
      <c r="J4142" s="213"/>
      <c r="L4142" s="272">
        <f t="shared" si="331"/>
        <v>1900</v>
      </c>
      <c r="M4142" s="272">
        <f t="shared" si="332"/>
        <v>1</v>
      </c>
      <c r="O4142" s="61">
        <f t="shared" si="333"/>
        <v>1900</v>
      </c>
      <c r="P4142" s="61">
        <f t="shared" si="334"/>
        <v>1</v>
      </c>
      <c r="R4142" s="272"/>
      <c r="S4142" s="272"/>
    </row>
    <row r="4143" spans="9:19">
      <c r="I4143" s="213"/>
      <c r="J4143" s="213"/>
      <c r="L4143" s="272">
        <f t="shared" si="331"/>
        <v>1900</v>
      </c>
      <c r="M4143" s="272">
        <f t="shared" si="332"/>
        <v>1</v>
      </c>
      <c r="O4143" s="61">
        <f t="shared" si="333"/>
        <v>1900</v>
      </c>
      <c r="P4143" s="61">
        <f t="shared" si="334"/>
        <v>1</v>
      </c>
      <c r="R4143" s="272"/>
      <c r="S4143" s="272"/>
    </row>
    <row r="4144" spans="9:19">
      <c r="I4144" s="213"/>
      <c r="J4144" s="213"/>
      <c r="L4144" s="272">
        <f t="shared" si="331"/>
        <v>1900</v>
      </c>
      <c r="M4144" s="272">
        <f t="shared" si="332"/>
        <v>1</v>
      </c>
      <c r="O4144" s="61">
        <f t="shared" si="333"/>
        <v>1900</v>
      </c>
      <c r="P4144" s="61">
        <f t="shared" si="334"/>
        <v>1</v>
      </c>
      <c r="R4144" s="272"/>
      <c r="S4144" s="272"/>
    </row>
    <row r="4145" spans="9:19">
      <c r="I4145" s="213"/>
      <c r="J4145" s="213"/>
      <c r="L4145" s="272">
        <f t="shared" si="331"/>
        <v>1900</v>
      </c>
      <c r="M4145" s="272">
        <f t="shared" si="332"/>
        <v>1</v>
      </c>
      <c r="O4145" s="61">
        <f t="shared" si="333"/>
        <v>1900</v>
      </c>
      <c r="P4145" s="61">
        <f t="shared" si="334"/>
        <v>1</v>
      </c>
      <c r="R4145" s="272"/>
      <c r="S4145" s="272"/>
    </row>
    <row r="4146" spans="9:19">
      <c r="I4146" s="213"/>
      <c r="J4146" s="213"/>
      <c r="L4146" s="272">
        <f t="shared" si="331"/>
        <v>1900</v>
      </c>
      <c r="M4146" s="272">
        <f t="shared" si="332"/>
        <v>1</v>
      </c>
      <c r="O4146" s="61">
        <f t="shared" si="333"/>
        <v>1900</v>
      </c>
      <c r="P4146" s="61">
        <f t="shared" si="334"/>
        <v>1</v>
      </c>
      <c r="R4146" s="272"/>
      <c r="S4146" s="272"/>
    </row>
    <row r="4147" spans="9:19">
      <c r="I4147" s="213"/>
      <c r="J4147" s="213"/>
      <c r="L4147" s="272">
        <f t="shared" si="331"/>
        <v>1900</v>
      </c>
      <c r="M4147" s="272">
        <f t="shared" si="332"/>
        <v>1</v>
      </c>
      <c r="O4147" s="61">
        <f t="shared" si="333"/>
        <v>1900</v>
      </c>
      <c r="P4147" s="61">
        <f t="shared" si="334"/>
        <v>1</v>
      </c>
      <c r="R4147" s="272"/>
      <c r="S4147" s="272"/>
    </row>
    <row r="4148" spans="9:19">
      <c r="I4148" s="213"/>
      <c r="J4148" s="213"/>
      <c r="L4148" s="272">
        <f t="shared" si="331"/>
        <v>1900</v>
      </c>
      <c r="M4148" s="272">
        <f t="shared" si="332"/>
        <v>1</v>
      </c>
      <c r="O4148" s="61">
        <f t="shared" si="333"/>
        <v>1900</v>
      </c>
      <c r="P4148" s="61">
        <f t="shared" si="334"/>
        <v>1</v>
      </c>
      <c r="R4148" s="272"/>
      <c r="S4148" s="272"/>
    </row>
    <row r="4149" spans="9:19">
      <c r="I4149" s="213"/>
      <c r="J4149" s="213"/>
      <c r="L4149" s="272">
        <f t="shared" si="331"/>
        <v>1900</v>
      </c>
      <c r="M4149" s="272">
        <f t="shared" si="332"/>
        <v>1</v>
      </c>
      <c r="O4149" s="61">
        <f t="shared" si="333"/>
        <v>1900</v>
      </c>
      <c r="P4149" s="61">
        <f t="shared" si="334"/>
        <v>1</v>
      </c>
      <c r="R4149" s="272"/>
      <c r="S4149" s="272"/>
    </row>
    <row r="4150" spans="9:19">
      <c r="I4150" s="213"/>
      <c r="J4150" s="213"/>
      <c r="L4150" s="272">
        <f t="shared" si="331"/>
        <v>1900</v>
      </c>
      <c r="M4150" s="272">
        <f t="shared" si="332"/>
        <v>1</v>
      </c>
      <c r="O4150" s="61">
        <f t="shared" si="333"/>
        <v>1900</v>
      </c>
      <c r="P4150" s="61">
        <f t="shared" si="334"/>
        <v>1</v>
      </c>
      <c r="R4150" s="272"/>
      <c r="S4150" s="272"/>
    </row>
    <row r="4151" spans="9:19">
      <c r="I4151" s="213"/>
      <c r="J4151" s="213"/>
      <c r="L4151" s="272">
        <f t="shared" si="331"/>
        <v>1900</v>
      </c>
      <c r="M4151" s="272">
        <f t="shared" si="332"/>
        <v>1</v>
      </c>
      <c r="O4151" s="61">
        <f t="shared" si="333"/>
        <v>1900</v>
      </c>
      <c r="P4151" s="61">
        <f t="shared" si="334"/>
        <v>1</v>
      </c>
      <c r="R4151" s="272"/>
      <c r="S4151" s="272"/>
    </row>
    <row r="4152" spans="9:19">
      <c r="I4152" s="213"/>
      <c r="J4152" s="213"/>
      <c r="L4152" s="272">
        <f t="shared" si="331"/>
        <v>1900</v>
      </c>
      <c r="M4152" s="272">
        <f t="shared" si="332"/>
        <v>1</v>
      </c>
      <c r="O4152" s="61">
        <f t="shared" si="333"/>
        <v>1900</v>
      </c>
      <c r="P4152" s="61">
        <f t="shared" si="334"/>
        <v>1</v>
      </c>
      <c r="R4152" s="272"/>
      <c r="S4152" s="272"/>
    </row>
    <row r="4153" spans="9:19">
      <c r="I4153" s="213"/>
      <c r="J4153" s="213"/>
      <c r="L4153" s="272">
        <f t="shared" si="331"/>
        <v>1900</v>
      </c>
      <c r="M4153" s="272">
        <f t="shared" si="332"/>
        <v>1</v>
      </c>
      <c r="O4153" s="61">
        <f t="shared" si="333"/>
        <v>1900</v>
      </c>
      <c r="P4153" s="61">
        <f t="shared" si="334"/>
        <v>1</v>
      </c>
      <c r="R4153" s="272"/>
      <c r="S4153" s="272"/>
    </row>
    <row r="4154" spans="9:19">
      <c r="I4154" s="213"/>
      <c r="J4154" s="213"/>
      <c r="L4154" s="272">
        <f t="shared" si="331"/>
        <v>1900</v>
      </c>
      <c r="M4154" s="272">
        <f t="shared" si="332"/>
        <v>1</v>
      </c>
      <c r="O4154" s="61">
        <f t="shared" si="333"/>
        <v>1900</v>
      </c>
      <c r="P4154" s="61">
        <f t="shared" si="334"/>
        <v>1</v>
      </c>
      <c r="R4154" s="272"/>
      <c r="S4154" s="272"/>
    </row>
    <row r="4155" spans="9:19">
      <c r="I4155" s="213"/>
      <c r="J4155" s="213"/>
      <c r="L4155" s="272">
        <f t="shared" si="331"/>
        <v>1900</v>
      </c>
      <c r="M4155" s="272">
        <f t="shared" si="332"/>
        <v>1</v>
      </c>
      <c r="O4155" s="61">
        <f t="shared" si="333"/>
        <v>1900</v>
      </c>
      <c r="P4155" s="61">
        <f t="shared" si="334"/>
        <v>1</v>
      </c>
      <c r="R4155" s="272"/>
      <c r="S4155" s="272"/>
    </row>
    <row r="4156" spans="9:19">
      <c r="I4156" s="213"/>
      <c r="J4156" s="213"/>
      <c r="L4156" s="272">
        <f t="shared" si="331"/>
        <v>1900</v>
      </c>
      <c r="M4156" s="272">
        <f t="shared" si="332"/>
        <v>1</v>
      </c>
      <c r="O4156" s="61">
        <f t="shared" si="333"/>
        <v>1900</v>
      </c>
      <c r="P4156" s="61">
        <f t="shared" si="334"/>
        <v>1</v>
      </c>
      <c r="R4156" s="272"/>
      <c r="S4156" s="272"/>
    </row>
    <row r="4157" spans="9:19">
      <c r="I4157" s="213"/>
      <c r="J4157" s="213"/>
      <c r="L4157" s="272">
        <f t="shared" si="331"/>
        <v>1900</v>
      </c>
      <c r="M4157" s="272">
        <f t="shared" si="332"/>
        <v>1</v>
      </c>
      <c r="O4157" s="61">
        <f t="shared" si="333"/>
        <v>1900</v>
      </c>
      <c r="P4157" s="61">
        <f t="shared" si="334"/>
        <v>1</v>
      </c>
      <c r="R4157" s="272"/>
      <c r="S4157" s="272"/>
    </row>
    <row r="4158" spans="9:19">
      <c r="I4158" s="213"/>
      <c r="J4158" s="213"/>
      <c r="L4158" s="272">
        <f t="shared" si="331"/>
        <v>1900</v>
      </c>
      <c r="M4158" s="272">
        <f t="shared" si="332"/>
        <v>1</v>
      </c>
      <c r="O4158" s="61">
        <f t="shared" si="333"/>
        <v>1900</v>
      </c>
      <c r="P4158" s="61">
        <f t="shared" si="334"/>
        <v>1</v>
      </c>
      <c r="R4158" s="272"/>
      <c r="S4158" s="272"/>
    </row>
    <row r="4159" spans="9:19">
      <c r="I4159" s="213"/>
      <c r="J4159" s="213"/>
      <c r="L4159" s="272">
        <f t="shared" si="331"/>
        <v>1900</v>
      </c>
      <c r="M4159" s="272">
        <f t="shared" si="332"/>
        <v>1</v>
      </c>
      <c r="O4159" s="61">
        <f t="shared" si="333"/>
        <v>1900</v>
      </c>
      <c r="P4159" s="61">
        <f t="shared" si="334"/>
        <v>1</v>
      </c>
      <c r="R4159" s="272"/>
      <c r="S4159" s="272"/>
    </row>
    <row r="4160" spans="9:19">
      <c r="I4160" s="213"/>
      <c r="J4160" s="213"/>
      <c r="L4160" s="272">
        <f t="shared" si="331"/>
        <v>1900</v>
      </c>
      <c r="M4160" s="272">
        <f t="shared" si="332"/>
        <v>1</v>
      </c>
      <c r="O4160" s="61">
        <f t="shared" si="333"/>
        <v>1900</v>
      </c>
      <c r="P4160" s="61">
        <f t="shared" si="334"/>
        <v>1</v>
      </c>
      <c r="R4160" s="272"/>
      <c r="S4160" s="272"/>
    </row>
    <row r="4161" spans="9:19">
      <c r="I4161" s="213"/>
      <c r="J4161" s="213"/>
      <c r="L4161" s="272">
        <f t="shared" si="331"/>
        <v>1900</v>
      </c>
      <c r="M4161" s="272">
        <f t="shared" si="332"/>
        <v>1</v>
      </c>
      <c r="O4161" s="61">
        <f t="shared" si="333"/>
        <v>1900</v>
      </c>
      <c r="P4161" s="61">
        <f t="shared" si="334"/>
        <v>1</v>
      </c>
      <c r="R4161" s="272"/>
      <c r="S4161" s="272"/>
    </row>
    <row r="4162" spans="9:19">
      <c r="I4162" s="213"/>
      <c r="J4162" s="213"/>
      <c r="L4162" s="272">
        <f t="shared" si="331"/>
        <v>1900</v>
      </c>
      <c r="M4162" s="272">
        <f t="shared" si="332"/>
        <v>1</v>
      </c>
      <c r="O4162" s="61">
        <f t="shared" si="333"/>
        <v>1900</v>
      </c>
      <c r="P4162" s="61">
        <f t="shared" si="334"/>
        <v>1</v>
      </c>
      <c r="R4162" s="272"/>
      <c r="S4162" s="272"/>
    </row>
    <row r="4163" spans="9:19">
      <c r="I4163" s="213"/>
      <c r="J4163" s="213"/>
      <c r="L4163" s="272">
        <f t="shared" si="331"/>
        <v>1900</v>
      </c>
      <c r="M4163" s="272">
        <f t="shared" si="332"/>
        <v>1</v>
      </c>
      <c r="O4163" s="61">
        <f t="shared" si="333"/>
        <v>1900</v>
      </c>
      <c r="P4163" s="61">
        <f t="shared" si="334"/>
        <v>1</v>
      </c>
      <c r="R4163" s="272"/>
      <c r="S4163" s="272"/>
    </row>
    <row r="4164" spans="9:19">
      <c r="I4164" s="213"/>
      <c r="J4164" s="213"/>
      <c r="L4164" s="272">
        <f t="shared" si="331"/>
        <v>1900</v>
      </c>
      <c r="M4164" s="272">
        <f t="shared" si="332"/>
        <v>1</v>
      </c>
      <c r="O4164" s="61">
        <f t="shared" si="333"/>
        <v>1900</v>
      </c>
      <c r="P4164" s="61">
        <f t="shared" si="334"/>
        <v>1</v>
      </c>
      <c r="R4164" s="272"/>
      <c r="S4164" s="272"/>
    </row>
    <row r="4165" spans="9:19">
      <c r="I4165" s="213"/>
      <c r="J4165" s="213"/>
      <c r="L4165" s="272">
        <f t="shared" si="331"/>
        <v>1900</v>
      </c>
      <c r="M4165" s="272">
        <f t="shared" si="332"/>
        <v>1</v>
      </c>
      <c r="O4165" s="61">
        <f t="shared" si="333"/>
        <v>1900</v>
      </c>
      <c r="P4165" s="61">
        <f t="shared" si="334"/>
        <v>1</v>
      </c>
      <c r="R4165" s="272"/>
      <c r="S4165" s="272"/>
    </row>
    <row r="4166" spans="9:19">
      <c r="I4166" s="213"/>
      <c r="J4166" s="213"/>
      <c r="L4166" s="272">
        <f t="shared" si="331"/>
        <v>1900</v>
      </c>
      <c r="M4166" s="272">
        <f t="shared" si="332"/>
        <v>1</v>
      </c>
      <c r="O4166" s="61">
        <f t="shared" si="333"/>
        <v>1900</v>
      </c>
      <c r="P4166" s="61">
        <f t="shared" si="334"/>
        <v>1</v>
      </c>
      <c r="R4166" s="272"/>
      <c r="S4166" s="272"/>
    </row>
    <row r="4167" spans="9:19">
      <c r="I4167" s="213"/>
      <c r="J4167" s="213"/>
      <c r="L4167" s="272">
        <f t="shared" si="331"/>
        <v>1900</v>
      </c>
      <c r="M4167" s="272">
        <f t="shared" si="332"/>
        <v>1</v>
      </c>
      <c r="O4167" s="61">
        <f t="shared" si="333"/>
        <v>1900</v>
      </c>
      <c r="P4167" s="61">
        <f t="shared" si="334"/>
        <v>1</v>
      </c>
      <c r="R4167" s="272"/>
      <c r="S4167" s="272"/>
    </row>
    <row r="4168" spans="9:19">
      <c r="I4168" s="213"/>
      <c r="J4168" s="213"/>
      <c r="L4168" s="272">
        <f t="shared" si="331"/>
        <v>1900</v>
      </c>
      <c r="M4168" s="272">
        <f t="shared" si="332"/>
        <v>1</v>
      </c>
      <c r="O4168" s="61">
        <f t="shared" si="333"/>
        <v>1900</v>
      </c>
      <c r="P4168" s="61">
        <f t="shared" si="334"/>
        <v>1</v>
      </c>
      <c r="R4168" s="272"/>
      <c r="S4168" s="272"/>
    </row>
    <row r="4169" spans="9:19">
      <c r="I4169" s="213"/>
      <c r="J4169" s="213"/>
      <c r="L4169" s="272">
        <f t="shared" si="331"/>
        <v>1900</v>
      </c>
      <c r="M4169" s="272">
        <f t="shared" si="332"/>
        <v>1</v>
      </c>
      <c r="O4169" s="61">
        <f t="shared" si="333"/>
        <v>1900</v>
      </c>
      <c r="P4169" s="61">
        <f t="shared" si="334"/>
        <v>1</v>
      </c>
      <c r="R4169" s="272"/>
      <c r="S4169" s="272"/>
    </row>
    <row r="4170" spans="9:19">
      <c r="I4170" s="213"/>
      <c r="J4170" s="213"/>
      <c r="L4170" s="272">
        <f t="shared" si="331"/>
        <v>1900</v>
      </c>
      <c r="M4170" s="272">
        <f t="shared" si="332"/>
        <v>1</v>
      </c>
      <c r="O4170" s="61">
        <f t="shared" si="333"/>
        <v>1900</v>
      </c>
      <c r="P4170" s="61">
        <f t="shared" si="334"/>
        <v>1</v>
      </c>
      <c r="R4170" s="272"/>
      <c r="S4170" s="272"/>
    </row>
    <row r="4171" spans="9:19">
      <c r="I4171" s="213"/>
      <c r="J4171" s="213"/>
      <c r="L4171" s="272">
        <f t="shared" si="331"/>
        <v>1900</v>
      </c>
      <c r="M4171" s="272">
        <f t="shared" si="332"/>
        <v>1</v>
      </c>
      <c r="O4171" s="61">
        <f t="shared" si="333"/>
        <v>1900</v>
      </c>
      <c r="P4171" s="61">
        <f t="shared" si="334"/>
        <v>1</v>
      </c>
      <c r="R4171" s="272"/>
      <c r="S4171" s="272"/>
    </row>
    <row r="4172" spans="9:19">
      <c r="I4172" s="213"/>
      <c r="J4172" s="213"/>
      <c r="L4172" s="272">
        <f t="shared" si="331"/>
        <v>1900</v>
      </c>
      <c r="M4172" s="272">
        <f t="shared" si="332"/>
        <v>1</v>
      </c>
      <c r="O4172" s="61">
        <f t="shared" si="333"/>
        <v>1900</v>
      </c>
      <c r="P4172" s="61">
        <f t="shared" si="334"/>
        <v>1</v>
      </c>
      <c r="R4172" s="272"/>
      <c r="S4172" s="272"/>
    </row>
    <row r="4173" spans="9:19">
      <c r="I4173" s="213"/>
      <c r="J4173" s="213"/>
      <c r="L4173" s="272">
        <f t="shared" si="331"/>
        <v>1900</v>
      </c>
      <c r="M4173" s="272">
        <f t="shared" si="332"/>
        <v>1</v>
      </c>
      <c r="O4173" s="61">
        <f t="shared" si="333"/>
        <v>1900</v>
      </c>
      <c r="P4173" s="61">
        <f t="shared" si="334"/>
        <v>1</v>
      </c>
      <c r="R4173" s="272"/>
      <c r="S4173" s="272"/>
    </row>
    <row r="4174" spans="9:19">
      <c r="I4174" s="213"/>
      <c r="J4174" s="213"/>
      <c r="L4174" s="272">
        <f t="shared" si="331"/>
        <v>1900</v>
      </c>
      <c r="M4174" s="272">
        <f t="shared" si="332"/>
        <v>1</v>
      </c>
      <c r="O4174" s="61">
        <f t="shared" si="333"/>
        <v>1900</v>
      </c>
      <c r="P4174" s="61">
        <f t="shared" si="334"/>
        <v>1</v>
      </c>
      <c r="R4174" s="272"/>
      <c r="S4174" s="272"/>
    </row>
    <row r="4175" spans="9:19">
      <c r="I4175" s="213"/>
      <c r="J4175" s="213"/>
      <c r="L4175" s="272">
        <f t="shared" si="331"/>
        <v>1900</v>
      </c>
      <c r="M4175" s="272">
        <f t="shared" si="332"/>
        <v>1</v>
      </c>
      <c r="O4175" s="61">
        <f t="shared" si="333"/>
        <v>1900</v>
      </c>
      <c r="P4175" s="61">
        <f t="shared" si="334"/>
        <v>1</v>
      </c>
      <c r="R4175" s="272"/>
      <c r="S4175" s="272"/>
    </row>
    <row r="4176" spans="9:19">
      <c r="I4176" s="213"/>
      <c r="J4176" s="213"/>
      <c r="L4176" s="272">
        <f t="shared" ref="L4176:L4239" si="335">YEAR(B4176)</f>
        <v>1900</v>
      </c>
      <c r="M4176" s="272">
        <f t="shared" ref="M4176:M4239" si="336">MONTH(B4176)</f>
        <v>1</v>
      </c>
      <c r="O4176" s="61">
        <f t="shared" ref="O4176:O4239" si="337">YEAR(B4176)</f>
        <v>1900</v>
      </c>
      <c r="P4176" s="61">
        <f t="shared" ref="P4176:P4239" si="338">MONTH(B4176)</f>
        <v>1</v>
      </c>
      <c r="R4176" s="272"/>
      <c r="S4176" s="272"/>
    </row>
    <row r="4177" spans="9:19">
      <c r="I4177" s="213"/>
      <c r="J4177" s="213"/>
      <c r="L4177" s="272">
        <f t="shared" si="335"/>
        <v>1900</v>
      </c>
      <c r="M4177" s="272">
        <f t="shared" si="336"/>
        <v>1</v>
      </c>
      <c r="O4177" s="61">
        <f t="shared" si="337"/>
        <v>1900</v>
      </c>
      <c r="P4177" s="61">
        <f t="shared" si="338"/>
        <v>1</v>
      </c>
      <c r="R4177" s="272"/>
      <c r="S4177" s="272"/>
    </row>
    <row r="4178" spans="9:19">
      <c r="I4178" s="213"/>
      <c r="J4178" s="213"/>
      <c r="L4178" s="272">
        <f t="shared" si="335"/>
        <v>1900</v>
      </c>
      <c r="M4178" s="272">
        <f t="shared" si="336"/>
        <v>1</v>
      </c>
      <c r="O4178" s="61">
        <f t="shared" si="337"/>
        <v>1900</v>
      </c>
      <c r="P4178" s="61">
        <f t="shared" si="338"/>
        <v>1</v>
      </c>
      <c r="R4178" s="272"/>
      <c r="S4178" s="272"/>
    </row>
    <row r="4179" spans="9:19">
      <c r="I4179" s="213"/>
      <c r="J4179" s="213"/>
      <c r="L4179" s="272">
        <f t="shared" si="335"/>
        <v>1900</v>
      </c>
      <c r="M4179" s="272">
        <f t="shared" si="336"/>
        <v>1</v>
      </c>
      <c r="O4179" s="61">
        <f t="shared" si="337"/>
        <v>1900</v>
      </c>
      <c r="P4179" s="61">
        <f t="shared" si="338"/>
        <v>1</v>
      </c>
      <c r="R4179" s="272"/>
      <c r="S4179" s="272"/>
    </row>
    <row r="4180" spans="9:19">
      <c r="I4180" s="213"/>
      <c r="J4180" s="213"/>
      <c r="L4180" s="272">
        <f t="shared" si="335"/>
        <v>1900</v>
      </c>
      <c r="M4180" s="272">
        <f t="shared" si="336"/>
        <v>1</v>
      </c>
      <c r="O4180" s="61">
        <f t="shared" si="337"/>
        <v>1900</v>
      </c>
      <c r="P4180" s="61">
        <f t="shared" si="338"/>
        <v>1</v>
      </c>
      <c r="R4180" s="272"/>
      <c r="S4180" s="272"/>
    </row>
    <row r="4181" spans="9:19">
      <c r="I4181" s="213"/>
      <c r="J4181" s="213"/>
      <c r="L4181" s="272">
        <f t="shared" si="335"/>
        <v>1900</v>
      </c>
      <c r="M4181" s="272">
        <f t="shared" si="336"/>
        <v>1</v>
      </c>
      <c r="O4181" s="61">
        <f t="shared" si="337"/>
        <v>1900</v>
      </c>
      <c r="P4181" s="61">
        <f t="shared" si="338"/>
        <v>1</v>
      </c>
      <c r="R4181" s="272"/>
      <c r="S4181" s="272"/>
    </row>
    <row r="4182" spans="9:19">
      <c r="I4182" s="213"/>
      <c r="J4182" s="213"/>
      <c r="L4182" s="272">
        <f t="shared" si="335"/>
        <v>1900</v>
      </c>
      <c r="M4182" s="272">
        <f t="shared" si="336"/>
        <v>1</v>
      </c>
      <c r="O4182" s="61">
        <f t="shared" si="337"/>
        <v>1900</v>
      </c>
      <c r="P4182" s="61">
        <f t="shared" si="338"/>
        <v>1</v>
      </c>
      <c r="R4182" s="272"/>
      <c r="S4182" s="272"/>
    </row>
    <row r="4183" spans="9:19">
      <c r="I4183" s="213"/>
      <c r="J4183" s="213"/>
      <c r="L4183" s="272">
        <f t="shared" si="335"/>
        <v>1900</v>
      </c>
      <c r="M4183" s="272">
        <f t="shared" si="336"/>
        <v>1</v>
      </c>
      <c r="O4183" s="61">
        <f t="shared" si="337"/>
        <v>1900</v>
      </c>
      <c r="P4183" s="61">
        <f t="shared" si="338"/>
        <v>1</v>
      </c>
      <c r="R4183" s="272"/>
      <c r="S4183" s="272"/>
    </row>
    <row r="4184" spans="9:19">
      <c r="I4184" s="213"/>
      <c r="J4184" s="213"/>
      <c r="L4184" s="272">
        <f t="shared" si="335"/>
        <v>1900</v>
      </c>
      <c r="M4184" s="272">
        <f t="shared" si="336"/>
        <v>1</v>
      </c>
      <c r="O4184" s="61">
        <f t="shared" si="337"/>
        <v>1900</v>
      </c>
      <c r="P4184" s="61">
        <f t="shared" si="338"/>
        <v>1</v>
      </c>
      <c r="R4184" s="272"/>
      <c r="S4184" s="272"/>
    </row>
    <row r="4185" spans="9:19">
      <c r="I4185" s="213"/>
      <c r="J4185" s="213"/>
      <c r="L4185" s="272">
        <f t="shared" si="335"/>
        <v>1900</v>
      </c>
      <c r="M4185" s="272">
        <f t="shared" si="336"/>
        <v>1</v>
      </c>
      <c r="O4185" s="61">
        <f t="shared" si="337"/>
        <v>1900</v>
      </c>
      <c r="P4185" s="61">
        <f t="shared" si="338"/>
        <v>1</v>
      </c>
      <c r="R4185" s="272"/>
      <c r="S4185" s="272"/>
    </row>
    <row r="4186" spans="9:19">
      <c r="I4186" s="213"/>
      <c r="J4186" s="213"/>
      <c r="L4186" s="272">
        <f t="shared" si="335"/>
        <v>1900</v>
      </c>
      <c r="M4186" s="272">
        <f t="shared" si="336"/>
        <v>1</v>
      </c>
      <c r="O4186" s="61">
        <f t="shared" si="337"/>
        <v>1900</v>
      </c>
      <c r="P4186" s="61">
        <f t="shared" si="338"/>
        <v>1</v>
      </c>
      <c r="R4186" s="272"/>
      <c r="S4186" s="272"/>
    </row>
    <row r="4187" spans="9:19">
      <c r="I4187" s="213"/>
      <c r="J4187" s="213"/>
      <c r="L4187" s="272">
        <f t="shared" si="335"/>
        <v>1900</v>
      </c>
      <c r="M4187" s="272">
        <f t="shared" si="336"/>
        <v>1</v>
      </c>
      <c r="O4187" s="61">
        <f t="shared" si="337"/>
        <v>1900</v>
      </c>
      <c r="P4187" s="61">
        <f t="shared" si="338"/>
        <v>1</v>
      </c>
      <c r="R4187" s="272"/>
      <c r="S4187" s="272"/>
    </row>
    <row r="4188" spans="9:19">
      <c r="I4188" s="213"/>
      <c r="J4188" s="213"/>
      <c r="L4188" s="272">
        <f t="shared" si="335"/>
        <v>1900</v>
      </c>
      <c r="M4188" s="272">
        <f t="shared" si="336"/>
        <v>1</v>
      </c>
      <c r="O4188" s="61">
        <f t="shared" si="337"/>
        <v>1900</v>
      </c>
      <c r="P4188" s="61">
        <f t="shared" si="338"/>
        <v>1</v>
      </c>
      <c r="R4188" s="272"/>
      <c r="S4188" s="272"/>
    </row>
    <row r="4189" spans="9:19">
      <c r="I4189" s="213"/>
      <c r="J4189" s="213"/>
      <c r="L4189" s="272">
        <f t="shared" si="335"/>
        <v>1900</v>
      </c>
      <c r="M4189" s="272">
        <f t="shared" si="336"/>
        <v>1</v>
      </c>
      <c r="O4189" s="61">
        <f t="shared" si="337"/>
        <v>1900</v>
      </c>
      <c r="P4189" s="61">
        <f t="shared" si="338"/>
        <v>1</v>
      </c>
      <c r="R4189" s="272"/>
      <c r="S4189" s="272"/>
    </row>
    <row r="4190" spans="9:19">
      <c r="I4190" s="213"/>
      <c r="J4190" s="213"/>
      <c r="L4190" s="272">
        <f t="shared" si="335"/>
        <v>1900</v>
      </c>
      <c r="M4190" s="272">
        <f t="shared" si="336"/>
        <v>1</v>
      </c>
      <c r="O4190" s="61">
        <f t="shared" si="337"/>
        <v>1900</v>
      </c>
      <c r="P4190" s="61">
        <f t="shared" si="338"/>
        <v>1</v>
      </c>
      <c r="R4190" s="272"/>
      <c r="S4190" s="272"/>
    </row>
    <row r="4191" spans="9:19">
      <c r="I4191" s="213"/>
      <c r="J4191" s="213"/>
      <c r="L4191" s="272">
        <f t="shared" si="335"/>
        <v>1900</v>
      </c>
      <c r="M4191" s="272">
        <f t="shared" si="336"/>
        <v>1</v>
      </c>
      <c r="O4191" s="61">
        <f t="shared" si="337"/>
        <v>1900</v>
      </c>
      <c r="P4191" s="61">
        <f t="shared" si="338"/>
        <v>1</v>
      </c>
      <c r="R4191" s="272"/>
      <c r="S4191" s="272"/>
    </row>
    <row r="4192" spans="9:19">
      <c r="I4192" s="213"/>
      <c r="J4192" s="213"/>
      <c r="L4192" s="272">
        <f t="shared" si="335"/>
        <v>1900</v>
      </c>
      <c r="M4192" s="272">
        <f t="shared" si="336"/>
        <v>1</v>
      </c>
      <c r="O4192" s="61">
        <f t="shared" si="337"/>
        <v>1900</v>
      </c>
      <c r="P4192" s="61">
        <f t="shared" si="338"/>
        <v>1</v>
      </c>
      <c r="R4192" s="272"/>
      <c r="S4192" s="272"/>
    </row>
    <row r="4193" spans="9:19">
      <c r="I4193" s="213"/>
      <c r="J4193" s="213"/>
      <c r="L4193" s="272">
        <f t="shared" si="335"/>
        <v>1900</v>
      </c>
      <c r="M4193" s="272">
        <f t="shared" si="336"/>
        <v>1</v>
      </c>
      <c r="O4193" s="61">
        <f t="shared" si="337"/>
        <v>1900</v>
      </c>
      <c r="P4193" s="61">
        <f t="shared" si="338"/>
        <v>1</v>
      </c>
      <c r="R4193" s="272"/>
      <c r="S4193" s="272"/>
    </row>
    <row r="4194" spans="9:19">
      <c r="I4194" s="213"/>
      <c r="J4194" s="213"/>
      <c r="L4194" s="272">
        <f t="shared" si="335"/>
        <v>1900</v>
      </c>
      <c r="M4194" s="272">
        <f t="shared" si="336"/>
        <v>1</v>
      </c>
      <c r="O4194" s="61">
        <f t="shared" si="337"/>
        <v>1900</v>
      </c>
      <c r="P4194" s="61">
        <f t="shared" si="338"/>
        <v>1</v>
      </c>
      <c r="R4194" s="272"/>
      <c r="S4194" s="272"/>
    </row>
    <row r="4195" spans="9:19">
      <c r="I4195" s="213"/>
      <c r="J4195" s="213"/>
      <c r="L4195" s="272">
        <f t="shared" si="335"/>
        <v>1900</v>
      </c>
      <c r="M4195" s="272">
        <f t="shared" si="336"/>
        <v>1</v>
      </c>
      <c r="O4195" s="61">
        <f t="shared" si="337"/>
        <v>1900</v>
      </c>
      <c r="P4195" s="61">
        <f t="shared" si="338"/>
        <v>1</v>
      </c>
      <c r="R4195" s="272"/>
      <c r="S4195" s="272"/>
    </row>
    <row r="4196" spans="9:19">
      <c r="I4196" s="213"/>
      <c r="J4196" s="213"/>
      <c r="L4196" s="272">
        <f t="shared" si="335"/>
        <v>1900</v>
      </c>
      <c r="M4196" s="272">
        <f t="shared" si="336"/>
        <v>1</v>
      </c>
      <c r="O4196" s="61">
        <f t="shared" si="337"/>
        <v>1900</v>
      </c>
      <c r="P4196" s="61">
        <f t="shared" si="338"/>
        <v>1</v>
      </c>
      <c r="R4196" s="272"/>
      <c r="S4196" s="272"/>
    </row>
    <row r="4197" spans="9:19">
      <c r="I4197" s="213"/>
      <c r="J4197" s="213"/>
      <c r="L4197" s="272">
        <f t="shared" si="335"/>
        <v>1900</v>
      </c>
      <c r="M4197" s="272">
        <f t="shared" si="336"/>
        <v>1</v>
      </c>
      <c r="O4197" s="61">
        <f t="shared" si="337"/>
        <v>1900</v>
      </c>
      <c r="P4197" s="61">
        <f t="shared" si="338"/>
        <v>1</v>
      </c>
      <c r="R4197" s="272"/>
      <c r="S4197" s="272"/>
    </row>
    <row r="4198" spans="9:19">
      <c r="I4198" s="213"/>
      <c r="J4198" s="213"/>
      <c r="L4198" s="272">
        <f t="shared" si="335"/>
        <v>1900</v>
      </c>
      <c r="M4198" s="272">
        <f t="shared" si="336"/>
        <v>1</v>
      </c>
      <c r="O4198" s="61">
        <f t="shared" si="337"/>
        <v>1900</v>
      </c>
      <c r="P4198" s="61">
        <f t="shared" si="338"/>
        <v>1</v>
      </c>
      <c r="R4198" s="272"/>
      <c r="S4198" s="272"/>
    </row>
    <row r="4199" spans="9:19">
      <c r="I4199" s="213"/>
      <c r="J4199" s="213"/>
      <c r="L4199" s="272">
        <f t="shared" si="335"/>
        <v>1900</v>
      </c>
      <c r="M4199" s="272">
        <f t="shared" si="336"/>
        <v>1</v>
      </c>
      <c r="O4199" s="61">
        <f t="shared" si="337"/>
        <v>1900</v>
      </c>
      <c r="P4199" s="61">
        <f t="shared" si="338"/>
        <v>1</v>
      </c>
      <c r="R4199" s="272"/>
      <c r="S4199" s="272"/>
    </row>
    <row r="4200" spans="9:19">
      <c r="I4200" s="213"/>
      <c r="J4200" s="213"/>
      <c r="L4200" s="272">
        <f t="shared" si="335"/>
        <v>1900</v>
      </c>
      <c r="M4200" s="272">
        <f t="shared" si="336"/>
        <v>1</v>
      </c>
      <c r="O4200" s="61">
        <f t="shared" si="337"/>
        <v>1900</v>
      </c>
      <c r="P4200" s="61">
        <f t="shared" si="338"/>
        <v>1</v>
      </c>
      <c r="R4200" s="272"/>
      <c r="S4200" s="272"/>
    </row>
    <row r="4201" spans="9:19">
      <c r="I4201" s="213"/>
      <c r="J4201" s="213"/>
      <c r="L4201" s="272">
        <f t="shared" si="335"/>
        <v>1900</v>
      </c>
      <c r="M4201" s="272">
        <f t="shared" si="336"/>
        <v>1</v>
      </c>
      <c r="O4201" s="61">
        <f t="shared" si="337"/>
        <v>1900</v>
      </c>
      <c r="P4201" s="61">
        <f t="shared" si="338"/>
        <v>1</v>
      </c>
      <c r="R4201" s="272"/>
      <c r="S4201" s="272"/>
    </row>
    <row r="4202" spans="9:19">
      <c r="I4202" s="213"/>
      <c r="J4202" s="213"/>
      <c r="L4202" s="272">
        <f t="shared" si="335"/>
        <v>1900</v>
      </c>
      <c r="M4202" s="272">
        <f t="shared" si="336"/>
        <v>1</v>
      </c>
      <c r="O4202" s="61">
        <f t="shared" si="337"/>
        <v>1900</v>
      </c>
      <c r="P4202" s="61">
        <f t="shared" si="338"/>
        <v>1</v>
      </c>
      <c r="R4202" s="272"/>
      <c r="S4202" s="272"/>
    </row>
    <row r="4203" spans="9:19">
      <c r="I4203" s="213"/>
      <c r="J4203" s="213"/>
      <c r="L4203" s="272">
        <f t="shared" si="335"/>
        <v>1900</v>
      </c>
      <c r="M4203" s="272">
        <f t="shared" si="336"/>
        <v>1</v>
      </c>
      <c r="O4203" s="61">
        <f t="shared" si="337"/>
        <v>1900</v>
      </c>
      <c r="P4203" s="61">
        <f t="shared" si="338"/>
        <v>1</v>
      </c>
      <c r="R4203" s="272"/>
      <c r="S4203" s="272"/>
    </row>
    <row r="4204" spans="9:19">
      <c r="I4204" s="213"/>
      <c r="J4204" s="213"/>
      <c r="L4204" s="272">
        <f t="shared" si="335"/>
        <v>1900</v>
      </c>
      <c r="M4204" s="272">
        <f t="shared" si="336"/>
        <v>1</v>
      </c>
      <c r="O4204" s="61">
        <f t="shared" si="337"/>
        <v>1900</v>
      </c>
      <c r="P4204" s="61">
        <f t="shared" si="338"/>
        <v>1</v>
      </c>
      <c r="R4204" s="272"/>
      <c r="S4204" s="272"/>
    </row>
    <row r="4205" spans="9:19">
      <c r="I4205" s="213"/>
      <c r="J4205" s="213"/>
      <c r="L4205" s="272">
        <f t="shared" si="335"/>
        <v>1900</v>
      </c>
      <c r="M4205" s="272">
        <f t="shared" si="336"/>
        <v>1</v>
      </c>
      <c r="O4205" s="61">
        <f t="shared" si="337"/>
        <v>1900</v>
      </c>
      <c r="P4205" s="61">
        <f t="shared" si="338"/>
        <v>1</v>
      </c>
      <c r="R4205" s="272"/>
      <c r="S4205" s="272"/>
    </row>
    <row r="4206" spans="9:19">
      <c r="I4206" s="213"/>
      <c r="J4206" s="213"/>
      <c r="L4206" s="272">
        <f t="shared" si="335"/>
        <v>1900</v>
      </c>
      <c r="M4206" s="272">
        <f t="shared" si="336"/>
        <v>1</v>
      </c>
      <c r="O4206" s="61">
        <f t="shared" si="337"/>
        <v>1900</v>
      </c>
      <c r="P4206" s="61">
        <f t="shared" si="338"/>
        <v>1</v>
      </c>
      <c r="R4206" s="272"/>
      <c r="S4206" s="272"/>
    </row>
    <row r="4207" spans="9:19">
      <c r="I4207" s="213"/>
      <c r="J4207" s="213"/>
      <c r="L4207" s="272">
        <f t="shared" si="335"/>
        <v>1900</v>
      </c>
      <c r="M4207" s="272">
        <f t="shared" si="336"/>
        <v>1</v>
      </c>
      <c r="O4207" s="61">
        <f t="shared" si="337"/>
        <v>1900</v>
      </c>
      <c r="P4207" s="61">
        <f t="shared" si="338"/>
        <v>1</v>
      </c>
      <c r="R4207" s="272"/>
      <c r="S4207" s="272"/>
    </row>
    <row r="4208" spans="9:19">
      <c r="I4208" s="213"/>
      <c r="J4208" s="213"/>
      <c r="L4208" s="272">
        <f t="shared" si="335"/>
        <v>1900</v>
      </c>
      <c r="M4208" s="272">
        <f t="shared" si="336"/>
        <v>1</v>
      </c>
      <c r="O4208" s="61">
        <f t="shared" si="337"/>
        <v>1900</v>
      </c>
      <c r="P4208" s="61">
        <f t="shared" si="338"/>
        <v>1</v>
      </c>
      <c r="R4208" s="272"/>
      <c r="S4208" s="272"/>
    </row>
    <row r="4209" spans="9:19">
      <c r="I4209" s="213"/>
      <c r="J4209" s="213"/>
      <c r="L4209" s="272">
        <f t="shared" si="335"/>
        <v>1900</v>
      </c>
      <c r="M4209" s="272">
        <f t="shared" si="336"/>
        <v>1</v>
      </c>
      <c r="O4209" s="61">
        <f t="shared" si="337"/>
        <v>1900</v>
      </c>
      <c r="P4209" s="61">
        <f t="shared" si="338"/>
        <v>1</v>
      </c>
      <c r="R4209" s="272"/>
      <c r="S4209" s="272"/>
    </row>
    <row r="4210" spans="9:19">
      <c r="I4210" s="213"/>
      <c r="J4210" s="213"/>
      <c r="L4210" s="272">
        <f t="shared" si="335"/>
        <v>1900</v>
      </c>
      <c r="M4210" s="272">
        <f t="shared" si="336"/>
        <v>1</v>
      </c>
      <c r="O4210" s="61">
        <f t="shared" si="337"/>
        <v>1900</v>
      </c>
      <c r="P4210" s="61">
        <f t="shared" si="338"/>
        <v>1</v>
      </c>
      <c r="R4210" s="272"/>
      <c r="S4210" s="272"/>
    </row>
    <row r="4211" spans="9:19">
      <c r="I4211" s="213"/>
      <c r="J4211" s="213"/>
      <c r="L4211" s="272">
        <f t="shared" si="335"/>
        <v>1900</v>
      </c>
      <c r="M4211" s="272">
        <f t="shared" si="336"/>
        <v>1</v>
      </c>
      <c r="O4211" s="61">
        <f t="shared" si="337"/>
        <v>1900</v>
      </c>
      <c r="P4211" s="61">
        <f t="shared" si="338"/>
        <v>1</v>
      </c>
      <c r="R4211" s="272"/>
      <c r="S4211" s="272"/>
    </row>
    <row r="4212" spans="9:19">
      <c r="I4212" s="213"/>
      <c r="J4212" s="213"/>
      <c r="L4212" s="272">
        <f t="shared" si="335"/>
        <v>1900</v>
      </c>
      <c r="M4212" s="272">
        <f t="shared" si="336"/>
        <v>1</v>
      </c>
      <c r="O4212" s="61">
        <f t="shared" si="337"/>
        <v>1900</v>
      </c>
      <c r="P4212" s="61">
        <f t="shared" si="338"/>
        <v>1</v>
      </c>
      <c r="R4212" s="272"/>
      <c r="S4212" s="272"/>
    </row>
    <row r="4213" spans="9:19">
      <c r="I4213" s="213"/>
      <c r="J4213" s="213"/>
      <c r="L4213" s="272">
        <f t="shared" si="335"/>
        <v>1900</v>
      </c>
      <c r="M4213" s="272">
        <f t="shared" si="336"/>
        <v>1</v>
      </c>
      <c r="O4213" s="61">
        <f t="shared" si="337"/>
        <v>1900</v>
      </c>
      <c r="P4213" s="61">
        <f t="shared" si="338"/>
        <v>1</v>
      </c>
      <c r="R4213" s="272"/>
      <c r="S4213" s="272"/>
    </row>
    <row r="4214" spans="9:19">
      <c r="I4214" s="213"/>
      <c r="J4214" s="213"/>
      <c r="L4214" s="272">
        <f t="shared" si="335"/>
        <v>1900</v>
      </c>
      <c r="M4214" s="272">
        <f t="shared" si="336"/>
        <v>1</v>
      </c>
      <c r="O4214" s="61">
        <f t="shared" si="337"/>
        <v>1900</v>
      </c>
      <c r="P4214" s="61">
        <f t="shared" si="338"/>
        <v>1</v>
      </c>
      <c r="R4214" s="272"/>
      <c r="S4214" s="272"/>
    </row>
    <row r="4215" spans="9:19">
      <c r="I4215" s="213"/>
      <c r="J4215" s="213"/>
      <c r="L4215" s="272">
        <f t="shared" si="335"/>
        <v>1900</v>
      </c>
      <c r="M4215" s="272">
        <f t="shared" si="336"/>
        <v>1</v>
      </c>
      <c r="O4215" s="61">
        <f t="shared" si="337"/>
        <v>1900</v>
      </c>
      <c r="P4215" s="61">
        <f t="shared" si="338"/>
        <v>1</v>
      </c>
      <c r="R4215" s="272"/>
      <c r="S4215" s="272"/>
    </row>
    <row r="4216" spans="9:19">
      <c r="I4216" s="213"/>
      <c r="J4216" s="213"/>
      <c r="L4216" s="272">
        <f t="shared" si="335"/>
        <v>1900</v>
      </c>
      <c r="M4216" s="272">
        <f t="shared" si="336"/>
        <v>1</v>
      </c>
      <c r="O4216" s="61">
        <f t="shared" si="337"/>
        <v>1900</v>
      </c>
      <c r="P4216" s="61">
        <f t="shared" si="338"/>
        <v>1</v>
      </c>
      <c r="R4216" s="272"/>
      <c r="S4216" s="272"/>
    </row>
    <row r="4217" spans="9:19">
      <c r="I4217" s="213"/>
      <c r="J4217" s="213"/>
      <c r="L4217" s="272">
        <f t="shared" si="335"/>
        <v>1900</v>
      </c>
      <c r="M4217" s="272">
        <f t="shared" si="336"/>
        <v>1</v>
      </c>
      <c r="O4217" s="61">
        <f t="shared" si="337"/>
        <v>1900</v>
      </c>
      <c r="P4217" s="61">
        <f t="shared" si="338"/>
        <v>1</v>
      </c>
      <c r="R4217" s="272"/>
      <c r="S4217" s="272"/>
    </row>
    <row r="4218" spans="9:19">
      <c r="I4218" s="213"/>
      <c r="J4218" s="213"/>
      <c r="L4218" s="272">
        <f t="shared" si="335"/>
        <v>1900</v>
      </c>
      <c r="M4218" s="272">
        <f t="shared" si="336"/>
        <v>1</v>
      </c>
      <c r="O4218" s="61">
        <f t="shared" si="337"/>
        <v>1900</v>
      </c>
      <c r="P4218" s="61">
        <f t="shared" si="338"/>
        <v>1</v>
      </c>
      <c r="R4218" s="272"/>
      <c r="S4218" s="272"/>
    </row>
    <row r="4219" spans="9:19">
      <c r="I4219" s="213"/>
      <c r="J4219" s="213"/>
      <c r="L4219" s="272">
        <f t="shared" si="335"/>
        <v>1900</v>
      </c>
      <c r="M4219" s="272">
        <f t="shared" si="336"/>
        <v>1</v>
      </c>
      <c r="O4219" s="61">
        <f t="shared" si="337"/>
        <v>1900</v>
      </c>
      <c r="P4219" s="61">
        <f t="shared" si="338"/>
        <v>1</v>
      </c>
      <c r="R4219" s="272"/>
      <c r="S4219" s="272"/>
    </row>
    <row r="4220" spans="9:19">
      <c r="I4220" s="213"/>
      <c r="J4220" s="213"/>
      <c r="L4220" s="272">
        <f t="shared" si="335"/>
        <v>1900</v>
      </c>
      <c r="M4220" s="272">
        <f t="shared" si="336"/>
        <v>1</v>
      </c>
      <c r="O4220" s="61">
        <f t="shared" si="337"/>
        <v>1900</v>
      </c>
      <c r="P4220" s="61">
        <f t="shared" si="338"/>
        <v>1</v>
      </c>
      <c r="R4220" s="272"/>
      <c r="S4220" s="272"/>
    </row>
    <row r="4221" spans="9:19">
      <c r="I4221" s="213"/>
      <c r="J4221" s="213"/>
      <c r="L4221" s="272">
        <f t="shared" si="335"/>
        <v>1900</v>
      </c>
      <c r="M4221" s="272">
        <f t="shared" si="336"/>
        <v>1</v>
      </c>
      <c r="O4221" s="61">
        <f t="shared" si="337"/>
        <v>1900</v>
      </c>
      <c r="P4221" s="61">
        <f t="shared" si="338"/>
        <v>1</v>
      </c>
      <c r="R4221" s="272"/>
      <c r="S4221" s="272"/>
    </row>
    <row r="4222" spans="9:19">
      <c r="I4222" s="213"/>
      <c r="J4222" s="213"/>
      <c r="L4222" s="272">
        <f t="shared" si="335"/>
        <v>1900</v>
      </c>
      <c r="M4222" s="272">
        <f t="shared" si="336"/>
        <v>1</v>
      </c>
      <c r="O4222" s="61">
        <f t="shared" si="337"/>
        <v>1900</v>
      </c>
      <c r="P4222" s="61">
        <f t="shared" si="338"/>
        <v>1</v>
      </c>
      <c r="R4222" s="272"/>
      <c r="S4222" s="272"/>
    </row>
    <row r="4223" spans="9:19">
      <c r="I4223" s="213"/>
      <c r="J4223" s="213"/>
      <c r="L4223" s="272">
        <f t="shared" si="335"/>
        <v>1900</v>
      </c>
      <c r="M4223" s="272">
        <f t="shared" si="336"/>
        <v>1</v>
      </c>
      <c r="O4223" s="61">
        <f t="shared" si="337"/>
        <v>1900</v>
      </c>
      <c r="P4223" s="61">
        <f t="shared" si="338"/>
        <v>1</v>
      </c>
      <c r="R4223" s="272"/>
      <c r="S4223" s="272"/>
    </row>
    <row r="4224" spans="9:19">
      <c r="I4224" s="213"/>
      <c r="J4224" s="213"/>
      <c r="L4224" s="272">
        <f t="shared" si="335"/>
        <v>1900</v>
      </c>
      <c r="M4224" s="272">
        <f t="shared" si="336"/>
        <v>1</v>
      </c>
      <c r="O4224" s="61">
        <f t="shared" si="337"/>
        <v>1900</v>
      </c>
      <c r="P4224" s="61">
        <f t="shared" si="338"/>
        <v>1</v>
      </c>
      <c r="R4224" s="272"/>
      <c r="S4224" s="272"/>
    </row>
    <row r="4225" spans="9:19">
      <c r="I4225" s="213"/>
      <c r="J4225" s="213"/>
      <c r="L4225" s="272">
        <f t="shared" si="335"/>
        <v>1900</v>
      </c>
      <c r="M4225" s="272">
        <f t="shared" si="336"/>
        <v>1</v>
      </c>
      <c r="O4225" s="61">
        <f t="shared" si="337"/>
        <v>1900</v>
      </c>
      <c r="P4225" s="61">
        <f t="shared" si="338"/>
        <v>1</v>
      </c>
      <c r="R4225" s="272"/>
      <c r="S4225" s="272"/>
    </row>
    <row r="4226" spans="9:19">
      <c r="I4226" s="213"/>
      <c r="J4226" s="213"/>
      <c r="L4226" s="272">
        <f t="shared" si="335"/>
        <v>1900</v>
      </c>
      <c r="M4226" s="272">
        <f t="shared" si="336"/>
        <v>1</v>
      </c>
      <c r="O4226" s="61">
        <f t="shared" si="337"/>
        <v>1900</v>
      </c>
      <c r="P4226" s="61">
        <f t="shared" si="338"/>
        <v>1</v>
      </c>
      <c r="R4226" s="272"/>
      <c r="S4226" s="272"/>
    </row>
    <row r="4227" spans="9:19">
      <c r="I4227" s="213"/>
      <c r="J4227" s="213"/>
      <c r="L4227" s="272">
        <f t="shared" si="335"/>
        <v>1900</v>
      </c>
      <c r="M4227" s="272">
        <f t="shared" si="336"/>
        <v>1</v>
      </c>
      <c r="O4227" s="61">
        <f t="shared" si="337"/>
        <v>1900</v>
      </c>
      <c r="P4227" s="61">
        <f t="shared" si="338"/>
        <v>1</v>
      </c>
      <c r="R4227" s="272"/>
      <c r="S4227" s="272"/>
    </row>
    <row r="4228" spans="9:19">
      <c r="I4228" s="213"/>
      <c r="J4228" s="213"/>
      <c r="L4228" s="272">
        <f t="shared" si="335"/>
        <v>1900</v>
      </c>
      <c r="M4228" s="272">
        <f t="shared" si="336"/>
        <v>1</v>
      </c>
      <c r="O4228" s="61">
        <f t="shared" si="337"/>
        <v>1900</v>
      </c>
      <c r="P4228" s="61">
        <f t="shared" si="338"/>
        <v>1</v>
      </c>
      <c r="R4228" s="272"/>
      <c r="S4228" s="272"/>
    </row>
    <row r="4229" spans="9:19">
      <c r="I4229" s="213"/>
      <c r="J4229" s="213"/>
      <c r="L4229" s="272">
        <f t="shared" si="335"/>
        <v>1900</v>
      </c>
      <c r="M4229" s="272">
        <f t="shared" si="336"/>
        <v>1</v>
      </c>
      <c r="O4229" s="61">
        <f t="shared" si="337"/>
        <v>1900</v>
      </c>
      <c r="P4229" s="61">
        <f t="shared" si="338"/>
        <v>1</v>
      </c>
      <c r="R4229" s="272"/>
      <c r="S4229" s="272"/>
    </row>
    <row r="4230" spans="9:19">
      <c r="I4230" s="213"/>
      <c r="J4230" s="213"/>
      <c r="L4230" s="272">
        <f t="shared" si="335"/>
        <v>1900</v>
      </c>
      <c r="M4230" s="272">
        <f t="shared" si="336"/>
        <v>1</v>
      </c>
      <c r="O4230" s="61">
        <f t="shared" si="337"/>
        <v>1900</v>
      </c>
      <c r="P4230" s="61">
        <f t="shared" si="338"/>
        <v>1</v>
      </c>
      <c r="R4230" s="272"/>
      <c r="S4230" s="272"/>
    </row>
    <row r="4231" spans="9:19">
      <c r="I4231" s="213"/>
      <c r="J4231" s="213"/>
      <c r="L4231" s="272">
        <f t="shared" si="335"/>
        <v>1900</v>
      </c>
      <c r="M4231" s="272">
        <f t="shared" si="336"/>
        <v>1</v>
      </c>
      <c r="O4231" s="61">
        <f t="shared" si="337"/>
        <v>1900</v>
      </c>
      <c r="P4231" s="61">
        <f t="shared" si="338"/>
        <v>1</v>
      </c>
      <c r="R4231" s="272"/>
      <c r="S4231" s="272"/>
    </row>
    <row r="4232" spans="9:19">
      <c r="I4232" s="213"/>
      <c r="J4232" s="213"/>
      <c r="L4232" s="272">
        <f t="shared" si="335"/>
        <v>1900</v>
      </c>
      <c r="M4232" s="272">
        <f t="shared" si="336"/>
        <v>1</v>
      </c>
      <c r="O4232" s="61">
        <f t="shared" si="337"/>
        <v>1900</v>
      </c>
      <c r="P4232" s="61">
        <f t="shared" si="338"/>
        <v>1</v>
      </c>
      <c r="R4232" s="272"/>
      <c r="S4232" s="272"/>
    </row>
    <row r="4233" spans="9:19">
      <c r="I4233" s="213"/>
      <c r="J4233" s="213"/>
      <c r="L4233" s="272">
        <f t="shared" si="335"/>
        <v>1900</v>
      </c>
      <c r="M4233" s="272">
        <f t="shared" si="336"/>
        <v>1</v>
      </c>
      <c r="O4233" s="61">
        <f t="shared" si="337"/>
        <v>1900</v>
      </c>
      <c r="P4233" s="61">
        <f t="shared" si="338"/>
        <v>1</v>
      </c>
      <c r="R4233" s="272"/>
      <c r="S4233" s="272"/>
    </row>
    <row r="4234" spans="9:19">
      <c r="I4234" s="213"/>
      <c r="J4234" s="213"/>
      <c r="L4234" s="272">
        <f t="shared" si="335"/>
        <v>1900</v>
      </c>
      <c r="M4234" s="272">
        <f t="shared" si="336"/>
        <v>1</v>
      </c>
      <c r="O4234" s="61">
        <f t="shared" si="337"/>
        <v>1900</v>
      </c>
      <c r="P4234" s="61">
        <f t="shared" si="338"/>
        <v>1</v>
      </c>
      <c r="R4234" s="272"/>
      <c r="S4234" s="272"/>
    </row>
    <row r="4235" spans="9:19">
      <c r="I4235" s="213"/>
      <c r="J4235" s="213"/>
      <c r="L4235" s="272">
        <f t="shared" si="335"/>
        <v>1900</v>
      </c>
      <c r="M4235" s="272">
        <f t="shared" si="336"/>
        <v>1</v>
      </c>
      <c r="O4235" s="61">
        <f t="shared" si="337"/>
        <v>1900</v>
      </c>
      <c r="P4235" s="61">
        <f t="shared" si="338"/>
        <v>1</v>
      </c>
      <c r="R4235" s="272"/>
      <c r="S4235" s="272"/>
    </row>
    <row r="4236" spans="9:19">
      <c r="I4236" s="213"/>
      <c r="J4236" s="213"/>
      <c r="L4236" s="272">
        <f t="shared" si="335"/>
        <v>1900</v>
      </c>
      <c r="M4236" s="272">
        <f t="shared" si="336"/>
        <v>1</v>
      </c>
      <c r="O4236" s="61">
        <f t="shared" si="337"/>
        <v>1900</v>
      </c>
      <c r="P4236" s="61">
        <f t="shared" si="338"/>
        <v>1</v>
      </c>
      <c r="R4236" s="272"/>
      <c r="S4236" s="272"/>
    </row>
    <row r="4237" spans="9:19">
      <c r="I4237" s="213"/>
      <c r="J4237" s="213"/>
      <c r="L4237" s="272">
        <f t="shared" si="335"/>
        <v>1900</v>
      </c>
      <c r="M4237" s="272">
        <f t="shared" si="336"/>
        <v>1</v>
      </c>
      <c r="O4237" s="61">
        <f t="shared" si="337"/>
        <v>1900</v>
      </c>
      <c r="P4237" s="61">
        <f t="shared" si="338"/>
        <v>1</v>
      </c>
      <c r="R4237" s="272"/>
      <c r="S4237" s="272"/>
    </row>
    <row r="4238" spans="9:19">
      <c r="I4238" s="213"/>
      <c r="J4238" s="213"/>
      <c r="L4238" s="272">
        <f t="shared" si="335"/>
        <v>1900</v>
      </c>
      <c r="M4238" s="272">
        <f t="shared" si="336"/>
        <v>1</v>
      </c>
      <c r="O4238" s="61">
        <f t="shared" si="337"/>
        <v>1900</v>
      </c>
      <c r="P4238" s="61">
        <f t="shared" si="338"/>
        <v>1</v>
      </c>
      <c r="R4238" s="272"/>
      <c r="S4238" s="272"/>
    </row>
    <row r="4239" spans="9:19">
      <c r="I4239" s="213"/>
      <c r="J4239" s="213"/>
      <c r="L4239" s="272">
        <f t="shared" si="335"/>
        <v>1900</v>
      </c>
      <c r="M4239" s="272">
        <f t="shared" si="336"/>
        <v>1</v>
      </c>
      <c r="O4239" s="61">
        <f t="shared" si="337"/>
        <v>1900</v>
      </c>
      <c r="P4239" s="61">
        <f t="shared" si="338"/>
        <v>1</v>
      </c>
      <c r="R4239" s="272"/>
      <c r="S4239" s="272"/>
    </row>
    <row r="4240" spans="9:19">
      <c r="I4240" s="213"/>
      <c r="J4240" s="213"/>
      <c r="L4240" s="272">
        <f t="shared" ref="L4240:L4303" si="339">YEAR(B4240)</f>
        <v>1900</v>
      </c>
      <c r="M4240" s="272">
        <f t="shared" ref="M4240:M4303" si="340">MONTH(B4240)</f>
        <v>1</v>
      </c>
      <c r="O4240" s="61">
        <f t="shared" ref="O4240:O4303" si="341">YEAR(B4240)</f>
        <v>1900</v>
      </c>
      <c r="P4240" s="61">
        <f t="shared" ref="P4240:P4303" si="342">MONTH(B4240)</f>
        <v>1</v>
      </c>
      <c r="R4240" s="272"/>
      <c r="S4240" s="272"/>
    </row>
    <row r="4241" spans="9:19">
      <c r="I4241" s="213"/>
      <c r="J4241" s="213"/>
      <c r="L4241" s="272">
        <f t="shared" si="339"/>
        <v>1900</v>
      </c>
      <c r="M4241" s="272">
        <f t="shared" si="340"/>
        <v>1</v>
      </c>
      <c r="O4241" s="61">
        <f t="shared" si="341"/>
        <v>1900</v>
      </c>
      <c r="P4241" s="61">
        <f t="shared" si="342"/>
        <v>1</v>
      </c>
      <c r="R4241" s="272"/>
      <c r="S4241" s="272"/>
    </row>
    <row r="4242" spans="9:19">
      <c r="I4242" s="213"/>
      <c r="J4242" s="213"/>
      <c r="L4242" s="272">
        <f t="shared" si="339"/>
        <v>1900</v>
      </c>
      <c r="M4242" s="272">
        <f t="shared" si="340"/>
        <v>1</v>
      </c>
      <c r="O4242" s="61">
        <f t="shared" si="341"/>
        <v>1900</v>
      </c>
      <c r="P4242" s="61">
        <f t="shared" si="342"/>
        <v>1</v>
      </c>
      <c r="R4242" s="272"/>
      <c r="S4242" s="272"/>
    </row>
    <row r="4243" spans="9:19">
      <c r="I4243" s="213"/>
      <c r="J4243" s="213"/>
      <c r="L4243" s="272">
        <f t="shared" si="339"/>
        <v>1900</v>
      </c>
      <c r="M4243" s="272">
        <f t="shared" si="340"/>
        <v>1</v>
      </c>
      <c r="O4243" s="61">
        <f t="shared" si="341"/>
        <v>1900</v>
      </c>
      <c r="P4243" s="61">
        <f t="shared" si="342"/>
        <v>1</v>
      </c>
      <c r="R4243" s="272"/>
      <c r="S4243" s="272"/>
    </row>
    <row r="4244" spans="9:19">
      <c r="I4244" s="213"/>
      <c r="J4244" s="213"/>
      <c r="L4244" s="272">
        <f t="shared" si="339"/>
        <v>1900</v>
      </c>
      <c r="M4244" s="272">
        <f t="shared" si="340"/>
        <v>1</v>
      </c>
      <c r="O4244" s="61">
        <f t="shared" si="341"/>
        <v>1900</v>
      </c>
      <c r="P4244" s="61">
        <f t="shared" si="342"/>
        <v>1</v>
      </c>
      <c r="R4244" s="272"/>
      <c r="S4244" s="272"/>
    </row>
    <row r="4245" spans="9:19">
      <c r="I4245" s="213"/>
      <c r="J4245" s="213"/>
      <c r="L4245" s="272">
        <f t="shared" si="339"/>
        <v>1900</v>
      </c>
      <c r="M4245" s="272">
        <f t="shared" si="340"/>
        <v>1</v>
      </c>
      <c r="O4245" s="61">
        <f t="shared" si="341"/>
        <v>1900</v>
      </c>
      <c r="P4245" s="61">
        <f t="shared" si="342"/>
        <v>1</v>
      </c>
      <c r="R4245" s="272"/>
      <c r="S4245" s="272"/>
    </row>
    <row r="4246" spans="9:19">
      <c r="I4246" s="213"/>
      <c r="J4246" s="213"/>
      <c r="L4246" s="272">
        <f t="shared" si="339"/>
        <v>1900</v>
      </c>
      <c r="M4246" s="272">
        <f t="shared" si="340"/>
        <v>1</v>
      </c>
      <c r="O4246" s="61">
        <f t="shared" si="341"/>
        <v>1900</v>
      </c>
      <c r="P4246" s="61">
        <f t="shared" si="342"/>
        <v>1</v>
      </c>
      <c r="R4246" s="272"/>
      <c r="S4246" s="272"/>
    </row>
    <row r="4247" spans="9:19">
      <c r="I4247" s="213"/>
      <c r="J4247" s="213"/>
      <c r="L4247" s="272">
        <f t="shared" si="339"/>
        <v>1900</v>
      </c>
      <c r="M4247" s="272">
        <f t="shared" si="340"/>
        <v>1</v>
      </c>
      <c r="O4247" s="61">
        <f t="shared" si="341"/>
        <v>1900</v>
      </c>
      <c r="P4247" s="61">
        <f t="shared" si="342"/>
        <v>1</v>
      </c>
      <c r="R4247" s="272"/>
      <c r="S4247" s="272"/>
    </row>
    <row r="4248" spans="9:19">
      <c r="I4248" s="213"/>
      <c r="J4248" s="213"/>
      <c r="L4248" s="272">
        <f t="shared" si="339"/>
        <v>1900</v>
      </c>
      <c r="M4248" s="272">
        <f t="shared" si="340"/>
        <v>1</v>
      </c>
      <c r="O4248" s="61">
        <f t="shared" si="341"/>
        <v>1900</v>
      </c>
      <c r="P4248" s="61">
        <f t="shared" si="342"/>
        <v>1</v>
      </c>
      <c r="R4248" s="272"/>
      <c r="S4248" s="272"/>
    </row>
    <row r="4249" spans="9:19">
      <c r="I4249" s="213"/>
      <c r="J4249" s="213"/>
      <c r="L4249" s="272">
        <f t="shared" si="339"/>
        <v>1900</v>
      </c>
      <c r="M4249" s="272">
        <f t="shared" si="340"/>
        <v>1</v>
      </c>
      <c r="O4249" s="61">
        <f t="shared" si="341"/>
        <v>1900</v>
      </c>
      <c r="P4249" s="61">
        <f t="shared" si="342"/>
        <v>1</v>
      </c>
      <c r="R4249" s="272"/>
      <c r="S4249" s="272"/>
    </row>
    <row r="4250" spans="9:19">
      <c r="I4250" s="213"/>
      <c r="J4250" s="213"/>
      <c r="L4250" s="272">
        <f t="shared" si="339"/>
        <v>1900</v>
      </c>
      <c r="M4250" s="272">
        <f t="shared" si="340"/>
        <v>1</v>
      </c>
      <c r="O4250" s="61">
        <f t="shared" si="341"/>
        <v>1900</v>
      </c>
      <c r="P4250" s="61">
        <f t="shared" si="342"/>
        <v>1</v>
      </c>
      <c r="R4250" s="272"/>
      <c r="S4250" s="272"/>
    </row>
    <row r="4251" spans="9:19">
      <c r="I4251" s="213"/>
      <c r="J4251" s="213"/>
      <c r="L4251" s="272">
        <f t="shared" si="339"/>
        <v>1900</v>
      </c>
      <c r="M4251" s="272">
        <f t="shared" si="340"/>
        <v>1</v>
      </c>
      <c r="O4251" s="61">
        <f t="shared" si="341"/>
        <v>1900</v>
      </c>
      <c r="P4251" s="61">
        <f t="shared" si="342"/>
        <v>1</v>
      </c>
      <c r="R4251" s="272"/>
      <c r="S4251" s="272"/>
    </row>
    <row r="4252" spans="9:19">
      <c r="I4252" s="213"/>
      <c r="J4252" s="213"/>
      <c r="L4252" s="272">
        <f t="shared" si="339"/>
        <v>1900</v>
      </c>
      <c r="M4252" s="272">
        <f t="shared" si="340"/>
        <v>1</v>
      </c>
      <c r="O4252" s="61">
        <f t="shared" si="341"/>
        <v>1900</v>
      </c>
      <c r="P4252" s="61">
        <f t="shared" si="342"/>
        <v>1</v>
      </c>
      <c r="R4252" s="272"/>
      <c r="S4252" s="272"/>
    </row>
    <row r="4253" spans="9:19">
      <c r="I4253" s="213"/>
      <c r="J4253" s="213"/>
      <c r="L4253" s="272">
        <f t="shared" si="339"/>
        <v>1900</v>
      </c>
      <c r="M4253" s="272">
        <f t="shared" si="340"/>
        <v>1</v>
      </c>
      <c r="O4253" s="61">
        <f t="shared" si="341"/>
        <v>1900</v>
      </c>
      <c r="P4253" s="61">
        <f t="shared" si="342"/>
        <v>1</v>
      </c>
      <c r="R4253" s="272"/>
      <c r="S4253" s="272"/>
    </row>
    <row r="4254" spans="9:19">
      <c r="I4254" s="213"/>
      <c r="J4254" s="213"/>
      <c r="L4254" s="272">
        <f t="shared" si="339"/>
        <v>1900</v>
      </c>
      <c r="M4254" s="272">
        <f t="shared" si="340"/>
        <v>1</v>
      </c>
      <c r="O4254" s="61">
        <f t="shared" si="341"/>
        <v>1900</v>
      </c>
      <c r="P4254" s="61">
        <f t="shared" si="342"/>
        <v>1</v>
      </c>
      <c r="R4254" s="272"/>
      <c r="S4254" s="272"/>
    </row>
    <row r="4255" spans="9:19">
      <c r="I4255" s="213"/>
      <c r="J4255" s="213"/>
      <c r="L4255" s="272">
        <f t="shared" si="339"/>
        <v>1900</v>
      </c>
      <c r="M4255" s="272">
        <f t="shared" si="340"/>
        <v>1</v>
      </c>
      <c r="O4255" s="61">
        <f t="shared" si="341"/>
        <v>1900</v>
      </c>
      <c r="P4255" s="61">
        <f t="shared" si="342"/>
        <v>1</v>
      </c>
      <c r="R4255" s="272"/>
      <c r="S4255" s="272"/>
    </row>
    <row r="4256" spans="9:19">
      <c r="I4256" s="213"/>
      <c r="J4256" s="213"/>
      <c r="L4256" s="272">
        <f t="shared" si="339"/>
        <v>1900</v>
      </c>
      <c r="M4256" s="272">
        <f t="shared" si="340"/>
        <v>1</v>
      </c>
      <c r="O4256" s="61">
        <f t="shared" si="341"/>
        <v>1900</v>
      </c>
      <c r="P4256" s="61">
        <f t="shared" si="342"/>
        <v>1</v>
      </c>
      <c r="R4256" s="272"/>
      <c r="S4256" s="272"/>
    </row>
    <row r="4257" spans="9:19">
      <c r="I4257" s="213"/>
      <c r="J4257" s="213"/>
      <c r="L4257" s="272">
        <f t="shared" si="339"/>
        <v>1900</v>
      </c>
      <c r="M4257" s="272">
        <f t="shared" si="340"/>
        <v>1</v>
      </c>
      <c r="O4257" s="61">
        <f t="shared" si="341"/>
        <v>1900</v>
      </c>
      <c r="P4257" s="61">
        <f t="shared" si="342"/>
        <v>1</v>
      </c>
      <c r="R4257" s="272"/>
      <c r="S4257" s="272"/>
    </row>
    <row r="4258" spans="9:19">
      <c r="I4258" s="213"/>
      <c r="J4258" s="213"/>
      <c r="L4258" s="272">
        <f t="shared" si="339"/>
        <v>1900</v>
      </c>
      <c r="M4258" s="272">
        <f t="shared" si="340"/>
        <v>1</v>
      </c>
      <c r="O4258" s="61">
        <f t="shared" si="341"/>
        <v>1900</v>
      </c>
      <c r="P4258" s="61">
        <f t="shared" si="342"/>
        <v>1</v>
      </c>
      <c r="R4258" s="272"/>
      <c r="S4258" s="272"/>
    </row>
    <row r="4259" spans="9:19">
      <c r="I4259" s="213"/>
      <c r="J4259" s="213"/>
      <c r="L4259" s="272">
        <f t="shared" si="339"/>
        <v>1900</v>
      </c>
      <c r="M4259" s="272">
        <f t="shared" si="340"/>
        <v>1</v>
      </c>
      <c r="O4259" s="61">
        <f t="shared" si="341"/>
        <v>1900</v>
      </c>
      <c r="P4259" s="61">
        <f t="shared" si="342"/>
        <v>1</v>
      </c>
      <c r="R4259" s="272"/>
      <c r="S4259" s="272"/>
    </row>
    <row r="4260" spans="9:19">
      <c r="I4260" s="213"/>
      <c r="J4260" s="213"/>
      <c r="L4260" s="272">
        <f t="shared" si="339"/>
        <v>1900</v>
      </c>
      <c r="M4260" s="272">
        <f t="shared" si="340"/>
        <v>1</v>
      </c>
      <c r="O4260" s="61">
        <f t="shared" si="341"/>
        <v>1900</v>
      </c>
      <c r="P4260" s="61">
        <f t="shared" si="342"/>
        <v>1</v>
      </c>
      <c r="R4260" s="272"/>
      <c r="S4260" s="272"/>
    </row>
    <row r="4261" spans="9:19">
      <c r="I4261" s="213"/>
      <c r="J4261" s="213"/>
      <c r="L4261" s="272">
        <f t="shared" si="339"/>
        <v>1900</v>
      </c>
      <c r="M4261" s="272">
        <f t="shared" si="340"/>
        <v>1</v>
      </c>
      <c r="O4261" s="61">
        <f t="shared" si="341"/>
        <v>1900</v>
      </c>
      <c r="P4261" s="61">
        <f t="shared" si="342"/>
        <v>1</v>
      </c>
      <c r="R4261" s="272"/>
      <c r="S4261" s="272"/>
    </row>
    <row r="4262" spans="9:19">
      <c r="I4262" s="213"/>
      <c r="J4262" s="213"/>
      <c r="L4262" s="272">
        <f t="shared" si="339"/>
        <v>1900</v>
      </c>
      <c r="M4262" s="272">
        <f t="shared" si="340"/>
        <v>1</v>
      </c>
      <c r="O4262" s="61">
        <f t="shared" si="341"/>
        <v>1900</v>
      </c>
      <c r="P4262" s="61">
        <f t="shared" si="342"/>
        <v>1</v>
      </c>
      <c r="R4262" s="272"/>
      <c r="S4262" s="272"/>
    </row>
    <row r="4263" spans="9:19">
      <c r="I4263" s="213"/>
      <c r="J4263" s="213"/>
      <c r="L4263" s="272">
        <f t="shared" si="339"/>
        <v>1900</v>
      </c>
      <c r="M4263" s="272">
        <f t="shared" si="340"/>
        <v>1</v>
      </c>
      <c r="O4263" s="61">
        <f t="shared" si="341"/>
        <v>1900</v>
      </c>
      <c r="P4263" s="61">
        <f t="shared" si="342"/>
        <v>1</v>
      </c>
      <c r="R4263" s="272"/>
      <c r="S4263" s="272"/>
    </row>
    <row r="4264" spans="9:19">
      <c r="I4264" s="213"/>
      <c r="J4264" s="213"/>
      <c r="L4264" s="272">
        <f t="shared" si="339"/>
        <v>1900</v>
      </c>
      <c r="M4264" s="272">
        <f t="shared" si="340"/>
        <v>1</v>
      </c>
      <c r="O4264" s="61">
        <f t="shared" si="341"/>
        <v>1900</v>
      </c>
      <c r="P4264" s="61">
        <f t="shared" si="342"/>
        <v>1</v>
      </c>
      <c r="R4264" s="272"/>
      <c r="S4264" s="272"/>
    </row>
    <row r="4265" spans="9:19">
      <c r="I4265" s="213"/>
      <c r="J4265" s="213"/>
      <c r="L4265" s="272">
        <f t="shared" si="339"/>
        <v>1900</v>
      </c>
      <c r="M4265" s="272">
        <f t="shared" si="340"/>
        <v>1</v>
      </c>
      <c r="O4265" s="61">
        <f t="shared" si="341"/>
        <v>1900</v>
      </c>
      <c r="P4265" s="61">
        <f t="shared" si="342"/>
        <v>1</v>
      </c>
      <c r="R4265" s="272"/>
      <c r="S4265" s="272"/>
    </row>
    <row r="4266" spans="9:19">
      <c r="I4266" s="213"/>
      <c r="J4266" s="213"/>
      <c r="L4266" s="272">
        <f t="shared" si="339"/>
        <v>1900</v>
      </c>
      <c r="M4266" s="272">
        <f t="shared" si="340"/>
        <v>1</v>
      </c>
      <c r="O4266" s="61">
        <f t="shared" si="341"/>
        <v>1900</v>
      </c>
      <c r="P4266" s="61">
        <f t="shared" si="342"/>
        <v>1</v>
      </c>
      <c r="R4266" s="272"/>
      <c r="S4266" s="272"/>
    </row>
    <row r="4267" spans="9:19">
      <c r="I4267" s="213"/>
      <c r="J4267" s="213"/>
      <c r="L4267" s="272">
        <f t="shared" si="339"/>
        <v>1900</v>
      </c>
      <c r="M4267" s="272">
        <f t="shared" si="340"/>
        <v>1</v>
      </c>
      <c r="O4267" s="61">
        <f t="shared" si="341"/>
        <v>1900</v>
      </c>
      <c r="P4267" s="61">
        <f t="shared" si="342"/>
        <v>1</v>
      </c>
      <c r="R4267" s="272"/>
      <c r="S4267" s="272"/>
    </row>
    <row r="4268" spans="9:19">
      <c r="I4268" s="213"/>
      <c r="J4268" s="213"/>
      <c r="L4268" s="272">
        <f t="shared" si="339"/>
        <v>1900</v>
      </c>
      <c r="M4268" s="272">
        <f t="shared" si="340"/>
        <v>1</v>
      </c>
      <c r="O4268" s="61">
        <f t="shared" si="341"/>
        <v>1900</v>
      </c>
      <c r="P4268" s="61">
        <f t="shared" si="342"/>
        <v>1</v>
      </c>
      <c r="R4268" s="272"/>
      <c r="S4268" s="272"/>
    </row>
    <row r="4269" spans="9:19">
      <c r="I4269" s="213"/>
      <c r="J4269" s="213"/>
      <c r="L4269" s="272">
        <f t="shared" si="339"/>
        <v>1900</v>
      </c>
      <c r="M4269" s="272">
        <f t="shared" si="340"/>
        <v>1</v>
      </c>
      <c r="O4269" s="61">
        <f t="shared" si="341"/>
        <v>1900</v>
      </c>
      <c r="P4269" s="61">
        <f t="shared" si="342"/>
        <v>1</v>
      </c>
      <c r="R4269" s="272"/>
      <c r="S4269" s="272"/>
    </row>
    <row r="4270" spans="9:19">
      <c r="I4270" s="213"/>
      <c r="J4270" s="213"/>
      <c r="L4270" s="272">
        <f t="shared" si="339"/>
        <v>1900</v>
      </c>
      <c r="M4270" s="272">
        <f t="shared" si="340"/>
        <v>1</v>
      </c>
      <c r="O4270" s="61">
        <f t="shared" si="341"/>
        <v>1900</v>
      </c>
      <c r="P4270" s="61">
        <f t="shared" si="342"/>
        <v>1</v>
      </c>
      <c r="R4270" s="272"/>
      <c r="S4270" s="272"/>
    </row>
    <row r="4271" spans="9:19">
      <c r="I4271" s="213"/>
      <c r="J4271" s="213"/>
      <c r="L4271" s="272">
        <f t="shared" si="339"/>
        <v>1900</v>
      </c>
      <c r="M4271" s="272">
        <f t="shared" si="340"/>
        <v>1</v>
      </c>
      <c r="O4271" s="61">
        <f t="shared" si="341"/>
        <v>1900</v>
      </c>
      <c r="P4271" s="61">
        <f t="shared" si="342"/>
        <v>1</v>
      </c>
      <c r="R4271" s="272"/>
      <c r="S4271" s="272"/>
    </row>
    <row r="4272" spans="9:19">
      <c r="I4272" s="213"/>
      <c r="J4272" s="213"/>
      <c r="L4272" s="272">
        <f t="shared" si="339"/>
        <v>1900</v>
      </c>
      <c r="M4272" s="272">
        <f t="shared" si="340"/>
        <v>1</v>
      </c>
      <c r="O4272" s="61">
        <f t="shared" si="341"/>
        <v>1900</v>
      </c>
      <c r="P4272" s="61">
        <f t="shared" si="342"/>
        <v>1</v>
      </c>
      <c r="R4272" s="272"/>
      <c r="S4272" s="272"/>
    </row>
    <row r="4273" spans="9:19">
      <c r="I4273" s="213"/>
      <c r="J4273" s="213"/>
      <c r="L4273" s="272">
        <f t="shared" si="339"/>
        <v>1900</v>
      </c>
      <c r="M4273" s="272">
        <f t="shared" si="340"/>
        <v>1</v>
      </c>
      <c r="O4273" s="61">
        <f t="shared" si="341"/>
        <v>1900</v>
      </c>
      <c r="P4273" s="61">
        <f t="shared" si="342"/>
        <v>1</v>
      </c>
      <c r="R4273" s="272"/>
      <c r="S4273" s="272"/>
    </row>
    <row r="4274" spans="9:19">
      <c r="I4274" s="213"/>
      <c r="J4274" s="213"/>
      <c r="L4274" s="272">
        <f t="shared" si="339"/>
        <v>1900</v>
      </c>
      <c r="M4274" s="272">
        <f t="shared" si="340"/>
        <v>1</v>
      </c>
      <c r="O4274" s="61">
        <f t="shared" si="341"/>
        <v>1900</v>
      </c>
      <c r="P4274" s="61">
        <f t="shared" si="342"/>
        <v>1</v>
      </c>
      <c r="R4274" s="272"/>
      <c r="S4274" s="272"/>
    </row>
    <row r="4275" spans="9:19">
      <c r="I4275" s="213"/>
      <c r="J4275" s="213"/>
      <c r="L4275" s="272">
        <f t="shared" si="339"/>
        <v>1900</v>
      </c>
      <c r="M4275" s="272">
        <f t="shared" si="340"/>
        <v>1</v>
      </c>
      <c r="O4275" s="61">
        <f t="shared" si="341"/>
        <v>1900</v>
      </c>
      <c r="P4275" s="61">
        <f t="shared" si="342"/>
        <v>1</v>
      </c>
      <c r="R4275" s="272"/>
      <c r="S4275" s="272"/>
    </row>
    <row r="4276" spans="9:19">
      <c r="I4276" s="213"/>
      <c r="J4276" s="213"/>
      <c r="L4276" s="272">
        <f t="shared" si="339"/>
        <v>1900</v>
      </c>
      <c r="M4276" s="272">
        <f t="shared" si="340"/>
        <v>1</v>
      </c>
      <c r="O4276" s="61">
        <f t="shared" si="341"/>
        <v>1900</v>
      </c>
      <c r="P4276" s="61">
        <f t="shared" si="342"/>
        <v>1</v>
      </c>
      <c r="R4276" s="272"/>
      <c r="S4276" s="272"/>
    </row>
    <row r="4277" spans="9:19">
      <c r="I4277" s="213"/>
      <c r="J4277" s="213"/>
      <c r="L4277" s="272">
        <f t="shared" si="339"/>
        <v>1900</v>
      </c>
      <c r="M4277" s="272">
        <f t="shared" si="340"/>
        <v>1</v>
      </c>
      <c r="O4277" s="61">
        <f t="shared" si="341"/>
        <v>1900</v>
      </c>
      <c r="P4277" s="61">
        <f t="shared" si="342"/>
        <v>1</v>
      </c>
      <c r="R4277" s="272"/>
      <c r="S4277" s="272"/>
    </row>
    <row r="4278" spans="9:19">
      <c r="I4278" s="213"/>
      <c r="J4278" s="213"/>
      <c r="L4278" s="272">
        <f t="shared" si="339"/>
        <v>1900</v>
      </c>
      <c r="M4278" s="272">
        <f t="shared" si="340"/>
        <v>1</v>
      </c>
      <c r="O4278" s="61">
        <f t="shared" si="341"/>
        <v>1900</v>
      </c>
      <c r="P4278" s="61">
        <f t="shared" si="342"/>
        <v>1</v>
      </c>
      <c r="R4278" s="272"/>
      <c r="S4278" s="272"/>
    </row>
    <row r="4279" spans="9:19">
      <c r="I4279" s="213"/>
      <c r="J4279" s="213"/>
      <c r="L4279" s="272">
        <f t="shared" si="339"/>
        <v>1900</v>
      </c>
      <c r="M4279" s="272">
        <f t="shared" si="340"/>
        <v>1</v>
      </c>
      <c r="O4279" s="61">
        <f t="shared" si="341"/>
        <v>1900</v>
      </c>
      <c r="P4279" s="61">
        <f t="shared" si="342"/>
        <v>1</v>
      </c>
      <c r="R4279" s="272"/>
      <c r="S4279" s="272"/>
    </row>
    <row r="4280" spans="9:19">
      <c r="I4280" s="213"/>
      <c r="J4280" s="213"/>
      <c r="L4280" s="272">
        <f t="shared" si="339"/>
        <v>1900</v>
      </c>
      <c r="M4280" s="272">
        <f t="shared" si="340"/>
        <v>1</v>
      </c>
      <c r="O4280" s="61">
        <f t="shared" si="341"/>
        <v>1900</v>
      </c>
      <c r="P4280" s="61">
        <f t="shared" si="342"/>
        <v>1</v>
      </c>
      <c r="R4280" s="272"/>
      <c r="S4280" s="272"/>
    </row>
    <row r="4281" spans="9:19">
      <c r="I4281" s="213"/>
      <c r="J4281" s="213"/>
      <c r="L4281" s="272">
        <f t="shared" si="339"/>
        <v>1900</v>
      </c>
      <c r="M4281" s="272">
        <f t="shared" si="340"/>
        <v>1</v>
      </c>
      <c r="O4281" s="61">
        <f t="shared" si="341"/>
        <v>1900</v>
      </c>
      <c r="P4281" s="61">
        <f t="shared" si="342"/>
        <v>1</v>
      </c>
      <c r="R4281" s="272"/>
      <c r="S4281" s="272"/>
    </row>
    <row r="4282" spans="9:19">
      <c r="I4282" s="213"/>
      <c r="J4282" s="213"/>
      <c r="L4282" s="272">
        <f t="shared" si="339"/>
        <v>1900</v>
      </c>
      <c r="M4282" s="272">
        <f t="shared" si="340"/>
        <v>1</v>
      </c>
      <c r="O4282" s="61">
        <f t="shared" si="341"/>
        <v>1900</v>
      </c>
      <c r="P4282" s="61">
        <f t="shared" si="342"/>
        <v>1</v>
      </c>
      <c r="R4282" s="272"/>
      <c r="S4282" s="272"/>
    </row>
    <row r="4283" spans="9:19">
      <c r="I4283" s="213"/>
      <c r="J4283" s="213"/>
      <c r="L4283" s="272">
        <f t="shared" si="339"/>
        <v>1900</v>
      </c>
      <c r="M4283" s="272">
        <f t="shared" si="340"/>
        <v>1</v>
      </c>
      <c r="O4283" s="61">
        <f t="shared" si="341"/>
        <v>1900</v>
      </c>
      <c r="P4283" s="61">
        <f t="shared" si="342"/>
        <v>1</v>
      </c>
      <c r="R4283" s="272"/>
      <c r="S4283" s="272"/>
    </row>
    <row r="4284" spans="9:19">
      <c r="I4284" s="213"/>
      <c r="J4284" s="213"/>
      <c r="L4284" s="272">
        <f t="shared" si="339"/>
        <v>1900</v>
      </c>
      <c r="M4284" s="272">
        <f t="shared" si="340"/>
        <v>1</v>
      </c>
      <c r="O4284" s="61">
        <f t="shared" si="341"/>
        <v>1900</v>
      </c>
      <c r="P4284" s="61">
        <f t="shared" si="342"/>
        <v>1</v>
      </c>
      <c r="R4284" s="272"/>
      <c r="S4284" s="272"/>
    </row>
    <row r="4285" spans="9:19">
      <c r="I4285" s="213"/>
      <c r="J4285" s="213"/>
      <c r="L4285" s="272">
        <f t="shared" si="339"/>
        <v>1900</v>
      </c>
      <c r="M4285" s="272">
        <f t="shared" si="340"/>
        <v>1</v>
      </c>
      <c r="O4285" s="61">
        <f t="shared" si="341"/>
        <v>1900</v>
      </c>
      <c r="P4285" s="61">
        <f t="shared" si="342"/>
        <v>1</v>
      </c>
      <c r="R4285" s="272"/>
      <c r="S4285" s="272"/>
    </row>
    <row r="4286" spans="9:19">
      <c r="I4286" s="213"/>
      <c r="J4286" s="213"/>
      <c r="L4286" s="272">
        <f t="shared" si="339"/>
        <v>1900</v>
      </c>
      <c r="M4286" s="272">
        <f t="shared" si="340"/>
        <v>1</v>
      </c>
      <c r="O4286" s="61">
        <f t="shared" si="341"/>
        <v>1900</v>
      </c>
      <c r="P4286" s="61">
        <f t="shared" si="342"/>
        <v>1</v>
      </c>
      <c r="R4286" s="272"/>
      <c r="S4286" s="272"/>
    </row>
    <row r="4287" spans="9:19">
      <c r="I4287" s="213"/>
      <c r="J4287" s="213"/>
      <c r="L4287" s="272">
        <f t="shared" si="339"/>
        <v>1900</v>
      </c>
      <c r="M4287" s="272">
        <f t="shared" si="340"/>
        <v>1</v>
      </c>
      <c r="O4287" s="61">
        <f t="shared" si="341"/>
        <v>1900</v>
      </c>
      <c r="P4287" s="61">
        <f t="shared" si="342"/>
        <v>1</v>
      </c>
      <c r="R4287" s="272"/>
      <c r="S4287" s="272"/>
    </row>
    <row r="4288" spans="9:19">
      <c r="I4288" s="213"/>
      <c r="J4288" s="213"/>
      <c r="L4288" s="272">
        <f t="shared" si="339"/>
        <v>1900</v>
      </c>
      <c r="M4288" s="272">
        <f t="shared" si="340"/>
        <v>1</v>
      </c>
      <c r="O4288" s="61">
        <f t="shared" si="341"/>
        <v>1900</v>
      </c>
      <c r="P4288" s="61">
        <f t="shared" si="342"/>
        <v>1</v>
      </c>
      <c r="R4288" s="272"/>
      <c r="S4288" s="272"/>
    </row>
    <row r="4289" spans="9:19">
      <c r="I4289" s="213"/>
      <c r="J4289" s="213"/>
      <c r="L4289" s="272">
        <f t="shared" si="339"/>
        <v>1900</v>
      </c>
      <c r="M4289" s="272">
        <f t="shared" si="340"/>
        <v>1</v>
      </c>
      <c r="O4289" s="61">
        <f t="shared" si="341"/>
        <v>1900</v>
      </c>
      <c r="P4289" s="61">
        <f t="shared" si="342"/>
        <v>1</v>
      </c>
      <c r="R4289" s="272"/>
      <c r="S4289" s="272"/>
    </row>
    <row r="4290" spans="9:19">
      <c r="I4290" s="213"/>
      <c r="J4290" s="213"/>
      <c r="L4290" s="272">
        <f t="shared" si="339"/>
        <v>1900</v>
      </c>
      <c r="M4290" s="272">
        <f t="shared" si="340"/>
        <v>1</v>
      </c>
      <c r="O4290" s="61">
        <f t="shared" si="341"/>
        <v>1900</v>
      </c>
      <c r="P4290" s="61">
        <f t="shared" si="342"/>
        <v>1</v>
      </c>
      <c r="R4290" s="272"/>
      <c r="S4290" s="272"/>
    </row>
    <row r="4291" spans="9:19">
      <c r="I4291" s="213"/>
      <c r="J4291" s="213"/>
      <c r="L4291" s="272">
        <f t="shared" si="339"/>
        <v>1900</v>
      </c>
      <c r="M4291" s="272">
        <f t="shared" si="340"/>
        <v>1</v>
      </c>
      <c r="O4291" s="61">
        <f t="shared" si="341"/>
        <v>1900</v>
      </c>
      <c r="P4291" s="61">
        <f t="shared" si="342"/>
        <v>1</v>
      </c>
      <c r="R4291" s="272"/>
      <c r="S4291" s="272"/>
    </row>
    <row r="4292" spans="9:19">
      <c r="I4292" s="213"/>
      <c r="J4292" s="213"/>
      <c r="L4292" s="272">
        <f t="shared" si="339"/>
        <v>1900</v>
      </c>
      <c r="M4292" s="272">
        <f t="shared" si="340"/>
        <v>1</v>
      </c>
      <c r="O4292" s="61">
        <f t="shared" si="341"/>
        <v>1900</v>
      </c>
      <c r="P4292" s="61">
        <f t="shared" si="342"/>
        <v>1</v>
      </c>
      <c r="R4292" s="272"/>
      <c r="S4292" s="272"/>
    </row>
    <row r="4293" spans="9:19">
      <c r="I4293" s="213"/>
      <c r="J4293" s="213"/>
      <c r="L4293" s="272">
        <f t="shared" si="339"/>
        <v>1900</v>
      </c>
      <c r="M4293" s="272">
        <f t="shared" si="340"/>
        <v>1</v>
      </c>
      <c r="O4293" s="61">
        <f t="shared" si="341"/>
        <v>1900</v>
      </c>
      <c r="P4293" s="61">
        <f t="shared" si="342"/>
        <v>1</v>
      </c>
      <c r="R4293" s="272"/>
      <c r="S4293" s="272"/>
    </row>
    <row r="4294" spans="9:19">
      <c r="I4294" s="213"/>
      <c r="J4294" s="213"/>
      <c r="L4294" s="272">
        <f t="shared" si="339"/>
        <v>1900</v>
      </c>
      <c r="M4294" s="272">
        <f t="shared" si="340"/>
        <v>1</v>
      </c>
      <c r="O4294" s="61">
        <f t="shared" si="341"/>
        <v>1900</v>
      </c>
      <c r="P4294" s="61">
        <f t="shared" si="342"/>
        <v>1</v>
      </c>
      <c r="R4294" s="272"/>
      <c r="S4294" s="272"/>
    </row>
    <row r="4295" spans="9:19">
      <c r="I4295" s="213"/>
      <c r="J4295" s="213"/>
      <c r="L4295" s="272">
        <f t="shared" si="339"/>
        <v>1900</v>
      </c>
      <c r="M4295" s="272">
        <f t="shared" si="340"/>
        <v>1</v>
      </c>
      <c r="O4295" s="61">
        <f t="shared" si="341"/>
        <v>1900</v>
      </c>
      <c r="P4295" s="61">
        <f t="shared" si="342"/>
        <v>1</v>
      </c>
      <c r="R4295" s="272"/>
      <c r="S4295" s="272"/>
    </row>
    <row r="4296" spans="9:19">
      <c r="I4296" s="213"/>
      <c r="J4296" s="213"/>
      <c r="L4296" s="272">
        <f t="shared" si="339"/>
        <v>1900</v>
      </c>
      <c r="M4296" s="272">
        <f t="shared" si="340"/>
        <v>1</v>
      </c>
      <c r="O4296" s="61">
        <f t="shared" si="341"/>
        <v>1900</v>
      </c>
      <c r="P4296" s="61">
        <f t="shared" si="342"/>
        <v>1</v>
      </c>
      <c r="R4296" s="272"/>
      <c r="S4296" s="272"/>
    </row>
    <row r="4297" spans="9:19">
      <c r="I4297" s="213"/>
      <c r="J4297" s="213"/>
      <c r="L4297" s="272">
        <f t="shared" si="339"/>
        <v>1900</v>
      </c>
      <c r="M4297" s="272">
        <f t="shared" si="340"/>
        <v>1</v>
      </c>
      <c r="O4297" s="61">
        <f t="shared" si="341"/>
        <v>1900</v>
      </c>
      <c r="P4297" s="61">
        <f t="shared" si="342"/>
        <v>1</v>
      </c>
      <c r="R4297" s="272"/>
      <c r="S4297" s="272"/>
    </row>
    <row r="4298" spans="9:19">
      <c r="I4298" s="213"/>
      <c r="J4298" s="213"/>
      <c r="L4298" s="272">
        <f t="shared" si="339"/>
        <v>1900</v>
      </c>
      <c r="M4298" s="272">
        <f t="shared" si="340"/>
        <v>1</v>
      </c>
      <c r="O4298" s="61">
        <f t="shared" si="341"/>
        <v>1900</v>
      </c>
      <c r="P4298" s="61">
        <f t="shared" si="342"/>
        <v>1</v>
      </c>
      <c r="R4298" s="272"/>
      <c r="S4298" s="272"/>
    </row>
    <row r="4299" spans="9:19">
      <c r="I4299" s="213"/>
      <c r="J4299" s="213"/>
      <c r="L4299" s="272">
        <f t="shared" si="339"/>
        <v>1900</v>
      </c>
      <c r="M4299" s="272">
        <f t="shared" si="340"/>
        <v>1</v>
      </c>
      <c r="O4299" s="61">
        <f t="shared" si="341"/>
        <v>1900</v>
      </c>
      <c r="P4299" s="61">
        <f t="shared" si="342"/>
        <v>1</v>
      </c>
      <c r="R4299" s="272"/>
      <c r="S4299" s="272"/>
    </row>
    <row r="4300" spans="9:19">
      <c r="I4300" s="213"/>
      <c r="J4300" s="213"/>
      <c r="L4300" s="272">
        <f t="shared" si="339"/>
        <v>1900</v>
      </c>
      <c r="M4300" s="272">
        <f t="shared" si="340"/>
        <v>1</v>
      </c>
      <c r="O4300" s="61">
        <f t="shared" si="341"/>
        <v>1900</v>
      </c>
      <c r="P4300" s="61">
        <f t="shared" si="342"/>
        <v>1</v>
      </c>
      <c r="R4300" s="272"/>
      <c r="S4300" s="272"/>
    </row>
    <row r="4301" spans="9:19">
      <c r="I4301" s="213"/>
      <c r="J4301" s="213"/>
      <c r="L4301" s="272">
        <f t="shared" si="339"/>
        <v>1900</v>
      </c>
      <c r="M4301" s="272">
        <f t="shared" si="340"/>
        <v>1</v>
      </c>
      <c r="O4301" s="61">
        <f t="shared" si="341"/>
        <v>1900</v>
      </c>
      <c r="P4301" s="61">
        <f t="shared" si="342"/>
        <v>1</v>
      </c>
      <c r="R4301" s="272"/>
      <c r="S4301" s="272"/>
    </row>
    <row r="4302" spans="9:19">
      <c r="I4302" s="213"/>
      <c r="J4302" s="213"/>
      <c r="L4302" s="272">
        <f t="shared" si="339"/>
        <v>1900</v>
      </c>
      <c r="M4302" s="272">
        <f t="shared" si="340"/>
        <v>1</v>
      </c>
      <c r="O4302" s="61">
        <f t="shared" si="341"/>
        <v>1900</v>
      </c>
      <c r="P4302" s="61">
        <f t="shared" si="342"/>
        <v>1</v>
      </c>
      <c r="R4302" s="272"/>
      <c r="S4302" s="272"/>
    </row>
    <row r="4303" spans="9:19">
      <c r="I4303" s="213"/>
      <c r="J4303" s="213"/>
      <c r="L4303" s="272">
        <f t="shared" si="339"/>
        <v>1900</v>
      </c>
      <c r="M4303" s="272">
        <f t="shared" si="340"/>
        <v>1</v>
      </c>
      <c r="O4303" s="61">
        <f t="shared" si="341"/>
        <v>1900</v>
      </c>
      <c r="P4303" s="61">
        <f t="shared" si="342"/>
        <v>1</v>
      </c>
      <c r="R4303" s="272"/>
      <c r="S4303" s="272"/>
    </row>
    <row r="4304" spans="9:19">
      <c r="I4304" s="213"/>
      <c r="J4304" s="213"/>
      <c r="L4304" s="272">
        <f t="shared" ref="L4304:L4367" si="343">YEAR(B4304)</f>
        <v>1900</v>
      </c>
      <c r="M4304" s="272">
        <f t="shared" ref="M4304:M4367" si="344">MONTH(B4304)</f>
        <v>1</v>
      </c>
      <c r="O4304" s="61">
        <f t="shared" ref="O4304:O4367" si="345">YEAR(B4304)</f>
        <v>1900</v>
      </c>
      <c r="P4304" s="61">
        <f t="shared" ref="P4304:P4367" si="346">MONTH(B4304)</f>
        <v>1</v>
      </c>
      <c r="R4304" s="272"/>
      <c r="S4304" s="272"/>
    </row>
    <row r="4305" spans="9:19">
      <c r="I4305" s="213"/>
      <c r="J4305" s="213"/>
      <c r="L4305" s="272">
        <f t="shared" si="343"/>
        <v>1900</v>
      </c>
      <c r="M4305" s="272">
        <f t="shared" si="344"/>
        <v>1</v>
      </c>
      <c r="O4305" s="61">
        <f t="shared" si="345"/>
        <v>1900</v>
      </c>
      <c r="P4305" s="61">
        <f t="shared" si="346"/>
        <v>1</v>
      </c>
      <c r="R4305" s="272"/>
      <c r="S4305" s="272"/>
    </row>
    <row r="4306" spans="9:19">
      <c r="I4306" s="213"/>
      <c r="J4306" s="213"/>
      <c r="L4306" s="272">
        <f t="shared" si="343"/>
        <v>1900</v>
      </c>
      <c r="M4306" s="272">
        <f t="shared" si="344"/>
        <v>1</v>
      </c>
      <c r="O4306" s="61">
        <f t="shared" si="345"/>
        <v>1900</v>
      </c>
      <c r="P4306" s="61">
        <f t="shared" si="346"/>
        <v>1</v>
      </c>
      <c r="R4306" s="272"/>
      <c r="S4306" s="272"/>
    </row>
    <row r="4307" spans="9:19">
      <c r="I4307" s="213"/>
      <c r="J4307" s="213"/>
      <c r="L4307" s="272">
        <f t="shared" si="343"/>
        <v>1900</v>
      </c>
      <c r="M4307" s="272">
        <f t="shared" si="344"/>
        <v>1</v>
      </c>
      <c r="O4307" s="61">
        <f t="shared" si="345"/>
        <v>1900</v>
      </c>
      <c r="P4307" s="61">
        <f t="shared" si="346"/>
        <v>1</v>
      </c>
      <c r="R4307" s="272"/>
      <c r="S4307" s="272"/>
    </row>
    <row r="4308" spans="9:19">
      <c r="I4308" s="213"/>
      <c r="J4308" s="213"/>
      <c r="L4308" s="272">
        <f t="shared" si="343"/>
        <v>1900</v>
      </c>
      <c r="M4308" s="272">
        <f t="shared" si="344"/>
        <v>1</v>
      </c>
      <c r="O4308" s="61">
        <f t="shared" si="345"/>
        <v>1900</v>
      </c>
      <c r="P4308" s="61">
        <f t="shared" si="346"/>
        <v>1</v>
      </c>
      <c r="R4308" s="272"/>
      <c r="S4308" s="272"/>
    </row>
    <row r="4309" spans="9:19">
      <c r="I4309" s="213"/>
      <c r="J4309" s="213"/>
      <c r="L4309" s="272">
        <f t="shared" si="343"/>
        <v>1900</v>
      </c>
      <c r="M4309" s="272">
        <f t="shared" si="344"/>
        <v>1</v>
      </c>
      <c r="O4309" s="61">
        <f t="shared" si="345"/>
        <v>1900</v>
      </c>
      <c r="P4309" s="61">
        <f t="shared" si="346"/>
        <v>1</v>
      </c>
      <c r="R4309" s="272"/>
      <c r="S4309" s="272"/>
    </row>
    <row r="4310" spans="9:19">
      <c r="I4310" s="213"/>
      <c r="J4310" s="213"/>
      <c r="L4310" s="272">
        <f t="shared" si="343"/>
        <v>1900</v>
      </c>
      <c r="M4310" s="272">
        <f t="shared" si="344"/>
        <v>1</v>
      </c>
      <c r="O4310" s="61">
        <f t="shared" si="345"/>
        <v>1900</v>
      </c>
      <c r="P4310" s="61">
        <f t="shared" si="346"/>
        <v>1</v>
      </c>
      <c r="R4310" s="272"/>
      <c r="S4310" s="272"/>
    </row>
    <row r="4311" spans="9:19">
      <c r="I4311" s="213"/>
      <c r="J4311" s="213"/>
      <c r="L4311" s="272">
        <f t="shared" si="343"/>
        <v>1900</v>
      </c>
      <c r="M4311" s="272">
        <f t="shared" si="344"/>
        <v>1</v>
      </c>
      <c r="O4311" s="61">
        <f t="shared" si="345"/>
        <v>1900</v>
      </c>
      <c r="P4311" s="61">
        <f t="shared" si="346"/>
        <v>1</v>
      </c>
      <c r="R4311" s="272"/>
      <c r="S4311" s="272"/>
    </row>
    <row r="4312" spans="9:19">
      <c r="I4312" s="213"/>
      <c r="J4312" s="213"/>
      <c r="L4312" s="272">
        <f t="shared" si="343"/>
        <v>1900</v>
      </c>
      <c r="M4312" s="272">
        <f t="shared" si="344"/>
        <v>1</v>
      </c>
      <c r="O4312" s="61">
        <f t="shared" si="345"/>
        <v>1900</v>
      </c>
      <c r="P4312" s="61">
        <f t="shared" si="346"/>
        <v>1</v>
      </c>
      <c r="R4312" s="272"/>
      <c r="S4312" s="272"/>
    </row>
    <row r="4313" spans="9:19">
      <c r="I4313" s="213"/>
      <c r="J4313" s="213"/>
      <c r="L4313" s="272">
        <f t="shared" si="343"/>
        <v>1900</v>
      </c>
      <c r="M4313" s="272">
        <f t="shared" si="344"/>
        <v>1</v>
      </c>
      <c r="O4313" s="61">
        <f t="shared" si="345"/>
        <v>1900</v>
      </c>
      <c r="P4313" s="61">
        <f t="shared" si="346"/>
        <v>1</v>
      </c>
      <c r="R4313" s="272"/>
      <c r="S4313" s="272"/>
    </row>
    <row r="4314" spans="9:19">
      <c r="I4314" s="213"/>
      <c r="J4314" s="213"/>
      <c r="L4314" s="272">
        <f t="shared" si="343"/>
        <v>1900</v>
      </c>
      <c r="M4314" s="272">
        <f t="shared" si="344"/>
        <v>1</v>
      </c>
      <c r="O4314" s="61">
        <f t="shared" si="345"/>
        <v>1900</v>
      </c>
      <c r="P4314" s="61">
        <f t="shared" si="346"/>
        <v>1</v>
      </c>
      <c r="R4314" s="272"/>
      <c r="S4314" s="272"/>
    </row>
    <row r="4315" spans="9:19">
      <c r="I4315" s="213"/>
      <c r="J4315" s="213"/>
      <c r="L4315" s="272">
        <f t="shared" si="343"/>
        <v>1900</v>
      </c>
      <c r="M4315" s="272">
        <f t="shared" si="344"/>
        <v>1</v>
      </c>
      <c r="O4315" s="61">
        <f t="shared" si="345"/>
        <v>1900</v>
      </c>
      <c r="P4315" s="61">
        <f t="shared" si="346"/>
        <v>1</v>
      </c>
      <c r="R4315" s="272"/>
      <c r="S4315" s="272"/>
    </row>
    <row r="4316" spans="9:19">
      <c r="I4316" s="213"/>
      <c r="J4316" s="213"/>
      <c r="L4316" s="272">
        <f t="shared" si="343"/>
        <v>1900</v>
      </c>
      <c r="M4316" s="272">
        <f t="shared" si="344"/>
        <v>1</v>
      </c>
      <c r="O4316" s="61">
        <f t="shared" si="345"/>
        <v>1900</v>
      </c>
      <c r="P4316" s="61">
        <f t="shared" si="346"/>
        <v>1</v>
      </c>
      <c r="R4316" s="272"/>
      <c r="S4316" s="272"/>
    </row>
    <row r="4317" spans="9:19">
      <c r="I4317" s="213"/>
      <c r="J4317" s="213"/>
      <c r="L4317" s="272">
        <f t="shared" si="343"/>
        <v>1900</v>
      </c>
      <c r="M4317" s="272">
        <f t="shared" si="344"/>
        <v>1</v>
      </c>
      <c r="O4317" s="61">
        <f t="shared" si="345"/>
        <v>1900</v>
      </c>
      <c r="P4317" s="61">
        <f t="shared" si="346"/>
        <v>1</v>
      </c>
      <c r="R4317" s="272"/>
      <c r="S4317" s="272"/>
    </row>
    <row r="4318" spans="9:19">
      <c r="I4318" s="213"/>
      <c r="J4318" s="213"/>
      <c r="L4318" s="272">
        <f t="shared" si="343"/>
        <v>1900</v>
      </c>
      <c r="M4318" s="272">
        <f t="shared" si="344"/>
        <v>1</v>
      </c>
      <c r="O4318" s="61">
        <f t="shared" si="345"/>
        <v>1900</v>
      </c>
      <c r="P4318" s="61">
        <f t="shared" si="346"/>
        <v>1</v>
      </c>
      <c r="R4318" s="272"/>
      <c r="S4318" s="272"/>
    </row>
    <row r="4319" spans="9:19">
      <c r="I4319" s="213"/>
      <c r="J4319" s="213"/>
      <c r="L4319" s="272">
        <f t="shared" si="343"/>
        <v>1900</v>
      </c>
      <c r="M4319" s="272">
        <f t="shared" si="344"/>
        <v>1</v>
      </c>
      <c r="O4319" s="61">
        <f t="shared" si="345"/>
        <v>1900</v>
      </c>
      <c r="P4319" s="61">
        <f t="shared" si="346"/>
        <v>1</v>
      </c>
      <c r="R4319" s="272"/>
      <c r="S4319" s="272"/>
    </row>
    <row r="4320" spans="9:19">
      <c r="I4320" s="213"/>
      <c r="J4320" s="213"/>
      <c r="L4320" s="272">
        <f t="shared" si="343"/>
        <v>1900</v>
      </c>
      <c r="M4320" s="272">
        <f t="shared" si="344"/>
        <v>1</v>
      </c>
      <c r="O4320" s="61">
        <f t="shared" si="345"/>
        <v>1900</v>
      </c>
      <c r="P4320" s="61">
        <f t="shared" si="346"/>
        <v>1</v>
      </c>
      <c r="R4320" s="272"/>
      <c r="S4320" s="272"/>
    </row>
    <row r="4321" spans="9:19">
      <c r="I4321" s="213"/>
      <c r="J4321" s="213"/>
      <c r="L4321" s="272">
        <f t="shared" si="343"/>
        <v>1900</v>
      </c>
      <c r="M4321" s="272">
        <f t="shared" si="344"/>
        <v>1</v>
      </c>
      <c r="O4321" s="61">
        <f t="shared" si="345"/>
        <v>1900</v>
      </c>
      <c r="P4321" s="61">
        <f t="shared" si="346"/>
        <v>1</v>
      </c>
      <c r="R4321" s="272"/>
      <c r="S4321" s="272"/>
    </row>
    <row r="4322" spans="9:19">
      <c r="I4322" s="213"/>
      <c r="J4322" s="213"/>
      <c r="L4322" s="272">
        <f t="shared" si="343"/>
        <v>1900</v>
      </c>
      <c r="M4322" s="272">
        <f t="shared" si="344"/>
        <v>1</v>
      </c>
      <c r="O4322" s="61">
        <f t="shared" si="345"/>
        <v>1900</v>
      </c>
      <c r="P4322" s="61">
        <f t="shared" si="346"/>
        <v>1</v>
      </c>
      <c r="R4322" s="272"/>
      <c r="S4322" s="272"/>
    </row>
    <row r="4323" spans="9:19">
      <c r="I4323" s="213"/>
      <c r="J4323" s="213"/>
      <c r="L4323" s="272">
        <f t="shared" si="343"/>
        <v>1900</v>
      </c>
      <c r="M4323" s="272">
        <f t="shared" si="344"/>
        <v>1</v>
      </c>
      <c r="O4323" s="61">
        <f t="shared" si="345"/>
        <v>1900</v>
      </c>
      <c r="P4323" s="61">
        <f t="shared" si="346"/>
        <v>1</v>
      </c>
      <c r="R4323" s="272"/>
      <c r="S4323" s="272"/>
    </row>
    <row r="4324" spans="9:19">
      <c r="I4324" s="213"/>
      <c r="J4324" s="213"/>
      <c r="L4324" s="272">
        <f t="shared" si="343"/>
        <v>1900</v>
      </c>
      <c r="M4324" s="272">
        <f t="shared" si="344"/>
        <v>1</v>
      </c>
      <c r="O4324" s="61">
        <f t="shared" si="345"/>
        <v>1900</v>
      </c>
      <c r="P4324" s="61">
        <f t="shared" si="346"/>
        <v>1</v>
      </c>
      <c r="R4324" s="272"/>
      <c r="S4324" s="272"/>
    </row>
    <row r="4325" spans="9:19">
      <c r="I4325" s="213"/>
      <c r="J4325" s="213"/>
      <c r="L4325" s="272">
        <f t="shared" si="343"/>
        <v>1900</v>
      </c>
      <c r="M4325" s="272">
        <f t="shared" si="344"/>
        <v>1</v>
      </c>
      <c r="O4325" s="61">
        <f t="shared" si="345"/>
        <v>1900</v>
      </c>
      <c r="P4325" s="61">
        <f t="shared" si="346"/>
        <v>1</v>
      </c>
      <c r="R4325" s="272"/>
      <c r="S4325" s="272"/>
    </row>
    <row r="4326" spans="9:19">
      <c r="I4326" s="213"/>
      <c r="J4326" s="213"/>
      <c r="L4326" s="272">
        <f t="shared" si="343"/>
        <v>1900</v>
      </c>
      <c r="M4326" s="272">
        <f t="shared" si="344"/>
        <v>1</v>
      </c>
      <c r="O4326" s="61">
        <f t="shared" si="345"/>
        <v>1900</v>
      </c>
      <c r="P4326" s="61">
        <f t="shared" si="346"/>
        <v>1</v>
      </c>
      <c r="R4326" s="272"/>
      <c r="S4326" s="272"/>
    </row>
    <row r="4327" spans="9:19">
      <c r="I4327" s="213"/>
      <c r="J4327" s="213"/>
      <c r="L4327" s="272">
        <f t="shared" si="343"/>
        <v>1900</v>
      </c>
      <c r="M4327" s="272">
        <f t="shared" si="344"/>
        <v>1</v>
      </c>
      <c r="O4327" s="61">
        <f t="shared" si="345"/>
        <v>1900</v>
      </c>
      <c r="P4327" s="61">
        <f t="shared" si="346"/>
        <v>1</v>
      </c>
      <c r="R4327" s="272"/>
      <c r="S4327" s="272"/>
    </row>
    <row r="4328" spans="9:19">
      <c r="I4328" s="213"/>
      <c r="J4328" s="213"/>
      <c r="L4328" s="272">
        <f t="shared" si="343"/>
        <v>1900</v>
      </c>
      <c r="M4328" s="272">
        <f t="shared" si="344"/>
        <v>1</v>
      </c>
      <c r="O4328" s="61">
        <f t="shared" si="345"/>
        <v>1900</v>
      </c>
      <c r="P4328" s="61">
        <f t="shared" si="346"/>
        <v>1</v>
      </c>
      <c r="R4328" s="272"/>
      <c r="S4328" s="272"/>
    </row>
    <row r="4329" spans="9:19">
      <c r="I4329" s="213"/>
      <c r="J4329" s="213"/>
      <c r="L4329" s="272">
        <f t="shared" si="343"/>
        <v>1900</v>
      </c>
      <c r="M4329" s="272">
        <f t="shared" si="344"/>
        <v>1</v>
      </c>
      <c r="O4329" s="61">
        <f t="shared" si="345"/>
        <v>1900</v>
      </c>
      <c r="P4329" s="61">
        <f t="shared" si="346"/>
        <v>1</v>
      </c>
      <c r="R4329" s="272"/>
      <c r="S4329" s="272"/>
    </row>
    <row r="4330" spans="9:19">
      <c r="I4330" s="213"/>
      <c r="J4330" s="213"/>
      <c r="L4330" s="272">
        <f t="shared" si="343"/>
        <v>1900</v>
      </c>
      <c r="M4330" s="272">
        <f t="shared" si="344"/>
        <v>1</v>
      </c>
      <c r="O4330" s="61">
        <f t="shared" si="345"/>
        <v>1900</v>
      </c>
      <c r="P4330" s="61">
        <f t="shared" si="346"/>
        <v>1</v>
      </c>
      <c r="R4330" s="272"/>
      <c r="S4330" s="272"/>
    </row>
    <row r="4331" spans="9:19">
      <c r="I4331" s="213"/>
      <c r="J4331" s="213"/>
      <c r="L4331" s="272">
        <f t="shared" si="343"/>
        <v>1900</v>
      </c>
      <c r="M4331" s="272">
        <f t="shared" si="344"/>
        <v>1</v>
      </c>
      <c r="O4331" s="61">
        <f t="shared" si="345"/>
        <v>1900</v>
      </c>
      <c r="P4331" s="61">
        <f t="shared" si="346"/>
        <v>1</v>
      </c>
      <c r="R4331" s="272"/>
      <c r="S4331" s="272"/>
    </row>
    <row r="4332" spans="9:19">
      <c r="I4332" s="213"/>
      <c r="J4332" s="213"/>
      <c r="L4332" s="272">
        <f t="shared" si="343"/>
        <v>1900</v>
      </c>
      <c r="M4332" s="272">
        <f t="shared" si="344"/>
        <v>1</v>
      </c>
      <c r="O4332" s="61">
        <f t="shared" si="345"/>
        <v>1900</v>
      </c>
      <c r="P4332" s="61">
        <f t="shared" si="346"/>
        <v>1</v>
      </c>
      <c r="R4332" s="272"/>
      <c r="S4332" s="272"/>
    </row>
    <row r="4333" spans="9:19">
      <c r="I4333" s="213"/>
      <c r="J4333" s="213"/>
      <c r="L4333" s="272">
        <f t="shared" si="343"/>
        <v>1900</v>
      </c>
      <c r="M4333" s="272">
        <f t="shared" si="344"/>
        <v>1</v>
      </c>
      <c r="O4333" s="61">
        <f t="shared" si="345"/>
        <v>1900</v>
      </c>
      <c r="P4333" s="61">
        <f t="shared" si="346"/>
        <v>1</v>
      </c>
      <c r="R4333" s="272"/>
      <c r="S4333" s="272"/>
    </row>
    <row r="4334" spans="9:19">
      <c r="I4334" s="213"/>
      <c r="J4334" s="213"/>
      <c r="L4334" s="272">
        <f t="shared" si="343"/>
        <v>1900</v>
      </c>
      <c r="M4334" s="272">
        <f t="shared" si="344"/>
        <v>1</v>
      </c>
      <c r="O4334" s="61">
        <f t="shared" si="345"/>
        <v>1900</v>
      </c>
      <c r="P4334" s="61">
        <f t="shared" si="346"/>
        <v>1</v>
      </c>
      <c r="R4334" s="272"/>
      <c r="S4334" s="272"/>
    </row>
    <row r="4335" spans="9:19">
      <c r="I4335" s="213"/>
      <c r="J4335" s="213"/>
      <c r="L4335" s="272">
        <f t="shared" si="343"/>
        <v>1900</v>
      </c>
      <c r="M4335" s="272">
        <f t="shared" si="344"/>
        <v>1</v>
      </c>
      <c r="O4335" s="61">
        <f t="shared" si="345"/>
        <v>1900</v>
      </c>
      <c r="P4335" s="61">
        <f t="shared" si="346"/>
        <v>1</v>
      </c>
      <c r="R4335" s="272"/>
      <c r="S4335" s="272"/>
    </row>
    <row r="4336" spans="9:19">
      <c r="I4336" s="213"/>
      <c r="J4336" s="213"/>
      <c r="L4336" s="272">
        <f t="shared" si="343"/>
        <v>1900</v>
      </c>
      <c r="M4336" s="272">
        <f t="shared" si="344"/>
        <v>1</v>
      </c>
      <c r="O4336" s="61">
        <f t="shared" si="345"/>
        <v>1900</v>
      </c>
      <c r="P4336" s="61">
        <f t="shared" si="346"/>
        <v>1</v>
      </c>
      <c r="R4336" s="272"/>
      <c r="S4336" s="272"/>
    </row>
    <row r="4337" spans="9:19">
      <c r="I4337" s="213"/>
      <c r="J4337" s="213"/>
      <c r="L4337" s="272">
        <f t="shared" si="343"/>
        <v>1900</v>
      </c>
      <c r="M4337" s="272">
        <f t="shared" si="344"/>
        <v>1</v>
      </c>
      <c r="O4337" s="61">
        <f t="shared" si="345"/>
        <v>1900</v>
      </c>
      <c r="P4337" s="61">
        <f t="shared" si="346"/>
        <v>1</v>
      </c>
      <c r="R4337" s="272"/>
      <c r="S4337" s="272"/>
    </row>
    <row r="4338" spans="9:19">
      <c r="I4338" s="213"/>
      <c r="J4338" s="213"/>
      <c r="L4338" s="272">
        <f t="shared" si="343"/>
        <v>1900</v>
      </c>
      <c r="M4338" s="272">
        <f t="shared" si="344"/>
        <v>1</v>
      </c>
      <c r="O4338" s="61">
        <f t="shared" si="345"/>
        <v>1900</v>
      </c>
      <c r="P4338" s="61">
        <f t="shared" si="346"/>
        <v>1</v>
      </c>
      <c r="R4338" s="272"/>
      <c r="S4338" s="272"/>
    </row>
    <row r="4339" spans="9:19">
      <c r="I4339" s="213"/>
      <c r="J4339" s="213"/>
      <c r="L4339" s="272">
        <f t="shared" si="343"/>
        <v>1900</v>
      </c>
      <c r="M4339" s="272">
        <f t="shared" si="344"/>
        <v>1</v>
      </c>
      <c r="O4339" s="61">
        <f t="shared" si="345"/>
        <v>1900</v>
      </c>
      <c r="P4339" s="61">
        <f t="shared" si="346"/>
        <v>1</v>
      </c>
      <c r="R4339" s="272"/>
      <c r="S4339" s="272"/>
    </row>
    <row r="4340" spans="9:19">
      <c r="I4340" s="213"/>
      <c r="J4340" s="213"/>
      <c r="L4340" s="272">
        <f t="shared" si="343"/>
        <v>1900</v>
      </c>
      <c r="M4340" s="272">
        <f t="shared" si="344"/>
        <v>1</v>
      </c>
      <c r="O4340" s="61">
        <f t="shared" si="345"/>
        <v>1900</v>
      </c>
      <c r="P4340" s="61">
        <f t="shared" si="346"/>
        <v>1</v>
      </c>
      <c r="R4340" s="272"/>
      <c r="S4340" s="272"/>
    </row>
    <row r="4341" spans="9:19">
      <c r="I4341" s="213"/>
      <c r="J4341" s="213"/>
      <c r="L4341" s="272">
        <f t="shared" si="343"/>
        <v>1900</v>
      </c>
      <c r="M4341" s="272">
        <f t="shared" si="344"/>
        <v>1</v>
      </c>
      <c r="O4341" s="61">
        <f t="shared" si="345"/>
        <v>1900</v>
      </c>
      <c r="P4341" s="61">
        <f t="shared" si="346"/>
        <v>1</v>
      </c>
      <c r="R4341" s="272"/>
      <c r="S4341" s="272"/>
    </row>
    <row r="4342" spans="9:19">
      <c r="I4342" s="213"/>
      <c r="J4342" s="213"/>
      <c r="L4342" s="272">
        <f t="shared" si="343"/>
        <v>1900</v>
      </c>
      <c r="M4342" s="272">
        <f t="shared" si="344"/>
        <v>1</v>
      </c>
      <c r="O4342" s="61">
        <f t="shared" si="345"/>
        <v>1900</v>
      </c>
      <c r="P4342" s="61">
        <f t="shared" si="346"/>
        <v>1</v>
      </c>
      <c r="R4342" s="272"/>
      <c r="S4342" s="272"/>
    </row>
    <row r="4343" spans="9:19">
      <c r="I4343" s="213"/>
      <c r="J4343" s="213"/>
      <c r="L4343" s="272">
        <f t="shared" si="343"/>
        <v>1900</v>
      </c>
      <c r="M4343" s="272">
        <f t="shared" si="344"/>
        <v>1</v>
      </c>
      <c r="O4343" s="61">
        <f t="shared" si="345"/>
        <v>1900</v>
      </c>
      <c r="P4343" s="61">
        <f t="shared" si="346"/>
        <v>1</v>
      </c>
      <c r="R4343" s="272"/>
      <c r="S4343" s="272"/>
    </row>
    <row r="4344" spans="9:19">
      <c r="I4344" s="213"/>
      <c r="J4344" s="213"/>
      <c r="L4344" s="272">
        <f t="shared" si="343"/>
        <v>1900</v>
      </c>
      <c r="M4344" s="272">
        <f t="shared" si="344"/>
        <v>1</v>
      </c>
      <c r="O4344" s="61">
        <f t="shared" si="345"/>
        <v>1900</v>
      </c>
      <c r="P4344" s="61">
        <f t="shared" si="346"/>
        <v>1</v>
      </c>
      <c r="R4344" s="272"/>
      <c r="S4344" s="272"/>
    </row>
    <row r="4345" spans="9:19">
      <c r="I4345" s="213"/>
      <c r="J4345" s="213"/>
      <c r="L4345" s="272">
        <f t="shared" si="343"/>
        <v>1900</v>
      </c>
      <c r="M4345" s="272">
        <f t="shared" si="344"/>
        <v>1</v>
      </c>
      <c r="O4345" s="61">
        <f t="shared" si="345"/>
        <v>1900</v>
      </c>
      <c r="P4345" s="61">
        <f t="shared" si="346"/>
        <v>1</v>
      </c>
      <c r="R4345" s="272"/>
      <c r="S4345" s="272"/>
    </row>
    <row r="4346" spans="9:19">
      <c r="I4346" s="213"/>
      <c r="J4346" s="213"/>
      <c r="L4346" s="272">
        <f t="shared" si="343"/>
        <v>1900</v>
      </c>
      <c r="M4346" s="272">
        <f t="shared" si="344"/>
        <v>1</v>
      </c>
      <c r="O4346" s="61">
        <f t="shared" si="345"/>
        <v>1900</v>
      </c>
      <c r="P4346" s="61">
        <f t="shared" si="346"/>
        <v>1</v>
      </c>
      <c r="R4346" s="272"/>
      <c r="S4346" s="272"/>
    </row>
    <row r="4347" spans="9:19">
      <c r="I4347" s="213"/>
      <c r="J4347" s="213"/>
      <c r="L4347" s="272">
        <f t="shared" si="343"/>
        <v>1900</v>
      </c>
      <c r="M4347" s="272">
        <f t="shared" si="344"/>
        <v>1</v>
      </c>
      <c r="O4347" s="61">
        <f t="shared" si="345"/>
        <v>1900</v>
      </c>
      <c r="P4347" s="61">
        <f t="shared" si="346"/>
        <v>1</v>
      </c>
      <c r="R4347" s="272"/>
      <c r="S4347" s="272"/>
    </row>
    <row r="4348" spans="9:19">
      <c r="I4348" s="213"/>
      <c r="J4348" s="213"/>
      <c r="L4348" s="272">
        <f t="shared" si="343"/>
        <v>1900</v>
      </c>
      <c r="M4348" s="272">
        <f t="shared" si="344"/>
        <v>1</v>
      </c>
      <c r="O4348" s="61">
        <f t="shared" si="345"/>
        <v>1900</v>
      </c>
      <c r="P4348" s="61">
        <f t="shared" si="346"/>
        <v>1</v>
      </c>
      <c r="R4348" s="272"/>
      <c r="S4348" s="272"/>
    </row>
    <row r="4349" spans="9:19">
      <c r="I4349" s="213"/>
      <c r="J4349" s="213"/>
      <c r="L4349" s="272">
        <f t="shared" si="343"/>
        <v>1900</v>
      </c>
      <c r="M4349" s="272">
        <f t="shared" si="344"/>
        <v>1</v>
      </c>
      <c r="O4349" s="61">
        <f t="shared" si="345"/>
        <v>1900</v>
      </c>
      <c r="P4349" s="61">
        <f t="shared" si="346"/>
        <v>1</v>
      </c>
      <c r="R4349" s="272"/>
      <c r="S4349" s="272"/>
    </row>
    <row r="4350" spans="9:19">
      <c r="I4350" s="213"/>
      <c r="J4350" s="213"/>
      <c r="L4350" s="272">
        <f t="shared" si="343"/>
        <v>1900</v>
      </c>
      <c r="M4350" s="272">
        <f t="shared" si="344"/>
        <v>1</v>
      </c>
      <c r="O4350" s="61">
        <f t="shared" si="345"/>
        <v>1900</v>
      </c>
      <c r="P4350" s="61">
        <f t="shared" si="346"/>
        <v>1</v>
      </c>
      <c r="R4350" s="272"/>
      <c r="S4350" s="272"/>
    </row>
    <row r="4351" spans="9:19">
      <c r="I4351" s="213"/>
      <c r="J4351" s="213"/>
      <c r="L4351" s="272">
        <f t="shared" si="343"/>
        <v>1900</v>
      </c>
      <c r="M4351" s="272">
        <f t="shared" si="344"/>
        <v>1</v>
      </c>
      <c r="O4351" s="61">
        <f t="shared" si="345"/>
        <v>1900</v>
      </c>
      <c r="P4351" s="61">
        <f t="shared" si="346"/>
        <v>1</v>
      </c>
      <c r="R4351" s="272"/>
      <c r="S4351" s="272"/>
    </row>
    <row r="4352" spans="9:19">
      <c r="I4352" s="213"/>
      <c r="J4352" s="213"/>
      <c r="L4352" s="272">
        <f t="shared" si="343"/>
        <v>1900</v>
      </c>
      <c r="M4352" s="272">
        <f t="shared" si="344"/>
        <v>1</v>
      </c>
      <c r="O4352" s="61">
        <f t="shared" si="345"/>
        <v>1900</v>
      </c>
      <c r="P4352" s="61">
        <f t="shared" si="346"/>
        <v>1</v>
      </c>
      <c r="R4352" s="272"/>
      <c r="S4352" s="272"/>
    </row>
    <row r="4353" spans="9:19">
      <c r="I4353" s="213"/>
      <c r="J4353" s="213"/>
      <c r="L4353" s="272">
        <f t="shared" si="343"/>
        <v>1900</v>
      </c>
      <c r="M4353" s="272">
        <f t="shared" si="344"/>
        <v>1</v>
      </c>
      <c r="O4353" s="61">
        <f t="shared" si="345"/>
        <v>1900</v>
      </c>
      <c r="P4353" s="61">
        <f t="shared" si="346"/>
        <v>1</v>
      </c>
      <c r="R4353" s="272"/>
      <c r="S4353" s="272"/>
    </row>
    <row r="4354" spans="9:19">
      <c r="I4354" s="213"/>
      <c r="J4354" s="213"/>
      <c r="L4354" s="272">
        <f t="shared" si="343"/>
        <v>1900</v>
      </c>
      <c r="M4354" s="272">
        <f t="shared" si="344"/>
        <v>1</v>
      </c>
      <c r="O4354" s="61">
        <f t="shared" si="345"/>
        <v>1900</v>
      </c>
      <c r="P4354" s="61">
        <f t="shared" si="346"/>
        <v>1</v>
      </c>
      <c r="R4354" s="272"/>
      <c r="S4354" s="272"/>
    </row>
    <row r="4355" spans="9:19">
      <c r="I4355" s="213"/>
      <c r="J4355" s="213"/>
      <c r="L4355" s="272">
        <f t="shared" si="343"/>
        <v>1900</v>
      </c>
      <c r="M4355" s="272">
        <f t="shared" si="344"/>
        <v>1</v>
      </c>
      <c r="O4355" s="61">
        <f t="shared" si="345"/>
        <v>1900</v>
      </c>
      <c r="P4355" s="61">
        <f t="shared" si="346"/>
        <v>1</v>
      </c>
      <c r="R4355" s="272"/>
      <c r="S4355" s="272"/>
    </row>
    <row r="4356" spans="9:19">
      <c r="I4356" s="213"/>
      <c r="J4356" s="213"/>
      <c r="L4356" s="272">
        <f t="shared" si="343"/>
        <v>1900</v>
      </c>
      <c r="M4356" s="272">
        <f t="shared" si="344"/>
        <v>1</v>
      </c>
      <c r="O4356" s="61">
        <f t="shared" si="345"/>
        <v>1900</v>
      </c>
      <c r="P4356" s="61">
        <f t="shared" si="346"/>
        <v>1</v>
      </c>
      <c r="R4356" s="272"/>
      <c r="S4356" s="272"/>
    </row>
    <row r="4357" spans="9:19">
      <c r="I4357" s="213"/>
      <c r="J4357" s="213"/>
      <c r="L4357" s="272">
        <f t="shared" si="343"/>
        <v>1900</v>
      </c>
      <c r="M4357" s="272">
        <f t="shared" si="344"/>
        <v>1</v>
      </c>
      <c r="O4357" s="61">
        <f t="shared" si="345"/>
        <v>1900</v>
      </c>
      <c r="P4357" s="61">
        <f t="shared" si="346"/>
        <v>1</v>
      </c>
      <c r="R4357" s="272"/>
      <c r="S4357" s="272"/>
    </row>
    <row r="4358" spans="9:19">
      <c r="I4358" s="213"/>
      <c r="J4358" s="213"/>
      <c r="L4358" s="272">
        <f t="shared" si="343"/>
        <v>1900</v>
      </c>
      <c r="M4358" s="272">
        <f t="shared" si="344"/>
        <v>1</v>
      </c>
      <c r="O4358" s="61">
        <f t="shared" si="345"/>
        <v>1900</v>
      </c>
      <c r="P4358" s="61">
        <f t="shared" si="346"/>
        <v>1</v>
      </c>
      <c r="R4358" s="272"/>
      <c r="S4358" s="272"/>
    </row>
    <row r="4359" spans="9:19">
      <c r="I4359" s="213"/>
      <c r="J4359" s="213"/>
      <c r="L4359" s="272">
        <f t="shared" si="343"/>
        <v>1900</v>
      </c>
      <c r="M4359" s="272">
        <f t="shared" si="344"/>
        <v>1</v>
      </c>
      <c r="O4359" s="61">
        <f t="shared" si="345"/>
        <v>1900</v>
      </c>
      <c r="P4359" s="61">
        <f t="shared" si="346"/>
        <v>1</v>
      </c>
      <c r="R4359" s="272"/>
      <c r="S4359" s="272"/>
    </row>
    <row r="4360" spans="9:19">
      <c r="I4360" s="213"/>
      <c r="J4360" s="213"/>
      <c r="L4360" s="272">
        <f t="shared" si="343"/>
        <v>1900</v>
      </c>
      <c r="M4360" s="272">
        <f t="shared" si="344"/>
        <v>1</v>
      </c>
      <c r="O4360" s="61">
        <f t="shared" si="345"/>
        <v>1900</v>
      </c>
      <c r="P4360" s="61">
        <f t="shared" si="346"/>
        <v>1</v>
      </c>
      <c r="R4360" s="272"/>
      <c r="S4360" s="272"/>
    </row>
    <row r="4361" spans="9:19">
      <c r="I4361" s="213"/>
      <c r="J4361" s="213"/>
      <c r="L4361" s="272">
        <f t="shared" si="343"/>
        <v>1900</v>
      </c>
      <c r="M4361" s="272">
        <f t="shared" si="344"/>
        <v>1</v>
      </c>
      <c r="O4361" s="61">
        <f t="shared" si="345"/>
        <v>1900</v>
      </c>
      <c r="P4361" s="61">
        <f t="shared" si="346"/>
        <v>1</v>
      </c>
      <c r="R4361" s="272"/>
      <c r="S4361" s="272"/>
    </row>
    <row r="4362" spans="9:19">
      <c r="I4362" s="213"/>
      <c r="J4362" s="213"/>
      <c r="L4362" s="272">
        <f t="shared" si="343"/>
        <v>1900</v>
      </c>
      <c r="M4362" s="272">
        <f t="shared" si="344"/>
        <v>1</v>
      </c>
      <c r="O4362" s="61">
        <f t="shared" si="345"/>
        <v>1900</v>
      </c>
      <c r="P4362" s="61">
        <f t="shared" si="346"/>
        <v>1</v>
      </c>
      <c r="R4362" s="272"/>
      <c r="S4362" s="272"/>
    </row>
    <row r="4363" spans="9:19">
      <c r="I4363" s="213"/>
      <c r="J4363" s="213"/>
      <c r="L4363" s="272">
        <f t="shared" si="343"/>
        <v>1900</v>
      </c>
      <c r="M4363" s="272">
        <f t="shared" si="344"/>
        <v>1</v>
      </c>
      <c r="O4363" s="61">
        <f t="shared" si="345"/>
        <v>1900</v>
      </c>
      <c r="P4363" s="61">
        <f t="shared" si="346"/>
        <v>1</v>
      </c>
      <c r="R4363" s="272"/>
      <c r="S4363" s="272"/>
    </row>
    <row r="4364" spans="9:19">
      <c r="I4364" s="213"/>
      <c r="J4364" s="213"/>
      <c r="L4364" s="272">
        <f t="shared" si="343"/>
        <v>1900</v>
      </c>
      <c r="M4364" s="272">
        <f t="shared" si="344"/>
        <v>1</v>
      </c>
      <c r="O4364" s="61">
        <f t="shared" si="345"/>
        <v>1900</v>
      </c>
      <c r="P4364" s="61">
        <f t="shared" si="346"/>
        <v>1</v>
      </c>
      <c r="R4364" s="272"/>
      <c r="S4364" s="272"/>
    </row>
    <row r="4365" spans="9:19">
      <c r="I4365" s="213"/>
      <c r="J4365" s="213"/>
      <c r="L4365" s="272">
        <f t="shared" si="343"/>
        <v>1900</v>
      </c>
      <c r="M4365" s="272">
        <f t="shared" si="344"/>
        <v>1</v>
      </c>
      <c r="O4365" s="61">
        <f t="shared" si="345"/>
        <v>1900</v>
      </c>
      <c r="P4365" s="61">
        <f t="shared" si="346"/>
        <v>1</v>
      </c>
      <c r="R4365" s="272"/>
      <c r="S4365" s="272"/>
    </row>
    <row r="4366" spans="9:19">
      <c r="I4366" s="213"/>
      <c r="J4366" s="213"/>
      <c r="L4366" s="272">
        <f t="shared" si="343"/>
        <v>1900</v>
      </c>
      <c r="M4366" s="272">
        <f t="shared" si="344"/>
        <v>1</v>
      </c>
      <c r="O4366" s="61">
        <f t="shared" si="345"/>
        <v>1900</v>
      </c>
      <c r="P4366" s="61">
        <f t="shared" si="346"/>
        <v>1</v>
      </c>
      <c r="R4366" s="272"/>
      <c r="S4366" s="272"/>
    </row>
    <row r="4367" spans="9:19">
      <c r="I4367" s="213"/>
      <c r="J4367" s="213"/>
      <c r="L4367" s="272">
        <f t="shared" si="343"/>
        <v>1900</v>
      </c>
      <c r="M4367" s="272">
        <f t="shared" si="344"/>
        <v>1</v>
      </c>
      <c r="O4367" s="61">
        <f t="shared" si="345"/>
        <v>1900</v>
      </c>
      <c r="P4367" s="61">
        <f t="shared" si="346"/>
        <v>1</v>
      </c>
      <c r="R4367" s="272"/>
      <c r="S4367" s="272"/>
    </row>
    <row r="4368" spans="9:19">
      <c r="I4368" s="213"/>
      <c r="J4368" s="213"/>
      <c r="L4368" s="272">
        <f t="shared" ref="L4368:L4431" si="347">YEAR(B4368)</f>
        <v>1900</v>
      </c>
      <c r="M4368" s="272">
        <f t="shared" ref="M4368:M4431" si="348">MONTH(B4368)</f>
        <v>1</v>
      </c>
      <c r="O4368" s="61">
        <f t="shared" ref="O4368:O4431" si="349">YEAR(B4368)</f>
        <v>1900</v>
      </c>
      <c r="P4368" s="61">
        <f t="shared" ref="P4368:P4431" si="350">MONTH(B4368)</f>
        <v>1</v>
      </c>
      <c r="R4368" s="272"/>
      <c r="S4368" s="272"/>
    </row>
    <row r="4369" spans="9:19">
      <c r="I4369" s="213"/>
      <c r="J4369" s="213"/>
      <c r="L4369" s="272">
        <f t="shared" si="347"/>
        <v>1900</v>
      </c>
      <c r="M4369" s="272">
        <f t="shared" si="348"/>
        <v>1</v>
      </c>
      <c r="O4369" s="61">
        <f t="shared" si="349"/>
        <v>1900</v>
      </c>
      <c r="P4369" s="61">
        <f t="shared" si="350"/>
        <v>1</v>
      </c>
      <c r="R4369" s="272"/>
      <c r="S4369" s="272"/>
    </row>
    <row r="4370" spans="9:19">
      <c r="I4370" s="213"/>
      <c r="J4370" s="213"/>
      <c r="L4370" s="272">
        <f t="shared" si="347"/>
        <v>1900</v>
      </c>
      <c r="M4370" s="272">
        <f t="shared" si="348"/>
        <v>1</v>
      </c>
      <c r="O4370" s="61">
        <f t="shared" si="349"/>
        <v>1900</v>
      </c>
      <c r="P4370" s="61">
        <f t="shared" si="350"/>
        <v>1</v>
      </c>
      <c r="R4370" s="272"/>
      <c r="S4370" s="272"/>
    </row>
    <row r="4371" spans="9:19">
      <c r="I4371" s="213"/>
      <c r="J4371" s="213"/>
      <c r="L4371" s="272">
        <f t="shared" si="347"/>
        <v>1900</v>
      </c>
      <c r="M4371" s="272">
        <f t="shared" si="348"/>
        <v>1</v>
      </c>
      <c r="O4371" s="61">
        <f t="shared" si="349"/>
        <v>1900</v>
      </c>
      <c r="P4371" s="61">
        <f t="shared" si="350"/>
        <v>1</v>
      </c>
      <c r="R4371" s="272"/>
      <c r="S4371" s="272"/>
    </row>
    <row r="4372" spans="9:19">
      <c r="I4372" s="213"/>
      <c r="J4372" s="213"/>
      <c r="L4372" s="272">
        <f t="shared" si="347"/>
        <v>1900</v>
      </c>
      <c r="M4372" s="272">
        <f t="shared" si="348"/>
        <v>1</v>
      </c>
      <c r="O4372" s="61">
        <f t="shared" si="349"/>
        <v>1900</v>
      </c>
      <c r="P4372" s="61">
        <f t="shared" si="350"/>
        <v>1</v>
      </c>
      <c r="R4372" s="272"/>
      <c r="S4372" s="272"/>
    </row>
    <row r="4373" spans="9:19">
      <c r="I4373" s="213"/>
      <c r="J4373" s="213"/>
      <c r="L4373" s="272">
        <f t="shared" si="347"/>
        <v>1900</v>
      </c>
      <c r="M4373" s="272">
        <f t="shared" si="348"/>
        <v>1</v>
      </c>
      <c r="O4373" s="61">
        <f t="shared" si="349"/>
        <v>1900</v>
      </c>
      <c r="P4373" s="61">
        <f t="shared" si="350"/>
        <v>1</v>
      </c>
      <c r="R4373" s="272"/>
      <c r="S4373" s="272"/>
    </row>
    <row r="4374" spans="9:19">
      <c r="I4374" s="213"/>
      <c r="J4374" s="213"/>
      <c r="L4374" s="272">
        <f t="shared" si="347"/>
        <v>1900</v>
      </c>
      <c r="M4374" s="272">
        <f t="shared" si="348"/>
        <v>1</v>
      </c>
      <c r="O4374" s="61">
        <f t="shared" si="349"/>
        <v>1900</v>
      </c>
      <c r="P4374" s="61">
        <f t="shared" si="350"/>
        <v>1</v>
      </c>
      <c r="R4374" s="272"/>
      <c r="S4374" s="272"/>
    </row>
    <row r="4375" spans="9:19">
      <c r="I4375" s="213"/>
      <c r="J4375" s="213"/>
      <c r="L4375" s="272">
        <f t="shared" si="347"/>
        <v>1900</v>
      </c>
      <c r="M4375" s="272">
        <f t="shared" si="348"/>
        <v>1</v>
      </c>
      <c r="O4375" s="61">
        <f t="shared" si="349"/>
        <v>1900</v>
      </c>
      <c r="P4375" s="61">
        <f t="shared" si="350"/>
        <v>1</v>
      </c>
      <c r="R4375" s="272"/>
      <c r="S4375" s="272"/>
    </row>
    <row r="4376" spans="9:19">
      <c r="I4376" s="213"/>
      <c r="J4376" s="213"/>
      <c r="L4376" s="272">
        <f t="shared" si="347"/>
        <v>1900</v>
      </c>
      <c r="M4376" s="272">
        <f t="shared" si="348"/>
        <v>1</v>
      </c>
      <c r="O4376" s="61">
        <f t="shared" si="349"/>
        <v>1900</v>
      </c>
      <c r="P4376" s="61">
        <f t="shared" si="350"/>
        <v>1</v>
      </c>
      <c r="R4376" s="272"/>
      <c r="S4376" s="272"/>
    </row>
    <row r="4377" spans="9:19">
      <c r="I4377" s="213"/>
      <c r="J4377" s="213"/>
      <c r="L4377" s="272">
        <f t="shared" si="347"/>
        <v>1900</v>
      </c>
      <c r="M4377" s="272">
        <f t="shared" si="348"/>
        <v>1</v>
      </c>
      <c r="O4377" s="61">
        <f t="shared" si="349"/>
        <v>1900</v>
      </c>
      <c r="P4377" s="61">
        <f t="shared" si="350"/>
        <v>1</v>
      </c>
      <c r="R4377" s="272"/>
      <c r="S4377" s="272"/>
    </row>
    <row r="4378" spans="9:19">
      <c r="I4378" s="213"/>
      <c r="J4378" s="213"/>
      <c r="L4378" s="272">
        <f t="shared" si="347"/>
        <v>1900</v>
      </c>
      <c r="M4378" s="272">
        <f t="shared" si="348"/>
        <v>1</v>
      </c>
      <c r="O4378" s="61">
        <f t="shared" si="349"/>
        <v>1900</v>
      </c>
      <c r="P4378" s="61">
        <f t="shared" si="350"/>
        <v>1</v>
      </c>
      <c r="R4378" s="272"/>
      <c r="S4378" s="272"/>
    </row>
    <row r="4379" spans="9:19">
      <c r="I4379" s="213"/>
      <c r="J4379" s="213"/>
      <c r="L4379" s="272">
        <f t="shared" si="347"/>
        <v>1900</v>
      </c>
      <c r="M4379" s="272">
        <f t="shared" si="348"/>
        <v>1</v>
      </c>
      <c r="O4379" s="61">
        <f t="shared" si="349"/>
        <v>1900</v>
      </c>
      <c r="P4379" s="61">
        <f t="shared" si="350"/>
        <v>1</v>
      </c>
      <c r="R4379" s="272"/>
      <c r="S4379" s="272"/>
    </row>
    <row r="4380" spans="9:19">
      <c r="I4380" s="213"/>
      <c r="J4380" s="213"/>
      <c r="L4380" s="272">
        <f t="shared" si="347"/>
        <v>1900</v>
      </c>
      <c r="M4380" s="272">
        <f t="shared" si="348"/>
        <v>1</v>
      </c>
      <c r="O4380" s="61">
        <f t="shared" si="349"/>
        <v>1900</v>
      </c>
      <c r="P4380" s="61">
        <f t="shared" si="350"/>
        <v>1</v>
      </c>
      <c r="R4380" s="272"/>
      <c r="S4380" s="272"/>
    </row>
    <row r="4381" spans="9:19">
      <c r="I4381" s="213"/>
      <c r="J4381" s="213"/>
      <c r="L4381" s="272">
        <f t="shared" si="347"/>
        <v>1900</v>
      </c>
      <c r="M4381" s="272">
        <f t="shared" si="348"/>
        <v>1</v>
      </c>
      <c r="O4381" s="61">
        <f t="shared" si="349"/>
        <v>1900</v>
      </c>
      <c r="P4381" s="61">
        <f t="shared" si="350"/>
        <v>1</v>
      </c>
      <c r="R4381" s="272"/>
      <c r="S4381" s="272"/>
    </row>
    <row r="4382" spans="9:19">
      <c r="I4382" s="213"/>
      <c r="J4382" s="213"/>
      <c r="L4382" s="272">
        <f t="shared" si="347"/>
        <v>1900</v>
      </c>
      <c r="M4382" s="272">
        <f t="shared" si="348"/>
        <v>1</v>
      </c>
      <c r="O4382" s="61">
        <f t="shared" si="349"/>
        <v>1900</v>
      </c>
      <c r="P4382" s="61">
        <f t="shared" si="350"/>
        <v>1</v>
      </c>
      <c r="R4382" s="272"/>
      <c r="S4382" s="272"/>
    </row>
    <row r="4383" spans="9:19">
      <c r="I4383" s="213"/>
      <c r="J4383" s="213"/>
      <c r="L4383" s="272">
        <f t="shared" si="347"/>
        <v>1900</v>
      </c>
      <c r="M4383" s="272">
        <f t="shared" si="348"/>
        <v>1</v>
      </c>
      <c r="O4383" s="61">
        <f t="shared" si="349"/>
        <v>1900</v>
      </c>
      <c r="P4383" s="61">
        <f t="shared" si="350"/>
        <v>1</v>
      </c>
      <c r="R4383" s="272"/>
      <c r="S4383" s="272"/>
    </row>
    <row r="4384" spans="9:19">
      <c r="I4384" s="213"/>
      <c r="J4384" s="213"/>
      <c r="L4384" s="272">
        <f t="shared" si="347"/>
        <v>1900</v>
      </c>
      <c r="M4384" s="272">
        <f t="shared" si="348"/>
        <v>1</v>
      </c>
      <c r="O4384" s="61">
        <f t="shared" si="349"/>
        <v>1900</v>
      </c>
      <c r="P4384" s="61">
        <f t="shared" si="350"/>
        <v>1</v>
      </c>
      <c r="R4384" s="272"/>
      <c r="S4384" s="272"/>
    </row>
    <row r="4385" spans="9:19">
      <c r="I4385" s="213"/>
      <c r="J4385" s="213"/>
      <c r="L4385" s="272">
        <f t="shared" si="347"/>
        <v>1900</v>
      </c>
      <c r="M4385" s="272">
        <f t="shared" si="348"/>
        <v>1</v>
      </c>
      <c r="O4385" s="61">
        <f t="shared" si="349"/>
        <v>1900</v>
      </c>
      <c r="P4385" s="61">
        <f t="shared" si="350"/>
        <v>1</v>
      </c>
      <c r="R4385" s="272"/>
      <c r="S4385" s="272"/>
    </row>
    <row r="4386" spans="9:19">
      <c r="I4386" s="213"/>
      <c r="J4386" s="213"/>
      <c r="L4386" s="272">
        <f t="shared" si="347"/>
        <v>1900</v>
      </c>
      <c r="M4386" s="272">
        <f t="shared" si="348"/>
        <v>1</v>
      </c>
      <c r="O4386" s="61">
        <f t="shared" si="349"/>
        <v>1900</v>
      </c>
      <c r="P4386" s="61">
        <f t="shared" si="350"/>
        <v>1</v>
      </c>
      <c r="R4386" s="272"/>
      <c r="S4386" s="272"/>
    </row>
    <row r="4387" spans="9:19">
      <c r="I4387" s="213"/>
      <c r="J4387" s="213"/>
      <c r="L4387" s="272">
        <f t="shared" si="347"/>
        <v>1900</v>
      </c>
      <c r="M4387" s="272">
        <f t="shared" si="348"/>
        <v>1</v>
      </c>
      <c r="O4387" s="61">
        <f t="shared" si="349"/>
        <v>1900</v>
      </c>
      <c r="P4387" s="61">
        <f t="shared" si="350"/>
        <v>1</v>
      </c>
      <c r="R4387" s="272"/>
      <c r="S4387" s="272"/>
    </row>
    <row r="4388" spans="9:19">
      <c r="I4388" s="213"/>
      <c r="J4388" s="213"/>
      <c r="L4388" s="272">
        <f t="shared" si="347"/>
        <v>1900</v>
      </c>
      <c r="M4388" s="272">
        <f t="shared" si="348"/>
        <v>1</v>
      </c>
      <c r="O4388" s="61">
        <f t="shared" si="349"/>
        <v>1900</v>
      </c>
      <c r="P4388" s="61">
        <f t="shared" si="350"/>
        <v>1</v>
      </c>
      <c r="R4388" s="272"/>
      <c r="S4388" s="272"/>
    </row>
    <row r="4389" spans="9:19">
      <c r="I4389" s="213"/>
      <c r="J4389" s="213"/>
      <c r="L4389" s="272">
        <f t="shared" si="347"/>
        <v>1900</v>
      </c>
      <c r="M4389" s="272">
        <f t="shared" si="348"/>
        <v>1</v>
      </c>
      <c r="O4389" s="61">
        <f t="shared" si="349"/>
        <v>1900</v>
      </c>
      <c r="P4389" s="61">
        <f t="shared" si="350"/>
        <v>1</v>
      </c>
      <c r="R4389" s="272"/>
      <c r="S4389" s="272"/>
    </row>
    <row r="4390" spans="9:19">
      <c r="I4390" s="213"/>
      <c r="J4390" s="213"/>
      <c r="L4390" s="272">
        <f t="shared" si="347"/>
        <v>1900</v>
      </c>
      <c r="M4390" s="272">
        <f t="shared" si="348"/>
        <v>1</v>
      </c>
      <c r="O4390" s="61">
        <f t="shared" si="349"/>
        <v>1900</v>
      </c>
      <c r="P4390" s="61">
        <f t="shared" si="350"/>
        <v>1</v>
      </c>
      <c r="R4390" s="272"/>
      <c r="S4390" s="272"/>
    </row>
    <row r="4391" spans="9:19">
      <c r="I4391" s="213"/>
      <c r="J4391" s="213"/>
      <c r="L4391" s="272">
        <f t="shared" si="347"/>
        <v>1900</v>
      </c>
      <c r="M4391" s="272">
        <f t="shared" si="348"/>
        <v>1</v>
      </c>
      <c r="O4391" s="61">
        <f t="shared" si="349"/>
        <v>1900</v>
      </c>
      <c r="P4391" s="61">
        <f t="shared" si="350"/>
        <v>1</v>
      </c>
      <c r="R4391" s="272"/>
      <c r="S4391" s="272"/>
    </row>
    <row r="4392" spans="9:19">
      <c r="I4392" s="213"/>
      <c r="J4392" s="213"/>
      <c r="L4392" s="272">
        <f t="shared" si="347"/>
        <v>1900</v>
      </c>
      <c r="M4392" s="272">
        <f t="shared" si="348"/>
        <v>1</v>
      </c>
      <c r="O4392" s="61">
        <f t="shared" si="349"/>
        <v>1900</v>
      </c>
      <c r="P4392" s="61">
        <f t="shared" si="350"/>
        <v>1</v>
      </c>
      <c r="R4392" s="272"/>
      <c r="S4392" s="272"/>
    </row>
    <row r="4393" spans="9:19">
      <c r="I4393" s="213"/>
      <c r="J4393" s="213"/>
      <c r="L4393" s="272">
        <f t="shared" si="347"/>
        <v>1900</v>
      </c>
      <c r="M4393" s="272">
        <f t="shared" si="348"/>
        <v>1</v>
      </c>
      <c r="O4393" s="61">
        <f t="shared" si="349"/>
        <v>1900</v>
      </c>
      <c r="P4393" s="61">
        <f t="shared" si="350"/>
        <v>1</v>
      </c>
      <c r="R4393" s="272"/>
      <c r="S4393" s="272"/>
    </row>
    <row r="4394" spans="9:19">
      <c r="I4394" s="213"/>
      <c r="J4394" s="213"/>
      <c r="L4394" s="272">
        <f t="shared" si="347"/>
        <v>1900</v>
      </c>
      <c r="M4394" s="272">
        <f t="shared" si="348"/>
        <v>1</v>
      </c>
      <c r="O4394" s="61">
        <f t="shared" si="349"/>
        <v>1900</v>
      </c>
      <c r="P4394" s="61">
        <f t="shared" si="350"/>
        <v>1</v>
      </c>
      <c r="R4394" s="272"/>
      <c r="S4394" s="272"/>
    </row>
    <row r="4395" spans="9:19">
      <c r="I4395" s="213"/>
      <c r="J4395" s="213"/>
      <c r="L4395" s="272">
        <f t="shared" si="347"/>
        <v>1900</v>
      </c>
      <c r="M4395" s="272">
        <f t="shared" si="348"/>
        <v>1</v>
      </c>
      <c r="O4395" s="61">
        <f t="shared" si="349"/>
        <v>1900</v>
      </c>
      <c r="P4395" s="61">
        <f t="shared" si="350"/>
        <v>1</v>
      </c>
      <c r="R4395" s="272"/>
      <c r="S4395" s="272"/>
    </row>
    <row r="4396" spans="9:19">
      <c r="I4396" s="213"/>
      <c r="J4396" s="213"/>
      <c r="L4396" s="272">
        <f t="shared" si="347"/>
        <v>1900</v>
      </c>
      <c r="M4396" s="272">
        <f t="shared" si="348"/>
        <v>1</v>
      </c>
      <c r="O4396" s="61">
        <f t="shared" si="349"/>
        <v>1900</v>
      </c>
      <c r="P4396" s="61">
        <f t="shared" si="350"/>
        <v>1</v>
      </c>
      <c r="R4396" s="272"/>
      <c r="S4396" s="272"/>
    </row>
    <row r="4397" spans="9:19">
      <c r="I4397" s="213"/>
      <c r="J4397" s="213"/>
      <c r="L4397" s="272">
        <f t="shared" si="347"/>
        <v>1900</v>
      </c>
      <c r="M4397" s="272">
        <f t="shared" si="348"/>
        <v>1</v>
      </c>
      <c r="O4397" s="61">
        <f t="shared" si="349"/>
        <v>1900</v>
      </c>
      <c r="P4397" s="61">
        <f t="shared" si="350"/>
        <v>1</v>
      </c>
      <c r="R4397" s="272"/>
      <c r="S4397" s="272"/>
    </row>
    <row r="4398" spans="9:19">
      <c r="I4398" s="213"/>
      <c r="J4398" s="213"/>
      <c r="L4398" s="272">
        <f t="shared" si="347"/>
        <v>1900</v>
      </c>
      <c r="M4398" s="272">
        <f t="shared" si="348"/>
        <v>1</v>
      </c>
      <c r="O4398" s="61">
        <f t="shared" si="349"/>
        <v>1900</v>
      </c>
      <c r="P4398" s="61">
        <f t="shared" si="350"/>
        <v>1</v>
      </c>
      <c r="R4398" s="272"/>
      <c r="S4398" s="272"/>
    </row>
    <row r="4399" spans="9:19">
      <c r="I4399" s="213"/>
      <c r="J4399" s="213"/>
      <c r="L4399" s="272">
        <f t="shared" si="347"/>
        <v>1900</v>
      </c>
      <c r="M4399" s="272">
        <f t="shared" si="348"/>
        <v>1</v>
      </c>
      <c r="O4399" s="61">
        <f t="shared" si="349"/>
        <v>1900</v>
      </c>
      <c r="P4399" s="61">
        <f t="shared" si="350"/>
        <v>1</v>
      </c>
      <c r="R4399" s="272"/>
      <c r="S4399" s="272"/>
    </row>
    <row r="4400" spans="9:19">
      <c r="I4400" s="213"/>
      <c r="J4400" s="213"/>
      <c r="L4400" s="272">
        <f t="shared" si="347"/>
        <v>1900</v>
      </c>
      <c r="M4400" s="272">
        <f t="shared" si="348"/>
        <v>1</v>
      </c>
      <c r="O4400" s="61">
        <f t="shared" si="349"/>
        <v>1900</v>
      </c>
      <c r="P4400" s="61">
        <f t="shared" si="350"/>
        <v>1</v>
      </c>
      <c r="R4400" s="272"/>
      <c r="S4400" s="272"/>
    </row>
    <row r="4401" spans="9:19">
      <c r="I4401" s="213"/>
      <c r="J4401" s="213"/>
      <c r="L4401" s="272">
        <f t="shared" si="347"/>
        <v>1900</v>
      </c>
      <c r="M4401" s="272">
        <f t="shared" si="348"/>
        <v>1</v>
      </c>
      <c r="O4401" s="61">
        <f t="shared" si="349"/>
        <v>1900</v>
      </c>
      <c r="P4401" s="61">
        <f t="shared" si="350"/>
        <v>1</v>
      </c>
      <c r="R4401" s="272"/>
      <c r="S4401" s="272"/>
    </row>
    <row r="4402" spans="9:19">
      <c r="I4402" s="213"/>
      <c r="J4402" s="213"/>
      <c r="L4402" s="272">
        <f t="shared" si="347"/>
        <v>1900</v>
      </c>
      <c r="M4402" s="272">
        <f t="shared" si="348"/>
        <v>1</v>
      </c>
      <c r="O4402" s="61">
        <f t="shared" si="349"/>
        <v>1900</v>
      </c>
      <c r="P4402" s="61">
        <f t="shared" si="350"/>
        <v>1</v>
      </c>
      <c r="R4402" s="272"/>
      <c r="S4402" s="272"/>
    </row>
    <row r="4403" spans="9:19">
      <c r="I4403" s="213"/>
      <c r="J4403" s="213"/>
      <c r="L4403" s="272">
        <f t="shared" si="347"/>
        <v>1900</v>
      </c>
      <c r="M4403" s="272">
        <f t="shared" si="348"/>
        <v>1</v>
      </c>
      <c r="O4403" s="61">
        <f t="shared" si="349"/>
        <v>1900</v>
      </c>
      <c r="P4403" s="61">
        <f t="shared" si="350"/>
        <v>1</v>
      </c>
      <c r="R4403" s="272"/>
      <c r="S4403" s="272"/>
    </row>
    <row r="4404" spans="9:19">
      <c r="I4404" s="213"/>
      <c r="J4404" s="213"/>
      <c r="L4404" s="272">
        <f t="shared" si="347"/>
        <v>1900</v>
      </c>
      <c r="M4404" s="272">
        <f t="shared" si="348"/>
        <v>1</v>
      </c>
      <c r="O4404" s="61">
        <f t="shared" si="349"/>
        <v>1900</v>
      </c>
      <c r="P4404" s="61">
        <f t="shared" si="350"/>
        <v>1</v>
      </c>
      <c r="R4404" s="272"/>
      <c r="S4404" s="272"/>
    </row>
    <row r="4405" spans="9:19">
      <c r="I4405" s="213"/>
      <c r="J4405" s="213"/>
      <c r="L4405" s="272">
        <f t="shared" si="347"/>
        <v>1900</v>
      </c>
      <c r="M4405" s="272">
        <f t="shared" si="348"/>
        <v>1</v>
      </c>
      <c r="O4405" s="61">
        <f t="shared" si="349"/>
        <v>1900</v>
      </c>
      <c r="P4405" s="61">
        <f t="shared" si="350"/>
        <v>1</v>
      </c>
      <c r="R4405" s="272"/>
      <c r="S4405" s="272"/>
    </row>
    <row r="4406" spans="9:19">
      <c r="I4406" s="213"/>
      <c r="J4406" s="213"/>
      <c r="L4406" s="272">
        <f t="shared" si="347"/>
        <v>1900</v>
      </c>
      <c r="M4406" s="272">
        <f t="shared" si="348"/>
        <v>1</v>
      </c>
      <c r="O4406" s="61">
        <f t="shared" si="349"/>
        <v>1900</v>
      </c>
      <c r="P4406" s="61">
        <f t="shared" si="350"/>
        <v>1</v>
      </c>
      <c r="R4406" s="272"/>
      <c r="S4406" s="272"/>
    </row>
    <row r="4407" spans="9:19">
      <c r="I4407" s="213"/>
      <c r="J4407" s="213"/>
      <c r="L4407" s="272">
        <f t="shared" si="347"/>
        <v>1900</v>
      </c>
      <c r="M4407" s="272">
        <f t="shared" si="348"/>
        <v>1</v>
      </c>
      <c r="O4407" s="61">
        <f t="shared" si="349"/>
        <v>1900</v>
      </c>
      <c r="P4407" s="61">
        <f t="shared" si="350"/>
        <v>1</v>
      </c>
      <c r="R4407" s="272"/>
      <c r="S4407" s="272"/>
    </row>
    <row r="4408" spans="9:19">
      <c r="I4408" s="213"/>
      <c r="J4408" s="213"/>
      <c r="L4408" s="272">
        <f t="shared" si="347"/>
        <v>1900</v>
      </c>
      <c r="M4408" s="272">
        <f t="shared" si="348"/>
        <v>1</v>
      </c>
      <c r="O4408" s="61">
        <f t="shared" si="349"/>
        <v>1900</v>
      </c>
      <c r="P4408" s="61">
        <f t="shared" si="350"/>
        <v>1</v>
      </c>
      <c r="R4408" s="272"/>
      <c r="S4408" s="272"/>
    </row>
    <row r="4409" spans="9:19">
      <c r="I4409" s="213"/>
      <c r="J4409" s="213"/>
      <c r="L4409" s="272">
        <f t="shared" si="347"/>
        <v>1900</v>
      </c>
      <c r="M4409" s="272">
        <f t="shared" si="348"/>
        <v>1</v>
      </c>
      <c r="O4409" s="61">
        <f t="shared" si="349"/>
        <v>1900</v>
      </c>
      <c r="P4409" s="61">
        <f t="shared" si="350"/>
        <v>1</v>
      </c>
      <c r="R4409" s="272"/>
      <c r="S4409" s="272"/>
    </row>
    <row r="4410" spans="9:19">
      <c r="I4410" s="213"/>
      <c r="J4410" s="213"/>
      <c r="L4410" s="272">
        <f t="shared" si="347"/>
        <v>1900</v>
      </c>
      <c r="M4410" s="272">
        <f t="shared" si="348"/>
        <v>1</v>
      </c>
      <c r="O4410" s="61">
        <f t="shared" si="349"/>
        <v>1900</v>
      </c>
      <c r="P4410" s="61">
        <f t="shared" si="350"/>
        <v>1</v>
      </c>
      <c r="R4410" s="272"/>
      <c r="S4410" s="272"/>
    </row>
    <row r="4411" spans="9:19">
      <c r="I4411" s="213"/>
      <c r="J4411" s="213"/>
      <c r="L4411" s="272">
        <f t="shared" si="347"/>
        <v>1900</v>
      </c>
      <c r="M4411" s="272">
        <f t="shared" si="348"/>
        <v>1</v>
      </c>
      <c r="O4411" s="61">
        <f t="shared" si="349"/>
        <v>1900</v>
      </c>
      <c r="P4411" s="61">
        <f t="shared" si="350"/>
        <v>1</v>
      </c>
      <c r="R4411" s="272"/>
      <c r="S4411" s="272"/>
    </row>
    <row r="4412" spans="9:19">
      <c r="I4412" s="213"/>
      <c r="J4412" s="213"/>
      <c r="L4412" s="272">
        <f t="shared" si="347"/>
        <v>1900</v>
      </c>
      <c r="M4412" s="272">
        <f t="shared" si="348"/>
        <v>1</v>
      </c>
      <c r="O4412" s="61">
        <f t="shared" si="349"/>
        <v>1900</v>
      </c>
      <c r="P4412" s="61">
        <f t="shared" si="350"/>
        <v>1</v>
      </c>
      <c r="R4412" s="272"/>
      <c r="S4412" s="272"/>
    </row>
    <row r="4413" spans="9:19">
      <c r="I4413" s="213"/>
      <c r="J4413" s="213"/>
      <c r="L4413" s="272">
        <f t="shared" si="347"/>
        <v>1900</v>
      </c>
      <c r="M4413" s="272">
        <f t="shared" si="348"/>
        <v>1</v>
      </c>
      <c r="O4413" s="61">
        <f t="shared" si="349"/>
        <v>1900</v>
      </c>
      <c r="P4413" s="61">
        <f t="shared" si="350"/>
        <v>1</v>
      </c>
      <c r="R4413" s="272"/>
      <c r="S4413" s="272"/>
    </row>
    <row r="4414" spans="9:19">
      <c r="I4414" s="213"/>
      <c r="J4414" s="213"/>
      <c r="L4414" s="272">
        <f t="shared" si="347"/>
        <v>1900</v>
      </c>
      <c r="M4414" s="272">
        <f t="shared" si="348"/>
        <v>1</v>
      </c>
      <c r="O4414" s="61">
        <f t="shared" si="349"/>
        <v>1900</v>
      </c>
      <c r="P4414" s="61">
        <f t="shared" si="350"/>
        <v>1</v>
      </c>
      <c r="R4414" s="272"/>
      <c r="S4414" s="272"/>
    </row>
    <row r="4415" spans="9:19">
      <c r="I4415" s="213"/>
      <c r="J4415" s="213"/>
      <c r="L4415" s="272">
        <f t="shared" si="347"/>
        <v>1900</v>
      </c>
      <c r="M4415" s="272">
        <f t="shared" si="348"/>
        <v>1</v>
      </c>
      <c r="O4415" s="61">
        <f t="shared" si="349"/>
        <v>1900</v>
      </c>
      <c r="P4415" s="61">
        <f t="shared" si="350"/>
        <v>1</v>
      </c>
      <c r="R4415" s="272"/>
      <c r="S4415" s="272"/>
    </row>
    <row r="4416" spans="9:19">
      <c r="I4416" s="213"/>
      <c r="J4416" s="213"/>
      <c r="L4416" s="272">
        <f t="shared" si="347"/>
        <v>1900</v>
      </c>
      <c r="M4416" s="272">
        <f t="shared" si="348"/>
        <v>1</v>
      </c>
      <c r="O4416" s="61">
        <f t="shared" si="349"/>
        <v>1900</v>
      </c>
      <c r="P4416" s="61">
        <f t="shared" si="350"/>
        <v>1</v>
      </c>
      <c r="R4416" s="272"/>
      <c r="S4416" s="272"/>
    </row>
    <row r="4417" spans="9:19">
      <c r="I4417" s="213"/>
      <c r="J4417" s="213"/>
      <c r="L4417" s="272">
        <f t="shared" si="347"/>
        <v>1900</v>
      </c>
      <c r="M4417" s="272">
        <f t="shared" si="348"/>
        <v>1</v>
      </c>
      <c r="O4417" s="61">
        <f t="shared" si="349"/>
        <v>1900</v>
      </c>
      <c r="P4417" s="61">
        <f t="shared" si="350"/>
        <v>1</v>
      </c>
      <c r="R4417" s="272"/>
      <c r="S4417" s="272"/>
    </row>
    <row r="4418" spans="9:19">
      <c r="I4418" s="213"/>
      <c r="J4418" s="213"/>
      <c r="L4418" s="272">
        <f t="shared" si="347"/>
        <v>1900</v>
      </c>
      <c r="M4418" s="272">
        <f t="shared" si="348"/>
        <v>1</v>
      </c>
      <c r="O4418" s="61">
        <f t="shared" si="349"/>
        <v>1900</v>
      </c>
      <c r="P4418" s="61">
        <f t="shared" si="350"/>
        <v>1</v>
      </c>
      <c r="R4418" s="272"/>
      <c r="S4418" s="272"/>
    </row>
    <row r="4419" spans="9:19">
      <c r="I4419" s="213"/>
      <c r="J4419" s="213"/>
      <c r="L4419" s="272">
        <f t="shared" si="347"/>
        <v>1900</v>
      </c>
      <c r="M4419" s="272">
        <f t="shared" si="348"/>
        <v>1</v>
      </c>
      <c r="O4419" s="61">
        <f t="shared" si="349"/>
        <v>1900</v>
      </c>
      <c r="P4419" s="61">
        <f t="shared" si="350"/>
        <v>1</v>
      </c>
      <c r="R4419" s="272"/>
      <c r="S4419" s="272"/>
    </row>
    <row r="4420" spans="9:19">
      <c r="I4420" s="213"/>
      <c r="J4420" s="213"/>
      <c r="L4420" s="272">
        <f t="shared" si="347"/>
        <v>1900</v>
      </c>
      <c r="M4420" s="272">
        <f t="shared" si="348"/>
        <v>1</v>
      </c>
      <c r="O4420" s="61">
        <f t="shared" si="349"/>
        <v>1900</v>
      </c>
      <c r="P4420" s="61">
        <f t="shared" si="350"/>
        <v>1</v>
      </c>
      <c r="R4420" s="272"/>
      <c r="S4420" s="272"/>
    </row>
    <row r="4421" spans="9:19">
      <c r="I4421" s="213"/>
      <c r="J4421" s="213"/>
      <c r="L4421" s="272">
        <f t="shared" si="347"/>
        <v>1900</v>
      </c>
      <c r="M4421" s="272">
        <f t="shared" si="348"/>
        <v>1</v>
      </c>
      <c r="O4421" s="61">
        <f t="shared" si="349"/>
        <v>1900</v>
      </c>
      <c r="P4421" s="61">
        <f t="shared" si="350"/>
        <v>1</v>
      </c>
      <c r="R4421" s="272"/>
      <c r="S4421" s="272"/>
    </row>
    <row r="4422" spans="9:19">
      <c r="I4422" s="213"/>
      <c r="J4422" s="213"/>
      <c r="L4422" s="272">
        <f t="shared" si="347"/>
        <v>1900</v>
      </c>
      <c r="M4422" s="272">
        <f t="shared" si="348"/>
        <v>1</v>
      </c>
      <c r="O4422" s="61">
        <f t="shared" si="349"/>
        <v>1900</v>
      </c>
      <c r="P4422" s="61">
        <f t="shared" si="350"/>
        <v>1</v>
      </c>
      <c r="R4422" s="272"/>
      <c r="S4422" s="272"/>
    </row>
    <row r="4423" spans="9:19">
      <c r="I4423" s="213"/>
      <c r="J4423" s="213"/>
      <c r="L4423" s="272">
        <f t="shared" si="347"/>
        <v>1900</v>
      </c>
      <c r="M4423" s="272">
        <f t="shared" si="348"/>
        <v>1</v>
      </c>
      <c r="O4423" s="61">
        <f t="shared" si="349"/>
        <v>1900</v>
      </c>
      <c r="P4423" s="61">
        <f t="shared" si="350"/>
        <v>1</v>
      </c>
      <c r="R4423" s="272"/>
      <c r="S4423" s="272"/>
    </row>
    <row r="4424" spans="9:19">
      <c r="I4424" s="213"/>
      <c r="J4424" s="213"/>
      <c r="L4424" s="272">
        <f t="shared" si="347"/>
        <v>1900</v>
      </c>
      <c r="M4424" s="272">
        <f t="shared" si="348"/>
        <v>1</v>
      </c>
      <c r="O4424" s="61">
        <f t="shared" si="349"/>
        <v>1900</v>
      </c>
      <c r="P4424" s="61">
        <f t="shared" si="350"/>
        <v>1</v>
      </c>
      <c r="R4424" s="272"/>
      <c r="S4424" s="272"/>
    </row>
    <row r="4425" spans="9:19">
      <c r="I4425" s="213"/>
      <c r="J4425" s="213"/>
      <c r="L4425" s="272">
        <f t="shared" si="347"/>
        <v>1900</v>
      </c>
      <c r="M4425" s="272">
        <f t="shared" si="348"/>
        <v>1</v>
      </c>
      <c r="O4425" s="61">
        <f t="shared" si="349"/>
        <v>1900</v>
      </c>
      <c r="P4425" s="61">
        <f t="shared" si="350"/>
        <v>1</v>
      </c>
      <c r="R4425" s="272"/>
      <c r="S4425" s="272"/>
    </row>
    <row r="4426" spans="9:19">
      <c r="I4426" s="213"/>
      <c r="J4426" s="213"/>
      <c r="L4426" s="272">
        <f t="shared" si="347"/>
        <v>1900</v>
      </c>
      <c r="M4426" s="272">
        <f t="shared" si="348"/>
        <v>1</v>
      </c>
      <c r="O4426" s="61">
        <f t="shared" si="349"/>
        <v>1900</v>
      </c>
      <c r="P4426" s="61">
        <f t="shared" si="350"/>
        <v>1</v>
      </c>
      <c r="R4426" s="272"/>
      <c r="S4426" s="272"/>
    </row>
    <row r="4427" spans="9:19">
      <c r="I4427" s="213"/>
      <c r="J4427" s="213"/>
      <c r="L4427" s="272">
        <f t="shared" si="347"/>
        <v>1900</v>
      </c>
      <c r="M4427" s="272">
        <f t="shared" si="348"/>
        <v>1</v>
      </c>
      <c r="O4427" s="61">
        <f t="shared" si="349"/>
        <v>1900</v>
      </c>
      <c r="P4427" s="61">
        <f t="shared" si="350"/>
        <v>1</v>
      </c>
      <c r="R4427" s="272"/>
      <c r="S4427" s="272"/>
    </row>
    <row r="4428" spans="9:19">
      <c r="I4428" s="213"/>
      <c r="J4428" s="213"/>
      <c r="L4428" s="272">
        <f t="shared" si="347"/>
        <v>1900</v>
      </c>
      <c r="M4428" s="272">
        <f t="shared" si="348"/>
        <v>1</v>
      </c>
      <c r="O4428" s="61">
        <f t="shared" si="349"/>
        <v>1900</v>
      </c>
      <c r="P4428" s="61">
        <f t="shared" si="350"/>
        <v>1</v>
      </c>
      <c r="R4428" s="272"/>
      <c r="S4428" s="272"/>
    </row>
    <row r="4429" spans="9:19">
      <c r="I4429" s="213"/>
      <c r="J4429" s="213"/>
      <c r="L4429" s="272">
        <f t="shared" si="347"/>
        <v>1900</v>
      </c>
      <c r="M4429" s="272">
        <f t="shared" si="348"/>
        <v>1</v>
      </c>
      <c r="O4429" s="61">
        <f t="shared" si="349"/>
        <v>1900</v>
      </c>
      <c r="P4429" s="61">
        <f t="shared" si="350"/>
        <v>1</v>
      </c>
      <c r="R4429" s="272"/>
      <c r="S4429" s="272"/>
    </row>
    <row r="4430" spans="9:19">
      <c r="I4430" s="213"/>
      <c r="J4430" s="213"/>
      <c r="L4430" s="272">
        <f t="shared" si="347"/>
        <v>1900</v>
      </c>
      <c r="M4430" s="272">
        <f t="shared" si="348"/>
        <v>1</v>
      </c>
      <c r="O4430" s="61">
        <f t="shared" si="349"/>
        <v>1900</v>
      </c>
      <c r="P4430" s="61">
        <f t="shared" si="350"/>
        <v>1</v>
      </c>
      <c r="R4430" s="272"/>
      <c r="S4430" s="272"/>
    </row>
    <row r="4431" spans="9:19">
      <c r="I4431" s="213"/>
      <c r="J4431" s="213"/>
      <c r="L4431" s="272">
        <f t="shared" si="347"/>
        <v>1900</v>
      </c>
      <c r="M4431" s="272">
        <f t="shared" si="348"/>
        <v>1</v>
      </c>
      <c r="O4431" s="61">
        <f t="shared" si="349"/>
        <v>1900</v>
      </c>
      <c r="P4431" s="61">
        <f t="shared" si="350"/>
        <v>1</v>
      </c>
      <c r="R4431" s="272"/>
      <c r="S4431" s="272"/>
    </row>
    <row r="4432" spans="9:19">
      <c r="I4432" s="213"/>
      <c r="J4432" s="213"/>
      <c r="L4432" s="272">
        <f t="shared" ref="L4432:L4495" si="351">YEAR(B4432)</f>
        <v>1900</v>
      </c>
      <c r="M4432" s="272">
        <f t="shared" ref="M4432:M4495" si="352">MONTH(B4432)</f>
        <v>1</v>
      </c>
      <c r="O4432" s="61">
        <f t="shared" ref="O4432:O4495" si="353">YEAR(B4432)</f>
        <v>1900</v>
      </c>
      <c r="P4432" s="61">
        <f t="shared" ref="P4432:P4495" si="354">MONTH(B4432)</f>
        <v>1</v>
      </c>
      <c r="R4432" s="272"/>
      <c r="S4432" s="272"/>
    </row>
    <row r="4433" spans="9:19">
      <c r="I4433" s="213"/>
      <c r="J4433" s="213"/>
      <c r="L4433" s="272">
        <f t="shared" si="351"/>
        <v>1900</v>
      </c>
      <c r="M4433" s="272">
        <f t="shared" si="352"/>
        <v>1</v>
      </c>
      <c r="O4433" s="61">
        <f t="shared" si="353"/>
        <v>1900</v>
      </c>
      <c r="P4433" s="61">
        <f t="shared" si="354"/>
        <v>1</v>
      </c>
      <c r="R4433" s="272"/>
      <c r="S4433" s="272"/>
    </row>
    <row r="4434" spans="9:19">
      <c r="I4434" s="213"/>
      <c r="J4434" s="213"/>
      <c r="L4434" s="272">
        <f t="shared" si="351"/>
        <v>1900</v>
      </c>
      <c r="M4434" s="272">
        <f t="shared" si="352"/>
        <v>1</v>
      </c>
      <c r="O4434" s="61">
        <f t="shared" si="353"/>
        <v>1900</v>
      </c>
      <c r="P4434" s="61">
        <f t="shared" si="354"/>
        <v>1</v>
      </c>
      <c r="R4434" s="272"/>
      <c r="S4434" s="272"/>
    </row>
    <row r="4435" spans="9:19">
      <c r="I4435" s="213"/>
      <c r="J4435" s="213"/>
      <c r="L4435" s="272">
        <f t="shared" si="351"/>
        <v>1900</v>
      </c>
      <c r="M4435" s="272">
        <f t="shared" si="352"/>
        <v>1</v>
      </c>
      <c r="O4435" s="61">
        <f t="shared" si="353"/>
        <v>1900</v>
      </c>
      <c r="P4435" s="61">
        <f t="shared" si="354"/>
        <v>1</v>
      </c>
      <c r="R4435" s="272"/>
      <c r="S4435" s="272"/>
    </row>
    <row r="4436" spans="9:19">
      <c r="I4436" s="213"/>
      <c r="J4436" s="213"/>
      <c r="L4436" s="272">
        <f t="shared" si="351"/>
        <v>1900</v>
      </c>
      <c r="M4436" s="272">
        <f t="shared" si="352"/>
        <v>1</v>
      </c>
      <c r="O4436" s="61">
        <f t="shared" si="353"/>
        <v>1900</v>
      </c>
      <c r="P4436" s="61">
        <f t="shared" si="354"/>
        <v>1</v>
      </c>
      <c r="R4436" s="272"/>
      <c r="S4436" s="272"/>
    </row>
    <row r="4437" spans="9:19">
      <c r="I4437" s="213"/>
      <c r="J4437" s="213"/>
      <c r="L4437" s="272">
        <f t="shared" si="351"/>
        <v>1900</v>
      </c>
      <c r="M4437" s="272">
        <f t="shared" si="352"/>
        <v>1</v>
      </c>
      <c r="O4437" s="61">
        <f t="shared" si="353"/>
        <v>1900</v>
      </c>
      <c r="P4437" s="61">
        <f t="shared" si="354"/>
        <v>1</v>
      </c>
      <c r="R4437" s="272"/>
      <c r="S4437" s="272"/>
    </row>
    <row r="4438" spans="9:19">
      <c r="I4438" s="213"/>
      <c r="J4438" s="213"/>
      <c r="L4438" s="272">
        <f t="shared" si="351"/>
        <v>1900</v>
      </c>
      <c r="M4438" s="272">
        <f t="shared" si="352"/>
        <v>1</v>
      </c>
      <c r="O4438" s="61">
        <f t="shared" si="353"/>
        <v>1900</v>
      </c>
      <c r="P4438" s="61">
        <f t="shared" si="354"/>
        <v>1</v>
      </c>
      <c r="R4438" s="272"/>
      <c r="S4438" s="272"/>
    </row>
    <row r="4439" spans="9:19">
      <c r="I4439" s="213"/>
      <c r="J4439" s="213"/>
      <c r="L4439" s="272">
        <f t="shared" si="351"/>
        <v>1900</v>
      </c>
      <c r="M4439" s="272">
        <f t="shared" si="352"/>
        <v>1</v>
      </c>
      <c r="O4439" s="61">
        <f t="shared" si="353"/>
        <v>1900</v>
      </c>
      <c r="P4439" s="61">
        <f t="shared" si="354"/>
        <v>1</v>
      </c>
      <c r="R4439" s="272"/>
      <c r="S4439" s="272"/>
    </row>
    <row r="4440" spans="9:19">
      <c r="I4440" s="213"/>
      <c r="J4440" s="213"/>
      <c r="L4440" s="272">
        <f t="shared" si="351"/>
        <v>1900</v>
      </c>
      <c r="M4440" s="272">
        <f t="shared" si="352"/>
        <v>1</v>
      </c>
      <c r="O4440" s="61">
        <f t="shared" si="353"/>
        <v>1900</v>
      </c>
      <c r="P4440" s="61">
        <f t="shared" si="354"/>
        <v>1</v>
      </c>
      <c r="R4440" s="272"/>
      <c r="S4440" s="272"/>
    </row>
    <row r="4441" spans="9:19">
      <c r="I4441" s="213"/>
      <c r="J4441" s="213"/>
      <c r="L4441" s="272">
        <f t="shared" si="351"/>
        <v>1900</v>
      </c>
      <c r="M4441" s="272">
        <f t="shared" si="352"/>
        <v>1</v>
      </c>
      <c r="O4441" s="61">
        <f t="shared" si="353"/>
        <v>1900</v>
      </c>
      <c r="P4441" s="61">
        <f t="shared" si="354"/>
        <v>1</v>
      </c>
      <c r="R4441" s="272"/>
      <c r="S4441" s="272"/>
    </row>
    <row r="4442" spans="9:19">
      <c r="I4442" s="213"/>
      <c r="J4442" s="213"/>
      <c r="L4442" s="272">
        <f t="shared" si="351"/>
        <v>1900</v>
      </c>
      <c r="M4442" s="272">
        <f t="shared" si="352"/>
        <v>1</v>
      </c>
      <c r="O4442" s="61">
        <f t="shared" si="353"/>
        <v>1900</v>
      </c>
      <c r="P4442" s="61">
        <f t="shared" si="354"/>
        <v>1</v>
      </c>
      <c r="R4442" s="272"/>
      <c r="S4442" s="272"/>
    </row>
    <row r="4443" spans="9:19">
      <c r="I4443" s="213"/>
      <c r="J4443" s="213"/>
      <c r="L4443" s="272">
        <f t="shared" si="351"/>
        <v>1900</v>
      </c>
      <c r="M4443" s="272">
        <f t="shared" si="352"/>
        <v>1</v>
      </c>
      <c r="O4443" s="61">
        <f t="shared" si="353"/>
        <v>1900</v>
      </c>
      <c r="P4443" s="61">
        <f t="shared" si="354"/>
        <v>1</v>
      </c>
      <c r="R4443" s="272"/>
      <c r="S4443" s="272"/>
    </row>
    <row r="4444" spans="9:19">
      <c r="I4444" s="213"/>
      <c r="J4444" s="213"/>
      <c r="L4444" s="272">
        <f t="shared" si="351"/>
        <v>1900</v>
      </c>
      <c r="M4444" s="272">
        <f t="shared" si="352"/>
        <v>1</v>
      </c>
      <c r="O4444" s="61">
        <f t="shared" si="353"/>
        <v>1900</v>
      </c>
      <c r="P4444" s="61">
        <f t="shared" si="354"/>
        <v>1</v>
      </c>
      <c r="R4444" s="272"/>
      <c r="S4444" s="272"/>
    </row>
    <row r="4445" spans="9:19">
      <c r="I4445" s="213"/>
      <c r="J4445" s="213"/>
      <c r="L4445" s="272">
        <f t="shared" si="351"/>
        <v>1900</v>
      </c>
      <c r="M4445" s="272">
        <f t="shared" si="352"/>
        <v>1</v>
      </c>
      <c r="O4445" s="61">
        <f t="shared" si="353"/>
        <v>1900</v>
      </c>
      <c r="P4445" s="61">
        <f t="shared" si="354"/>
        <v>1</v>
      </c>
      <c r="R4445" s="272"/>
      <c r="S4445" s="272"/>
    </row>
    <row r="4446" spans="9:19">
      <c r="I4446" s="213"/>
      <c r="J4446" s="213"/>
      <c r="L4446" s="272">
        <f t="shared" si="351"/>
        <v>1900</v>
      </c>
      <c r="M4446" s="272">
        <f t="shared" si="352"/>
        <v>1</v>
      </c>
      <c r="O4446" s="61">
        <f t="shared" si="353"/>
        <v>1900</v>
      </c>
      <c r="P4446" s="61">
        <f t="shared" si="354"/>
        <v>1</v>
      </c>
      <c r="R4446" s="272"/>
      <c r="S4446" s="272"/>
    </row>
    <row r="4447" spans="9:19">
      <c r="I4447" s="213"/>
      <c r="J4447" s="213"/>
      <c r="L4447" s="272">
        <f t="shared" si="351"/>
        <v>1900</v>
      </c>
      <c r="M4447" s="272">
        <f t="shared" si="352"/>
        <v>1</v>
      </c>
      <c r="O4447" s="61">
        <f t="shared" si="353"/>
        <v>1900</v>
      </c>
      <c r="P4447" s="61">
        <f t="shared" si="354"/>
        <v>1</v>
      </c>
      <c r="R4447" s="272"/>
      <c r="S4447" s="272"/>
    </row>
    <row r="4448" spans="9:19">
      <c r="I4448" s="213"/>
      <c r="J4448" s="213"/>
      <c r="L4448" s="272">
        <f t="shared" si="351"/>
        <v>1900</v>
      </c>
      <c r="M4448" s="272">
        <f t="shared" si="352"/>
        <v>1</v>
      </c>
      <c r="O4448" s="61">
        <f t="shared" si="353"/>
        <v>1900</v>
      </c>
      <c r="P4448" s="61">
        <f t="shared" si="354"/>
        <v>1</v>
      </c>
      <c r="R4448" s="272"/>
      <c r="S4448" s="272"/>
    </row>
    <row r="4449" spans="9:19">
      <c r="I4449" s="213"/>
      <c r="J4449" s="213"/>
      <c r="L4449" s="272">
        <f t="shared" si="351"/>
        <v>1900</v>
      </c>
      <c r="M4449" s="272">
        <f t="shared" si="352"/>
        <v>1</v>
      </c>
      <c r="O4449" s="61">
        <f t="shared" si="353"/>
        <v>1900</v>
      </c>
      <c r="P4449" s="61">
        <f t="shared" si="354"/>
        <v>1</v>
      </c>
      <c r="R4449" s="272"/>
      <c r="S4449" s="272"/>
    </row>
    <row r="4450" spans="9:19">
      <c r="I4450" s="213"/>
      <c r="J4450" s="213"/>
      <c r="L4450" s="272">
        <f t="shared" si="351"/>
        <v>1900</v>
      </c>
      <c r="M4450" s="272">
        <f t="shared" si="352"/>
        <v>1</v>
      </c>
      <c r="O4450" s="61">
        <f t="shared" si="353"/>
        <v>1900</v>
      </c>
      <c r="P4450" s="61">
        <f t="shared" si="354"/>
        <v>1</v>
      </c>
      <c r="R4450" s="272"/>
      <c r="S4450" s="272"/>
    </row>
    <row r="4451" spans="9:19">
      <c r="I4451" s="213"/>
      <c r="J4451" s="213"/>
      <c r="L4451" s="272">
        <f t="shared" si="351"/>
        <v>1900</v>
      </c>
      <c r="M4451" s="272">
        <f t="shared" si="352"/>
        <v>1</v>
      </c>
      <c r="O4451" s="61">
        <f t="shared" si="353"/>
        <v>1900</v>
      </c>
      <c r="P4451" s="61">
        <f t="shared" si="354"/>
        <v>1</v>
      </c>
      <c r="R4451" s="272"/>
      <c r="S4451" s="272"/>
    </row>
    <row r="4452" spans="9:19">
      <c r="I4452" s="213"/>
      <c r="J4452" s="213"/>
      <c r="L4452" s="272">
        <f t="shared" si="351"/>
        <v>1900</v>
      </c>
      <c r="M4452" s="272">
        <f t="shared" si="352"/>
        <v>1</v>
      </c>
      <c r="O4452" s="61">
        <f t="shared" si="353"/>
        <v>1900</v>
      </c>
      <c r="P4452" s="61">
        <f t="shared" si="354"/>
        <v>1</v>
      </c>
      <c r="R4452" s="272"/>
      <c r="S4452" s="272"/>
    </row>
    <row r="4453" spans="9:19">
      <c r="I4453" s="213"/>
      <c r="J4453" s="213"/>
      <c r="L4453" s="272">
        <f t="shared" si="351"/>
        <v>1900</v>
      </c>
      <c r="M4453" s="272">
        <f t="shared" si="352"/>
        <v>1</v>
      </c>
      <c r="O4453" s="61">
        <f t="shared" si="353"/>
        <v>1900</v>
      </c>
      <c r="P4453" s="61">
        <f t="shared" si="354"/>
        <v>1</v>
      </c>
      <c r="R4453" s="272"/>
      <c r="S4453" s="272"/>
    </row>
    <row r="4454" spans="9:19">
      <c r="I4454" s="213"/>
      <c r="J4454" s="213"/>
      <c r="L4454" s="272">
        <f t="shared" si="351"/>
        <v>1900</v>
      </c>
      <c r="M4454" s="272">
        <f t="shared" si="352"/>
        <v>1</v>
      </c>
      <c r="O4454" s="61">
        <f t="shared" si="353"/>
        <v>1900</v>
      </c>
      <c r="P4454" s="61">
        <f t="shared" si="354"/>
        <v>1</v>
      </c>
      <c r="R4454" s="272"/>
      <c r="S4454" s="272"/>
    </row>
    <row r="4455" spans="9:19">
      <c r="I4455" s="213"/>
      <c r="J4455" s="213"/>
      <c r="L4455" s="272">
        <f t="shared" si="351"/>
        <v>1900</v>
      </c>
      <c r="M4455" s="272">
        <f t="shared" si="352"/>
        <v>1</v>
      </c>
      <c r="O4455" s="61">
        <f t="shared" si="353"/>
        <v>1900</v>
      </c>
      <c r="P4455" s="61">
        <f t="shared" si="354"/>
        <v>1</v>
      </c>
      <c r="R4455" s="272"/>
      <c r="S4455" s="272"/>
    </row>
    <row r="4456" spans="9:19">
      <c r="I4456" s="213"/>
      <c r="J4456" s="213"/>
      <c r="L4456" s="272">
        <f t="shared" si="351"/>
        <v>1900</v>
      </c>
      <c r="M4456" s="272">
        <f t="shared" si="352"/>
        <v>1</v>
      </c>
      <c r="O4456" s="61">
        <f t="shared" si="353"/>
        <v>1900</v>
      </c>
      <c r="P4456" s="61">
        <f t="shared" si="354"/>
        <v>1</v>
      </c>
      <c r="R4456" s="272"/>
      <c r="S4456" s="272"/>
    </row>
    <row r="4457" spans="9:19">
      <c r="I4457" s="213"/>
      <c r="J4457" s="213"/>
      <c r="L4457" s="272">
        <f t="shared" si="351"/>
        <v>1900</v>
      </c>
      <c r="M4457" s="272">
        <f t="shared" si="352"/>
        <v>1</v>
      </c>
      <c r="O4457" s="61">
        <f t="shared" si="353"/>
        <v>1900</v>
      </c>
      <c r="P4457" s="61">
        <f t="shared" si="354"/>
        <v>1</v>
      </c>
      <c r="R4457" s="272"/>
      <c r="S4457" s="272"/>
    </row>
    <row r="4458" spans="9:19">
      <c r="I4458" s="213"/>
      <c r="J4458" s="213"/>
      <c r="L4458" s="272">
        <f t="shared" si="351"/>
        <v>1900</v>
      </c>
      <c r="M4458" s="272">
        <f t="shared" si="352"/>
        <v>1</v>
      </c>
      <c r="O4458" s="61">
        <f t="shared" si="353"/>
        <v>1900</v>
      </c>
      <c r="P4458" s="61">
        <f t="shared" si="354"/>
        <v>1</v>
      </c>
      <c r="R4458" s="272"/>
      <c r="S4458" s="272"/>
    </row>
    <row r="4459" spans="9:19">
      <c r="I4459" s="213"/>
      <c r="J4459" s="213"/>
      <c r="L4459" s="272">
        <f t="shared" si="351"/>
        <v>1900</v>
      </c>
      <c r="M4459" s="272">
        <f t="shared" si="352"/>
        <v>1</v>
      </c>
      <c r="O4459" s="61">
        <f t="shared" si="353"/>
        <v>1900</v>
      </c>
      <c r="P4459" s="61">
        <f t="shared" si="354"/>
        <v>1</v>
      </c>
      <c r="R4459" s="272"/>
      <c r="S4459" s="272"/>
    </row>
    <row r="4460" spans="9:19">
      <c r="I4460" s="213"/>
      <c r="J4460" s="213"/>
      <c r="L4460" s="272">
        <f t="shared" si="351"/>
        <v>1900</v>
      </c>
      <c r="M4460" s="272">
        <f t="shared" si="352"/>
        <v>1</v>
      </c>
      <c r="O4460" s="61">
        <f t="shared" si="353"/>
        <v>1900</v>
      </c>
      <c r="P4460" s="61">
        <f t="shared" si="354"/>
        <v>1</v>
      </c>
      <c r="R4460" s="272"/>
      <c r="S4460" s="272"/>
    </row>
    <row r="4461" spans="9:19">
      <c r="I4461" s="213"/>
      <c r="J4461" s="213"/>
      <c r="L4461" s="272">
        <f t="shared" si="351"/>
        <v>1900</v>
      </c>
      <c r="M4461" s="272">
        <f t="shared" si="352"/>
        <v>1</v>
      </c>
      <c r="O4461" s="61">
        <f t="shared" si="353"/>
        <v>1900</v>
      </c>
      <c r="P4461" s="61">
        <f t="shared" si="354"/>
        <v>1</v>
      </c>
      <c r="R4461" s="272"/>
      <c r="S4461" s="272"/>
    </row>
    <row r="4462" spans="9:19">
      <c r="I4462" s="213"/>
      <c r="J4462" s="213"/>
      <c r="L4462" s="272">
        <f t="shared" si="351"/>
        <v>1900</v>
      </c>
      <c r="M4462" s="272">
        <f t="shared" si="352"/>
        <v>1</v>
      </c>
      <c r="O4462" s="61">
        <f t="shared" si="353"/>
        <v>1900</v>
      </c>
      <c r="P4462" s="61">
        <f t="shared" si="354"/>
        <v>1</v>
      </c>
      <c r="R4462" s="272"/>
      <c r="S4462" s="272"/>
    </row>
    <row r="4463" spans="9:19">
      <c r="I4463" s="213"/>
      <c r="J4463" s="213"/>
      <c r="L4463" s="272">
        <f t="shared" si="351"/>
        <v>1900</v>
      </c>
      <c r="M4463" s="272">
        <f t="shared" si="352"/>
        <v>1</v>
      </c>
      <c r="O4463" s="61">
        <f t="shared" si="353"/>
        <v>1900</v>
      </c>
      <c r="P4463" s="61">
        <f t="shared" si="354"/>
        <v>1</v>
      </c>
      <c r="R4463" s="272"/>
      <c r="S4463" s="272"/>
    </row>
    <row r="4464" spans="9:19">
      <c r="I4464" s="213"/>
      <c r="J4464" s="213"/>
      <c r="L4464" s="272">
        <f t="shared" si="351"/>
        <v>1900</v>
      </c>
      <c r="M4464" s="272">
        <f t="shared" si="352"/>
        <v>1</v>
      </c>
      <c r="O4464" s="61">
        <f t="shared" si="353"/>
        <v>1900</v>
      </c>
      <c r="P4464" s="61">
        <f t="shared" si="354"/>
        <v>1</v>
      </c>
      <c r="R4464" s="272"/>
      <c r="S4464" s="272"/>
    </row>
    <row r="4465" spans="9:19">
      <c r="I4465" s="213"/>
      <c r="J4465" s="213"/>
      <c r="L4465" s="272">
        <f t="shared" si="351"/>
        <v>1900</v>
      </c>
      <c r="M4465" s="272">
        <f t="shared" si="352"/>
        <v>1</v>
      </c>
      <c r="O4465" s="61">
        <f t="shared" si="353"/>
        <v>1900</v>
      </c>
      <c r="P4465" s="61">
        <f t="shared" si="354"/>
        <v>1</v>
      </c>
      <c r="R4465" s="272"/>
      <c r="S4465" s="272"/>
    </row>
    <row r="4466" spans="9:19">
      <c r="I4466" s="213"/>
      <c r="J4466" s="213"/>
      <c r="L4466" s="272">
        <f t="shared" si="351"/>
        <v>1900</v>
      </c>
      <c r="M4466" s="272">
        <f t="shared" si="352"/>
        <v>1</v>
      </c>
      <c r="O4466" s="61">
        <f t="shared" si="353"/>
        <v>1900</v>
      </c>
      <c r="P4466" s="61">
        <f t="shared" si="354"/>
        <v>1</v>
      </c>
      <c r="R4466" s="272"/>
      <c r="S4466" s="272"/>
    </row>
    <row r="4467" spans="9:19">
      <c r="I4467" s="213"/>
      <c r="J4467" s="213"/>
      <c r="L4467" s="272">
        <f t="shared" si="351"/>
        <v>1900</v>
      </c>
      <c r="M4467" s="272">
        <f t="shared" si="352"/>
        <v>1</v>
      </c>
      <c r="O4467" s="61">
        <f t="shared" si="353"/>
        <v>1900</v>
      </c>
      <c r="P4467" s="61">
        <f t="shared" si="354"/>
        <v>1</v>
      </c>
      <c r="R4467" s="272"/>
      <c r="S4467" s="272"/>
    </row>
    <row r="4468" spans="9:19">
      <c r="I4468" s="213"/>
      <c r="J4468" s="213"/>
      <c r="L4468" s="272">
        <f t="shared" si="351"/>
        <v>1900</v>
      </c>
      <c r="M4468" s="272">
        <f t="shared" si="352"/>
        <v>1</v>
      </c>
      <c r="O4468" s="61">
        <f t="shared" si="353"/>
        <v>1900</v>
      </c>
      <c r="P4468" s="61">
        <f t="shared" si="354"/>
        <v>1</v>
      </c>
      <c r="R4468" s="272"/>
      <c r="S4468" s="272"/>
    </row>
    <row r="4469" spans="9:19">
      <c r="I4469" s="213"/>
      <c r="J4469" s="213"/>
      <c r="L4469" s="272">
        <f t="shared" si="351"/>
        <v>1900</v>
      </c>
      <c r="M4469" s="272">
        <f t="shared" si="352"/>
        <v>1</v>
      </c>
      <c r="O4469" s="61">
        <f t="shared" si="353"/>
        <v>1900</v>
      </c>
      <c r="P4469" s="61">
        <f t="shared" si="354"/>
        <v>1</v>
      </c>
      <c r="R4469" s="272"/>
      <c r="S4469" s="272"/>
    </row>
    <row r="4470" spans="9:19">
      <c r="I4470" s="213"/>
      <c r="J4470" s="213"/>
      <c r="L4470" s="272">
        <f t="shared" si="351"/>
        <v>1900</v>
      </c>
      <c r="M4470" s="272">
        <f t="shared" si="352"/>
        <v>1</v>
      </c>
      <c r="O4470" s="61">
        <f t="shared" si="353"/>
        <v>1900</v>
      </c>
      <c r="P4470" s="61">
        <f t="shared" si="354"/>
        <v>1</v>
      </c>
      <c r="R4470" s="272"/>
      <c r="S4470" s="272"/>
    </row>
    <row r="4471" spans="9:19">
      <c r="I4471" s="213"/>
      <c r="J4471" s="213"/>
      <c r="L4471" s="272">
        <f t="shared" si="351"/>
        <v>1900</v>
      </c>
      <c r="M4471" s="272">
        <f t="shared" si="352"/>
        <v>1</v>
      </c>
      <c r="O4471" s="61">
        <f t="shared" si="353"/>
        <v>1900</v>
      </c>
      <c r="P4471" s="61">
        <f t="shared" si="354"/>
        <v>1</v>
      </c>
      <c r="R4471" s="272"/>
      <c r="S4471" s="272"/>
    </row>
    <row r="4472" spans="9:19">
      <c r="I4472" s="213"/>
      <c r="J4472" s="213"/>
      <c r="L4472" s="272">
        <f t="shared" si="351"/>
        <v>1900</v>
      </c>
      <c r="M4472" s="272">
        <f t="shared" si="352"/>
        <v>1</v>
      </c>
      <c r="O4472" s="61">
        <f t="shared" si="353"/>
        <v>1900</v>
      </c>
      <c r="P4472" s="61">
        <f t="shared" si="354"/>
        <v>1</v>
      </c>
      <c r="R4472" s="272"/>
      <c r="S4472" s="272"/>
    </row>
    <row r="4473" spans="9:19">
      <c r="I4473" s="213"/>
      <c r="J4473" s="213"/>
      <c r="L4473" s="272">
        <f t="shared" si="351"/>
        <v>1900</v>
      </c>
      <c r="M4473" s="272">
        <f t="shared" si="352"/>
        <v>1</v>
      </c>
      <c r="O4473" s="61">
        <f t="shared" si="353"/>
        <v>1900</v>
      </c>
      <c r="P4473" s="61">
        <f t="shared" si="354"/>
        <v>1</v>
      </c>
      <c r="R4473" s="272"/>
      <c r="S4473" s="272"/>
    </row>
    <row r="4474" spans="9:19">
      <c r="I4474" s="213"/>
      <c r="J4474" s="213"/>
      <c r="L4474" s="272">
        <f t="shared" si="351"/>
        <v>1900</v>
      </c>
      <c r="M4474" s="272">
        <f t="shared" si="352"/>
        <v>1</v>
      </c>
      <c r="O4474" s="61">
        <f t="shared" si="353"/>
        <v>1900</v>
      </c>
      <c r="P4474" s="61">
        <f t="shared" si="354"/>
        <v>1</v>
      </c>
      <c r="R4474" s="272"/>
      <c r="S4474" s="272"/>
    </row>
    <row r="4475" spans="9:19">
      <c r="I4475" s="213"/>
      <c r="J4475" s="213"/>
      <c r="L4475" s="272">
        <f t="shared" si="351"/>
        <v>1900</v>
      </c>
      <c r="M4475" s="272">
        <f t="shared" si="352"/>
        <v>1</v>
      </c>
      <c r="O4475" s="61">
        <f t="shared" si="353"/>
        <v>1900</v>
      </c>
      <c r="P4475" s="61">
        <f t="shared" si="354"/>
        <v>1</v>
      </c>
      <c r="R4475" s="272"/>
      <c r="S4475" s="272"/>
    </row>
    <row r="4476" spans="9:19">
      <c r="I4476" s="213"/>
      <c r="J4476" s="213"/>
      <c r="L4476" s="272">
        <f t="shared" si="351"/>
        <v>1900</v>
      </c>
      <c r="M4476" s="272">
        <f t="shared" si="352"/>
        <v>1</v>
      </c>
      <c r="O4476" s="61">
        <f t="shared" si="353"/>
        <v>1900</v>
      </c>
      <c r="P4476" s="61">
        <f t="shared" si="354"/>
        <v>1</v>
      </c>
      <c r="R4476" s="272"/>
      <c r="S4476" s="272"/>
    </row>
    <row r="4477" spans="9:19">
      <c r="I4477" s="213"/>
      <c r="J4477" s="213"/>
      <c r="L4477" s="272">
        <f t="shared" si="351"/>
        <v>1900</v>
      </c>
      <c r="M4477" s="272">
        <f t="shared" si="352"/>
        <v>1</v>
      </c>
      <c r="O4477" s="61">
        <f t="shared" si="353"/>
        <v>1900</v>
      </c>
      <c r="P4477" s="61">
        <f t="shared" si="354"/>
        <v>1</v>
      </c>
      <c r="R4477" s="272"/>
      <c r="S4477" s="272"/>
    </row>
    <row r="4478" spans="9:19">
      <c r="I4478" s="213"/>
      <c r="J4478" s="213"/>
      <c r="L4478" s="272">
        <f t="shared" si="351"/>
        <v>1900</v>
      </c>
      <c r="M4478" s="272">
        <f t="shared" si="352"/>
        <v>1</v>
      </c>
      <c r="O4478" s="61">
        <f t="shared" si="353"/>
        <v>1900</v>
      </c>
      <c r="P4478" s="61">
        <f t="shared" si="354"/>
        <v>1</v>
      </c>
      <c r="R4478" s="272"/>
      <c r="S4478" s="272"/>
    </row>
    <row r="4479" spans="9:19">
      <c r="I4479" s="213"/>
      <c r="J4479" s="213"/>
      <c r="L4479" s="272">
        <f t="shared" si="351"/>
        <v>1900</v>
      </c>
      <c r="M4479" s="272">
        <f t="shared" si="352"/>
        <v>1</v>
      </c>
      <c r="O4479" s="61">
        <f t="shared" si="353"/>
        <v>1900</v>
      </c>
      <c r="P4479" s="61">
        <f t="shared" si="354"/>
        <v>1</v>
      </c>
      <c r="R4479" s="272"/>
      <c r="S4479" s="272"/>
    </row>
    <row r="4480" spans="9:19">
      <c r="I4480" s="213"/>
      <c r="J4480" s="213"/>
      <c r="L4480" s="272">
        <f t="shared" si="351"/>
        <v>1900</v>
      </c>
      <c r="M4480" s="272">
        <f t="shared" si="352"/>
        <v>1</v>
      </c>
      <c r="O4480" s="61">
        <f t="shared" si="353"/>
        <v>1900</v>
      </c>
      <c r="P4480" s="61">
        <f t="shared" si="354"/>
        <v>1</v>
      </c>
      <c r="R4480" s="272"/>
      <c r="S4480" s="272"/>
    </row>
    <row r="4481" spans="9:19">
      <c r="I4481" s="213"/>
      <c r="J4481" s="213"/>
      <c r="L4481" s="272">
        <f t="shared" si="351"/>
        <v>1900</v>
      </c>
      <c r="M4481" s="272">
        <f t="shared" si="352"/>
        <v>1</v>
      </c>
      <c r="O4481" s="61">
        <f t="shared" si="353"/>
        <v>1900</v>
      </c>
      <c r="P4481" s="61">
        <f t="shared" si="354"/>
        <v>1</v>
      </c>
      <c r="R4481" s="272"/>
      <c r="S4481" s="272"/>
    </row>
    <row r="4482" spans="9:19">
      <c r="I4482" s="213"/>
      <c r="J4482" s="213"/>
      <c r="L4482" s="272">
        <f t="shared" si="351"/>
        <v>1900</v>
      </c>
      <c r="M4482" s="272">
        <f t="shared" si="352"/>
        <v>1</v>
      </c>
      <c r="O4482" s="61">
        <f t="shared" si="353"/>
        <v>1900</v>
      </c>
      <c r="P4482" s="61">
        <f t="shared" si="354"/>
        <v>1</v>
      </c>
      <c r="R4482" s="272"/>
      <c r="S4482" s="272"/>
    </row>
    <row r="4483" spans="9:19">
      <c r="I4483" s="213"/>
      <c r="J4483" s="213"/>
      <c r="L4483" s="272">
        <f t="shared" si="351"/>
        <v>1900</v>
      </c>
      <c r="M4483" s="272">
        <f t="shared" si="352"/>
        <v>1</v>
      </c>
      <c r="O4483" s="61">
        <f t="shared" si="353"/>
        <v>1900</v>
      </c>
      <c r="P4483" s="61">
        <f t="shared" si="354"/>
        <v>1</v>
      </c>
      <c r="R4483" s="272"/>
      <c r="S4483" s="272"/>
    </row>
    <row r="4484" spans="9:19">
      <c r="I4484" s="213"/>
      <c r="J4484" s="213"/>
      <c r="L4484" s="272">
        <f t="shared" si="351"/>
        <v>1900</v>
      </c>
      <c r="M4484" s="272">
        <f t="shared" si="352"/>
        <v>1</v>
      </c>
      <c r="O4484" s="61">
        <f t="shared" si="353"/>
        <v>1900</v>
      </c>
      <c r="P4484" s="61">
        <f t="shared" si="354"/>
        <v>1</v>
      </c>
      <c r="R4484" s="272"/>
      <c r="S4484" s="272"/>
    </row>
    <row r="4485" spans="9:19">
      <c r="I4485" s="213"/>
      <c r="J4485" s="213"/>
      <c r="L4485" s="272">
        <f t="shared" si="351"/>
        <v>1900</v>
      </c>
      <c r="M4485" s="272">
        <f t="shared" si="352"/>
        <v>1</v>
      </c>
      <c r="O4485" s="61">
        <f t="shared" si="353"/>
        <v>1900</v>
      </c>
      <c r="P4485" s="61">
        <f t="shared" si="354"/>
        <v>1</v>
      </c>
      <c r="R4485" s="272"/>
      <c r="S4485" s="272"/>
    </row>
    <row r="4486" spans="9:19">
      <c r="I4486" s="213"/>
      <c r="J4486" s="213"/>
      <c r="L4486" s="272">
        <f t="shared" si="351"/>
        <v>1900</v>
      </c>
      <c r="M4486" s="272">
        <f t="shared" si="352"/>
        <v>1</v>
      </c>
      <c r="O4486" s="61">
        <f t="shared" si="353"/>
        <v>1900</v>
      </c>
      <c r="P4486" s="61">
        <f t="shared" si="354"/>
        <v>1</v>
      </c>
      <c r="R4486" s="272"/>
      <c r="S4486" s="272"/>
    </row>
    <row r="4487" spans="9:19">
      <c r="I4487" s="213"/>
      <c r="J4487" s="213"/>
      <c r="L4487" s="272">
        <f t="shared" si="351"/>
        <v>1900</v>
      </c>
      <c r="M4487" s="272">
        <f t="shared" si="352"/>
        <v>1</v>
      </c>
      <c r="O4487" s="61">
        <f t="shared" si="353"/>
        <v>1900</v>
      </c>
      <c r="P4487" s="61">
        <f t="shared" si="354"/>
        <v>1</v>
      </c>
      <c r="R4487" s="272"/>
      <c r="S4487" s="272"/>
    </row>
    <row r="4488" spans="9:19">
      <c r="I4488" s="213"/>
      <c r="J4488" s="213"/>
      <c r="L4488" s="272">
        <f t="shared" si="351"/>
        <v>1900</v>
      </c>
      <c r="M4488" s="272">
        <f t="shared" si="352"/>
        <v>1</v>
      </c>
      <c r="O4488" s="61">
        <f t="shared" si="353"/>
        <v>1900</v>
      </c>
      <c r="P4488" s="61">
        <f t="shared" si="354"/>
        <v>1</v>
      </c>
      <c r="R4488" s="272"/>
      <c r="S4488" s="272"/>
    </row>
    <row r="4489" spans="9:19">
      <c r="I4489" s="213"/>
      <c r="J4489" s="213"/>
      <c r="L4489" s="272">
        <f t="shared" si="351"/>
        <v>1900</v>
      </c>
      <c r="M4489" s="272">
        <f t="shared" si="352"/>
        <v>1</v>
      </c>
      <c r="O4489" s="61">
        <f t="shared" si="353"/>
        <v>1900</v>
      </c>
      <c r="P4489" s="61">
        <f t="shared" si="354"/>
        <v>1</v>
      </c>
      <c r="R4489" s="272"/>
      <c r="S4489" s="272"/>
    </row>
    <row r="4490" spans="9:19">
      <c r="I4490" s="213"/>
      <c r="J4490" s="213"/>
      <c r="L4490" s="272">
        <f t="shared" si="351"/>
        <v>1900</v>
      </c>
      <c r="M4490" s="272">
        <f t="shared" si="352"/>
        <v>1</v>
      </c>
      <c r="O4490" s="61">
        <f t="shared" si="353"/>
        <v>1900</v>
      </c>
      <c r="P4490" s="61">
        <f t="shared" si="354"/>
        <v>1</v>
      </c>
      <c r="R4490" s="272"/>
      <c r="S4490" s="272"/>
    </row>
    <row r="4491" spans="9:19">
      <c r="I4491" s="213"/>
      <c r="J4491" s="213"/>
      <c r="L4491" s="272">
        <f t="shared" si="351"/>
        <v>1900</v>
      </c>
      <c r="M4491" s="272">
        <f t="shared" si="352"/>
        <v>1</v>
      </c>
      <c r="O4491" s="61">
        <f t="shared" si="353"/>
        <v>1900</v>
      </c>
      <c r="P4491" s="61">
        <f t="shared" si="354"/>
        <v>1</v>
      </c>
      <c r="R4491" s="272"/>
      <c r="S4491" s="272"/>
    </row>
    <row r="4492" spans="9:19">
      <c r="I4492" s="213"/>
      <c r="J4492" s="213"/>
      <c r="L4492" s="272">
        <f t="shared" si="351"/>
        <v>1900</v>
      </c>
      <c r="M4492" s="272">
        <f t="shared" si="352"/>
        <v>1</v>
      </c>
      <c r="O4492" s="61">
        <f t="shared" si="353"/>
        <v>1900</v>
      </c>
      <c r="P4492" s="61">
        <f t="shared" si="354"/>
        <v>1</v>
      </c>
      <c r="R4492" s="272"/>
      <c r="S4492" s="272"/>
    </row>
    <row r="4493" spans="9:19">
      <c r="I4493" s="213"/>
      <c r="J4493" s="213"/>
      <c r="L4493" s="272">
        <f t="shared" si="351"/>
        <v>1900</v>
      </c>
      <c r="M4493" s="272">
        <f t="shared" si="352"/>
        <v>1</v>
      </c>
      <c r="O4493" s="61">
        <f t="shared" si="353"/>
        <v>1900</v>
      </c>
      <c r="P4493" s="61">
        <f t="shared" si="354"/>
        <v>1</v>
      </c>
      <c r="R4493" s="272"/>
      <c r="S4493" s="272"/>
    </row>
    <row r="4494" spans="9:19">
      <c r="I4494" s="213"/>
      <c r="J4494" s="213"/>
      <c r="L4494" s="272">
        <f t="shared" si="351"/>
        <v>1900</v>
      </c>
      <c r="M4494" s="272">
        <f t="shared" si="352"/>
        <v>1</v>
      </c>
      <c r="O4494" s="61">
        <f t="shared" si="353"/>
        <v>1900</v>
      </c>
      <c r="P4494" s="61">
        <f t="shared" si="354"/>
        <v>1</v>
      </c>
      <c r="R4494" s="272"/>
      <c r="S4494" s="272"/>
    </row>
    <row r="4495" spans="9:19">
      <c r="I4495" s="213"/>
      <c r="J4495" s="213"/>
      <c r="L4495" s="272">
        <f t="shared" si="351"/>
        <v>1900</v>
      </c>
      <c r="M4495" s="272">
        <f t="shared" si="352"/>
        <v>1</v>
      </c>
      <c r="O4495" s="61">
        <f t="shared" si="353"/>
        <v>1900</v>
      </c>
      <c r="P4495" s="61">
        <f t="shared" si="354"/>
        <v>1</v>
      </c>
      <c r="R4495" s="272"/>
      <c r="S4495" s="272"/>
    </row>
    <row r="4496" spans="9:19">
      <c r="I4496" s="213"/>
      <c r="J4496" s="213"/>
      <c r="L4496" s="272">
        <f t="shared" ref="L4496:L4559" si="355">YEAR(B4496)</f>
        <v>1900</v>
      </c>
      <c r="M4496" s="272">
        <f t="shared" ref="M4496:M4559" si="356">MONTH(B4496)</f>
        <v>1</v>
      </c>
      <c r="O4496" s="61">
        <f t="shared" ref="O4496:O4559" si="357">YEAR(B4496)</f>
        <v>1900</v>
      </c>
      <c r="P4496" s="61">
        <f t="shared" ref="P4496:P4559" si="358">MONTH(B4496)</f>
        <v>1</v>
      </c>
      <c r="R4496" s="272"/>
      <c r="S4496" s="272"/>
    </row>
    <row r="4497" spans="9:19">
      <c r="I4497" s="213"/>
      <c r="J4497" s="213"/>
      <c r="L4497" s="272">
        <f t="shared" si="355"/>
        <v>1900</v>
      </c>
      <c r="M4497" s="272">
        <f t="shared" si="356"/>
        <v>1</v>
      </c>
      <c r="O4497" s="61">
        <f t="shared" si="357"/>
        <v>1900</v>
      </c>
      <c r="P4497" s="61">
        <f t="shared" si="358"/>
        <v>1</v>
      </c>
      <c r="R4497" s="272"/>
      <c r="S4497" s="272"/>
    </row>
    <row r="4498" spans="9:19">
      <c r="I4498" s="213"/>
      <c r="J4498" s="213"/>
      <c r="L4498" s="272">
        <f t="shared" si="355"/>
        <v>1900</v>
      </c>
      <c r="M4498" s="272">
        <f t="shared" si="356"/>
        <v>1</v>
      </c>
      <c r="O4498" s="61">
        <f t="shared" si="357"/>
        <v>1900</v>
      </c>
      <c r="P4498" s="61">
        <f t="shared" si="358"/>
        <v>1</v>
      </c>
      <c r="R4498" s="272"/>
      <c r="S4498" s="272"/>
    </row>
    <row r="4499" spans="9:19">
      <c r="I4499" s="213"/>
      <c r="J4499" s="213"/>
      <c r="L4499" s="272">
        <f t="shared" si="355"/>
        <v>1900</v>
      </c>
      <c r="M4499" s="272">
        <f t="shared" si="356"/>
        <v>1</v>
      </c>
      <c r="O4499" s="61">
        <f t="shared" si="357"/>
        <v>1900</v>
      </c>
      <c r="P4499" s="61">
        <f t="shared" si="358"/>
        <v>1</v>
      </c>
      <c r="R4499" s="272"/>
      <c r="S4499" s="272"/>
    </row>
    <row r="4500" spans="9:19">
      <c r="I4500" s="213"/>
      <c r="J4500" s="213"/>
      <c r="L4500" s="272">
        <f t="shared" si="355"/>
        <v>1900</v>
      </c>
      <c r="M4500" s="272">
        <f t="shared" si="356"/>
        <v>1</v>
      </c>
      <c r="O4500" s="61">
        <f t="shared" si="357"/>
        <v>1900</v>
      </c>
      <c r="P4500" s="61">
        <f t="shared" si="358"/>
        <v>1</v>
      </c>
      <c r="R4500" s="272"/>
      <c r="S4500" s="272"/>
    </row>
    <row r="4501" spans="9:19">
      <c r="I4501" s="213"/>
      <c r="J4501" s="213"/>
      <c r="L4501" s="272">
        <f t="shared" si="355"/>
        <v>1900</v>
      </c>
      <c r="M4501" s="272">
        <f t="shared" si="356"/>
        <v>1</v>
      </c>
      <c r="O4501" s="61">
        <f t="shared" si="357"/>
        <v>1900</v>
      </c>
      <c r="P4501" s="61">
        <f t="shared" si="358"/>
        <v>1</v>
      </c>
      <c r="R4501" s="272"/>
      <c r="S4501" s="272"/>
    </row>
    <row r="4502" spans="9:19">
      <c r="I4502" s="213"/>
      <c r="J4502" s="213"/>
      <c r="L4502" s="272">
        <f t="shared" si="355"/>
        <v>1900</v>
      </c>
      <c r="M4502" s="272">
        <f t="shared" si="356"/>
        <v>1</v>
      </c>
      <c r="O4502" s="61">
        <f t="shared" si="357"/>
        <v>1900</v>
      </c>
      <c r="P4502" s="61">
        <f t="shared" si="358"/>
        <v>1</v>
      </c>
      <c r="R4502" s="272"/>
      <c r="S4502" s="272"/>
    </row>
    <row r="4503" spans="9:19">
      <c r="I4503" s="213"/>
      <c r="J4503" s="213"/>
      <c r="L4503" s="272">
        <f t="shared" si="355"/>
        <v>1900</v>
      </c>
      <c r="M4503" s="272">
        <f t="shared" si="356"/>
        <v>1</v>
      </c>
      <c r="O4503" s="61">
        <f t="shared" si="357"/>
        <v>1900</v>
      </c>
      <c r="P4503" s="61">
        <f t="shared" si="358"/>
        <v>1</v>
      </c>
      <c r="R4503" s="272"/>
      <c r="S4503" s="272"/>
    </row>
    <row r="4504" spans="9:19">
      <c r="I4504" s="213"/>
      <c r="J4504" s="213"/>
      <c r="L4504" s="272">
        <f t="shared" si="355"/>
        <v>1900</v>
      </c>
      <c r="M4504" s="272">
        <f t="shared" si="356"/>
        <v>1</v>
      </c>
      <c r="O4504" s="61">
        <f t="shared" si="357"/>
        <v>1900</v>
      </c>
      <c r="P4504" s="61">
        <f t="shared" si="358"/>
        <v>1</v>
      </c>
      <c r="R4504" s="272"/>
      <c r="S4504" s="272"/>
    </row>
    <row r="4505" spans="9:19">
      <c r="I4505" s="213"/>
      <c r="J4505" s="213"/>
      <c r="L4505" s="272">
        <f t="shared" si="355"/>
        <v>1900</v>
      </c>
      <c r="M4505" s="272">
        <f t="shared" si="356"/>
        <v>1</v>
      </c>
      <c r="O4505" s="61">
        <f t="shared" si="357"/>
        <v>1900</v>
      </c>
      <c r="P4505" s="61">
        <f t="shared" si="358"/>
        <v>1</v>
      </c>
      <c r="R4505" s="272"/>
      <c r="S4505" s="272"/>
    </row>
    <row r="4506" spans="9:19">
      <c r="I4506" s="213"/>
      <c r="J4506" s="213"/>
      <c r="L4506" s="272">
        <f t="shared" si="355"/>
        <v>1900</v>
      </c>
      <c r="M4506" s="272">
        <f t="shared" si="356"/>
        <v>1</v>
      </c>
      <c r="O4506" s="61">
        <f t="shared" si="357"/>
        <v>1900</v>
      </c>
      <c r="P4506" s="61">
        <f t="shared" si="358"/>
        <v>1</v>
      </c>
      <c r="R4506" s="272"/>
      <c r="S4506" s="272"/>
    </row>
    <row r="4507" spans="9:19">
      <c r="I4507" s="213"/>
      <c r="J4507" s="213"/>
      <c r="L4507" s="272">
        <f t="shared" si="355"/>
        <v>1900</v>
      </c>
      <c r="M4507" s="272">
        <f t="shared" si="356"/>
        <v>1</v>
      </c>
      <c r="O4507" s="61">
        <f t="shared" si="357"/>
        <v>1900</v>
      </c>
      <c r="P4507" s="61">
        <f t="shared" si="358"/>
        <v>1</v>
      </c>
      <c r="R4507" s="272"/>
      <c r="S4507" s="272"/>
    </row>
    <row r="4508" spans="9:19">
      <c r="I4508" s="213"/>
      <c r="J4508" s="213"/>
      <c r="L4508" s="272">
        <f t="shared" si="355"/>
        <v>1900</v>
      </c>
      <c r="M4508" s="272">
        <f t="shared" si="356"/>
        <v>1</v>
      </c>
      <c r="O4508" s="61">
        <f t="shared" si="357"/>
        <v>1900</v>
      </c>
      <c r="P4508" s="61">
        <f t="shared" si="358"/>
        <v>1</v>
      </c>
      <c r="R4508" s="272"/>
      <c r="S4508" s="272"/>
    </row>
    <row r="4509" spans="9:19">
      <c r="I4509" s="213"/>
      <c r="J4509" s="213"/>
      <c r="L4509" s="272">
        <f t="shared" si="355"/>
        <v>1900</v>
      </c>
      <c r="M4509" s="272">
        <f t="shared" si="356"/>
        <v>1</v>
      </c>
      <c r="O4509" s="61">
        <f t="shared" si="357"/>
        <v>1900</v>
      </c>
      <c r="P4509" s="61">
        <f t="shared" si="358"/>
        <v>1</v>
      </c>
      <c r="R4509" s="272"/>
      <c r="S4509" s="272"/>
    </row>
    <row r="4510" spans="9:19">
      <c r="I4510" s="213"/>
      <c r="J4510" s="213"/>
      <c r="L4510" s="272">
        <f t="shared" si="355"/>
        <v>1900</v>
      </c>
      <c r="M4510" s="272">
        <f t="shared" si="356"/>
        <v>1</v>
      </c>
      <c r="O4510" s="61">
        <f t="shared" si="357"/>
        <v>1900</v>
      </c>
      <c r="P4510" s="61">
        <f t="shared" si="358"/>
        <v>1</v>
      </c>
      <c r="R4510" s="272"/>
      <c r="S4510" s="272"/>
    </row>
    <row r="4511" spans="9:19">
      <c r="I4511" s="213"/>
      <c r="J4511" s="213"/>
      <c r="L4511" s="272">
        <f t="shared" si="355"/>
        <v>1900</v>
      </c>
      <c r="M4511" s="272">
        <f t="shared" si="356"/>
        <v>1</v>
      </c>
      <c r="O4511" s="61">
        <f t="shared" si="357"/>
        <v>1900</v>
      </c>
      <c r="P4511" s="61">
        <f t="shared" si="358"/>
        <v>1</v>
      </c>
      <c r="R4511" s="272"/>
      <c r="S4511" s="272"/>
    </row>
    <row r="4512" spans="9:19">
      <c r="I4512" s="213"/>
      <c r="J4512" s="213"/>
      <c r="L4512" s="272">
        <f t="shared" si="355"/>
        <v>1900</v>
      </c>
      <c r="M4512" s="272">
        <f t="shared" si="356"/>
        <v>1</v>
      </c>
      <c r="O4512" s="61">
        <f t="shared" si="357"/>
        <v>1900</v>
      </c>
      <c r="P4512" s="61">
        <f t="shared" si="358"/>
        <v>1</v>
      </c>
      <c r="R4512" s="272"/>
      <c r="S4512" s="272"/>
    </row>
    <row r="4513" spans="9:19">
      <c r="I4513" s="213"/>
      <c r="J4513" s="213"/>
      <c r="L4513" s="272">
        <f t="shared" si="355"/>
        <v>1900</v>
      </c>
      <c r="M4513" s="272">
        <f t="shared" si="356"/>
        <v>1</v>
      </c>
      <c r="O4513" s="61">
        <f t="shared" si="357"/>
        <v>1900</v>
      </c>
      <c r="P4513" s="61">
        <f t="shared" si="358"/>
        <v>1</v>
      </c>
      <c r="R4513" s="272"/>
      <c r="S4513" s="272"/>
    </row>
    <row r="4514" spans="9:19">
      <c r="I4514" s="213"/>
      <c r="J4514" s="213"/>
      <c r="L4514" s="272">
        <f t="shared" si="355"/>
        <v>1900</v>
      </c>
      <c r="M4514" s="272">
        <f t="shared" si="356"/>
        <v>1</v>
      </c>
      <c r="O4514" s="61">
        <f t="shared" si="357"/>
        <v>1900</v>
      </c>
      <c r="P4514" s="61">
        <f t="shared" si="358"/>
        <v>1</v>
      </c>
      <c r="R4514" s="272"/>
      <c r="S4514" s="272"/>
    </row>
    <row r="4515" spans="9:19">
      <c r="I4515" s="213"/>
      <c r="J4515" s="213"/>
      <c r="L4515" s="272">
        <f t="shared" si="355"/>
        <v>1900</v>
      </c>
      <c r="M4515" s="272">
        <f t="shared" si="356"/>
        <v>1</v>
      </c>
      <c r="O4515" s="61">
        <f t="shared" si="357"/>
        <v>1900</v>
      </c>
      <c r="P4515" s="61">
        <f t="shared" si="358"/>
        <v>1</v>
      </c>
      <c r="R4515" s="272"/>
      <c r="S4515" s="272"/>
    </row>
    <row r="4516" spans="9:19">
      <c r="I4516" s="213"/>
      <c r="J4516" s="213"/>
      <c r="L4516" s="272">
        <f t="shared" si="355"/>
        <v>1900</v>
      </c>
      <c r="M4516" s="272">
        <f t="shared" si="356"/>
        <v>1</v>
      </c>
      <c r="O4516" s="61">
        <f t="shared" si="357"/>
        <v>1900</v>
      </c>
      <c r="P4516" s="61">
        <f t="shared" si="358"/>
        <v>1</v>
      </c>
      <c r="R4516" s="272"/>
      <c r="S4516" s="272"/>
    </row>
    <row r="4517" spans="9:19">
      <c r="I4517" s="213"/>
      <c r="J4517" s="213"/>
      <c r="L4517" s="272">
        <f t="shared" si="355"/>
        <v>1900</v>
      </c>
      <c r="M4517" s="272">
        <f t="shared" si="356"/>
        <v>1</v>
      </c>
      <c r="O4517" s="61">
        <f t="shared" si="357"/>
        <v>1900</v>
      </c>
      <c r="P4517" s="61">
        <f t="shared" si="358"/>
        <v>1</v>
      </c>
      <c r="R4517" s="272"/>
      <c r="S4517" s="272"/>
    </row>
    <row r="4518" spans="9:19">
      <c r="I4518" s="213"/>
      <c r="J4518" s="213"/>
      <c r="L4518" s="272">
        <f t="shared" si="355"/>
        <v>1900</v>
      </c>
      <c r="M4518" s="272">
        <f t="shared" si="356"/>
        <v>1</v>
      </c>
      <c r="O4518" s="61">
        <f t="shared" si="357"/>
        <v>1900</v>
      </c>
      <c r="P4518" s="61">
        <f t="shared" si="358"/>
        <v>1</v>
      </c>
      <c r="R4518" s="272"/>
      <c r="S4518" s="272"/>
    </row>
    <row r="4519" spans="9:19">
      <c r="I4519" s="213"/>
      <c r="J4519" s="213"/>
      <c r="L4519" s="272">
        <f t="shared" si="355"/>
        <v>1900</v>
      </c>
      <c r="M4519" s="272">
        <f t="shared" si="356"/>
        <v>1</v>
      </c>
      <c r="O4519" s="61">
        <f t="shared" si="357"/>
        <v>1900</v>
      </c>
      <c r="P4519" s="61">
        <f t="shared" si="358"/>
        <v>1</v>
      </c>
      <c r="R4519" s="272"/>
      <c r="S4519" s="272"/>
    </row>
    <row r="4520" spans="9:19">
      <c r="I4520" s="213"/>
      <c r="J4520" s="213"/>
      <c r="L4520" s="272">
        <f t="shared" si="355"/>
        <v>1900</v>
      </c>
      <c r="M4520" s="272">
        <f t="shared" si="356"/>
        <v>1</v>
      </c>
      <c r="O4520" s="61">
        <f t="shared" si="357"/>
        <v>1900</v>
      </c>
      <c r="P4520" s="61">
        <f t="shared" si="358"/>
        <v>1</v>
      </c>
      <c r="R4520" s="272"/>
      <c r="S4520" s="272"/>
    </row>
    <row r="4521" spans="9:19">
      <c r="I4521" s="213"/>
      <c r="J4521" s="213"/>
      <c r="L4521" s="272">
        <f t="shared" si="355"/>
        <v>1900</v>
      </c>
      <c r="M4521" s="272">
        <f t="shared" si="356"/>
        <v>1</v>
      </c>
      <c r="O4521" s="61">
        <f t="shared" si="357"/>
        <v>1900</v>
      </c>
      <c r="P4521" s="61">
        <f t="shared" si="358"/>
        <v>1</v>
      </c>
      <c r="R4521" s="272"/>
      <c r="S4521" s="272"/>
    </row>
    <row r="4522" spans="9:19">
      <c r="I4522" s="213"/>
      <c r="J4522" s="213"/>
      <c r="L4522" s="272">
        <f t="shared" si="355"/>
        <v>1900</v>
      </c>
      <c r="M4522" s="272">
        <f t="shared" si="356"/>
        <v>1</v>
      </c>
      <c r="O4522" s="61">
        <f t="shared" si="357"/>
        <v>1900</v>
      </c>
      <c r="P4522" s="61">
        <f t="shared" si="358"/>
        <v>1</v>
      </c>
      <c r="R4522" s="272"/>
      <c r="S4522" s="272"/>
    </row>
    <row r="4523" spans="9:19">
      <c r="I4523" s="213"/>
      <c r="J4523" s="213"/>
      <c r="L4523" s="272">
        <f t="shared" si="355"/>
        <v>1900</v>
      </c>
      <c r="M4523" s="272">
        <f t="shared" si="356"/>
        <v>1</v>
      </c>
      <c r="O4523" s="61">
        <f t="shared" si="357"/>
        <v>1900</v>
      </c>
      <c r="P4523" s="61">
        <f t="shared" si="358"/>
        <v>1</v>
      </c>
      <c r="R4523" s="272"/>
      <c r="S4523" s="272"/>
    </row>
    <row r="4524" spans="9:19">
      <c r="I4524" s="213"/>
      <c r="J4524" s="213"/>
      <c r="L4524" s="272">
        <f t="shared" si="355"/>
        <v>1900</v>
      </c>
      <c r="M4524" s="272">
        <f t="shared" si="356"/>
        <v>1</v>
      </c>
      <c r="O4524" s="61">
        <f t="shared" si="357"/>
        <v>1900</v>
      </c>
      <c r="P4524" s="61">
        <f t="shared" si="358"/>
        <v>1</v>
      </c>
      <c r="R4524" s="272"/>
      <c r="S4524" s="272"/>
    </row>
    <row r="4525" spans="9:19">
      <c r="I4525" s="213"/>
      <c r="J4525" s="213"/>
      <c r="L4525" s="272">
        <f t="shared" si="355"/>
        <v>1900</v>
      </c>
      <c r="M4525" s="272">
        <f t="shared" si="356"/>
        <v>1</v>
      </c>
      <c r="O4525" s="61">
        <f t="shared" si="357"/>
        <v>1900</v>
      </c>
      <c r="P4525" s="61">
        <f t="shared" si="358"/>
        <v>1</v>
      </c>
      <c r="R4525" s="272"/>
      <c r="S4525" s="272"/>
    </row>
    <row r="4526" spans="9:19">
      <c r="I4526" s="213"/>
      <c r="J4526" s="213"/>
      <c r="L4526" s="272">
        <f t="shared" si="355"/>
        <v>1900</v>
      </c>
      <c r="M4526" s="272">
        <f t="shared" si="356"/>
        <v>1</v>
      </c>
      <c r="O4526" s="61">
        <f t="shared" si="357"/>
        <v>1900</v>
      </c>
      <c r="P4526" s="61">
        <f t="shared" si="358"/>
        <v>1</v>
      </c>
      <c r="R4526" s="272"/>
      <c r="S4526" s="272"/>
    </row>
    <row r="4527" spans="9:19">
      <c r="I4527" s="213"/>
      <c r="J4527" s="213"/>
      <c r="L4527" s="272">
        <f t="shared" si="355"/>
        <v>1900</v>
      </c>
      <c r="M4527" s="272">
        <f t="shared" si="356"/>
        <v>1</v>
      </c>
      <c r="O4527" s="61">
        <f t="shared" si="357"/>
        <v>1900</v>
      </c>
      <c r="P4527" s="61">
        <f t="shared" si="358"/>
        <v>1</v>
      </c>
      <c r="R4527" s="272"/>
      <c r="S4527" s="272"/>
    </row>
    <row r="4528" spans="9:19">
      <c r="I4528" s="213"/>
      <c r="J4528" s="213"/>
      <c r="L4528" s="272">
        <f t="shared" si="355"/>
        <v>1900</v>
      </c>
      <c r="M4528" s="272">
        <f t="shared" si="356"/>
        <v>1</v>
      </c>
      <c r="O4528" s="61">
        <f t="shared" si="357"/>
        <v>1900</v>
      </c>
      <c r="P4528" s="61">
        <f t="shared" si="358"/>
        <v>1</v>
      </c>
      <c r="R4528" s="272"/>
      <c r="S4528" s="272"/>
    </row>
    <row r="4529" spans="9:19">
      <c r="I4529" s="213"/>
      <c r="J4529" s="213"/>
      <c r="L4529" s="272">
        <f t="shared" si="355"/>
        <v>1900</v>
      </c>
      <c r="M4529" s="272">
        <f t="shared" si="356"/>
        <v>1</v>
      </c>
      <c r="O4529" s="61">
        <f t="shared" si="357"/>
        <v>1900</v>
      </c>
      <c r="P4529" s="61">
        <f t="shared" si="358"/>
        <v>1</v>
      </c>
      <c r="R4529" s="272"/>
      <c r="S4529" s="272"/>
    </row>
    <row r="4530" spans="9:19">
      <c r="I4530" s="213"/>
      <c r="J4530" s="213"/>
      <c r="L4530" s="272">
        <f t="shared" si="355"/>
        <v>1900</v>
      </c>
      <c r="M4530" s="272">
        <f t="shared" si="356"/>
        <v>1</v>
      </c>
      <c r="O4530" s="61">
        <f t="shared" si="357"/>
        <v>1900</v>
      </c>
      <c r="P4530" s="61">
        <f t="shared" si="358"/>
        <v>1</v>
      </c>
      <c r="R4530" s="272"/>
      <c r="S4530" s="272"/>
    </row>
    <row r="4531" spans="9:19">
      <c r="I4531" s="213"/>
      <c r="J4531" s="213"/>
      <c r="L4531" s="272">
        <f t="shared" si="355"/>
        <v>1900</v>
      </c>
      <c r="M4531" s="272">
        <f t="shared" si="356"/>
        <v>1</v>
      </c>
      <c r="O4531" s="61">
        <f t="shared" si="357"/>
        <v>1900</v>
      </c>
      <c r="P4531" s="61">
        <f t="shared" si="358"/>
        <v>1</v>
      </c>
      <c r="R4531" s="272"/>
      <c r="S4531" s="272"/>
    </row>
    <row r="4532" spans="9:19">
      <c r="I4532" s="213"/>
      <c r="J4532" s="213"/>
      <c r="L4532" s="272">
        <f t="shared" si="355"/>
        <v>1900</v>
      </c>
      <c r="M4532" s="272">
        <f t="shared" si="356"/>
        <v>1</v>
      </c>
      <c r="O4532" s="61">
        <f t="shared" si="357"/>
        <v>1900</v>
      </c>
      <c r="P4532" s="61">
        <f t="shared" si="358"/>
        <v>1</v>
      </c>
      <c r="R4532" s="272"/>
      <c r="S4532" s="272"/>
    </row>
    <row r="4533" spans="9:19">
      <c r="I4533" s="213"/>
      <c r="J4533" s="213"/>
      <c r="L4533" s="272">
        <f t="shared" si="355"/>
        <v>1900</v>
      </c>
      <c r="M4533" s="272">
        <f t="shared" si="356"/>
        <v>1</v>
      </c>
      <c r="O4533" s="61">
        <f t="shared" si="357"/>
        <v>1900</v>
      </c>
      <c r="P4533" s="61">
        <f t="shared" si="358"/>
        <v>1</v>
      </c>
      <c r="R4533" s="272"/>
      <c r="S4533" s="272"/>
    </row>
    <row r="4534" spans="9:19">
      <c r="I4534" s="213"/>
      <c r="J4534" s="213"/>
      <c r="L4534" s="272">
        <f t="shared" si="355"/>
        <v>1900</v>
      </c>
      <c r="M4534" s="272">
        <f t="shared" si="356"/>
        <v>1</v>
      </c>
      <c r="O4534" s="61">
        <f t="shared" si="357"/>
        <v>1900</v>
      </c>
      <c r="P4534" s="61">
        <f t="shared" si="358"/>
        <v>1</v>
      </c>
      <c r="R4534" s="272"/>
      <c r="S4534" s="272"/>
    </row>
    <row r="4535" spans="9:19">
      <c r="I4535" s="213"/>
      <c r="J4535" s="213"/>
      <c r="L4535" s="272">
        <f t="shared" si="355"/>
        <v>1900</v>
      </c>
      <c r="M4535" s="272">
        <f t="shared" si="356"/>
        <v>1</v>
      </c>
      <c r="O4535" s="61">
        <f t="shared" si="357"/>
        <v>1900</v>
      </c>
      <c r="P4535" s="61">
        <f t="shared" si="358"/>
        <v>1</v>
      </c>
      <c r="R4535" s="272"/>
      <c r="S4535" s="272"/>
    </row>
    <row r="4536" spans="9:19">
      <c r="I4536" s="213"/>
      <c r="J4536" s="213"/>
      <c r="L4536" s="272">
        <f t="shared" si="355"/>
        <v>1900</v>
      </c>
      <c r="M4536" s="272">
        <f t="shared" si="356"/>
        <v>1</v>
      </c>
      <c r="O4536" s="61">
        <f t="shared" si="357"/>
        <v>1900</v>
      </c>
      <c r="P4536" s="61">
        <f t="shared" si="358"/>
        <v>1</v>
      </c>
      <c r="R4536" s="272"/>
      <c r="S4536" s="272"/>
    </row>
    <row r="4537" spans="9:19">
      <c r="I4537" s="213"/>
      <c r="J4537" s="213"/>
      <c r="L4537" s="272">
        <f t="shared" si="355"/>
        <v>1900</v>
      </c>
      <c r="M4537" s="272">
        <f t="shared" si="356"/>
        <v>1</v>
      </c>
      <c r="O4537" s="61">
        <f t="shared" si="357"/>
        <v>1900</v>
      </c>
      <c r="P4537" s="61">
        <f t="shared" si="358"/>
        <v>1</v>
      </c>
      <c r="R4537" s="272"/>
      <c r="S4537" s="272"/>
    </row>
    <row r="4538" spans="9:19">
      <c r="I4538" s="213"/>
      <c r="J4538" s="213"/>
      <c r="L4538" s="272">
        <f t="shared" si="355"/>
        <v>1900</v>
      </c>
      <c r="M4538" s="272">
        <f t="shared" si="356"/>
        <v>1</v>
      </c>
      <c r="O4538" s="61">
        <f t="shared" si="357"/>
        <v>1900</v>
      </c>
      <c r="P4538" s="61">
        <f t="shared" si="358"/>
        <v>1</v>
      </c>
      <c r="R4538" s="272"/>
      <c r="S4538" s="272"/>
    </row>
    <row r="4539" spans="9:19">
      <c r="I4539" s="213"/>
      <c r="J4539" s="213"/>
      <c r="L4539" s="272">
        <f t="shared" si="355"/>
        <v>1900</v>
      </c>
      <c r="M4539" s="272">
        <f t="shared" si="356"/>
        <v>1</v>
      </c>
      <c r="O4539" s="61">
        <f t="shared" si="357"/>
        <v>1900</v>
      </c>
      <c r="P4539" s="61">
        <f t="shared" si="358"/>
        <v>1</v>
      </c>
      <c r="R4539" s="272"/>
      <c r="S4539" s="272"/>
    </row>
    <row r="4540" spans="9:19">
      <c r="I4540" s="213"/>
      <c r="J4540" s="213"/>
      <c r="L4540" s="272">
        <f t="shared" si="355"/>
        <v>1900</v>
      </c>
      <c r="M4540" s="272">
        <f t="shared" si="356"/>
        <v>1</v>
      </c>
      <c r="O4540" s="61">
        <f t="shared" si="357"/>
        <v>1900</v>
      </c>
      <c r="P4540" s="61">
        <f t="shared" si="358"/>
        <v>1</v>
      </c>
      <c r="R4540" s="272"/>
      <c r="S4540" s="272"/>
    </row>
    <row r="4541" spans="9:19">
      <c r="I4541" s="213"/>
      <c r="J4541" s="213"/>
      <c r="L4541" s="272">
        <f t="shared" si="355"/>
        <v>1900</v>
      </c>
      <c r="M4541" s="272">
        <f t="shared" si="356"/>
        <v>1</v>
      </c>
      <c r="O4541" s="61">
        <f t="shared" si="357"/>
        <v>1900</v>
      </c>
      <c r="P4541" s="61">
        <f t="shared" si="358"/>
        <v>1</v>
      </c>
      <c r="R4541" s="272"/>
      <c r="S4541" s="272"/>
    </row>
    <row r="4542" spans="9:19">
      <c r="I4542" s="213"/>
      <c r="J4542" s="213"/>
      <c r="L4542" s="272">
        <f t="shared" si="355"/>
        <v>1900</v>
      </c>
      <c r="M4542" s="272">
        <f t="shared" si="356"/>
        <v>1</v>
      </c>
      <c r="O4542" s="61">
        <f t="shared" si="357"/>
        <v>1900</v>
      </c>
      <c r="P4542" s="61">
        <f t="shared" si="358"/>
        <v>1</v>
      </c>
      <c r="R4542" s="272"/>
      <c r="S4542" s="272"/>
    </row>
    <row r="4543" spans="9:19">
      <c r="I4543" s="213"/>
      <c r="J4543" s="213"/>
      <c r="L4543" s="272">
        <f t="shared" si="355"/>
        <v>1900</v>
      </c>
      <c r="M4543" s="272">
        <f t="shared" si="356"/>
        <v>1</v>
      </c>
      <c r="O4543" s="61">
        <f t="shared" si="357"/>
        <v>1900</v>
      </c>
      <c r="P4543" s="61">
        <f t="shared" si="358"/>
        <v>1</v>
      </c>
      <c r="R4543" s="272"/>
      <c r="S4543" s="272"/>
    </row>
    <row r="4544" spans="9:19">
      <c r="I4544" s="213"/>
      <c r="J4544" s="213"/>
      <c r="L4544" s="272">
        <f t="shared" si="355"/>
        <v>1900</v>
      </c>
      <c r="M4544" s="272">
        <f t="shared" si="356"/>
        <v>1</v>
      </c>
      <c r="O4544" s="61">
        <f t="shared" si="357"/>
        <v>1900</v>
      </c>
      <c r="P4544" s="61">
        <f t="shared" si="358"/>
        <v>1</v>
      </c>
      <c r="R4544" s="272"/>
      <c r="S4544" s="272"/>
    </row>
    <row r="4545" spans="9:19">
      <c r="I4545" s="213"/>
      <c r="J4545" s="213"/>
      <c r="L4545" s="272">
        <f t="shared" si="355"/>
        <v>1900</v>
      </c>
      <c r="M4545" s="272">
        <f t="shared" si="356"/>
        <v>1</v>
      </c>
      <c r="O4545" s="61">
        <f t="shared" si="357"/>
        <v>1900</v>
      </c>
      <c r="P4545" s="61">
        <f t="shared" si="358"/>
        <v>1</v>
      </c>
      <c r="R4545" s="272"/>
      <c r="S4545" s="272"/>
    </row>
    <row r="4546" spans="9:19">
      <c r="I4546" s="213"/>
      <c r="J4546" s="213"/>
      <c r="L4546" s="272">
        <f t="shared" si="355"/>
        <v>1900</v>
      </c>
      <c r="M4546" s="272">
        <f t="shared" si="356"/>
        <v>1</v>
      </c>
      <c r="O4546" s="61">
        <f t="shared" si="357"/>
        <v>1900</v>
      </c>
      <c r="P4546" s="61">
        <f t="shared" si="358"/>
        <v>1</v>
      </c>
      <c r="R4546" s="272"/>
      <c r="S4546" s="272"/>
    </row>
    <row r="4547" spans="9:19">
      <c r="I4547" s="213"/>
      <c r="J4547" s="213"/>
      <c r="L4547" s="272">
        <f t="shared" si="355"/>
        <v>1900</v>
      </c>
      <c r="M4547" s="272">
        <f t="shared" si="356"/>
        <v>1</v>
      </c>
      <c r="O4547" s="61">
        <f t="shared" si="357"/>
        <v>1900</v>
      </c>
      <c r="P4547" s="61">
        <f t="shared" si="358"/>
        <v>1</v>
      </c>
      <c r="R4547" s="272"/>
      <c r="S4547" s="272"/>
    </row>
    <row r="4548" spans="9:19">
      <c r="I4548" s="213"/>
      <c r="J4548" s="213"/>
      <c r="L4548" s="272">
        <f t="shared" si="355"/>
        <v>1900</v>
      </c>
      <c r="M4548" s="272">
        <f t="shared" si="356"/>
        <v>1</v>
      </c>
      <c r="O4548" s="61">
        <f t="shared" si="357"/>
        <v>1900</v>
      </c>
      <c r="P4548" s="61">
        <f t="shared" si="358"/>
        <v>1</v>
      </c>
      <c r="R4548" s="272"/>
      <c r="S4548" s="272"/>
    </row>
    <row r="4549" spans="9:19">
      <c r="I4549" s="213"/>
      <c r="J4549" s="213"/>
      <c r="L4549" s="272">
        <f t="shared" si="355"/>
        <v>1900</v>
      </c>
      <c r="M4549" s="272">
        <f t="shared" si="356"/>
        <v>1</v>
      </c>
      <c r="O4549" s="61">
        <f t="shared" si="357"/>
        <v>1900</v>
      </c>
      <c r="P4549" s="61">
        <f t="shared" si="358"/>
        <v>1</v>
      </c>
      <c r="R4549" s="272"/>
      <c r="S4549" s="272"/>
    </row>
    <row r="4550" spans="9:19">
      <c r="I4550" s="213"/>
      <c r="J4550" s="213"/>
      <c r="L4550" s="272">
        <f t="shared" si="355"/>
        <v>1900</v>
      </c>
      <c r="M4550" s="272">
        <f t="shared" si="356"/>
        <v>1</v>
      </c>
      <c r="O4550" s="61">
        <f t="shared" si="357"/>
        <v>1900</v>
      </c>
      <c r="P4550" s="61">
        <f t="shared" si="358"/>
        <v>1</v>
      </c>
      <c r="R4550" s="272"/>
      <c r="S4550" s="272"/>
    </row>
    <row r="4551" spans="9:19">
      <c r="I4551" s="213"/>
      <c r="J4551" s="213"/>
      <c r="L4551" s="272">
        <f t="shared" si="355"/>
        <v>1900</v>
      </c>
      <c r="M4551" s="272">
        <f t="shared" si="356"/>
        <v>1</v>
      </c>
      <c r="O4551" s="61">
        <f t="shared" si="357"/>
        <v>1900</v>
      </c>
      <c r="P4551" s="61">
        <f t="shared" si="358"/>
        <v>1</v>
      </c>
      <c r="R4551" s="272"/>
      <c r="S4551" s="272"/>
    </row>
    <row r="4552" spans="9:19">
      <c r="I4552" s="213"/>
      <c r="J4552" s="213"/>
      <c r="L4552" s="272">
        <f t="shared" si="355"/>
        <v>1900</v>
      </c>
      <c r="M4552" s="272">
        <f t="shared" si="356"/>
        <v>1</v>
      </c>
      <c r="O4552" s="61">
        <f t="shared" si="357"/>
        <v>1900</v>
      </c>
      <c r="P4552" s="61">
        <f t="shared" si="358"/>
        <v>1</v>
      </c>
      <c r="R4552" s="272"/>
      <c r="S4552" s="272"/>
    </row>
    <row r="4553" spans="9:19">
      <c r="I4553" s="213"/>
      <c r="J4553" s="213"/>
      <c r="L4553" s="272">
        <f t="shared" si="355"/>
        <v>1900</v>
      </c>
      <c r="M4553" s="272">
        <f t="shared" si="356"/>
        <v>1</v>
      </c>
      <c r="O4553" s="61">
        <f t="shared" si="357"/>
        <v>1900</v>
      </c>
      <c r="P4553" s="61">
        <f t="shared" si="358"/>
        <v>1</v>
      </c>
      <c r="R4553" s="272"/>
      <c r="S4553" s="272"/>
    </row>
    <row r="4554" spans="9:19">
      <c r="I4554" s="213"/>
      <c r="J4554" s="213"/>
      <c r="L4554" s="272">
        <f t="shared" si="355"/>
        <v>1900</v>
      </c>
      <c r="M4554" s="272">
        <f t="shared" si="356"/>
        <v>1</v>
      </c>
      <c r="O4554" s="61">
        <f t="shared" si="357"/>
        <v>1900</v>
      </c>
      <c r="P4554" s="61">
        <f t="shared" si="358"/>
        <v>1</v>
      </c>
      <c r="R4554" s="272"/>
      <c r="S4554" s="272"/>
    </row>
    <row r="4555" spans="9:19">
      <c r="I4555" s="213"/>
      <c r="J4555" s="213"/>
      <c r="L4555" s="272">
        <f t="shared" si="355"/>
        <v>1900</v>
      </c>
      <c r="M4555" s="272">
        <f t="shared" si="356"/>
        <v>1</v>
      </c>
      <c r="O4555" s="61">
        <f t="shared" si="357"/>
        <v>1900</v>
      </c>
      <c r="P4555" s="61">
        <f t="shared" si="358"/>
        <v>1</v>
      </c>
      <c r="R4555" s="272"/>
      <c r="S4555" s="272"/>
    </row>
    <row r="4556" spans="9:19">
      <c r="I4556" s="213"/>
      <c r="J4556" s="213"/>
      <c r="L4556" s="272">
        <f t="shared" si="355"/>
        <v>1900</v>
      </c>
      <c r="M4556" s="272">
        <f t="shared" si="356"/>
        <v>1</v>
      </c>
      <c r="O4556" s="61">
        <f t="shared" si="357"/>
        <v>1900</v>
      </c>
      <c r="P4556" s="61">
        <f t="shared" si="358"/>
        <v>1</v>
      </c>
      <c r="R4556" s="272"/>
      <c r="S4556" s="272"/>
    </row>
    <row r="4557" spans="9:19">
      <c r="I4557" s="213"/>
      <c r="J4557" s="213"/>
      <c r="L4557" s="272">
        <f t="shared" si="355"/>
        <v>1900</v>
      </c>
      <c r="M4557" s="272">
        <f t="shared" si="356"/>
        <v>1</v>
      </c>
      <c r="O4557" s="61">
        <f t="shared" si="357"/>
        <v>1900</v>
      </c>
      <c r="P4557" s="61">
        <f t="shared" si="358"/>
        <v>1</v>
      </c>
      <c r="R4557" s="272"/>
      <c r="S4557" s="272"/>
    </row>
    <row r="4558" spans="9:19">
      <c r="I4558" s="213"/>
      <c r="J4558" s="213"/>
      <c r="L4558" s="272">
        <f t="shared" si="355"/>
        <v>1900</v>
      </c>
      <c r="M4558" s="272">
        <f t="shared" si="356"/>
        <v>1</v>
      </c>
      <c r="O4558" s="61">
        <f t="shared" si="357"/>
        <v>1900</v>
      </c>
      <c r="P4558" s="61">
        <f t="shared" si="358"/>
        <v>1</v>
      </c>
      <c r="R4558" s="272"/>
      <c r="S4558" s="272"/>
    </row>
    <row r="4559" spans="9:19">
      <c r="I4559" s="213"/>
      <c r="J4559" s="213"/>
      <c r="L4559" s="272">
        <f t="shared" si="355"/>
        <v>1900</v>
      </c>
      <c r="M4559" s="272">
        <f t="shared" si="356"/>
        <v>1</v>
      </c>
      <c r="O4559" s="61">
        <f t="shared" si="357"/>
        <v>1900</v>
      </c>
      <c r="P4559" s="61">
        <f t="shared" si="358"/>
        <v>1</v>
      </c>
      <c r="R4559" s="272"/>
      <c r="S4559" s="272"/>
    </row>
    <row r="4560" spans="9:19">
      <c r="I4560" s="213"/>
      <c r="J4560" s="213"/>
      <c r="L4560" s="272">
        <f t="shared" ref="L4560:L4623" si="359">YEAR(B4560)</f>
        <v>1900</v>
      </c>
      <c r="M4560" s="272">
        <f t="shared" ref="M4560:M4623" si="360">MONTH(B4560)</f>
        <v>1</v>
      </c>
      <c r="O4560" s="61">
        <f t="shared" ref="O4560:O4623" si="361">YEAR(B4560)</f>
        <v>1900</v>
      </c>
      <c r="P4560" s="61">
        <f t="shared" ref="P4560:P4623" si="362">MONTH(B4560)</f>
        <v>1</v>
      </c>
      <c r="R4560" s="272"/>
      <c r="S4560" s="272"/>
    </row>
    <row r="4561" spans="9:19">
      <c r="I4561" s="213"/>
      <c r="J4561" s="213"/>
      <c r="L4561" s="272">
        <f t="shared" si="359"/>
        <v>1900</v>
      </c>
      <c r="M4561" s="272">
        <f t="shared" si="360"/>
        <v>1</v>
      </c>
      <c r="O4561" s="61">
        <f t="shared" si="361"/>
        <v>1900</v>
      </c>
      <c r="P4561" s="61">
        <f t="shared" si="362"/>
        <v>1</v>
      </c>
      <c r="R4561" s="272"/>
      <c r="S4561" s="272"/>
    </row>
    <row r="4562" spans="9:19">
      <c r="I4562" s="213"/>
      <c r="J4562" s="213"/>
      <c r="L4562" s="272">
        <f t="shared" si="359"/>
        <v>1900</v>
      </c>
      <c r="M4562" s="272">
        <f t="shared" si="360"/>
        <v>1</v>
      </c>
      <c r="O4562" s="61">
        <f t="shared" si="361"/>
        <v>1900</v>
      </c>
      <c r="P4562" s="61">
        <f t="shared" si="362"/>
        <v>1</v>
      </c>
      <c r="R4562" s="272"/>
      <c r="S4562" s="272"/>
    </row>
    <row r="4563" spans="9:19">
      <c r="I4563" s="213"/>
      <c r="J4563" s="213"/>
      <c r="L4563" s="272">
        <f t="shared" si="359"/>
        <v>1900</v>
      </c>
      <c r="M4563" s="272">
        <f t="shared" si="360"/>
        <v>1</v>
      </c>
      <c r="O4563" s="61">
        <f t="shared" si="361"/>
        <v>1900</v>
      </c>
      <c r="P4563" s="61">
        <f t="shared" si="362"/>
        <v>1</v>
      </c>
      <c r="R4563" s="272"/>
      <c r="S4563" s="272"/>
    </row>
    <row r="4564" spans="9:19">
      <c r="I4564" s="213"/>
      <c r="J4564" s="213"/>
      <c r="L4564" s="272">
        <f t="shared" si="359"/>
        <v>1900</v>
      </c>
      <c r="M4564" s="272">
        <f t="shared" si="360"/>
        <v>1</v>
      </c>
      <c r="O4564" s="61">
        <f t="shared" si="361"/>
        <v>1900</v>
      </c>
      <c r="P4564" s="61">
        <f t="shared" si="362"/>
        <v>1</v>
      </c>
      <c r="R4564" s="272"/>
      <c r="S4564" s="272"/>
    </row>
    <row r="4565" spans="9:19">
      <c r="I4565" s="213"/>
      <c r="J4565" s="213"/>
      <c r="L4565" s="272">
        <f t="shared" si="359"/>
        <v>1900</v>
      </c>
      <c r="M4565" s="272">
        <f t="shared" si="360"/>
        <v>1</v>
      </c>
      <c r="O4565" s="61">
        <f t="shared" si="361"/>
        <v>1900</v>
      </c>
      <c r="P4565" s="61">
        <f t="shared" si="362"/>
        <v>1</v>
      </c>
      <c r="R4565" s="272"/>
      <c r="S4565" s="272"/>
    </row>
    <row r="4566" spans="9:19">
      <c r="I4566" s="213"/>
      <c r="J4566" s="213"/>
      <c r="L4566" s="272">
        <f t="shared" si="359"/>
        <v>1900</v>
      </c>
      <c r="M4566" s="272">
        <f t="shared" si="360"/>
        <v>1</v>
      </c>
      <c r="O4566" s="61">
        <f t="shared" si="361"/>
        <v>1900</v>
      </c>
      <c r="P4566" s="61">
        <f t="shared" si="362"/>
        <v>1</v>
      </c>
      <c r="R4566" s="272"/>
      <c r="S4566" s="272"/>
    </row>
    <row r="4567" spans="9:19">
      <c r="I4567" s="213"/>
      <c r="J4567" s="213"/>
      <c r="L4567" s="272">
        <f t="shared" si="359"/>
        <v>1900</v>
      </c>
      <c r="M4567" s="272">
        <f t="shared" si="360"/>
        <v>1</v>
      </c>
      <c r="O4567" s="61">
        <f t="shared" si="361"/>
        <v>1900</v>
      </c>
      <c r="P4567" s="61">
        <f t="shared" si="362"/>
        <v>1</v>
      </c>
      <c r="R4567" s="272"/>
      <c r="S4567" s="272"/>
    </row>
    <row r="4568" spans="9:19">
      <c r="I4568" s="213"/>
      <c r="J4568" s="213"/>
      <c r="L4568" s="272">
        <f t="shared" si="359"/>
        <v>1900</v>
      </c>
      <c r="M4568" s="272">
        <f t="shared" si="360"/>
        <v>1</v>
      </c>
      <c r="O4568" s="61">
        <f t="shared" si="361"/>
        <v>1900</v>
      </c>
      <c r="P4568" s="61">
        <f t="shared" si="362"/>
        <v>1</v>
      </c>
      <c r="R4568" s="272"/>
      <c r="S4568" s="272"/>
    </row>
    <row r="4569" spans="9:19">
      <c r="I4569" s="213"/>
      <c r="J4569" s="213"/>
      <c r="L4569" s="272">
        <f t="shared" si="359"/>
        <v>1900</v>
      </c>
      <c r="M4569" s="272">
        <f t="shared" si="360"/>
        <v>1</v>
      </c>
      <c r="O4569" s="61">
        <f t="shared" si="361"/>
        <v>1900</v>
      </c>
      <c r="P4569" s="61">
        <f t="shared" si="362"/>
        <v>1</v>
      </c>
      <c r="R4569" s="272"/>
      <c r="S4569" s="272"/>
    </row>
    <row r="4570" spans="9:19">
      <c r="I4570" s="213"/>
      <c r="J4570" s="213"/>
      <c r="L4570" s="272">
        <f t="shared" si="359"/>
        <v>1900</v>
      </c>
      <c r="M4570" s="272">
        <f t="shared" si="360"/>
        <v>1</v>
      </c>
      <c r="O4570" s="61">
        <f t="shared" si="361"/>
        <v>1900</v>
      </c>
      <c r="P4570" s="61">
        <f t="shared" si="362"/>
        <v>1</v>
      </c>
      <c r="R4570" s="272"/>
      <c r="S4570" s="272"/>
    </row>
    <row r="4571" spans="9:19">
      <c r="I4571" s="213"/>
      <c r="J4571" s="213"/>
      <c r="L4571" s="272">
        <f t="shared" si="359"/>
        <v>1900</v>
      </c>
      <c r="M4571" s="272">
        <f t="shared" si="360"/>
        <v>1</v>
      </c>
      <c r="O4571" s="61">
        <f t="shared" si="361"/>
        <v>1900</v>
      </c>
      <c r="P4571" s="61">
        <f t="shared" si="362"/>
        <v>1</v>
      </c>
      <c r="R4571" s="272"/>
      <c r="S4571" s="272"/>
    </row>
    <row r="4572" spans="9:19">
      <c r="I4572" s="213"/>
      <c r="J4572" s="213"/>
      <c r="L4572" s="272">
        <f t="shared" si="359"/>
        <v>1900</v>
      </c>
      <c r="M4572" s="272">
        <f t="shared" si="360"/>
        <v>1</v>
      </c>
      <c r="O4572" s="61">
        <f t="shared" si="361"/>
        <v>1900</v>
      </c>
      <c r="P4572" s="61">
        <f t="shared" si="362"/>
        <v>1</v>
      </c>
      <c r="R4572" s="272"/>
      <c r="S4572" s="272"/>
    </row>
    <row r="4573" spans="9:19">
      <c r="I4573" s="213"/>
      <c r="J4573" s="213"/>
      <c r="L4573" s="272">
        <f t="shared" si="359"/>
        <v>1900</v>
      </c>
      <c r="M4573" s="272">
        <f t="shared" si="360"/>
        <v>1</v>
      </c>
      <c r="O4573" s="61">
        <f t="shared" si="361"/>
        <v>1900</v>
      </c>
      <c r="P4573" s="61">
        <f t="shared" si="362"/>
        <v>1</v>
      </c>
      <c r="R4573" s="272"/>
      <c r="S4573" s="272"/>
    </row>
    <row r="4574" spans="9:19">
      <c r="I4574" s="213"/>
      <c r="J4574" s="213"/>
      <c r="L4574" s="272">
        <f t="shared" si="359"/>
        <v>1900</v>
      </c>
      <c r="M4574" s="272">
        <f t="shared" si="360"/>
        <v>1</v>
      </c>
      <c r="O4574" s="61">
        <f t="shared" si="361"/>
        <v>1900</v>
      </c>
      <c r="P4574" s="61">
        <f t="shared" si="362"/>
        <v>1</v>
      </c>
      <c r="R4574" s="272"/>
      <c r="S4574" s="272"/>
    </row>
    <row r="4575" spans="9:19">
      <c r="I4575" s="213"/>
      <c r="J4575" s="213"/>
      <c r="L4575" s="272">
        <f t="shared" si="359"/>
        <v>1900</v>
      </c>
      <c r="M4575" s="272">
        <f t="shared" si="360"/>
        <v>1</v>
      </c>
      <c r="O4575" s="61">
        <f t="shared" si="361"/>
        <v>1900</v>
      </c>
      <c r="P4575" s="61">
        <f t="shared" si="362"/>
        <v>1</v>
      </c>
      <c r="R4575" s="272"/>
      <c r="S4575" s="272"/>
    </row>
    <row r="4576" spans="9:19">
      <c r="I4576" s="213"/>
      <c r="J4576" s="213"/>
      <c r="L4576" s="272">
        <f t="shared" si="359"/>
        <v>1900</v>
      </c>
      <c r="M4576" s="272">
        <f t="shared" si="360"/>
        <v>1</v>
      </c>
      <c r="O4576" s="61">
        <f t="shared" si="361"/>
        <v>1900</v>
      </c>
      <c r="P4576" s="61">
        <f t="shared" si="362"/>
        <v>1</v>
      </c>
      <c r="R4576" s="272"/>
      <c r="S4576" s="272"/>
    </row>
    <row r="4577" spans="9:19">
      <c r="I4577" s="213"/>
      <c r="J4577" s="213"/>
      <c r="L4577" s="272">
        <f t="shared" si="359"/>
        <v>1900</v>
      </c>
      <c r="M4577" s="272">
        <f t="shared" si="360"/>
        <v>1</v>
      </c>
      <c r="O4577" s="61">
        <f t="shared" si="361"/>
        <v>1900</v>
      </c>
      <c r="P4577" s="61">
        <f t="shared" si="362"/>
        <v>1</v>
      </c>
      <c r="R4577" s="272"/>
      <c r="S4577" s="272"/>
    </row>
    <row r="4578" spans="9:19">
      <c r="I4578" s="213"/>
      <c r="J4578" s="213"/>
      <c r="L4578" s="272">
        <f t="shared" si="359"/>
        <v>1900</v>
      </c>
      <c r="M4578" s="272">
        <f t="shared" si="360"/>
        <v>1</v>
      </c>
      <c r="O4578" s="61">
        <f t="shared" si="361"/>
        <v>1900</v>
      </c>
      <c r="P4578" s="61">
        <f t="shared" si="362"/>
        <v>1</v>
      </c>
      <c r="R4578" s="272"/>
      <c r="S4578" s="272"/>
    </row>
    <row r="4579" spans="9:19">
      <c r="I4579" s="213"/>
      <c r="J4579" s="213"/>
      <c r="L4579" s="272">
        <f t="shared" si="359"/>
        <v>1900</v>
      </c>
      <c r="M4579" s="272">
        <f t="shared" si="360"/>
        <v>1</v>
      </c>
      <c r="O4579" s="61">
        <f t="shared" si="361"/>
        <v>1900</v>
      </c>
      <c r="P4579" s="61">
        <f t="shared" si="362"/>
        <v>1</v>
      </c>
      <c r="R4579" s="272"/>
      <c r="S4579" s="272"/>
    </row>
    <row r="4580" spans="9:19">
      <c r="I4580" s="213"/>
      <c r="J4580" s="213"/>
      <c r="L4580" s="272">
        <f t="shared" si="359"/>
        <v>1900</v>
      </c>
      <c r="M4580" s="272">
        <f t="shared" si="360"/>
        <v>1</v>
      </c>
      <c r="O4580" s="61">
        <f t="shared" si="361"/>
        <v>1900</v>
      </c>
      <c r="P4580" s="61">
        <f t="shared" si="362"/>
        <v>1</v>
      </c>
      <c r="R4580" s="272"/>
      <c r="S4580" s="272"/>
    </row>
    <row r="4581" spans="9:19">
      <c r="I4581" s="213"/>
      <c r="J4581" s="213"/>
      <c r="L4581" s="272">
        <f t="shared" si="359"/>
        <v>1900</v>
      </c>
      <c r="M4581" s="272">
        <f t="shared" si="360"/>
        <v>1</v>
      </c>
      <c r="O4581" s="61">
        <f t="shared" si="361"/>
        <v>1900</v>
      </c>
      <c r="P4581" s="61">
        <f t="shared" si="362"/>
        <v>1</v>
      </c>
      <c r="R4581" s="272"/>
      <c r="S4581" s="272"/>
    </row>
    <row r="4582" spans="9:19">
      <c r="I4582" s="213"/>
      <c r="J4582" s="213"/>
      <c r="L4582" s="272">
        <f t="shared" si="359"/>
        <v>1900</v>
      </c>
      <c r="M4582" s="272">
        <f t="shared" si="360"/>
        <v>1</v>
      </c>
      <c r="O4582" s="61">
        <f t="shared" si="361"/>
        <v>1900</v>
      </c>
      <c r="P4582" s="61">
        <f t="shared" si="362"/>
        <v>1</v>
      </c>
      <c r="R4582" s="272"/>
      <c r="S4582" s="272"/>
    </row>
    <row r="4583" spans="9:19">
      <c r="I4583" s="213"/>
      <c r="J4583" s="213"/>
      <c r="L4583" s="272">
        <f t="shared" si="359"/>
        <v>1900</v>
      </c>
      <c r="M4583" s="272">
        <f t="shared" si="360"/>
        <v>1</v>
      </c>
      <c r="O4583" s="61">
        <f t="shared" si="361"/>
        <v>1900</v>
      </c>
      <c r="P4583" s="61">
        <f t="shared" si="362"/>
        <v>1</v>
      </c>
      <c r="R4583" s="272"/>
      <c r="S4583" s="272"/>
    </row>
    <row r="4584" spans="9:19">
      <c r="I4584" s="213"/>
      <c r="J4584" s="213"/>
      <c r="L4584" s="272">
        <f t="shared" si="359"/>
        <v>1900</v>
      </c>
      <c r="M4584" s="272">
        <f t="shared" si="360"/>
        <v>1</v>
      </c>
      <c r="O4584" s="61">
        <f t="shared" si="361"/>
        <v>1900</v>
      </c>
      <c r="P4584" s="61">
        <f t="shared" si="362"/>
        <v>1</v>
      </c>
      <c r="R4584" s="272"/>
      <c r="S4584" s="272"/>
    </row>
    <row r="4585" spans="9:19">
      <c r="I4585" s="213"/>
      <c r="J4585" s="213"/>
      <c r="L4585" s="272">
        <f t="shared" si="359"/>
        <v>1900</v>
      </c>
      <c r="M4585" s="272">
        <f t="shared" si="360"/>
        <v>1</v>
      </c>
      <c r="O4585" s="61">
        <f t="shared" si="361"/>
        <v>1900</v>
      </c>
      <c r="P4585" s="61">
        <f t="shared" si="362"/>
        <v>1</v>
      </c>
      <c r="R4585" s="272"/>
      <c r="S4585" s="272"/>
    </row>
    <row r="4586" spans="9:19">
      <c r="I4586" s="213"/>
      <c r="J4586" s="213"/>
      <c r="L4586" s="272">
        <f t="shared" si="359"/>
        <v>1900</v>
      </c>
      <c r="M4586" s="272">
        <f t="shared" si="360"/>
        <v>1</v>
      </c>
      <c r="O4586" s="61">
        <f t="shared" si="361"/>
        <v>1900</v>
      </c>
      <c r="P4586" s="61">
        <f t="shared" si="362"/>
        <v>1</v>
      </c>
      <c r="R4586" s="272"/>
      <c r="S4586" s="272"/>
    </row>
    <row r="4587" spans="9:19">
      <c r="I4587" s="213"/>
      <c r="J4587" s="213"/>
      <c r="L4587" s="272">
        <f t="shared" si="359"/>
        <v>1900</v>
      </c>
      <c r="M4587" s="272">
        <f t="shared" si="360"/>
        <v>1</v>
      </c>
      <c r="O4587" s="61">
        <f t="shared" si="361"/>
        <v>1900</v>
      </c>
      <c r="P4587" s="61">
        <f t="shared" si="362"/>
        <v>1</v>
      </c>
      <c r="R4587" s="272"/>
      <c r="S4587" s="272"/>
    </row>
    <row r="4588" spans="9:19">
      <c r="I4588" s="213"/>
      <c r="J4588" s="213"/>
      <c r="L4588" s="272">
        <f t="shared" si="359"/>
        <v>1900</v>
      </c>
      <c r="M4588" s="272">
        <f t="shared" si="360"/>
        <v>1</v>
      </c>
      <c r="O4588" s="61">
        <f t="shared" si="361"/>
        <v>1900</v>
      </c>
      <c r="P4588" s="61">
        <f t="shared" si="362"/>
        <v>1</v>
      </c>
      <c r="R4588" s="272"/>
      <c r="S4588" s="272"/>
    </row>
    <row r="4589" spans="9:19">
      <c r="I4589" s="213"/>
      <c r="J4589" s="213"/>
      <c r="L4589" s="272">
        <f t="shared" si="359"/>
        <v>1900</v>
      </c>
      <c r="M4589" s="272">
        <f t="shared" si="360"/>
        <v>1</v>
      </c>
      <c r="O4589" s="61">
        <f t="shared" si="361"/>
        <v>1900</v>
      </c>
      <c r="P4589" s="61">
        <f t="shared" si="362"/>
        <v>1</v>
      </c>
      <c r="R4589" s="272"/>
      <c r="S4589" s="272"/>
    </row>
    <row r="4590" spans="9:19">
      <c r="I4590" s="213"/>
      <c r="J4590" s="213"/>
      <c r="L4590" s="272">
        <f t="shared" si="359"/>
        <v>1900</v>
      </c>
      <c r="M4590" s="272">
        <f t="shared" si="360"/>
        <v>1</v>
      </c>
      <c r="O4590" s="61">
        <f t="shared" si="361"/>
        <v>1900</v>
      </c>
      <c r="P4590" s="61">
        <f t="shared" si="362"/>
        <v>1</v>
      </c>
      <c r="R4590" s="272"/>
      <c r="S4590" s="272"/>
    </row>
    <row r="4591" spans="9:19">
      <c r="I4591" s="213"/>
      <c r="J4591" s="213"/>
      <c r="L4591" s="272">
        <f t="shared" si="359"/>
        <v>1900</v>
      </c>
      <c r="M4591" s="272">
        <f t="shared" si="360"/>
        <v>1</v>
      </c>
      <c r="O4591" s="61">
        <f t="shared" si="361"/>
        <v>1900</v>
      </c>
      <c r="P4591" s="61">
        <f t="shared" si="362"/>
        <v>1</v>
      </c>
      <c r="R4591" s="272"/>
      <c r="S4591" s="272"/>
    </row>
    <row r="4592" spans="9:19">
      <c r="I4592" s="213"/>
      <c r="J4592" s="213"/>
      <c r="L4592" s="272">
        <f t="shared" si="359"/>
        <v>1900</v>
      </c>
      <c r="M4592" s="272">
        <f t="shared" si="360"/>
        <v>1</v>
      </c>
      <c r="O4592" s="61">
        <f t="shared" si="361"/>
        <v>1900</v>
      </c>
      <c r="P4592" s="61">
        <f t="shared" si="362"/>
        <v>1</v>
      </c>
      <c r="R4592" s="272"/>
      <c r="S4592" s="272"/>
    </row>
    <row r="4593" spans="9:19">
      <c r="I4593" s="213"/>
      <c r="J4593" s="213"/>
      <c r="L4593" s="272">
        <f t="shared" si="359"/>
        <v>1900</v>
      </c>
      <c r="M4593" s="272">
        <f t="shared" si="360"/>
        <v>1</v>
      </c>
      <c r="O4593" s="61">
        <f t="shared" si="361"/>
        <v>1900</v>
      </c>
      <c r="P4593" s="61">
        <f t="shared" si="362"/>
        <v>1</v>
      </c>
      <c r="R4593" s="272"/>
      <c r="S4593" s="272"/>
    </row>
    <row r="4594" spans="9:19">
      <c r="I4594" s="213"/>
      <c r="J4594" s="213"/>
      <c r="L4594" s="272">
        <f t="shared" si="359"/>
        <v>1900</v>
      </c>
      <c r="M4594" s="272">
        <f t="shared" si="360"/>
        <v>1</v>
      </c>
      <c r="O4594" s="61">
        <f t="shared" si="361"/>
        <v>1900</v>
      </c>
      <c r="P4594" s="61">
        <f t="shared" si="362"/>
        <v>1</v>
      </c>
      <c r="R4594" s="272"/>
      <c r="S4594" s="272"/>
    </row>
    <row r="4595" spans="9:19">
      <c r="I4595" s="213"/>
      <c r="J4595" s="213"/>
      <c r="L4595" s="272">
        <f t="shared" si="359"/>
        <v>1900</v>
      </c>
      <c r="M4595" s="272">
        <f t="shared" si="360"/>
        <v>1</v>
      </c>
      <c r="O4595" s="61">
        <f t="shared" si="361"/>
        <v>1900</v>
      </c>
      <c r="P4595" s="61">
        <f t="shared" si="362"/>
        <v>1</v>
      </c>
      <c r="R4595" s="272"/>
      <c r="S4595" s="272"/>
    </row>
    <row r="4596" spans="9:19">
      <c r="I4596" s="213"/>
      <c r="J4596" s="213"/>
      <c r="L4596" s="272">
        <f t="shared" si="359"/>
        <v>1900</v>
      </c>
      <c r="M4596" s="272">
        <f t="shared" si="360"/>
        <v>1</v>
      </c>
      <c r="O4596" s="61">
        <f t="shared" si="361"/>
        <v>1900</v>
      </c>
      <c r="P4596" s="61">
        <f t="shared" si="362"/>
        <v>1</v>
      </c>
      <c r="R4596" s="272"/>
      <c r="S4596" s="272"/>
    </row>
    <row r="4597" spans="9:19">
      <c r="I4597" s="213"/>
      <c r="J4597" s="213"/>
      <c r="L4597" s="272">
        <f t="shared" si="359"/>
        <v>1900</v>
      </c>
      <c r="M4597" s="272">
        <f t="shared" si="360"/>
        <v>1</v>
      </c>
      <c r="O4597" s="61">
        <f t="shared" si="361"/>
        <v>1900</v>
      </c>
      <c r="P4597" s="61">
        <f t="shared" si="362"/>
        <v>1</v>
      </c>
      <c r="R4597" s="272"/>
      <c r="S4597" s="272"/>
    </row>
    <row r="4598" spans="9:19">
      <c r="I4598" s="213"/>
      <c r="J4598" s="213"/>
      <c r="L4598" s="272">
        <f t="shared" si="359"/>
        <v>1900</v>
      </c>
      <c r="M4598" s="272">
        <f t="shared" si="360"/>
        <v>1</v>
      </c>
      <c r="O4598" s="61">
        <f t="shared" si="361"/>
        <v>1900</v>
      </c>
      <c r="P4598" s="61">
        <f t="shared" si="362"/>
        <v>1</v>
      </c>
      <c r="R4598" s="272"/>
      <c r="S4598" s="272"/>
    </row>
    <row r="4599" spans="9:19">
      <c r="I4599" s="213"/>
      <c r="J4599" s="213"/>
      <c r="L4599" s="272">
        <f t="shared" si="359"/>
        <v>1900</v>
      </c>
      <c r="M4599" s="272">
        <f t="shared" si="360"/>
        <v>1</v>
      </c>
      <c r="O4599" s="61">
        <f t="shared" si="361"/>
        <v>1900</v>
      </c>
      <c r="P4599" s="61">
        <f t="shared" si="362"/>
        <v>1</v>
      </c>
      <c r="R4599" s="272"/>
      <c r="S4599" s="272"/>
    </row>
    <row r="4600" spans="9:19">
      <c r="I4600" s="213"/>
      <c r="J4600" s="213"/>
      <c r="L4600" s="272">
        <f t="shared" si="359"/>
        <v>1900</v>
      </c>
      <c r="M4600" s="272">
        <f t="shared" si="360"/>
        <v>1</v>
      </c>
      <c r="O4600" s="61">
        <f t="shared" si="361"/>
        <v>1900</v>
      </c>
      <c r="P4600" s="61">
        <f t="shared" si="362"/>
        <v>1</v>
      </c>
      <c r="R4600" s="272"/>
      <c r="S4600" s="272"/>
    </row>
    <row r="4601" spans="9:19">
      <c r="I4601" s="213"/>
      <c r="J4601" s="213"/>
      <c r="L4601" s="272">
        <f t="shared" si="359"/>
        <v>1900</v>
      </c>
      <c r="M4601" s="272">
        <f t="shared" si="360"/>
        <v>1</v>
      </c>
      <c r="O4601" s="61">
        <f t="shared" si="361"/>
        <v>1900</v>
      </c>
      <c r="P4601" s="61">
        <f t="shared" si="362"/>
        <v>1</v>
      </c>
      <c r="R4601" s="272"/>
      <c r="S4601" s="272"/>
    </row>
    <row r="4602" spans="9:19">
      <c r="I4602" s="213"/>
      <c r="J4602" s="213"/>
      <c r="L4602" s="272">
        <f t="shared" si="359"/>
        <v>1900</v>
      </c>
      <c r="M4602" s="272">
        <f t="shared" si="360"/>
        <v>1</v>
      </c>
      <c r="O4602" s="61">
        <f t="shared" si="361"/>
        <v>1900</v>
      </c>
      <c r="P4602" s="61">
        <f t="shared" si="362"/>
        <v>1</v>
      </c>
      <c r="R4602" s="272"/>
      <c r="S4602" s="272"/>
    </row>
    <row r="4603" spans="9:19">
      <c r="I4603" s="213"/>
      <c r="J4603" s="213"/>
      <c r="L4603" s="272">
        <f t="shared" si="359"/>
        <v>1900</v>
      </c>
      <c r="M4603" s="272">
        <f t="shared" si="360"/>
        <v>1</v>
      </c>
      <c r="O4603" s="61">
        <f t="shared" si="361"/>
        <v>1900</v>
      </c>
      <c r="P4603" s="61">
        <f t="shared" si="362"/>
        <v>1</v>
      </c>
      <c r="R4603" s="272"/>
      <c r="S4603" s="272"/>
    </row>
    <row r="4604" spans="9:19">
      <c r="I4604" s="213"/>
      <c r="J4604" s="213"/>
      <c r="L4604" s="272">
        <f t="shared" si="359"/>
        <v>1900</v>
      </c>
      <c r="M4604" s="272">
        <f t="shared" si="360"/>
        <v>1</v>
      </c>
      <c r="O4604" s="61">
        <f t="shared" si="361"/>
        <v>1900</v>
      </c>
      <c r="P4604" s="61">
        <f t="shared" si="362"/>
        <v>1</v>
      </c>
      <c r="R4604" s="272"/>
      <c r="S4604" s="272"/>
    </row>
    <row r="4605" spans="9:19">
      <c r="I4605" s="213"/>
      <c r="J4605" s="213"/>
      <c r="L4605" s="272">
        <f t="shared" si="359"/>
        <v>1900</v>
      </c>
      <c r="M4605" s="272">
        <f t="shared" si="360"/>
        <v>1</v>
      </c>
      <c r="O4605" s="61">
        <f t="shared" si="361"/>
        <v>1900</v>
      </c>
      <c r="P4605" s="61">
        <f t="shared" si="362"/>
        <v>1</v>
      </c>
      <c r="R4605" s="272"/>
      <c r="S4605" s="272"/>
    </row>
    <row r="4606" spans="9:19">
      <c r="I4606" s="213"/>
      <c r="J4606" s="213"/>
      <c r="L4606" s="272">
        <f t="shared" si="359"/>
        <v>1900</v>
      </c>
      <c r="M4606" s="272">
        <f t="shared" si="360"/>
        <v>1</v>
      </c>
      <c r="O4606" s="61">
        <f t="shared" si="361"/>
        <v>1900</v>
      </c>
      <c r="P4606" s="61">
        <f t="shared" si="362"/>
        <v>1</v>
      </c>
      <c r="R4606" s="272"/>
      <c r="S4606" s="272"/>
    </row>
    <row r="4607" spans="9:19">
      <c r="I4607" s="213"/>
      <c r="J4607" s="213"/>
      <c r="L4607" s="272">
        <f t="shared" si="359"/>
        <v>1900</v>
      </c>
      <c r="M4607" s="272">
        <f t="shared" si="360"/>
        <v>1</v>
      </c>
      <c r="O4607" s="61">
        <f t="shared" si="361"/>
        <v>1900</v>
      </c>
      <c r="P4607" s="61">
        <f t="shared" si="362"/>
        <v>1</v>
      </c>
      <c r="R4607" s="272"/>
      <c r="S4607" s="272"/>
    </row>
    <row r="4608" spans="9:19">
      <c r="I4608" s="213"/>
      <c r="J4608" s="213"/>
      <c r="L4608" s="272">
        <f t="shared" si="359"/>
        <v>1900</v>
      </c>
      <c r="M4608" s="272">
        <f t="shared" si="360"/>
        <v>1</v>
      </c>
      <c r="O4608" s="61">
        <f t="shared" si="361"/>
        <v>1900</v>
      </c>
      <c r="P4608" s="61">
        <f t="shared" si="362"/>
        <v>1</v>
      </c>
      <c r="R4608" s="272"/>
      <c r="S4608" s="272"/>
    </row>
    <row r="4609" spans="9:19">
      <c r="I4609" s="213"/>
      <c r="J4609" s="213"/>
      <c r="L4609" s="272">
        <f t="shared" si="359"/>
        <v>1900</v>
      </c>
      <c r="M4609" s="272">
        <f t="shared" si="360"/>
        <v>1</v>
      </c>
      <c r="O4609" s="61">
        <f t="shared" si="361"/>
        <v>1900</v>
      </c>
      <c r="P4609" s="61">
        <f t="shared" si="362"/>
        <v>1</v>
      </c>
      <c r="R4609" s="272"/>
      <c r="S4609" s="272"/>
    </row>
    <row r="4610" spans="9:19">
      <c r="I4610" s="213"/>
      <c r="J4610" s="213"/>
      <c r="L4610" s="272">
        <f t="shared" si="359"/>
        <v>1900</v>
      </c>
      <c r="M4610" s="272">
        <f t="shared" si="360"/>
        <v>1</v>
      </c>
      <c r="O4610" s="61">
        <f t="shared" si="361"/>
        <v>1900</v>
      </c>
      <c r="P4610" s="61">
        <f t="shared" si="362"/>
        <v>1</v>
      </c>
      <c r="R4610" s="272"/>
      <c r="S4610" s="272"/>
    </row>
    <row r="4611" spans="9:19">
      <c r="I4611" s="213"/>
      <c r="J4611" s="213"/>
      <c r="L4611" s="272">
        <f t="shared" si="359"/>
        <v>1900</v>
      </c>
      <c r="M4611" s="272">
        <f t="shared" si="360"/>
        <v>1</v>
      </c>
      <c r="O4611" s="61">
        <f t="shared" si="361"/>
        <v>1900</v>
      </c>
      <c r="P4611" s="61">
        <f t="shared" si="362"/>
        <v>1</v>
      </c>
      <c r="R4611" s="272"/>
      <c r="S4611" s="272"/>
    </row>
    <row r="4612" spans="9:19">
      <c r="I4612" s="213"/>
      <c r="J4612" s="213"/>
      <c r="L4612" s="272">
        <f t="shared" si="359"/>
        <v>1900</v>
      </c>
      <c r="M4612" s="272">
        <f t="shared" si="360"/>
        <v>1</v>
      </c>
      <c r="O4612" s="61">
        <f t="shared" si="361"/>
        <v>1900</v>
      </c>
      <c r="P4612" s="61">
        <f t="shared" si="362"/>
        <v>1</v>
      </c>
      <c r="R4612" s="272"/>
      <c r="S4612" s="272"/>
    </row>
    <row r="4613" spans="9:19">
      <c r="I4613" s="213"/>
      <c r="J4613" s="213"/>
      <c r="L4613" s="272">
        <f t="shared" si="359"/>
        <v>1900</v>
      </c>
      <c r="M4613" s="272">
        <f t="shared" si="360"/>
        <v>1</v>
      </c>
      <c r="O4613" s="61">
        <f t="shared" si="361"/>
        <v>1900</v>
      </c>
      <c r="P4613" s="61">
        <f t="shared" si="362"/>
        <v>1</v>
      </c>
      <c r="R4613" s="272"/>
      <c r="S4613" s="272"/>
    </row>
    <row r="4614" spans="9:19">
      <c r="I4614" s="213"/>
      <c r="J4614" s="213"/>
      <c r="L4614" s="272">
        <f t="shared" si="359"/>
        <v>1900</v>
      </c>
      <c r="M4614" s="272">
        <f t="shared" si="360"/>
        <v>1</v>
      </c>
      <c r="O4614" s="61">
        <f t="shared" si="361"/>
        <v>1900</v>
      </c>
      <c r="P4614" s="61">
        <f t="shared" si="362"/>
        <v>1</v>
      </c>
      <c r="R4614" s="272"/>
      <c r="S4614" s="272"/>
    </row>
    <row r="4615" spans="9:19">
      <c r="I4615" s="213"/>
      <c r="J4615" s="213"/>
      <c r="L4615" s="272">
        <f t="shared" si="359"/>
        <v>1900</v>
      </c>
      <c r="M4615" s="272">
        <f t="shared" si="360"/>
        <v>1</v>
      </c>
      <c r="O4615" s="61">
        <f t="shared" si="361"/>
        <v>1900</v>
      </c>
      <c r="P4615" s="61">
        <f t="shared" si="362"/>
        <v>1</v>
      </c>
      <c r="R4615" s="272"/>
      <c r="S4615" s="272"/>
    </row>
    <row r="4616" spans="9:19">
      <c r="I4616" s="213"/>
      <c r="J4616" s="213"/>
      <c r="L4616" s="272">
        <f t="shared" si="359"/>
        <v>1900</v>
      </c>
      <c r="M4616" s="272">
        <f t="shared" si="360"/>
        <v>1</v>
      </c>
      <c r="O4616" s="61">
        <f t="shared" si="361"/>
        <v>1900</v>
      </c>
      <c r="P4616" s="61">
        <f t="shared" si="362"/>
        <v>1</v>
      </c>
      <c r="R4616" s="272"/>
      <c r="S4616" s="272"/>
    </row>
    <row r="4617" spans="9:19">
      <c r="I4617" s="213"/>
      <c r="J4617" s="213"/>
      <c r="L4617" s="272">
        <f t="shared" si="359"/>
        <v>1900</v>
      </c>
      <c r="M4617" s="272">
        <f t="shared" si="360"/>
        <v>1</v>
      </c>
      <c r="O4617" s="61">
        <f t="shared" si="361"/>
        <v>1900</v>
      </c>
      <c r="P4617" s="61">
        <f t="shared" si="362"/>
        <v>1</v>
      </c>
      <c r="R4617" s="272"/>
      <c r="S4617" s="272"/>
    </row>
    <row r="4618" spans="9:19">
      <c r="I4618" s="213"/>
      <c r="J4618" s="213"/>
      <c r="L4618" s="272">
        <f t="shared" si="359"/>
        <v>1900</v>
      </c>
      <c r="M4618" s="272">
        <f t="shared" si="360"/>
        <v>1</v>
      </c>
      <c r="O4618" s="61">
        <f t="shared" si="361"/>
        <v>1900</v>
      </c>
      <c r="P4618" s="61">
        <f t="shared" si="362"/>
        <v>1</v>
      </c>
      <c r="R4618" s="272"/>
      <c r="S4618" s="272"/>
    </row>
    <row r="4619" spans="9:19">
      <c r="I4619" s="213"/>
      <c r="J4619" s="213"/>
      <c r="L4619" s="272">
        <f t="shared" si="359"/>
        <v>1900</v>
      </c>
      <c r="M4619" s="272">
        <f t="shared" si="360"/>
        <v>1</v>
      </c>
      <c r="O4619" s="61">
        <f t="shared" si="361"/>
        <v>1900</v>
      </c>
      <c r="P4619" s="61">
        <f t="shared" si="362"/>
        <v>1</v>
      </c>
      <c r="R4619" s="272"/>
      <c r="S4619" s="272"/>
    </row>
    <row r="4620" spans="9:19">
      <c r="I4620" s="213"/>
      <c r="J4620" s="213"/>
      <c r="L4620" s="272">
        <f t="shared" si="359"/>
        <v>1900</v>
      </c>
      <c r="M4620" s="272">
        <f t="shared" si="360"/>
        <v>1</v>
      </c>
      <c r="O4620" s="61">
        <f t="shared" si="361"/>
        <v>1900</v>
      </c>
      <c r="P4620" s="61">
        <f t="shared" si="362"/>
        <v>1</v>
      </c>
      <c r="R4620" s="272"/>
      <c r="S4620" s="272"/>
    </row>
    <row r="4621" spans="9:19">
      <c r="I4621" s="213"/>
      <c r="J4621" s="213"/>
      <c r="L4621" s="272">
        <f t="shared" si="359"/>
        <v>1900</v>
      </c>
      <c r="M4621" s="272">
        <f t="shared" si="360"/>
        <v>1</v>
      </c>
      <c r="O4621" s="61">
        <f t="shared" si="361"/>
        <v>1900</v>
      </c>
      <c r="P4621" s="61">
        <f t="shared" si="362"/>
        <v>1</v>
      </c>
      <c r="R4621" s="272"/>
      <c r="S4621" s="272"/>
    </row>
    <row r="4622" spans="9:19">
      <c r="I4622" s="213"/>
      <c r="J4622" s="213"/>
      <c r="L4622" s="272">
        <f t="shared" si="359"/>
        <v>1900</v>
      </c>
      <c r="M4622" s="272">
        <f t="shared" si="360"/>
        <v>1</v>
      </c>
      <c r="O4622" s="61">
        <f t="shared" si="361"/>
        <v>1900</v>
      </c>
      <c r="P4622" s="61">
        <f t="shared" si="362"/>
        <v>1</v>
      </c>
      <c r="R4622" s="272"/>
      <c r="S4622" s="272"/>
    </row>
    <row r="4623" spans="9:19">
      <c r="I4623" s="213"/>
      <c r="J4623" s="213"/>
      <c r="L4623" s="272">
        <f t="shared" si="359"/>
        <v>1900</v>
      </c>
      <c r="M4623" s="272">
        <f t="shared" si="360"/>
        <v>1</v>
      </c>
      <c r="O4623" s="61">
        <f t="shared" si="361"/>
        <v>1900</v>
      </c>
      <c r="P4623" s="61">
        <f t="shared" si="362"/>
        <v>1</v>
      </c>
      <c r="R4623" s="272"/>
      <c r="S4623" s="272"/>
    </row>
    <row r="4624" spans="9:19">
      <c r="I4624" s="213"/>
      <c r="J4624" s="213"/>
      <c r="L4624" s="272">
        <f t="shared" ref="L4624:L4687" si="363">YEAR(B4624)</f>
        <v>1900</v>
      </c>
      <c r="M4624" s="272">
        <f t="shared" ref="M4624:M4687" si="364">MONTH(B4624)</f>
        <v>1</v>
      </c>
      <c r="O4624" s="61">
        <f t="shared" ref="O4624:O4687" si="365">YEAR(B4624)</f>
        <v>1900</v>
      </c>
      <c r="P4624" s="61">
        <f t="shared" ref="P4624:P4687" si="366">MONTH(B4624)</f>
        <v>1</v>
      </c>
      <c r="R4624" s="272"/>
      <c r="S4624" s="272"/>
    </row>
    <row r="4625" spans="9:19">
      <c r="I4625" s="213"/>
      <c r="J4625" s="213"/>
      <c r="L4625" s="272">
        <f t="shared" si="363"/>
        <v>1900</v>
      </c>
      <c r="M4625" s="272">
        <f t="shared" si="364"/>
        <v>1</v>
      </c>
      <c r="O4625" s="61">
        <f t="shared" si="365"/>
        <v>1900</v>
      </c>
      <c r="P4625" s="61">
        <f t="shared" si="366"/>
        <v>1</v>
      </c>
      <c r="R4625" s="272"/>
      <c r="S4625" s="272"/>
    </row>
    <row r="4626" spans="9:19">
      <c r="I4626" s="213"/>
      <c r="J4626" s="213"/>
      <c r="L4626" s="272">
        <f t="shared" si="363"/>
        <v>1900</v>
      </c>
      <c r="M4626" s="272">
        <f t="shared" si="364"/>
        <v>1</v>
      </c>
      <c r="O4626" s="61">
        <f t="shared" si="365"/>
        <v>1900</v>
      </c>
      <c r="P4626" s="61">
        <f t="shared" si="366"/>
        <v>1</v>
      </c>
      <c r="R4626" s="272"/>
      <c r="S4626" s="272"/>
    </row>
    <row r="4627" spans="9:19">
      <c r="I4627" s="213"/>
      <c r="J4627" s="213"/>
      <c r="L4627" s="272">
        <f t="shared" si="363"/>
        <v>1900</v>
      </c>
      <c r="M4627" s="272">
        <f t="shared" si="364"/>
        <v>1</v>
      </c>
      <c r="O4627" s="61">
        <f t="shared" si="365"/>
        <v>1900</v>
      </c>
      <c r="P4627" s="61">
        <f t="shared" si="366"/>
        <v>1</v>
      </c>
      <c r="R4627" s="272"/>
      <c r="S4627" s="272"/>
    </row>
    <row r="4628" spans="9:19">
      <c r="I4628" s="213"/>
      <c r="J4628" s="213"/>
      <c r="L4628" s="272">
        <f t="shared" si="363"/>
        <v>1900</v>
      </c>
      <c r="M4628" s="272">
        <f t="shared" si="364"/>
        <v>1</v>
      </c>
      <c r="O4628" s="61">
        <f t="shared" si="365"/>
        <v>1900</v>
      </c>
      <c r="P4628" s="61">
        <f t="shared" si="366"/>
        <v>1</v>
      </c>
      <c r="R4628" s="272"/>
      <c r="S4628" s="272"/>
    </row>
    <row r="4629" spans="9:19">
      <c r="I4629" s="213"/>
      <c r="J4629" s="213"/>
      <c r="L4629" s="272">
        <f t="shared" si="363"/>
        <v>1900</v>
      </c>
      <c r="M4629" s="272">
        <f t="shared" si="364"/>
        <v>1</v>
      </c>
      <c r="O4629" s="61">
        <f t="shared" si="365"/>
        <v>1900</v>
      </c>
      <c r="P4629" s="61">
        <f t="shared" si="366"/>
        <v>1</v>
      </c>
      <c r="R4629" s="272"/>
      <c r="S4629" s="272"/>
    </row>
    <row r="4630" spans="9:19">
      <c r="I4630" s="213"/>
      <c r="J4630" s="213"/>
      <c r="L4630" s="272">
        <f t="shared" si="363"/>
        <v>1900</v>
      </c>
      <c r="M4630" s="272">
        <f t="shared" si="364"/>
        <v>1</v>
      </c>
      <c r="O4630" s="61">
        <f t="shared" si="365"/>
        <v>1900</v>
      </c>
      <c r="P4630" s="61">
        <f t="shared" si="366"/>
        <v>1</v>
      </c>
      <c r="R4630" s="272"/>
      <c r="S4630" s="272"/>
    </row>
    <row r="4631" spans="9:19">
      <c r="I4631" s="213"/>
      <c r="J4631" s="213"/>
      <c r="L4631" s="272">
        <f t="shared" si="363"/>
        <v>1900</v>
      </c>
      <c r="M4631" s="272">
        <f t="shared" si="364"/>
        <v>1</v>
      </c>
      <c r="O4631" s="61">
        <f t="shared" si="365"/>
        <v>1900</v>
      </c>
      <c r="P4631" s="61">
        <f t="shared" si="366"/>
        <v>1</v>
      </c>
      <c r="R4631" s="272"/>
      <c r="S4631" s="272"/>
    </row>
    <row r="4632" spans="9:19">
      <c r="I4632" s="213"/>
      <c r="J4632" s="213"/>
      <c r="L4632" s="272">
        <f t="shared" si="363"/>
        <v>1900</v>
      </c>
      <c r="M4632" s="272">
        <f t="shared" si="364"/>
        <v>1</v>
      </c>
      <c r="O4632" s="61">
        <f t="shared" si="365"/>
        <v>1900</v>
      </c>
      <c r="P4632" s="61">
        <f t="shared" si="366"/>
        <v>1</v>
      </c>
      <c r="R4632" s="272"/>
      <c r="S4632" s="272"/>
    </row>
    <row r="4633" spans="9:19">
      <c r="I4633" s="213"/>
      <c r="J4633" s="213"/>
      <c r="L4633" s="272">
        <f t="shared" si="363"/>
        <v>1900</v>
      </c>
      <c r="M4633" s="272">
        <f t="shared" si="364"/>
        <v>1</v>
      </c>
      <c r="O4633" s="61">
        <f t="shared" si="365"/>
        <v>1900</v>
      </c>
      <c r="P4633" s="61">
        <f t="shared" si="366"/>
        <v>1</v>
      </c>
      <c r="R4633" s="272"/>
      <c r="S4633" s="272"/>
    </row>
    <row r="4634" spans="9:19">
      <c r="I4634" s="213"/>
      <c r="J4634" s="213"/>
      <c r="L4634" s="272">
        <f t="shared" si="363"/>
        <v>1900</v>
      </c>
      <c r="M4634" s="272">
        <f t="shared" si="364"/>
        <v>1</v>
      </c>
      <c r="O4634" s="61">
        <f t="shared" si="365"/>
        <v>1900</v>
      </c>
      <c r="P4634" s="61">
        <f t="shared" si="366"/>
        <v>1</v>
      </c>
      <c r="R4634" s="272"/>
      <c r="S4634" s="272"/>
    </row>
    <row r="4635" spans="9:19">
      <c r="I4635" s="213"/>
      <c r="J4635" s="213"/>
      <c r="L4635" s="272">
        <f t="shared" si="363"/>
        <v>1900</v>
      </c>
      <c r="M4635" s="272">
        <f t="shared" si="364"/>
        <v>1</v>
      </c>
      <c r="O4635" s="61">
        <f t="shared" si="365"/>
        <v>1900</v>
      </c>
      <c r="P4635" s="61">
        <f t="shared" si="366"/>
        <v>1</v>
      </c>
      <c r="R4635" s="272"/>
      <c r="S4635" s="272"/>
    </row>
    <row r="4636" spans="9:19">
      <c r="I4636" s="213"/>
      <c r="J4636" s="213"/>
      <c r="L4636" s="272">
        <f t="shared" si="363"/>
        <v>1900</v>
      </c>
      <c r="M4636" s="272">
        <f t="shared" si="364"/>
        <v>1</v>
      </c>
      <c r="O4636" s="61">
        <f t="shared" si="365"/>
        <v>1900</v>
      </c>
      <c r="P4636" s="61">
        <f t="shared" si="366"/>
        <v>1</v>
      </c>
      <c r="R4636" s="272"/>
      <c r="S4636" s="272"/>
    </row>
    <row r="4637" spans="9:19">
      <c r="I4637" s="213"/>
      <c r="J4637" s="213"/>
      <c r="L4637" s="272">
        <f t="shared" si="363"/>
        <v>1900</v>
      </c>
      <c r="M4637" s="272">
        <f t="shared" si="364"/>
        <v>1</v>
      </c>
      <c r="O4637" s="61">
        <f t="shared" si="365"/>
        <v>1900</v>
      </c>
      <c r="P4637" s="61">
        <f t="shared" si="366"/>
        <v>1</v>
      </c>
      <c r="R4637" s="272"/>
      <c r="S4637" s="272"/>
    </row>
    <row r="4638" spans="9:19">
      <c r="I4638" s="213"/>
      <c r="J4638" s="213"/>
      <c r="L4638" s="272">
        <f t="shared" si="363"/>
        <v>1900</v>
      </c>
      <c r="M4638" s="272">
        <f t="shared" si="364"/>
        <v>1</v>
      </c>
      <c r="O4638" s="61">
        <f t="shared" si="365"/>
        <v>1900</v>
      </c>
      <c r="P4638" s="61">
        <f t="shared" si="366"/>
        <v>1</v>
      </c>
      <c r="R4638" s="272"/>
      <c r="S4638" s="272"/>
    </row>
    <row r="4639" spans="9:19">
      <c r="I4639" s="213"/>
      <c r="J4639" s="213"/>
      <c r="L4639" s="272">
        <f t="shared" si="363"/>
        <v>1900</v>
      </c>
      <c r="M4639" s="272">
        <f t="shared" si="364"/>
        <v>1</v>
      </c>
      <c r="O4639" s="61">
        <f t="shared" si="365"/>
        <v>1900</v>
      </c>
      <c r="P4639" s="61">
        <f t="shared" si="366"/>
        <v>1</v>
      </c>
      <c r="R4639" s="272"/>
      <c r="S4639" s="272"/>
    </row>
    <row r="4640" spans="9:19">
      <c r="I4640" s="213"/>
      <c r="J4640" s="213"/>
      <c r="L4640" s="272">
        <f t="shared" si="363"/>
        <v>1900</v>
      </c>
      <c r="M4640" s="272">
        <f t="shared" si="364"/>
        <v>1</v>
      </c>
      <c r="O4640" s="61">
        <f t="shared" si="365"/>
        <v>1900</v>
      </c>
      <c r="P4640" s="61">
        <f t="shared" si="366"/>
        <v>1</v>
      </c>
      <c r="R4640" s="272"/>
      <c r="S4640" s="272"/>
    </row>
    <row r="4641" spans="9:19">
      <c r="I4641" s="213"/>
      <c r="J4641" s="213"/>
      <c r="L4641" s="272">
        <f t="shared" si="363"/>
        <v>1900</v>
      </c>
      <c r="M4641" s="272">
        <f t="shared" si="364"/>
        <v>1</v>
      </c>
      <c r="O4641" s="61">
        <f t="shared" si="365"/>
        <v>1900</v>
      </c>
      <c r="P4641" s="61">
        <f t="shared" si="366"/>
        <v>1</v>
      </c>
      <c r="R4641" s="272"/>
      <c r="S4641" s="272"/>
    </row>
    <row r="4642" spans="9:19">
      <c r="I4642" s="213"/>
      <c r="J4642" s="213"/>
      <c r="L4642" s="272">
        <f t="shared" si="363"/>
        <v>1900</v>
      </c>
      <c r="M4642" s="272">
        <f t="shared" si="364"/>
        <v>1</v>
      </c>
      <c r="O4642" s="61">
        <f t="shared" si="365"/>
        <v>1900</v>
      </c>
      <c r="P4642" s="61">
        <f t="shared" si="366"/>
        <v>1</v>
      </c>
      <c r="R4642" s="272"/>
      <c r="S4642" s="272"/>
    </row>
    <row r="4643" spans="9:19">
      <c r="I4643" s="213"/>
      <c r="J4643" s="213"/>
      <c r="L4643" s="272">
        <f t="shared" si="363"/>
        <v>1900</v>
      </c>
      <c r="M4643" s="272">
        <f t="shared" si="364"/>
        <v>1</v>
      </c>
      <c r="O4643" s="61">
        <f t="shared" si="365"/>
        <v>1900</v>
      </c>
      <c r="P4643" s="61">
        <f t="shared" si="366"/>
        <v>1</v>
      </c>
      <c r="R4643" s="272"/>
      <c r="S4643" s="272"/>
    </row>
    <row r="4644" spans="9:19">
      <c r="I4644" s="213"/>
      <c r="J4644" s="213"/>
      <c r="L4644" s="272">
        <f t="shared" si="363"/>
        <v>1900</v>
      </c>
      <c r="M4644" s="272">
        <f t="shared" si="364"/>
        <v>1</v>
      </c>
      <c r="O4644" s="61">
        <f t="shared" si="365"/>
        <v>1900</v>
      </c>
      <c r="P4644" s="61">
        <f t="shared" si="366"/>
        <v>1</v>
      </c>
      <c r="R4644" s="272"/>
      <c r="S4644" s="272"/>
    </row>
    <row r="4645" spans="9:19">
      <c r="I4645" s="213"/>
      <c r="J4645" s="213"/>
      <c r="L4645" s="272">
        <f t="shared" si="363"/>
        <v>1900</v>
      </c>
      <c r="M4645" s="272">
        <f t="shared" si="364"/>
        <v>1</v>
      </c>
      <c r="O4645" s="61">
        <f t="shared" si="365"/>
        <v>1900</v>
      </c>
      <c r="P4645" s="61">
        <f t="shared" si="366"/>
        <v>1</v>
      </c>
      <c r="R4645" s="272"/>
      <c r="S4645" s="272"/>
    </row>
    <row r="4646" spans="9:19">
      <c r="I4646" s="213"/>
      <c r="J4646" s="213"/>
      <c r="L4646" s="272">
        <f t="shared" si="363"/>
        <v>1900</v>
      </c>
      <c r="M4646" s="272">
        <f t="shared" si="364"/>
        <v>1</v>
      </c>
      <c r="O4646" s="61">
        <f t="shared" si="365"/>
        <v>1900</v>
      </c>
      <c r="P4646" s="61">
        <f t="shared" si="366"/>
        <v>1</v>
      </c>
      <c r="R4646" s="272"/>
      <c r="S4646" s="272"/>
    </row>
    <row r="4647" spans="9:19">
      <c r="I4647" s="213"/>
      <c r="J4647" s="213"/>
      <c r="L4647" s="272">
        <f t="shared" si="363"/>
        <v>1900</v>
      </c>
      <c r="M4647" s="272">
        <f t="shared" si="364"/>
        <v>1</v>
      </c>
      <c r="O4647" s="61">
        <f t="shared" si="365"/>
        <v>1900</v>
      </c>
      <c r="P4647" s="61">
        <f t="shared" si="366"/>
        <v>1</v>
      </c>
      <c r="R4647" s="272"/>
      <c r="S4647" s="272"/>
    </row>
    <row r="4648" spans="9:19">
      <c r="I4648" s="213"/>
      <c r="J4648" s="213"/>
      <c r="L4648" s="272">
        <f t="shared" si="363"/>
        <v>1900</v>
      </c>
      <c r="M4648" s="272">
        <f t="shared" si="364"/>
        <v>1</v>
      </c>
      <c r="O4648" s="61">
        <f t="shared" si="365"/>
        <v>1900</v>
      </c>
      <c r="P4648" s="61">
        <f t="shared" si="366"/>
        <v>1</v>
      </c>
      <c r="R4648" s="272"/>
      <c r="S4648" s="272"/>
    </row>
    <row r="4649" spans="9:19">
      <c r="I4649" s="213"/>
      <c r="J4649" s="213"/>
      <c r="L4649" s="272">
        <f t="shared" si="363"/>
        <v>1900</v>
      </c>
      <c r="M4649" s="272">
        <f t="shared" si="364"/>
        <v>1</v>
      </c>
      <c r="O4649" s="61">
        <f t="shared" si="365"/>
        <v>1900</v>
      </c>
      <c r="P4649" s="61">
        <f t="shared" si="366"/>
        <v>1</v>
      </c>
      <c r="R4649" s="272"/>
      <c r="S4649" s="272"/>
    </row>
    <row r="4650" spans="9:19">
      <c r="I4650" s="213"/>
      <c r="J4650" s="213"/>
      <c r="L4650" s="272">
        <f t="shared" si="363"/>
        <v>1900</v>
      </c>
      <c r="M4650" s="272">
        <f t="shared" si="364"/>
        <v>1</v>
      </c>
      <c r="O4650" s="61">
        <f t="shared" si="365"/>
        <v>1900</v>
      </c>
      <c r="P4650" s="61">
        <f t="shared" si="366"/>
        <v>1</v>
      </c>
      <c r="R4650" s="272"/>
      <c r="S4650" s="272"/>
    </row>
    <row r="4651" spans="9:19">
      <c r="I4651" s="213"/>
      <c r="J4651" s="213"/>
      <c r="L4651" s="272">
        <f t="shared" si="363"/>
        <v>1900</v>
      </c>
      <c r="M4651" s="272">
        <f t="shared" si="364"/>
        <v>1</v>
      </c>
      <c r="O4651" s="61">
        <f t="shared" si="365"/>
        <v>1900</v>
      </c>
      <c r="P4651" s="61">
        <f t="shared" si="366"/>
        <v>1</v>
      </c>
      <c r="R4651" s="272"/>
      <c r="S4651" s="272"/>
    </row>
    <row r="4652" spans="9:19">
      <c r="I4652" s="213"/>
      <c r="J4652" s="213"/>
      <c r="L4652" s="272">
        <f t="shared" si="363"/>
        <v>1900</v>
      </c>
      <c r="M4652" s="272">
        <f t="shared" si="364"/>
        <v>1</v>
      </c>
      <c r="O4652" s="61">
        <f t="shared" si="365"/>
        <v>1900</v>
      </c>
      <c r="P4652" s="61">
        <f t="shared" si="366"/>
        <v>1</v>
      </c>
      <c r="R4652" s="272"/>
      <c r="S4652" s="272"/>
    </row>
    <row r="4653" spans="9:19">
      <c r="I4653" s="213"/>
      <c r="J4653" s="213"/>
      <c r="L4653" s="272">
        <f t="shared" si="363"/>
        <v>1900</v>
      </c>
      <c r="M4653" s="272">
        <f t="shared" si="364"/>
        <v>1</v>
      </c>
      <c r="O4653" s="61">
        <f t="shared" si="365"/>
        <v>1900</v>
      </c>
      <c r="P4653" s="61">
        <f t="shared" si="366"/>
        <v>1</v>
      </c>
      <c r="R4653" s="272"/>
      <c r="S4653" s="272"/>
    </row>
    <row r="4654" spans="9:19">
      <c r="I4654" s="213"/>
      <c r="J4654" s="213"/>
      <c r="L4654" s="272">
        <f t="shared" si="363"/>
        <v>1900</v>
      </c>
      <c r="M4654" s="272">
        <f t="shared" si="364"/>
        <v>1</v>
      </c>
      <c r="O4654" s="61">
        <f t="shared" si="365"/>
        <v>1900</v>
      </c>
      <c r="P4654" s="61">
        <f t="shared" si="366"/>
        <v>1</v>
      </c>
      <c r="R4654" s="272"/>
      <c r="S4654" s="272"/>
    </row>
    <row r="4655" spans="9:19">
      <c r="I4655" s="213"/>
      <c r="J4655" s="213"/>
      <c r="L4655" s="272">
        <f t="shared" si="363"/>
        <v>1900</v>
      </c>
      <c r="M4655" s="272">
        <f t="shared" si="364"/>
        <v>1</v>
      </c>
      <c r="O4655" s="61">
        <f t="shared" si="365"/>
        <v>1900</v>
      </c>
      <c r="P4655" s="61">
        <f t="shared" si="366"/>
        <v>1</v>
      </c>
      <c r="R4655" s="272"/>
      <c r="S4655" s="272"/>
    </row>
    <row r="4656" spans="9:19">
      <c r="I4656" s="213"/>
      <c r="J4656" s="213"/>
      <c r="L4656" s="272">
        <f t="shared" si="363"/>
        <v>1900</v>
      </c>
      <c r="M4656" s="272">
        <f t="shared" si="364"/>
        <v>1</v>
      </c>
      <c r="O4656" s="61">
        <f t="shared" si="365"/>
        <v>1900</v>
      </c>
      <c r="P4656" s="61">
        <f t="shared" si="366"/>
        <v>1</v>
      </c>
      <c r="R4656" s="272"/>
      <c r="S4656" s="272"/>
    </row>
    <row r="4657" spans="9:19">
      <c r="I4657" s="213"/>
      <c r="J4657" s="213"/>
      <c r="L4657" s="272">
        <f t="shared" si="363"/>
        <v>1900</v>
      </c>
      <c r="M4657" s="272">
        <f t="shared" si="364"/>
        <v>1</v>
      </c>
      <c r="O4657" s="61">
        <f t="shared" si="365"/>
        <v>1900</v>
      </c>
      <c r="P4657" s="61">
        <f t="shared" si="366"/>
        <v>1</v>
      </c>
      <c r="R4657" s="272"/>
      <c r="S4657" s="272"/>
    </row>
    <row r="4658" spans="9:19">
      <c r="I4658" s="213"/>
      <c r="J4658" s="213"/>
      <c r="L4658" s="272">
        <f t="shared" si="363"/>
        <v>1900</v>
      </c>
      <c r="M4658" s="272">
        <f t="shared" si="364"/>
        <v>1</v>
      </c>
      <c r="O4658" s="61">
        <f t="shared" si="365"/>
        <v>1900</v>
      </c>
      <c r="P4658" s="61">
        <f t="shared" si="366"/>
        <v>1</v>
      </c>
      <c r="R4658" s="272"/>
      <c r="S4658" s="272"/>
    </row>
    <row r="4659" spans="9:19">
      <c r="I4659" s="213"/>
      <c r="J4659" s="213"/>
      <c r="L4659" s="272">
        <f t="shared" si="363"/>
        <v>1900</v>
      </c>
      <c r="M4659" s="272">
        <f t="shared" si="364"/>
        <v>1</v>
      </c>
      <c r="O4659" s="61">
        <f t="shared" si="365"/>
        <v>1900</v>
      </c>
      <c r="P4659" s="61">
        <f t="shared" si="366"/>
        <v>1</v>
      </c>
      <c r="R4659" s="272"/>
      <c r="S4659" s="272"/>
    </row>
    <row r="4660" spans="9:19">
      <c r="I4660" s="213"/>
      <c r="J4660" s="213"/>
      <c r="L4660" s="272">
        <f t="shared" si="363"/>
        <v>1900</v>
      </c>
      <c r="M4660" s="272">
        <f t="shared" si="364"/>
        <v>1</v>
      </c>
      <c r="O4660" s="61">
        <f t="shared" si="365"/>
        <v>1900</v>
      </c>
      <c r="P4660" s="61">
        <f t="shared" si="366"/>
        <v>1</v>
      </c>
      <c r="R4660" s="272"/>
      <c r="S4660" s="272"/>
    </row>
    <row r="4661" spans="9:19">
      <c r="I4661" s="213"/>
      <c r="J4661" s="213"/>
      <c r="L4661" s="272">
        <f t="shared" si="363"/>
        <v>1900</v>
      </c>
      <c r="M4661" s="272">
        <f t="shared" si="364"/>
        <v>1</v>
      </c>
      <c r="O4661" s="61">
        <f t="shared" si="365"/>
        <v>1900</v>
      </c>
      <c r="P4661" s="61">
        <f t="shared" si="366"/>
        <v>1</v>
      </c>
      <c r="R4661" s="272"/>
      <c r="S4661" s="272"/>
    </row>
    <row r="4662" spans="9:19">
      <c r="I4662" s="213"/>
      <c r="J4662" s="213"/>
      <c r="L4662" s="272">
        <f t="shared" si="363"/>
        <v>1900</v>
      </c>
      <c r="M4662" s="272">
        <f t="shared" si="364"/>
        <v>1</v>
      </c>
      <c r="O4662" s="61">
        <f t="shared" si="365"/>
        <v>1900</v>
      </c>
      <c r="P4662" s="61">
        <f t="shared" si="366"/>
        <v>1</v>
      </c>
      <c r="R4662" s="272"/>
      <c r="S4662" s="272"/>
    </row>
    <row r="4663" spans="9:19">
      <c r="I4663" s="213"/>
      <c r="J4663" s="213"/>
      <c r="L4663" s="272">
        <f t="shared" si="363"/>
        <v>1900</v>
      </c>
      <c r="M4663" s="272">
        <f t="shared" si="364"/>
        <v>1</v>
      </c>
      <c r="O4663" s="61">
        <f t="shared" si="365"/>
        <v>1900</v>
      </c>
      <c r="P4663" s="61">
        <f t="shared" si="366"/>
        <v>1</v>
      </c>
      <c r="R4663" s="272"/>
      <c r="S4663" s="272"/>
    </row>
    <row r="4664" spans="9:19">
      <c r="I4664" s="213"/>
      <c r="J4664" s="213"/>
      <c r="L4664" s="272">
        <f t="shared" si="363"/>
        <v>1900</v>
      </c>
      <c r="M4664" s="272">
        <f t="shared" si="364"/>
        <v>1</v>
      </c>
      <c r="O4664" s="61">
        <f t="shared" si="365"/>
        <v>1900</v>
      </c>
      <c r="P4664" s="61">
        <f t="shared" si="366"/>
        <v>1</v>
      </c>
      <c r="R4664" s="272"/>
      <c r="S4664" s="272"/>
    </row>
    <row r="4665" spans="9:19">
      <c r="I4665" s="213"/>
      <c r="J4665" s="213"/>
      <c r="L4665" s="272">
        <f t="shared" si="363"/>
        <v>1900</v>
      </c>
      <c r="M4665" s="272">
        <f t="shared" si="364"/>
        <v>1</v>
      </c>
      <c r="O4665" s="61">
        <f t="shared" si="365"/>
        <v>1900</v>
      </c>
      <c r="P4665" s="61">
        <f t="shared" si="366"/>
        <v>1</v>
      </c>
      <c r="R4665" s="272"/>
      <c r="S4665" s="272"/>
    </row>
    <row r="4666" spans="9:19">
      <c r="I4666" s="213"/>
      <c r="J4666" s="213"/>
      <c r="L4666" s="272">
        <f t="shared" si="363"/>
        <v>1900</v>
      </c>
      <c r="M4666" s="272">
        <f t="shared" si="364"/>
        <v>1</v>
      </c>
      <c r="O4666" s="61">
        <f t="shared" si="365"/>
        <v>1900</v>
      </c>
      <c r="P4666" s="61">
        <f t="shared" si="366"/>
        <v>1</v>
      </c>
      <c r="R4666" s="272"/>
      <c r="S4666" s="272"/>
    </row>
    <row r="4667" spans="9:19">
      <c r="I4667" s="213"/>
      <c r="J4667" s="213"/>
      <c r="L4667" s="272">
        <f t="shared" si="363"/>
        <v>1900</v>
      </c>
      <c r="M4667" s="272">
        <f t="shared" si="364"/>
        <v>1</v>
      </c>
      <c r="O4667" s="61">
        <f t="shared" si="365"/>
        <v>1900</v>
      </c>
      <c r="P4667" s="61">
        <f t="shared" si="366"/>
        <v>1</v>
      </c>
      <c r="R4667" s="272"/>
      <c r="S4667" s="272"/>
    </row>
    <row r="4668" spans="9:19">
      <c r="I4668" s="213"/>
      <c r="J4668" s="213"/>
      <c r="L4668" s="272">
        <f t="shared" si="363"/>
        <v>1900</v>
      </c>
      <c r="M4668" s="272">
        <f t="shared" si="364"/>
        <v>1</v>
      </c>
      <c r="O4668" s="61">
        <f t="shared" si="365"/>
        <v>1900</v>
      </c>
      <c r="P4668" s="61">
        <f t="shared" si="366"/>
        <v>1</v>
      </c>
      <c r="R4668" s="272"/>
      <c r="S4668" s="272"/>
    </row>
    <row r="4669" spans="9:19">
      <c r="I4669" s="213"/>
      <c r="J4669" s="213"/>
      <c r="L4669" s="272">
        <f t="shared" si="363"/>
        <v>1900</v>
      </c>
      <c r="M4669" s="272">
        <f t="shared" si="364"/>
        <v>1</v>
      </c>
      <c r="O4669" s="61">
        <f t="shared" si="365"/>
        <v>1900</v>
      </c>
      <c r="P4669" s="61">
        <f t="shared" si="366"/>
        <v>1</v>
      </c>
      <c r="R4669" s="272"/>
      <c r="S4669" s="272"/>
    </row>
    <row r="4670" spans="9:19">
      <c r="I4670" s="213"/>
      <c r="J4670" s="213"/>
      <c r="L4670" s="272">
        <f t="shared" si="363"/>
        <v>1900</v>
      </c>
      <c r="M4670" s="272">
        <f t="shared" si="364"/>
        <v>1</v>
      </c>
      <c r="O4670" s="61">
        <f t="shared" si="365"/>
        <v>1900</v>
      </c>
      <c r="P4670" s="61">
        <f t="shared" si="366"/>
        <v>1</v>
      </c>
      <c r="R4670" s="272"/>
      <c r="S4670" s="272"/>
    </row>
    <row r="4671" spans="9:19">
      <c r="I4671" s="213"/>
      <c r="J4671" s="213"/>
      <c r="L4671" s="272">
        <f t="shared" si="363"/>
        <v>1900</v>
      </c>
      <c r="M4671" s="272">
        <f t="shared" si="364"/>
        <v>1</v>
      </c>
      <c r="O4671" s="61">
        <f t="shared" si="365"/>
        <v>1900</v>
      </c>
      <c r="P4671" s="61">
        <f t="shared" si="366"/>
        <v>1</v>
      </c>
      <c r="R4671" s="272"/>
      <c r="S4671" s="272"/>
    </row>
    <row r="4672" spans="9:19">
      <c r="I4672" s="213"/>
      <c r="J4672" s="213"/>
      <c r="L4672" s="272">
        <f t="shared" si="363"/>
        <v>1900</v>
      </c>
      <c r="M4672" s="272">
        <f t="shared" si="364"/>
        <v>1</v>
      </c>
      <c r="O4672" s="61">
        <f t="shared" si="365"/>
        <v>1900</v>
      </c>
      <c r="P4672" s="61">
        <f t="shared" si="366"/>
        <v>1</v>
      </c>
      <c r="R4672" s="272"/>
      <c r="S4672" s="272"/>
    </row>
    <row r="4673" spans="9:19">
      <c r="I4673" s="213"/>
      <c r="J4673" s="213"/>
      <c r="L4673" s="272">
        <f t="shared" si="363"/>
        <v>1900</v>
      </c>
      <c r="M4673" s="272">
        <f t="shared" si="364"/>
        <v>1</v>
      </c>
      <c r="O4673" s="61">
        <f t="shared" si="365"/>
        <v>1900</v>
      </c>
      <c r="P4673" s="61">
        <f t="shared" si="366"/>
        <v>1</v>
      </c>
      <c r="R4673" s="272"/>
      <c r="S4673" s="272"/>
    </row>
    <row r="4674" spans="9:19">
      <c r="I4674" s="213"/>
      <c r="J4674" s="213"/>
      <c r="L4674" s="272">
        <f t="shared" si="363"/>
        <v>1900</v>
      </c>
      <c r="M4674" s="272">
        <f t="shared" si="364"/>
        <v>1</v>
      </c>
      <c r="O4674" s="61">
        <f t="shared" si="365"/>
        <v>1900</v>
      </c>
      <c r="P4674" s="61">
        <f t="shared" si="366"/>
        <v>1</v>
      </c>
      <c r="R4674" s="272"/>
      <c r="S4674" s="272"/>
    </row>
    <row r="4675" spans="9:19">
      <c r="I4675" s="213"/>
      <c r="J4675" s="213"/>
      <c r="L4675" s="272">
        <f t="shared" si="363"/>
        <v>1900</v>
      </c>
      <c r="M4675" s="272">
        <f t="shared" si="364"/>
        <v>1</v>
      </c>
      <c r="O4675" s="61">
        <f t="shared" si="365"/>
        <v>1900</v>
      </c>
      <c r="P4675" s="61">
        <f t="shared" si="366"/>
        <v>1</v>
      </c>
      <c r="R4675" s="272"/>
      <c r="S4675" s="272"/>
    </row>
    <row r="4676" spans="9:19">
      <c r="I4676" s="213"/>
      <c r="J4676" s="213"/>
      <c r="L4676" s="272">
        <f t="shared" si="363"/>
        <v>1900</v>
      </c>
      <c r="M4676" s="272">
        <f t="shared" si="364"/>
        <v>1</v>
      </c>
      <c r="O4676" s="61">
        <f t="shared" si="365"/>
        <v>1900</v>
      </c>
      <c r="P4676" s="61">
        <f t="shared" si="366"/>
        <v>1</v>
      </c>
      <c r="R4676" s="272"/>
      <c r="S4676" s="272"/>
    </row>
    <row r="4677" spans="9:19">
      <c r="I4677" s="213"/>
      <c r="J4677" s="213"/>
      <c r="L4677" s="272">
        <f t="shared" si="363"/>
        <v>1900</v>
      </c>
      <c r="M4677" s="272">
        <f t="shared" si="364"/>
        <v>1</v>
      </c>
      <c r="O4677" s="61">
        <f t="shared" si="365"/>
        <v>1900</v>
      </c>
      <c r="P4677" s="61">
        <f t="shared" si="366"/>
        <v>1</v>
      </c>
      <c r="R4677" s="272"/>
      <c r="S4677" s="272"/>
    </row>
    <row r="4678" spans="9:19">
      <c r="I4678" s="213"/>
      <c r="J4678" s="213"/>
      <c r="L4678" s="272">
        <f t="shared" si="363"/>
        <v>1900</v>
      </c>
      <c r="M4678" s="272">
        <f t="shared" si="364"/>
        <v>1</v>
      </c>
      <c r="O4678" s="61">
        <f t="shared" si="365"/>
        <v>1900</v>
      </c>
      <c r="P4678" s="61">
        <f t="shared" si="366"/>
        <v>1</v>
      </c>
      <c r="R4678" s="272"/>
      <c r="S4678" s="272"/>
    </row>
    <row r="4679" spans="9:19">
      <c r="I4679" s="213"/>
      <c r="J4679" s="213"/>
      <c r="L4679" s="272">
        <f t="shared" si="363"/>
        <v>1900</v>
      </c>
      <c r="M4679" s="272">
        <f t="shared" si="364"/>
        <v>1</v>
      </c>
      <c r="O4679" s="61">
        <f t="shared" si="365"/>
        <v>1900</v>
      </c>
      <c r="P4679" s="61">
        <f t="shared" si="366"/>
        <v>1</v>
      </c>
      <c r="R4679" s="272"/>
      <c r="S4679" s="272"/>
    </row>
    <row r="4680" spans="9:19">
      <c r="I4680" s="213"/>
      <c r="J4680" s="213"/>
      <c r="L4680" s="272">
        <f t="shared" si="363"/>
        <v>1900</v>
      </c>
      <c r="M4680" s="272">
        <f t="shared" si="364"/>
        <v>1</v>
      </c>
      <c r="O4680" s="61">
        <f t="shared" si="365"/>
        <v>1900</v>
      </c>
      <c r="P4680" s="61">
        <f t="shared" si="366"/>
        <v>1</v>
      </c>
      <c r="R4680" s="272"/>
      <c r="S4680" s="272"/>
    </row>
    <row r="4681" spans="9:19">
      <c r="I4681" s="213"/>
      <c r="J4681" s="213"/>
      <c r="L4681" s="272">
        <f t="shared" si="363"/>
        <v>1900</v>
      </c>
      <c r="M4681" s="272">
        <f t="shared" si="364"/>
        <v>1</v>
      </c>
      <c r="O4681" s="61">
        <f t="shared" si="365"/>
        <v>1900</v>
      </c>
      <c r="P4681" s="61">
        <f t="shared" si="366"/>
        <v>1</v>
      </c>
      <c r="R4681" s="272"/>
      <c r="S4681" s="272"/>
    </row>
    <row r="4682" spans="9:19">
      <c r="I4682" s="213"/>
      <c r="J4682" s="213"/>
      <c r="L4682" s="272">
        <f t="shared" si="363"/>
        <v>1900</v>
      </c>
      <c r="M4682" s="272">
        <f t="shared" si="364"/>
        <v>1</v>
      </c>
      <c r="O4682" s="61">
        <f t="shared" si="365"/>
        <v>1900</v>
      </c>
      <c r="P4682" s="61">
        <f t="shared" si="366"/>
        <v>1</v>
      </c>
      <c r="R4682" s="272"/>
      <c r="S4682" s="272"/>
    </row>
    <row r="4683" spans="9:19">
      <c r="I4683" s="213"/>
      <c r="J4683" s="213"/>
      <c r="L4683" s="272">
        <f t="shared" si="363"/>
        <v>1900</v>
      </c>
      <c r="M4683" s="272">
        <f t="shared" si="364"/>
        <v>1</v>
      </c>
      <c r="O4683" s="61">
        <f t="shared" si="365"/>
        <v>1900</v>
      </c>
      <c r="P4683" s="61">
        <f t="shared" si="366"/>
        <v>1</v>
      </c>
      <c r="R4683" s="272"/>
      <c r="S4683" s="272"/>
    </row>
    <row r="4684" spans="9:19">
      <c r="I4684" s="213"/>
      <c r="J4684" s="213"/>
      <c r="L4684" s="272">
        <f t="shared" si="363"/>
        <v>1900</v>
      </c>
      <c r="M4684" s="272">
        <f t="shared" si="364"/>
        <v>1</v>
      </c>
      <c r="O4684" s="61">
        <f t="shared" si="365"/>
        <v>1900</v>
      </c>
      <c r="P4684" s="61">
        <f t="shared" si="366"/>
        <v>1</v>
      </c>
      <c r="R4684" s="272"/>
      <c r="S4684" s="272"/>
    </row>
    <row r="4685" spans="9:19">
      <c r="I4685" s="213"/>
      <c r="J4685" s="213"/>
      <c r="L4685" s="272">
        <f t="shared" si="363"/>
        <v>1900</v>
      </c>
      <c r="M4685" s="272">
        <f t="shared" si="364"/>
        <v>1</v>
      </c>
      <c r="O4685" s="61">
        <f t="shared" si="365"/>
        <v>1900</v>
      </c>
      <c r="P4685" s="61">
        <f t="shared" si="366"/>
        <v>1</v>
      </c>
      <c r="R4685" s="272"/>
      <c r="S4685" s="272"/>
    </row>
    <row r="4686" spans="9:19">
      <c r="I4686" s="213"/>
      <c r="J4686" s="213"/>
      <c r="L4686" s="272">
        <f t="shared" si="363"/>
        <v>1900</v>
      </c>
      <c r="M4686" s="272">
        <f t="shared" si="364"/>
        <v>1</v>
      </c>
      <c r="O4686" s="61">
        <f t="shared" si="365"/>
        <v>1900</v>
      </c>
      <c r="P4686" s="61">
        <f t="shared" si="366"/>
        <v>1</v>
      </c>
      <c r="R4686" s="272"/>
      <c r="S4686" s="272"/>
    </row>
    <row r="4687" spans="9:19">
      <c r="I4687" s="213"/>
      <c r="J4687" s="213"/>
      <c r="L4687" s="272">
        <f t="shared" si="363"/>
        <v>1900</v>
      </c>
      <c r="M4687" s="272">
        <f t="shared" si="364"/>
        <v>1</v>
      </c>
      <c r="O4687" s="61">
        <f t="shared" si="365"/>
        <v>1900</v>
      </c>
      <c r="P4687" s="61">
        <f t="shared" si="366"/>
        <v>1</v>
      </c>
      <c r="R4687" s="272"/>
      <c r="S4687" s="272"/>
    </row>
    <row r="4688" spans="9:19">
      <c r="I4688" s="213"/>
      <c r="J4688" s="213"/>
      <c r="L4688" s="272">
        <f t="shared" ref="L4688:L4751" si="367">YEAR(B4688)</f>
        <v>1900</v>
      </c>
      <c r="M4688" s="272">
        <f t="shared" ref="M4688:M4751" si="368">MONTH(B4688)</f>
        <v>1</v>
      </c>
      <c r="O4688" s="61">
        <f t="shared" ref="O4688:O4751" si="369">YEAR(B4688)</f>
        <v>1900</v>
      </c>
      <c r="P4688" s="61">
        <f t="shared" ref="P4688:P4751" si="370">MONTH(B4688)</f>
        <v>1</v>
      </c>
      <c r="R4688" s="272"/>
      <c r="S4688" s="272"/>
    </row>
    <row r="4689" spans="9:19">
      <c r="I4689" s="213"/>
      <c r="J4689" s="213"/>
      <c r="L4689" s="272">
        <f t="shared" si="367"/>
        <v>1900</v>
      </c>
      <c r="M4689" s="272">
        <f t="shared" si="368"/>
        <v>1</v>
      </c>
      <c r="O4689" s="61">
        <f t="shared" si="369"/>
        <v>1900</v>
      </c>
      <c r="P4689" s="61">
        <f t="shared" si="370"/>
        <v>1</v>
      </c>
      <c r="R4689" s="272"/>
      <c r="S4689" s="272"/>
    </row>
    <row r="4690" spans="9:19">
      <c r="I4690" s="213"/>
      <c r="J4690" s="213"/>
      <c r="L4690" s="272">
        <f t="shared" si="367"/>
        <v>1900</v>
      </c>
      <c r="M4690" s="272">
        <f t="shared" si="368"/>
        <v>1</v>
      </c>
      <c r="O4690" s="61">
        <f t="shared" si="369"/>
        <v>1900</v>
      </c>
      <c r="P4690" s="61">
        <f t="shared" si="370"/>
        <v>1</v>
      </c>
      <c r="R4690" s="272"/>
      <c r="S4690" s="272"/>
    </row>
    <row r="4691" spans="9:19">
      <c r="I4691" s="213"/>
      <c r="J4691" s="213"/>
      <c r="L4691" s="272">
        <f t="shared" si="367"/>
        <v>1900</v>
      </c>
      <c r="M4691" s="272">
        <f t="shared" si="368"/>
        <v>1</v>
      </c>
      <c r="O4691" s="61">
        <f t="shared" si="369"/>
        <v>1900</v>
      </c>
      <c r="P4691" s="61">
        <f t="shared" si="370"/>
        <v>1</v>
      </c>
      <c r="R4691" s="272"/>
      <c r="S4691" s="272"/>
    </row>
    <row r="4692" spans="9:19">
      <c r="I4692" s="213"/>
      <c r="J4692" s="213"/>
      <c r="L4692" s="272">
        <f t="shared" si="367"/>
        <v>1900</v>
      </c>
      <c r="M4692" s="272">
        <f t="shared" si="368"/>
        <v>1</v>
      </c>
      <c r="O4692" s="61">
        <f t="shared" si="369"/>
        <v>1900</v>
      </c>
      <c r="P4692" s="61">
        <f t="shared" si="370"/>
        <v>1</v>
      </c>
      <c r="R4692" s="272"/>
      <c r="S4692" s="272"/>
    </row>
    <row r="4693" spans="9:19">
      <c r="I4693" s="213"/>
      <c r="J4693" s="213"/>
      <c r="L4693" s="272">
        <f t="shared" si="367"/>
        <v>1900</v>
      </c>
      <c r="M4693" s="272">
        <f t="shared" si="368"/>
        <v>1</v>
      </c>
      <c r="O4693" s="61">
        <f t="shared" si="369"/>
        <v>1900</v>
      </c>
      <c r="P4693" s="61">
        <f t="shared" si="370"/>
        <v>1</v>
      </c>
      <c r="R4693" s="272"/>
      <c r="S4693" s="272"/>
    </row>
    <row r="4694" spans="9:19">
      <c r="I4694" s="213"/>
      <c r="J4694" s="213"/>
      <c r="L4694" s="272">
        <f t="shared" si="367"/>
        <v>1900</v>
      </c>
      <c r="M4694" s="272">
        <f t="shared" si="368"/>
        <v>1</v>
      </c>
      <c r="O4694" s="61">
        <f t="shared" si="369"/>
        <v>1900</v>
      </c>
      <c r="P4694" s="61">
        <f t="shared" si="370"/>
        <v>1</v>
      </c>
      <c r="R4694" s="272"/>
      <c r="S4694" s="272"/>
    </row>
    <row r="4695" spans="9:19">
      <c r="I4695" s="213"/>
      <c r="J4695" s="213"/>
      <c r="L4695" s="272">
        <f t="shared" si="367"/>
        <v>1900</v>
      </c>
      <c r="M4695" s="272">
        <f t="shared" si="368"/>
        <v>1</v>
      </c>
      <c r="O4695" s="61">
        <f t="shared" si="369"/>
        <v>1900</v>
      </c>
      <c r="P4695" s="61">
        <f t="shared" si="370"/>
        <v>1</v>
      </c>
      <c r="R4695" s="272"/>
      <c r="S4695" s="272"/>
    </row>
    <row r="4696" spans="9:19">
      <c r="I4696" s="213"/>
      <c r="J4696" s="213"/>
      <c r="L4696" s="272">
        <f t="shared" si="367"/>
        <v>1900</v>
      </c>
      <c r="M4696" s="272">
        <f t="shared" si="368"/>
        <v>1</v>
      </c>
      <c r="O4696" s="61">
        <f t="shared" si="369"/>
        <v>1900</v>
      </c>
      <c r="P4696" s="61">
        <f t="shared" si="370"/>
        <v>1</v>
      </c>
      <c r="R4696" s="272"/>
      <c r="S4696" s="272"/>
    </row>
    <row r="4697" spans="9:19">
      <c r="I4697" s="213"/>
      <c r="J4697" s="213"/>
      <c r="L4697" s="272">
        <f t="shared" si="367"/>
        <v>1900</v>
      </c>
      <c r="M4697" s="272">
        <f t="shared" si="368"/>
        <v>1</v>
      </c>
      <c r="O4697" s="61">
        <f t="shared" si="369"/>
        <v>1900</v>
      </c>
      <c r="P4697" s="61">
        <f t="shared" si="370"/>
        <v>1</v>
      </c>
      <c r="R4697" s="272"/>
      <c r="S4697" s="272"/>
    </row>
    <row r="4698" spans="9:19">
      <c r="I4698" s="213"/>
      <c r="J4698" s="213"/>
      <c r="L4698" s="272">
        <f t="shared" si="367"/>
        <v>1900</v>
      </c>
      <c r="M4698" s="272">
        <f t="shared" si="368"/>
        <v>1</v>
      </c>
      <c r="O4698" s="61">
        <f t="shared" si="369"/>
        <v>1900</v>
      </c>
      <c r="P4698" s="61">
        <f t="shared" si="370"/>
        <v>1</v>
      </c>
      <c r="R4698" s="272"/>
      <c r="S4698" s="272"/>
    </row>
    <row r="4699" spans="9:19">
      <c r="I4699" s="213"/>
      <c r="J4699" s="213"/>
      <c r="L4699" s="272">
        <f t="shared" si="367"/>
        <v>1900</v>
      </c>
      <c r="M4699" s="272">
        <f t="shared" si="368"/>
        <v>1</v>
      </c>
      <c r="O4699" s="61">
        <f t="shared" si="369"/>
        <v>1900</v>
      </c>
      <c r="P4699" s="61">
        <f t="shared" si="370"/>
        <v>1</v>
      </c>
      <c r="R4699" s="272"/>
      <c r="S4699" s="272"/>
    </row>
    <row r="4700" spans="9:19">
      <c r="I4700" s="213"/>
      <c r="J4700" s="213"/>
      <c r="L4700" s="272">
        <f t="shared" si="367"/>
        <v>1900</v>
      </c>
      <c r="M4700" s="272">
        <f t="shared" si="368"/>
        <v>1</v>
      </c>
      <c r="O4700" s="61">
        <f t="shared" si="369"/>
        <v>1900</v>
      </c>
      <c r="P4700" s="61">
        <f t="shared" si="370"/>
        <v>1</v>
      </c>
      <c r="R4700" s="272"/>
      <c r="S4700" s="272"/>
    </row>
    <row r="4701" spans="9:19">
      <c r="I4701" s="213"/>
      <c r="J4701" s="213"/>
      <c r="L4701" s="272">
        <f t="shared" si="367"/>
        <v>1900</v>
      </c>
      <c r="M4701" s="272">
        <f t="shared" si="368"/>
        <v>1</v>
      </c>
      <c r="O4701" s="61">
        <f t="shared" si="369"/>
        <v>1900</v>
      </c>
      <c r="P4701" s="61">
        <f t="shared" si="370"/>
        <v>1</v>
      </c>
      <c r="R4701" s="272"/>
      <c r="S4701" s="272"/>
    </row>
    <row r="4702" spans="9:19">
      <c r="I4702" s="213"/>
      <c r="J4702" s="213"/>
      <c r="L4702" s="272">
        <f t="shared" si="367"/>
        <v>1900</v>
      </c>
      <c r="M4702" s="272">
        <f t="shared" si="368"/>
        <v>1</v>
      </c>
      <c r="O4702" s="61">
        <f t="shared" si="369"/>
        <v>1900</v>
      </c>
      <c r="P4702" s="61">
        <f t="shared" si="370"/>
        <v>1</v>
      </c>
      <c r="R4702" s="272"/>
      <c r="S4702" s="272"/>
    </row>
    <row r="4703" spans="9:19">
      <c r="I4703" s="213"/>
      <c r="J4703" s="213"/>
      <c r="L4703" s="272">
        <f t="shared" si="367"/>
        <v>1900</v>
      </c>
      <c r="M4703" s="272">
        <f t="shared" si="368"/>
        <v>1</v>
      </c>
      <c r="O4703" s="61">
        <f t="shared" si="369"/>
        <v>1900</v>
      </c>
      <c r="P4703" s="61">
        <f t="shared" si="370"/>
        <v>1</v>
      </c>
      <c r="R4703" s="272"/>
      <c r="S4703" s="272"/>
    </row>
    <row r="4704" spans="9:19">
      <c r="I4704" s="213"/>
      <c r="J4704" s="213"/>
      <c r="L4704" s="272">
        <f t="shared" si="367"/>
        <v>1900</v>
      </c>
      <c r="M4704" s="272">
        <f t="shared" si="368"/>
        <v>1</v>
      </c>
      <c r="O4704" s="61">
        <f t="shared" si="369"/>
        <v>1900</v>
      </c>
      <c r="P4704" s="61">
        <f t="shared" si="370"/>
        <v>1</v>
      </c>
      <c r="R4704" s="272"/>
      <c r="S4704" s="272"/>
    </row>
    <row r="4705" spans="9:19">
      <c r="I4705" s="213"/>
      <c r="J4705" s="213"/>
      <c r="L4705" s="272">
        <f t="shared" si="367"/>
        <v>1900</v>
      </c>
      <c r="M4705" s="272">
        <f t="shared" si="368"/>
        <v>1</v>
      </c>
      <c r="O4705" s="61">
        <f t="shared" si="369"/>
        <v>1900</v>
      </c>
      <c r="P4705" s="61">
        <f t="shared" si="370"/>
        <v>1</v>
      </c>
      <c r="R4705" s="272"/>
      <c r="S4705" s="272"/>
    </row>
    <row r="4706" spans="9:19">
      <c r="I4706" s="213"/>
      <c r="J4706" s="213"/>
      <c r="L4706" s="272">
        <f t="shared" si="367"/>
        <v>1900</v>
      </c>
      <c r="M4706" s="272">
        <f t="shared" si="368"/>
        <v>1</v>
      </c>
      <c r="O4706" s="61">
        <f t="shared" si="369"/>
        <v>1900</v>
      </c>
      <c r="P4706" s="61">
        <f t="shared" si="370"/>
        <v>1</v>
      </c>
      <c r="R4706" s="272"/>
      <c r="S4706" s="272"/>
    </row>
    <row r="4707" spans="9:19">
      <c r="I4707" s="213"/>
      <c r="J4707" s="213"/>
      <c r="L4707" s="272">
        <f t="shared" si="367"/>
        <v>1900</v>
      </c>
      <c r="M4707" s="272">
        <f t="shared" si="368"/>
        <v>1</v>
      </c>
      <c r="O4707" s="61">
        <f t="shared" si="369"/>
        <v>1900</v>
      </c>
      <c r="P4707" s="61">
        <f t="shared" si="370"/>
        <v>1</v>
      </c>
      <c r="R4707" s="272"/>
      <c r="S4707" s="272"/>
    </row>
    <row r="4708" spans="9:19">
      <c r="I4708" s="213"/>
      <c r="J4708" s="213"/>
      <c r="L4708" s="272">
        <f t="shared" si="367"/>
        <v>1900</v>
      </c>
      <c r="M4708" s="272">
        <f t="shared" si="368"/>
        <v>1</v>
      </c>
      <c r="O4708" s="61">
        <f t="shared" si="369"/>
        <v>1900</v>
      </c>
      <c r="P4708" s="61">
        <f t="shared" si="370"/>
        <v>1</v>
      </c>
      <c r="R4708" s="272"/>
      <c r="S4708" s="272"/>
    </row>
    <row r="4709" spans="9:19">
      <c r="I4709" s="213"/>
      <c r="J4709" s="213"/>
      <c r="L4709" s="272">
        <f t="shared" si="367"/>
        <v>1900</v>
      </c>
      <c r="M4709" s="272">
        <f t="shared" si="368"/>
        <v>1</v>
      </c>
      <c r="O4709" s="61">
        <f t="shared" si="369"/>
        <v>1900</v>
      </c>
      <c r="P4709" s="61">
        <f t="shared" si="370"/>
        <v>1</v>
      </c>
      <c r="R4709" s="272"/>
      <c r="S4709" s="272"/>
    </row>
    <row r="4710" spans="9:19">
      <c r="I4710" s="213"/>
      <c r="J4710" s="213"/>
      <c r="L4710" s="272">
        <f t="shared" si="367"/>
        <v>1900</v>
      </c>
      <c r="M4710" s="272">
        <f t="shared" si="368"/>
        <v>1</v>
      </c>
      <c r="O4710" s="61">
        <f t="shared" si="369"/>
        <v>1900</v>
      </c>
      <c r="P4710" s="61">
        <f t="shared" si="370"/>
        <v>1</v>
      </c>
      <c r="R4710" s="272"/>
      <c r="S4710" s="272"/>
    </row>
    <row r="4711" spans="9:19">
      <c r="I4711" s="213"/>
      <c r="J4711" s="213"/>
      <c r="L4711" s="272">
        <f t="shared" si="367"/>
        <v>1900</v>
      </c>
      <c r="M4711" s="272">
        <f t="shared" si="368"/>
        <v>1</v>
      </c>
      <c r="O4711" s="61">
        <f t="shared" si="369"/>
        <v>1900</v>
      </c>
      <c r="P4711" s="61">
        <f t="shared" si="370"/>
        <v>1</v>
      </c>
      <c r="R4711" s="272"/>
      <c r="S4711" s="272"/>
    </row>
    <row r="4712" spans="9:19">
      <c r="I4712" s="213"/>
      <c r="J4712" s="213"/>
      <c r="L4712" s="272">
        <f t="shared" si="367"/>
        <v>1900</v>
      </c>
      <c r="M4712" s="272">
        <f t="shared" si="368"/>
        <v>1</v>
      </c>
      <c r="O4712" s="61">
        <f t="shared" si="369"/>
        <v>1900</v>
      </c>
      <c r="P4712" s="61">
        <f t="shared" si="370"/>
        <v>1</v>
      </c>
      <c r="R4712" s="272"/>
      <c r="S4712" s="272"/>
    </row>
    <row r="4713" spans="9:19">
      <c r="I4713" s="213"/>
      <c r="J4713" s="213"/>
      <c r="L4713" s="272">
        <f t="shared" si="367"/>
        <v>1900</v>
      </c>
      <c r="M4713" s="272">
        <f t="shared" si="368"/>
        <v>1</v>
      </c>
      <c r="O4713" s="61">
        <f t="shared" si="369"/>
        <v>1900</v>
      </c>
      <c r="P4713" s="61">
        <f t="shared" si="370"/>
        <v>1</v>
      </c>
      <c r="R4713" s="272"/>
      <c r="S4713" s="272"/>
    </row>
    <row r="4714" spans="9:19">
      <c r="I4714" s="213"/>
      <c r="J4714" s="213"/>
      <c r="L4714" s="272">
        <f t="shared" si="367"/>
        <v>1900</v>
      </c>
      <c r="M4714" s="272">
        <f t="shared" si="368"/>
        <v>1</v>
      </c>
      <c r="O4714" s="61">
        <f t="shared" si="369"/>
        <v>1900</v>
      </c>
      <c r="P4714" s="61">
        <f t="shared" si="370"/>
        <v>1</v>
      </c>
      <c r="R4714" s="272"/>
      <c r="S4714" s="272"/>
    </row>
    <row r="4715" spans="9:19">
      <c r="I4715" s="213"/>
      <c r="J4715" s="213"/>
      <c r="L4715" s="272">
        <f t="shared" si="367"/>
        <v>1900</v>
      </c>
      <c r="M4715" s="272">
        <f t="shared" si="368"/>
        <v>1</v>
      </c>
      <c r="O4715" s="61">
        <f t="shared" si="369"/>
        <v>1900</v>
      </c>
      <c r="P4715" s="61">
        <f t="shared" si="370"/>
        <v>1</v>
      </c>
      <c r="R4715" s="272"/>
      <c r="S4715" s="272"/>
    </row>
    <row r="4716" spans="9:19">
      <c r="I4716" s="213"/>
      <c r="J4716" s="213"/>
      <c r="L4716" s="272">
        <f t="shared" si="367"/>
        <v>1900</v>
      </c>
      <c r="M4716" s="272">
        <f t="shared" si="368"/>
        <v>1</v>
      </c>
      <c r="O4716" s="61">
        <f t="shared" si="369"/>
        <v>1900</v>
      </c>
      <c r="P4716" s="61">
        <f t="shared" si="370"/>
        <v>1</v>
      </c>
      <c r="R4716" s="272"/>
      <c r="S4716" s="272"/>
    </row>
    <row r="4717" spans="9:19">
      <c r="I4717" s="213"/>
      <c r="J4717" s="213"/>
      <c r="L4717" s="272">
        <f t="shared" si="367"/>
        <v>1900</v>
      </c>
      <c r="M4717" s="272">
        <f t="shared" si="368"/>
        <v>1</v>
      </c>
      <c r="O4717" s="61">
        <f t="shared" si="369"/>
        <v>1900</v>
      </c>
      <c r="P4717" s="61">
        <f t="shared" si="370"/>
        <v>1</v>
      </c>
      <c r="R4717" s="272"/>
      <c r="S4717" s="272"/>
    </row>
    <row r="4718" spans="9:19">
      <c r="I4718" s="213"/>
      <c r="J4718" s="213"/>
      <c r="L4718" s="272">
        <f t="shared" si="367"/>
        <v>1900</v>
      </c>
      <c r="M4718" s="272">
        <f t="shared" si="368"/>
        <v>1</v>
      </c>
      <c r="O4718" s="61">
        <f t="shared" si="369"/>
        <v>1900</v>
      </c>
      <c r="P4718" s="61">
        <f t="shared" si="370"/>
        <v>1</v>
      </c>
      <c r="R4718" s="272"/>
      <c r="S4718" s="272"/>
    </row>
    <row r="4719" spans="9:19">
      <c r="I4719" s="213"/>
      <c r="J4719" s="213"/>
      <c r="L4719" s="272">
        <f t="shared" si="367"/>
        <v>1900</v>
      </c>
      <c r="M4719" s="272">
        <f t="shared" si="368"/>
        <v>1</v>
      </c>
      <c r="O4719" s="61">
        <f t="shared" si="369"/>
        <v>1900</v>
      </c>
      <c r="P4719" s="61">
        <f t="shared" si="370"/>
        <v>1</v>
      </c>
      <c r="R4719" s="272"/>
      <c r="S4719" s="272"/>
    </row>
    <row r="4720" spans="9:19">
      <c r="I4720" s="213"/>
      <c r="J4720" s="213"/>
      <c r="L4720" s="272">
        <f t="shared" si="367"/>
        <v>1900</v>
      </c>
      <c r="M4720" s="272">
        <f t="shared" si="368"/>
        <v>1</v>
      </c>
      <c r="O4720" s="61">
        <f t="shared" si="369"/>
        <v>1900</v>
      </c>
      <c r="P4720" s="61">
        <f t="shared" si="370"/>
        <v>1</v>
      </c>
      <c r="R4720" s="272"/>
      <c r="S4720" s="272"/>
    </row>
    <row r="4721" spans="9:19">
      <c r="I4721" s="213"/>
      <c r="J4721" s="213"/>
      <c r="L4721" s="272">
        <f t="shared" si="367"/>
        <v>1900</v>
      </c>
      <c r="M4721" s="272">
        <f t="shared" si="368"/>
        <v>1</v>
      </c>
      <c r="O4721" s="61">
        <f t="shared" si="369"/>
        <v>1900</v>
      </c>
      <c r="P4721" s="61">
        <f t="shared" si="370"/>
        <v>1</v>
      </c>
      <c r="R4721" s="272"/>
      <c r="S4721" s="272"/>
    </row>
    <row r="4722" spans="9:19">
      <c r="I4722" s="213"/>
      <c r="J4722" s="213"/>
      <c r="L4722" s="272">
        <f t="shared" si="367"/>
        <v>1900</v>
      </c>
      <c r="M4722" s="272">
        <f t="shared" si="368"/>
        <v>1</v>
      </c>
      <c r="O4722" s="61">
        <f t="shared" si="369"/>
        <v>1900</v>
      </c>
      <c r="P4722" s="61">
        <f t="shared" si="370"/>
        <v>1</v>
      </c>
      <c r="R4722" s="272"/>
      <c r="S4722" s="272"/>
    </row>
    <row r="4723" spans="9:19">
      <c r="I4723" s="213"/>
      <c r="J4723" s="213"/>
      <c r="L4723" s="272">
        <f t="shared" si="367"/>
        <v>1900</v>
      </c>
      <c r="M4723" s="272">
        <f t="shared" si="368"/>
        <v>1</v>
      </c>
      <c r="O4723" s="61">
        <f t="shared" si="369"/>
        <v>1900</v>
      </c>
      <c r="P4723" s="61">
        <f t="shared" si="370"/>
        <v>1</v>
      </c>
      <c r="R4723" s="272"/>
      <c r="S4723" s="272"/>
    </row>
    <row r="4724" spans="9:19">
      <c r="I4724" s="213"/>
      <c r="J4724" s="213"/>
      <c r="L4724" s="272">
        <f t="shared" si="367"/>
        <v>1900</v>
      </c>
      <c r="M4724" s="272">
        <f t="shared" si="368"/>
        <v>1</v>
      </c>
      <c r="O4724" s="61">
        <f t="shared" si="369"/>
        <v>1900</v>
      </c>
      <c r="P4724" s="61">
        <f t="shared" si="370"/>
        <v>1</v>
      </c>
      <c r="R4724" s="272"/>
      <c r="S4724" s="272"/>
    </row>
    <row r="4725" spans="9:19">
      <c r="I4725" s="213"/>
      <c r="J4725" s="213"/>
      <c r="L4725" s="272">
        <f t="shared" si="367"/>
        <v>1900</v>
      </c>
      <c r="M4725" s="272">
        <f t="shared" si="368"/>
        <v>1</v>
      </c>
      <c r="O4725" s="61">
        <f t="shared" si="369"/>
        <v>1900</v>
      </c>
      <c r="P4725" s="61">
        <f t="shared" si="370"/>
        <v>1</v>
      </c>
      <c r="R4725" s="272"/>
      <c r="S4725" s="272"/>
    </row>
    <row r="4726" spans="9:19">
      <c r="I4726" s="213"/>
      <c r="J4726" s="213"/>
      <c r="L4726" s="272">
        <f t="shared" si="367"/>
        <v>1900</v>
      </c>
      <c r="M4726" s="272">
        <f t="shared" si="368"/>
        <v>1</v>
      </c>
      <c r="O4726" s="61">
        <f t="shared" si="369"/>
        <v>1900</v>
      </c>
      <c r="P4726" s="61">
        <f t="shared" si="370"/>
        <v>1</v>
      </c>
      <c r="R4726" s="272"/>
      <c r="S4726" s="272"/>
    </row>
    <row r="4727" spans="9:19">
      <c r="I4727" s="213"/>
      <c r="J4727" s="213"/>
      <c r="L4727" s="272">
        <f t="shared" si="367"/>
        <v>1900</v>
      </c>
      <c r="M4727" s="272">
        <f t="shared" si="368"/>
        <v>1</v>
      </c>
      <c r="O4727" s="61">
        <f t="shared" si="369"/>
        <v>1900</v>
      </c>
      <c r="P4727" s="61">
        <f t="shared" si="370"/>
        <v>1</v>
      </c>
      <c r="R4727" s="272"/>
      <c r="S4727" s="272"/>
    </row>
    <row r="4728" spans="9:19">
      <c r="I4728" s="213"/>
      <c r="J4728" s="213"/>
      <c r="L4728" s="272">
        <f t="shared" si="367"/>
        <v>1900</v>
      </c>
      <c r="M4728" s="272">
        <f t="shared" si="368"/>
        <v>1</v>
      </c>
      <c r="O4728" s="61">
        <f t="shared" si="369"/>
        <v>1900</v>
      </c>
      <c r="P4728" s="61">
        <f t="shared" si="370"/>
        <v>1</v>
      </c>
      <c r="R4728" s="272"/>
      <c r="S4728" s="272"/>
    </row>
    <row r="4729" spans="9:19">
      <c r="I4729" s="213"/>
      <c r="J4729" s="213"/>
      <c r="L4729" s="272">
        <f t="shared" si="367"/>
        <v>1900</v>
      </c>
      <c r="M4729" s="272">
        <f t="shared" si="368"/>
        <v>1</v>
      </c>
      <c r="O4729" s="61">
        <f t="shared" si="369"/>
        <v>1900</v>
      </c>
      <c r="P4729" s="61">
        <f t="shared" si="370"/>
        <v>1</v>
      </c>
      <c r="R4729" s="272"/>
      <c r="S4729" s="272"/>
    </row>
    <row r="4730" spans="9:19">
      <c r="I4730" s="213"/>
      <c r="J4730" s="213"/>
      <c r="L4730" s="272">
        <f t="shared" si="367"/>
        <v>1900</v>
      </c>
      <c r="M4730" s="272">
        <f t="shared" si="368"/>
        <v>1</v>
      </c>
      <c r="O4730" s="61">
        <f t="shared" si="369"/>
        <v>1900</v>
      </c>
      <c r="P4730" s="61">
        <f t="shared" si="370"/>
        <v>1</v>
      </c>
      <c r="R4730" s="272"/>
      <c r="S4730" s="272"/>
    </row>
    <row r="4731" spans="9:19">
      <c r="I4731" s="213"/>
      <c r="J4731" s="213"/>
      <c r="L4731" s="272">
        <f t="shared" si="367"/>
        <v>1900</v>
      </c>
      <c r="M4731" s="272">
        <f t="shared" si="368"/>
        <v>1</v>
      </c>
      <c r="O4731" s="61">
        <f t="shared" si="369"/>
        <v>1900</v>
      </c>
      <c r="P4731" s="61">
        <f t="shared" si="370"/>
        <v>1</v>
      </c>
      <c r="R4731" s="272"/>
      <c r="S4731" s="272"/>
    </row>
    <row r="4732" spans="9:19">
      <c r="I4732" s="213"/>
      <c r="J4732" s="213"/>
      <c r="L4732" s="272">
        <f t="shared" si="367"/>
        <v>1900</v>
      </c>
      <c r="M4732" s="272">
        <f t="shared" si="368"/>
        <v>1</v>
      </c>
      <c r="O4732" s="61">
        <f t="shared" si="369"/>
        <v>1900</v>
      </c>
      <c r="P4732" s="61">
        <f t="shared" si="370"/>
        <v>1</v>
      </c>
      <c r="R4732" s="272"/>
      <c r="S4732" s="272"/>
    </row>
    <row r="4733" spans="9:19">
      <c r="I4733" s="213"/>
      <c r="J4733" s="213"/>
      <c r="L4733" s="272">
        <f t="shared" si="367"/>
        <v>1900</v>
      </c>
      <c r="M4733" s="272">
        <f t="shared" si="368"/>
        <v>1</v>
      </c>
      <c r="O4733" s="61">
        <f t="shared" si="369"/>
        <v>1900</v>
      </c>
      <c r="P4733" s="61">
        <f t="shared" si="370"/>
        <v>1</v>
      </c>
      <c r="R4733" s="272"/>
      <c r="S4733" s="272"/>
    </row>
    <row r="4734" spans="9:19">
      <c r="I4734" s="213"/>
      <c r="J4734" s="213"/>
      <c r="L4734" s="272">
        <f t="shared" si="367"/>
        <v>1900</v>
      </c>
      <c r="M4734" s="272">
        <f t="shared" si="368"/>
        <v>1</v>
      </c>
      <c r="O4734" s="61">
        <f t="shared" si="369"/>
        <v>1900</v>
      </c>
      <c r="P4734" s="61">
        <f t="shared" si="370"/>
        <v>1</v>
      </c>
      <c r="R4734" s="272"/>
      <c r="S4734" s="272"/>
    </row>
    <row r="4735" spans="9:19">
      <c r="I4735" s="213"/>
      <c r="J4735" s="213"/>
      <c r="L4735" s="272">
        <f t="shared" si="367"/>
        <v>1900</v>
      </c>
      <c r="M4735" s="272">
        <f t="shared" si="368"/>
        <v>1</v>
      </c>
      <c r="O4735" s="61">
        <f t="shared" si="369"/>
        <v>1900</v>
      </c>
      <c r="P4735" s="61">
        <f t="shared" si="370"/>
        <v>1</v>
      </c>
      <c r="R4735" s="272"/>
      <c r="S4735" s="272"/>
    </row>
    <row r="4736" spans="9:19">
      <c r="I4736" s="213"/>
      <c r="J4736" s="213"/>
      <c r="L4736" s="272">
        <f t="shared" si="367"/>
        <v>1900</v>
      </c>
      <c r="M4736" s="272">
        <f t="shared" si="368"/>
        <v>1</v>
      </c>
      <c r="O4736" s="61">
        <f t="shared" si="369"/>
        <v>1900</v>
      </c>
      <c r="P4736" s="61">
        <f t="shared" si="370"/>
        <v>1</v>
      </c>
      <c r="R4736" s="272"/>
      <c r="S4736" s="272"/>
    </row>
    <row r="4737" spans="9:19">
      <c r="I4737" s="213"/>
      <c r="J4737" s="213"/>
      <c r="L4737" s="272">
        <f t="shared" si="367"/>
        <v>1900</v>
      </c>
      <c r="M4737" s="272">
        <f t="shared" si="368"/>
        <v>1</v>
      </c>
      <c r="O4737" s="61">
        <f t="shared" si="369"/>
        <v>1900</v>
      </c>
      <c r="P4737" s="61">
        <f t="shared" si="370"/>
        <v>1</v>
      </c>
      <c r="R4737" s="272"/>
      <c r="S4737" s="272"/>
    </row>
    <row r="4738" spans="9:19">
      <c r="I4738" s="213"/>
      <c r="J4738" s="213"/>
      <c r="L4738" s="272">
        <f t="shared" si="367"/>
        <v>1900</v>
      </c>
      <c r="M4738" s="272">
        <f t="shared" si="368"/>
        <v>1</v>
      </c>
      <c r="O4738" s="61">
        <f t="shared" si="369"/>
        <v>1900</v>
      </c>
      <c r="P4738" s="61">
        <f t="shared" si="370"/>
        <v>1</v>
      </c>
      <c r="R4738" s="272"/>
      <c r="S4738" s="272"/>
    </row>
    <row r="4739" spans="9:19">
      <c r="I4739" s="213"/>
      <c r="J4739" s="213"/>
      <c r="L4739" s="272">
        <f t="shared" si="367"/>
        <v>1900</v>
      </c>
      <c r="M4739" s="272">
        <f t="shared" si="368"/>
        <v>1</v>
      </c>
      <c r="O4739" s="61">
        <f t="shared" si="369"/>
        <v>1900</v>
      </c>
      <c r="P4739" s="61">
        <f t="shared" si="370"/>
        <v>1</v>
      </c>
      <c r="R4739" s="272"/>
      <c r="S4739" s="272"/>
    </row>
    <row r="4740" spans="9:19">
      <c r="I4740" s="213"/>
      <c r="J4740" s="213"/>
      <c r="L4740" s="272">
        <f t="shared" si="367"/>
        <v>1900</v>
      </c>
      <c r="M4740" s="272">
        <f t="shared" si="368"/>
        <v>1</v>
      </c>
      <c r="O4740" s="61">
        <f t="shared" si="369"/>
        <v>1900</v>
      </c>
      <c r="P4740" s="61">
        <f t="shared" si="370"/>
        <v>1</v>
      </c>
      <c r="R4740" s="272"/>
      <c r="S4740" s="272"/>
    </row>
    <row r="4741" spans="9:19">
      <c r="I4741" s="213"/>
      <c r="J4741" s="213"/>
      <c r="L4741" s="272">
        <f t="shared" si="367"/>
        <v>1900</v>
      </c>
      <c r="M4741" s="272">
        <f t="shared" si="368"/>
        <v>1</v>
      </c>
      <c r="O4741" s="61">
        <f t="shared" si="369"/>
        <v>1900</v>
      </c>
      <c r="P4741" s="61">
        <f t="shared" si="370"/>
        <v>1</v>
      </c>
      <c r="R4741" s="272"/>
      <c r="S4741" s="272"/>
    </row>
    <row r="4742" spans="9:19">
      <c r="I4742" s="213"/>
      <c r="J4742" s="213"/>
      <c r="L4742" s="272">
        <f t="shared" si="367"/>
        <v>1900</v>
      </c>
      <c r="M4742" s="272">
        <f t="shared" si="368"/>
        <v>1</v>
      </c>
      <c r="O4742" s="61">
        <f t="shared" si="369"/>
        <v>1900</v>
      </c>
      <c r="P4742" s="61">
        <f t="shared" si="370"/>
        <v>1</v>
      </c>
      <c r="R4742" s="272"/>
      <c r="S4742" s="272"/>
    </row>
    <row r="4743" spans="9:19">
      <c r="I4743" s="213"/>
      <c r="J4743" s="213"/>
      <c r="L4743" s="272">
        <f t="shared" si="367"/>
        <v>1900</v>
      </c>
      <c r="M4743" s="272">
        <f t="shared" si="368"/>
        <v>1</v>
      </c>
      <c r="O4743" s="61">
        <f t="shared" si="369"/>
        <v>1900</v>
      </c>
      <c r="P4743" s="61">
        <f t="shared" si="370"/>
        <v>1</v>
      </c>
      <c r="R4743" s="272"/>
      <c r="S4743" s="272"/>
    </row>
    <row r="4744" spans="9:19">
      <c r="I4744" s="213"/>
      <c r="J4744" s="213"/>
      <c r="L4744" s="272">
        <f t="shared" si="367"/>
        <v>1900</v>
      </c>
      <c r="M4744" s="272">
        <f t="shared" si="368"/>
        <v>1</v>
      </c>
      <c r="O4744" s="61">
        <f t="shared" si="369"/>
        <v>1900</v>
      </c>
      <c r="P4744" s="61">
        <f t="shared" si="370"/>
        <v>1</v>
      </c>
      <c r="R4744" s="272"/>
      <c r="S4744" s="272"/>
    </row>
    <row r="4745" spans="9:19">
      <c r="I4745" s="213"/>
      <c r="J4745" s="213"/>
      <c r="L4745" s="272">
        <f t="shared" si="367"/>
        <v>1900</v>
      </c>
      <c r="M4745" s="272">
        <f t="shared" si="368"/>
        <v>1</v>
      </c>
      <c r="O4745" s="61">
        <f t="shared" si="369"/>
        <v>1900</v>
      </c>
      <c r="P4745" s="61">
        <f t="shared" si="370"/>
        <v>1</v>
      </c>
      <c r="R4745" s="272"/>
      <c r="S4745" s="272"/>
    </row>
    <row r="4746" spans="9:19">
      <c r="I4746" s="213"/>
      <c r="J4746" s="213"/>
      <c r="L4746" s="272">
        <f t="shared" si="367"/>
        <v>1900</v>
      </c>
      <c r="M4746" s="272">
        <f t="shared" si="368"/>
        <v>1</v>
      </c>
      <c r="O4746" s="61">
        <f t="shared" si="369"/>
        <v>1900</v>
      </c>
      <c r="P4746" s="61">
        <f t="shared" si="370"/>
        <v>1</v>
      </c>
      <c r="R4746" s="272"/>
      <c r="S4746" s="272"/>
    </row>
    <row r="4747" spans="9:19">
      <c r="I4747" s="213"/>
      <c r="J4747" s="213"/>
      <c r="L4747" s="272">
        <f t="shared" si="367"/>
        <v>1900</v>
      </c>
      <c r="M4747" s="272">
        <f t="shared" si="368"/>
        <v>1</v>
      </c>
      <c r="O4747" s="61">
        <f t="shared" si="369"/>
        <v>1900</v>
      </c>
      <c r="P4747" s="61">
        <f t="shared" si="370"/>
        <v>1</v>
      </c>
      <c r="R4747" s="272"/>
      <c r="S4747" s="272"/>
    </row>
    <row r="4748" spans="9:19">
      <c r="I4748" s="213"/>
      <c r="J4748" s="213"/>
      <c r="L4748" s="272">
        <f t="shared" si="367"/>
        <v>1900</v>
      </c>
      <c r="M4748" s="272">
        <f t="shared" si="368"/>
        <v>1</v>
      </c>
      <c r="O4748" s="61">
        <f t="shared" si="369"/>
        <v>1900</v>
      </c>
      <c r="P4748" s="61">
        <f t="shared" si="370"/>
        <v>1</v>
      </c>
      <c r="R4748" s="272"/>
      <c r="S4748" s="272"/>
    </row>
    <row r="4749" spans="9:19">
      <c r="I4749" s="213"/>
      <c r="J4749" s="213"/>
      <c r="L4749" s="272">
        <f t="shared" si="367"/>
        <v>1900</v>
      </c>
      <c r="M4749" s="272">
        <f t="shared" si="368"/>
        <v>1</v>
      </c>
      <c r="O4749" s="61">
        <f t="shared" si="369"/>
        <v>1900</v>
      </c>
      <c r="P4749" s="61">
        <f t="shared" si="370"/>
        <v>1</v>
      </c>
      <c r="R4749" s="272"/>
      <c r="S4749" s="272"/>
    </row>
    <row r="4750" spans="9:19">
      <c r="I4750" s="213"/>
      <c r="J4750" s="213"/>
      <c r="L4750" s="272">
        <f t="shared" si="367"/>
        <v>1900</v>
      </c>
      <c r="M4750" s="272">
        <f t="shared" si="368"/>
        <v>1</v>
      </c>
      <c r="O4750" s="61">
        <f t="shared" si="369"/>
        <v>1900</v>
      </c>
      <c r="P4750" s="61">
        <f t="shared" si="370"/>
        <v>1</v>
      </c>
      <c r="R4750" s="272"/>
      <c r="S4750" s="272"/>
    </row>
    <row r="4751" spans="9:19">
      <c r="I4751" s="213"/>
      <c r="J4751" s="213"/>
      <c r="L4751" s="272">
        <f t="shared" si="367"/>
        <v>1900</v>
      </c>
      <c r="M4751" s="272">
        <f t="shared" si="368"/>
        <v>1</v>
      </c>
      <c r="O4751" s="61">
        <f t="shared" si="369"/>
        <v>1900</v>
      </c>
      <c r="P4751" s="61">
        <f t="shared" si="370"/>
        <v>1</v>
      </c>
      <c r="R4751" s="272"/>
      <c r="S4751" s="272"/>
    </row>
    <row r="4752" spans="9:19">
      <c r="I4752" s="213"/>
      <c r="J4752" s="213"/>
      <c r="L4752" s="272">
        <f t="shared" ref="L4752:L4815" si="371">YEAR(B4752)</f>
        <v>1900</v>
      </c>
      <c r="M4752" s="272">
        <f t="shared" ref="M4752:M4815" si="372">MONTH(B4752)</f>
        <v>1</v>
      </c>
      <c r="O4752" s="61">
        <f t="shared" ref="O4752:O4815" si="373">YEAR(B4752)</f>
        <v>1900</v>
      </c>
      <c r="P4752" s="61">
        <f t="shared" ref="P4752:P4815" si="374">MONTH(B4752)</f>
        <v>1</v>
      </c>
      <c r="R4752" s="272"/>
      <c r="S4752" s="272"/>
    </row>
    <row r="4753" spans="9:19">
      <c r="I4753" s="213"/>
      <c r="J4753" s="213"/>
      <c r="L4753" s="272">
        <f t="shared" si="371"/>
        <v>1900</v>
      </c>
      <c r="M4753" s="272">
        <f t="shared" si="372"/>
        <v>1</v>
      </c>
      <c r="O4753" s="61">
        <f t="shared" si="373"/>
        <v>1900</v>
      </c>
      <c r="P4753" s="61">
        <f t="shared" si="374"/>
        <v>1</v>
      </c>
      <c r="R4753" s="272"/>
      <c r="S4753" s="272"/>
    </row>
    <row r="4754" spans="9:19">
      <c r="I4754" s="213"/>
      <c r="J4754" s="213"/>
      <c r="L4754" s="272">
        <f t="shared" si="371"/>
        <v>1900</v>
      </c>
      <c r="M4754" s="272">
        <f t="shared" si="372"/>
        <v>1</v>
      </c>
      <c r="O4754" s="61">
        <f t="shared" si="373"/>
        <v>1900</v>
      </c>
      <c r="P4754" s="61">
        <f t="shared" si="374"/>
        <v>1</v>
      </c>
      <c r="R4754" s="272"/>
      <c r="S4754" s="272"/>
    </row>
    <row r="4755" spans="9:19">
      <c r="I4755" s="213"/>
      <c r="J4755" s="213"/>
      <c r="L4755" s="272">
        <f t="shared" si="371"/>
        <v>1900</v>
      </c>
      <c r="M4755" s="272">
        <f t="shared" si="372"/>
        <v>1</v>
      </c>
      <c r="O4755" s="61">
        <f t="shared" si="373"/>
        <v>1900</v>
      </c>
      <c r="P4755" s="61">
        <f t="shared" si="374"/>
        <v>1</v>
      </c>
      <c r="R4755" s="272"/>
      <c r="S4755" s="272"/>
    </row>
    <row r="4756" spans="9:19">
      <c r="I4756" s="213"/>
      <c r="J4756" s="213"/>
      <c r="L4756" s="272">
        <f t="shared" si="371"/>
        <v>1900</v>
      </c>
      <c r="M4756" s="272">
        <f t="shared" si="372"/>
        <v>1</v>
      </c>
      <c r="O4756" s="61">
        <f t="shared" si="373"/>
        <v>1900</v>
      </c>
      <c r="P4756" s="61">
        <f t="shared" si="374"/>
        <v>1</v>
      </c>
      <c r="R4756" s="272"/>
      <c r="S4756" s="272"/>
    </row>
    <row r="4757" spans="9:19">
      <c r="I4757" s="213"/>
      <c r="J4757" s="213"/>
      <c r="L4757" s="272">
        <f t="shared" si="371"/>
        <v>1900</v>
      </c>
      <c r="M4757" s="272">
        <f t="shared" si="372"/>
        <v>1</v>
      </c>
      <c r="O4757" s="61">
        <f t="shared" si="373"/>
        <v>1900</v>
      </c>
      <c r="P4757" s="61">
        <f t="shared" si="374"/>
        <v>1</v>
      </c>
      <c r="R4757" s="272"/>
      <c r="S4757" s="272"/>
    </row>
    <row r="4758" spans="9:19">
      <c r="I4758" s="213"/>
      <c r="J4758" s="213"/>
      <c r="L4758" s="272">
        <f t="shared" si="371"/>
        <v>1900</v>
      </c>
      <c r="M4758" s="272">
        <f t="shared" si="372"/>
        <v>1</v>
      </c>
      <c r="O4758" s="61">
        <f t="shared" si="373"/>
        <v>1900</v>
      </c>
      <c r="P4758" s="61">
        <f t="shared" si="374"/>
        <v>1</v>
      </c>
      <c r="R4758" s="272"/>
      <c r="S4758" s="272"/>
    </row>
    <row r="4759" spans="9:19">
      <c r="I4759" s="213"/>
      <c r="J4759" s="213"/>
      <c r="L4759" s="272">
        <f t="shared" si="371"/>
        <v>1900</v>
      </c>
      <c r="M4759" s="272">
        <f t="shared" si="372"/>
        <v>1</v>
      </c>
      <c r="O4759" s="61">
        <f t="shared" si="373"/>
        <v>1900</v>
      </c>
      <c r="P4759" s="61">
        <f t="shared" si="374"/>
        <v>1</v>
      </c>
      <c r="R4759" s="272"/>
      <c r="S4759" s="272"/>
    </row>
    <row r="4760" spans="9:19">
      <c r="I4760" s="213"/>
      <c r="J4760" s="213"/>
      <c r="L4760" s="272">
        <f t="shared" si="371"/>
        <v>1900</v>
      </c>
      <c r="M4760" s="272">
        <f t="shared" si="372"/>
        <v>1</v>
      </c>
      <c r="O4760" s="61">
        <f t="shared" si="373"/>
        <v>1900</v>
      </c>
      <c r="P4760" s="61">
        <f t="shared" si="374"/>
        <v>1</v>
      </c>
      <c r="R4760" s="272"/>
      <c r="S4760" s="272"/>
    </row>
    <row r="4761" spans="9:19">
      <c r="I4761" s="213"/>
      <c r="J4761" s="213"/>
      <c r="L4761" s="272">
        <f t="shared" si="371"/>
        <v>1900</v>
      </c>
      <c r="M4761" s="272">
        <f t="shared" si="372"/>
        <v>1</v>
      </c>
      <c r="O4761" s="61">
        <f t="shared" si="373"/>
        <v>1900</v>
      </c>
      <c r="P4761" s="61">
        <f t="shared" si="374"/>
        <v>1</v>
      </c>
      <c r="R4761" s="272"/>
      <c r="S4761" s="272"/>
    </row>
    <row r="4762" spans="9:19">
      <c r="I4762" s="213"/>
      <c r="J4762" s="213"/>
      <c r="L4762" s="272">
        <f t="shared" si="371"/>
        <v>1900</v>
      </c>
      <c r="M4762" s="272">
        <f t="shared" si="372"/>
        <v>1</v>
      </c>
      <c r="O4762" s="61">
        <f t="shared" si="373"/>
        <v>1900</v>
      </c>
      <c r="P4762" s="61">
        <f t="shared" si="374"/>
        <v>1</v>
      </c>
      <c r="R4762" s="272"/>
      <c r="S4762" s="272"/>
    </row>
    <row r="4763" spans="9:19">
      <c r="I4763" s="213"/>
      <c r="J4763" s="213"/>
      <c r="L4763" s="272">
        <f t="shared" si="371"/>
        <v>1900</v>
      </c>
      <c r="M4763" s="272">
        <f t="shared" si="372"/>
        <v>1</v>
      </c>
      <c r="O4763" s="61">
        <f t="shared" si="373"/>
        <v>1900</v>
      </c>
      <c r="P4763" s="61">
        <f t="shared" si="374"/>
        <v>1</v>
      </c>
      <c r="R4763" s="272"/>
      <c r="S4763" s="272"/>
    </row>
    <row r="4764" spans="9:19">
      <c r="I4764" s="213"/>
      <c r="J4764" s="213"/>
      <c r="L4764" s="272">
        <f t="shared" si="371"/>
        <v>1900</v>
      </c>
      <c r="M4764" s="272">
        <f t="shared" si="372"/>
        <v>1</v>
      </c>
      <c r="O4764" s="61">
        <f t="shared" si="373"/>
        <v>1900</v>
      </c>
      <c r="P4764" s="61">
        <f t="shared" si="374"/>
        <v>1</v>
      </c>
      <c r="R4764" s="272"/>
      <c r="S4764" s="272"/>
    </row>
    <row r="4765" spans="9:19">
      <c r="I4765" s="213"/>
      <c r="J4765" s="213"/>
      <c r="L4765" s="272">
        <f t="shared" si="371"/>
        <v>1900</v>
      </c>
      <c r="M4765" s="272">
        <f t="shared" si="372"/>
        <v>1</v>
      </c>
      <c r="O4765" s="61">
        <f t="shared" si="373"/>
        <v>1900</v>
      </c>
      <c r="P4765" s="61">
        <f t="shared" si="374"/>
        <v>1</v>
      </c>
      <c r="R4765" s="272"/>
      <c r="S4765" s="272"/>
    </row>
    <row r="4766" spans="9:19">
      <c r="I4766" s="213"/>
      <c r="J4766" s="213"/>
      <c r="L4766" s="272">
        <f t="shared" si="371"/>
        <v>1900</v>
      </c>
      <c r="M4766" s="272">
        <f t="shared" si="372"/>
        <v>1</v>
      </c>
      <c r="O4766" s="61">
        <f t="shared" si="373"/>
        <v>1900</v>
      </c>
      <c r="P4766" s="61">
        <f t="shared" si="374"/>
        <v>1</v>
      </c>
      <c r="R4766" s="272"/>
      <c r="S4766" s="272"/>
    </row>
    <row r="4767" spans="9:19">
      <c r="I4767" s="213"/>
      <c r="J4767" s="213"/>
      <c r="L4767" s="272">
        <f t="shared" si="371"/>
        <v>1900</v>
      </c>
      <c r="M4767" s="272">
        <f t="shared" si="372"/>
        <v>1</v>
      </c>
      <c r="O4767" s="61">
        <f t="shared" si="373"/>
        <v>1900</v>
      </c>
      <c r="P4767" s="61">
        <f t="shared" si="374"/>
        <v>1</v>
      </c>
      <c r="R4767" s="272"/>
      <c r="S4767" s="272"/>
    </row>
    <row r="4768" spans="9:19">
      <c r="I4768" s="213"/>
      <c r="J4768" s="213"/>
      <c r="L4768" s="272">
        <f t="shared" si="371"/>
        <v>1900</v>
      </c>
      <c r="M4768" s="272">
        <f t="shared" si="372"/>
        <v>1</v>
      </c>
      <c r="O4768" s="61">
        <f t="shared" si="373"/>
        <v>1900</v>
      </c>
      <c r="P4768" s="61">
        <f t="shared" si="374"/>
        <v>1</v>
      </c>
      <c r="R4768" s="272"/>
      <c r="S4768" s="272"/>
    </row>
    <row r="4769" spans="9:19">
      <c r="I4769" s="213"/>
      <c r="J4769" s="213"/>
      <c r="L4769" s="272">
        <f t="shared" si="371"/>
        <v>1900</v>
      </c>
      <c r="M4769" s="272">
        <f t="shared" si="372"/>
        <v>1</v>
      </c>
      <c r="O4769" s="61">
        <f t="shared" si="373"/>
        <v>1900</v>
      </c>
      <c r="P4769" s="61">
        <f t="shared" si="374"/>
        <v>1</v>
      </c>
      <c r="R4769" s="272"/>
      <c r="S4769" s="272"/>
    </row>
    <row r="4770" spans="9:19">
      <c r="I4770" s="213"/>
      <c r="J4770" s="213"/>
      <c r="L4770" s="272">
        <f t="shared" si="371"/>
        <v>1900</v>
      </c>
      <c r="M4770" s="272">
        <f t="shared" si="372"/>
        <v>1</v>
      </c>
      <c r="O4770" s="61">
        <f t="shared" si="373"/>
        <v>1900</v>
      </c>
      <c r="P4770" s="61">
        <f t="shared" si="374"/>
        <v>1</v>
      </c>
      <c r="R4770" s="272"/>
      <c r="S4770" s="272"/>
    </row>
    <row r="4771" spans="9:19">
      <c r="I4771" s="213"/>
      <c r="J4771" s="213"/>
      <c r="L4771" s="272">
        <f t="shared" si="371"/>
        <v>1900</v>
      </c>
      <c r="M4771" s="272">
        <f t="shared" si="372"/>
        <v>1</v>
      </c>
      <c r="O4771" s="61">
        <f t="shared" si="373"/>
        <v>1900</v>
      </c>
      <c r="P4771" s="61">
        <f t="shared" si="374"/>
        <v>1</v>
      </c>
      <c r="R4771" s="272"/>
      <c r="S4771" s="272"/>
    </row>
    <row r="4772" spans="9:19">
      <c r="I4772" s="213"/>
      <c r="J4772" s="213"/>
      <c r="L4772" s="272">
        <f t="shared" si="371"/>
        <v>1900</v>
      </c>
      <c r="M4772" s="272">
        <f t="shared" si="372"/>
        <v>1</v>
      </c>
      <c r="O4772" s="61">
        <f t="shared" si="373"/>
        <v>1900</v>
      </c>
      <c r="P4772" s="61">
        <f t="shared" si="374"/>
        <v>1</v>
      </c>
      <c r="R4772" s="272"/>
      <c r="S4772" s="272"/>
    </row>
    <row r="4773" spans="9:19">
      <c r="I4773" s="213"/>
      <c r="J4773" s="213"/>
      <c r="L4773" s="272">
        <f t="shared" si="371"/>
        <v>1900</v>
      </c>
      <c r="M4773" s="272">
        <f t="shared" si="372"/>
        <v>1</v>
      </c>
      <c r="O4773" s="61">
        <f t="shared" si="373"/>
        <v>1900</v>
      </c>
      <c r="P4773" s="61">
        <f t="shared" si="374"/>
        <v>1</v>
      </c>
      <c r="R4773" s="272"/>
      <c r="S4773" s="272"/>
    </row>
    <row r="4774" spans="9:19">
      <c r="I4774" s="213"/>
      <c r="J4774" s="213"/>
      <c r="L4774" s="272">
        <f t="shared" si="371"/>
        <v>1900</v>
      </c>
      <c r="M4774" s="272">
        <f t="shared" si="372"/>
        <v>1</v>
      </c>
      <c r="O4774" s="61">
        <f t="shared" si="373"/>
        <v>1900</v>
      </c>
      <c r="P4774" s="61">
        <f t="shared" si="374"/>
        <v>1</v>
      </c>
      <c r="R4774" s="272"/>
      <c r="S4774" s="272"/>
    </row>
    <row r="4775" spans="9:19">
      <c r="I4775" s="213"/>
      <c r="J4775" s="213"/>
      <c r="L4775" s="272">
        <f t="shared" si="371"/>
        <v>1900</v>
      </c>
      <c r="M4775" s="272">
        <f t="shared" si="372"/>
        <v>1</v>
      </c>
      <c r="O4775" s="61">
        <f t="shared" si="373"/>
        <v>1900</v>
      </c>
      <c r="P4775" s="61">
        <f t="shared" si="374"/>
        <v>1</v>
      </c>
      <c r="R4775" s="272"/>
      <c r="S4775" s="272"/>
    </row>
    <row r="4776" spans="9:19">
      <c r="I4776" s="213"/>
      <c r="J4776" s="213"/>
      <c r="L4776" s="272">
        <f t="shared" si="371"/>
        <v>1900</v>
      </c>
      <c r="M4776" s="272">
        <f t="shared" si="372"/>
        <v>1</v>
      </c>
      <c r="O4776" s="61">
        <f t="shared" si="373"/>
        <v>1900</v>
      </c>
      <c r="P4776" s="61">
        <f t="shared" si="374"/>
        <v>1</v>
      </c>
      <c r="R4776" s="272"/>
      <c r="S4776" s="272"/>
    </row>
    <row r="4777" spans="9:19">
      <c r="I4777" s="213"/>
      <c r="J4777" s="213"/>
      <c r="L4777" s="272">
        <f t="shared" si="371"/>
        <v>1900</v>
      </c>
      <c r="M4777" s="272">
        <f t="shared" si="372"/>
        <v>1</v>
      </c>
      <c r="O4777" s="61">
        <f t="shared" si="373"/>
        <v>1900</v>
      </c>
      <c r="P4777" s="61">
        <f t="shared" si="374"/>
        <v>1</v>
      </c>
      <c r="R4777" s="272"/>
      <c r="S4777" s="272"/>
    </row>
    <row r="4778" spans="9:19">
      <c r="I4778" s="213"/>
      <c r="J4778" s="213"/>
      <c r="L4778" s="272">
        <f t="shared" si="371"/>
        <v>1900</v>
      </c>
      <c r="M4778" s="272">
        <f t="shared" si="372"/>
        <v>1</v>
      </c>
      <c r="O4778" s="61">
        <f t="shared" si="373"/>
        <v>1900</v>
      </c>
      <c r="P4778" s="61">
        <f t="shared" si="374"/>
        <v>1</v>
      </c>
      <c r="R4778" s="272"/>
      <c r="S4778" s="272"/>
    </row>
    <row r="4779" spans="9:19">
      <c r="I4779" s="213"/>
      <c r="J4779" s="213"/>
      <c r="L4779" s="272">
        <f t="shared" si="371"/>
        <v>1900</v>
      </c>
      <c r="M4779" s="272">
        <f t="shared" si="372"/>
        <v>1</v>
      </c>
      <c r="O4779" s="61">
        <f t="shared" si="373"/>
        <v>1900</v>
      </c>
      <c r="P4779" s="61">
        <f t="shared" si="374"/>
        <v>1</v>
      </c>
      <c r="R4779" s="272"/>
      <c r="S4779" s="272"/>
    </row>
    <row r="4780" spans="9:19">
      <c r="I4780" s="213"/>
      <c r="J4780" s="213"/>
      <c r="L4780" s="272">
        <f t="shared" si="371"/>
        <v>1900</v>
      </c>
      <c r="M4780" s="272">
        <f t="shared" si="372"/>
        <v>1</v>
      </c>
      <c r="O4780" s="61">
        <f t="shared" si="373"/>
        <v>1900</v>
      </c>
      <c r="P4780" s="61">
        <f t="shared" si="374"/>
        <v>1</v>
      </c>
      <c r="R4780" s="272"/>
      <c r="S4780" s="272"/>
    </row>
    <row r="4781" spans="9:19">
      <c r="I4781" s="213"/>
      <c r="J4781" s="213"/>
      <c r="L4781" s="272">
        <f t="shared" si="371"/>
        <v>1900</v>
      </c>
      <c r="M4781" s="272">
        <f t="shared" si="372"/>
        <v>1</v>
      </c>
      <c r="O4781" s="61">
        <f t="shared" si="373"/>
        <v>1900</v>
      </c>
      <c r="P4781" s="61">
        <f t="shared" si="374"/>
        <v>1</v>
      </c>
      <c r="R4781" s="272"/>
      <c r="S4781" s="272"/>
    </row>
    <row r="4782" spans="9:19">
      <c r="I4782" s="213"/>
      <c r="J4782" s="213"/>
      <c r="L4782" s="272">
        <f t="shared" si="371"/>
        <v>1900</v>
      </c>
      <c r="M4782" s="272">
        <f t="shared" si="372"/>
        <v>1</v>
      </c>
      <c r="O4782" s="61">
        <f t="shared" si="373"/>
        <v>1900</v>
      </c>
      <c r="P4782" s="61">
        <f t="shared" si="374"/>
        <v>1</v>
      </c>
      <c r="R4782" s="272"/>
      <c r="S4782" s="272"/>
    </row>
    <row r="4783" spans="9:19">
      <c r="I4783" s="213"/>
      <c r="J4783" s="213"/>
      <c r="L4783" s="272">
        <f t="shared" si="371"/>
        <v>1900</v>
      </c>
      <c r="M4783" s="272">
        <f t="shared" si="372"/>
        <v>1</v>
      </c>
      <c r="O4783" s="61">
        <f t="shared" si="373"/>
        <v>1900</v>
      </c>
      <c r="P4783" s="61">
        <f t="shared" si="374"/>
        <v>1</v>
      </c>
      <c r="R4783" s="272"/>
      <c r="S4783" s="272"/>
    </row>
    <row r="4784" spans="9:19">
      <c r="I4784" s="213"/>
      <c r="J4784" s="213"/>
      <c r="L4784" s="272">
        <f t="shared" si="371"/>
        <v>1900</v>
      </c>
      <c r="M4784" s="272">
        <f t="shared" si="372"/>
        <v>1</v>
      </c>
      <c r="O4784" s="61">
        <f t="shared" si="373"/>
        <v>1900</v>
      </c>
      <c r="P4784" s="61">
        <f t="shared" si="374"/>
        <v>1</v>
      </c>
      <c r="R4784" s="272"/>
      <c r="S4784" s="272"/>
    </row>
    <row r="4785" spans="9:19">
      <c r="I4785" s="213"/>
      <c r="J4785" s="213"/>
      <c r="L4785" s="272">
        <f t="shared" si="371"/>
        <v>1900</v>
      </c>
      <c r="M4785" s="272">
        <f t="shared" si="372"/>
        <v>1</v>
      </c>
      <c r="O4785" s="61">
        <f t="shared" si="373"/>
        <v>1900</v>
      </c>
      <c r="P4785" s="61">
        <f t="shared" si="374"/>
        <v>1</v>
      </c>
      <c r="R4785" s="272"/>
      <c r="S4785" s="272"/>
    </row>
    <row r="4786" spans="9:19">
      <c r="I4786" s="213"/>
      <c r="J4786" s="213"/>
      <c r="L4786" s="272">
        <f t="shared" si="371"/>
        <v>1900</v>
      </c>
      <c r="M4786" s="272">
        <f t="shared" si="372"/>
        <v>1</v>
      </c>
      <c r="O4786" s="61">
        <f t="shared" si="373"/>
        <v>1900</v>
      </c>
      <c r="P4786" s="61">
        <f t="shared" si="374"/>
        <v>1</v>
      </c>
      <c r="R4786" s="272"/>
      <c r="S4786" s="272"/>
    </row>
    <row r="4787" spans="9:19">
      <c r="I4787" s="213"/>
      <c r="J4787" s="213"/>
      <c r="L4787" s="272">
        <f t="shared" si="371"/>
        <v>1900</v>
      </c>
      <c r="M4787" s="272">
        <f t="shared" si="372"/>
        <v>1</v>
      </c>
      <c r="O4787" s="61">
        <f t="shared" si="373"/>
        <v>1900</v>
      </c>
      <c r="P4787" s="61">
        <f t="shared" si="374"/>
        <v>1</v>
      </c>
      <c r="R4787" s="272"/>
      <c r="S4787" s="272"/>
    </row>
    <row r="4788" spans="9:19">
      <c r="I4788" s="213"/>
      <c r="J4788" s="213"/>
      <c r="L4788" s="272">
        <f t="shared" si="371"/>
        <v>1900</v>
      </c>
      <c r="M4788" s="272">
        <f t="shared" si="372"/>
        <v>1</v>
      </c>
      <c r="O4788" s="61">
        <f t="shared" si="373"/>
        <v>1900</v>
      </c>
      <c r="P4788" s="61">
        <f t="shared" si="374"/>
        <v>1</v>
      </c>
      <c r="R4788" s="272"/>
      <c r="S4788" s="272"/>
    </row>
    <row r="4789" spans="9:19">
      <c r="I4789" s="213"/>
      <c r="J4789" s="213"/>
      <c r="L4789" s="272">
        <f t="shared" si="371"/>
        <v>1900</v>
      </c>
      <c r="M4789" s="272">
        <f t="shared" si="372"/>
        <v>1</v>
      </c>
      <c r="O4789" s="61">
        <f t="shared" si="373"/>
        <v>1900</v>
      </c>
      <c r="P4789" s="61">
        <f t="shared" si="374"/>
        <v>1</v>
      </c>
      <c r="R4789" s="272"/>
      <c r="S4789" s="272"/>
    </row>
    <row r="4790" spans="9:19">
      <c r="I4790" s="213"/>
      <c r="J4790" s="213"/>
      <c r="L4790" s="272">
        <f t="shared" si="371"/>
        <v>1900</v>
      </c>
      <c r="M4790" s="272">
        <f t="shared" si="372"/>
        <v>1</v>
      </c>
      <c r="O4790" s="61">
        <f t="shared" si="373"/>
        <v>1900</v>
      </c>
      <c r="P4790" s="61">
        <f t="shared" si="374"/>
        <v>1</v>
      </c>
      <c r="R4790" s="272"/>
      <c r="S4790" s="272"/>
    </row>
    <row r="4791" spans="9:19">
      <c r="I4791" s="213"/>
      <c r="J4791" s="213"/>
      <c r="L4791" s="272">
        <f t="shared" si="371"/>
        <v>1900</v>
      </c>
      <c r="M4791" s="272">
        <f t="shared" si="372"/>
        <v>1</v>
      </c>
      <c r="O4791" s="61">
        <f t="shared" si="373"/>
        <v>1900</v>
      </c>
      <c r="P4791" s="61">
        <f t="shared" si="374"/>
        <v>1</v>
      </c>
      <c r="R4791" s="272"/>
      <c r="S4791" s="272"/>
    </row>
    <row r="4792" spans="9:19">
      <c r="I4792" s="213"/>
      <c r="J4792" s="213"/>
      <c r="L4792" s="272">
        <f t="shared" si="371"/>
        <v>1900</v>
      </c>
      <c r="M4792" s="272">
        <f t="shared" si="372"/>
        <v>1</v>
      </c>
      <c r="O4792" s="61">
        <f t="shared" si="373"/>
        <v>1900</v>
      </c>
      <c r="P4792" s="61">
        <f t="shared" si="374"/>
        <v>1</v>
      </c>
      <c r="R4792" s="272"/>
      <c r="S4792" s="272"/>
    </row>
    <row r="4793" spans="9:19">
      <c r="I4793" s="213"/>
      <c r="J4793" s="213"/>
      <c r="L4793" s="272">
        <f t="shared" si="371"/>
        <v>1900</v>
      </c>
      <c r="M4793" s="272">
        <f t="shared" si="372"/>
        <v>1</v>
      </c>
      <c r="O4793" s="61">
        <f t="shared" si="373"/>
        <v>1900</v>
      </c>
      <c r="P4793" s="61">
        <f t="shared" si="374"/>
        <v>1</v>
      </c>
      <c r="R4793" s="272"/>
      <c r="S4793" s="272"/>
    </row>
    <row r="4794" spans="9:19">
      <c r="I4794" s="213"/>
      <c r="J4794" s="213"/>
      <c r="L4794" s="272">
        <f t="shared" si="371"/>
        <v>1900</v>
      </c>
      <c r="M4794" s="272">
        <f t="shared" si="372"/>
        <v>1</v>
      </c>
      <c r="O4794" s="61">
        <f t="shared" si="373"/>
        <v>1900</v>
      </c>
      <c r="P4794" s="61">
        <f t="shared" si="374"/>
        <v>1</v>
      </c>
      <c r="R4794" s="272"/>
      <c r="S4794" s="272"/>
    </row>
    <row r="4795" spans="9:19">
      <c r="I4795" s="213"/>
      <c r="J4795" s="213"/>
      <c r="L4795" s="272">
        <f t="shared" si="371"/>
        <v>1900</v>
      </c>
      <c r="M4795" s="272">
        <f t="shared" si="372"/>
        <v>1</v>
      </c>
      <c r="O4795" s="61">
        <f t="shared" si="373"/>
        <v>1900</v>
      </c>
      <c r="P4795" s="61">
        <f t="shared" si="374"/>
        <v>1</v>
      </c>
      <c r="R4795" s="272"/>
      <c r="S4795" s="272"/>
    </row>
    <row r="4796" spans="9:19">
      <c r="I4796" s="213"/>
      <c r="J4796" s="213"/>
      <c r="L4796" s="272">
        <f t="shared" si="371"/>
        <v>1900</v>
      </c>
      <c r="M4796" s="272">
        <f t="shared" si="372"/>
        <v>1</v>
      </c>
      <c r="O4796" s="61">
        <f t="shared" si="373"/>
        <v>1900</v>
      </c>
      <c r="P4796" s="61">
        <f t="shared" si="374"/>
        <v>1</v>
      </c>
      <c r="R4796" s="272"/>
      <c r="S4796" s="272"/>
    </row>
    <row r="4797" spans="9:19">
      <c r="I4797" s="213"/>
      <c r="J4797" s="213"/>
      <c r="L4797" s="272">
        <f t="shared" si="371"/>
        <v>1900</v>
      </c>
      <c r="M4797" s="272">
        <f t="shared" si="372"/>
        <v>1</v>
      </c>
      <c r="O4797" s="61">
        <f t="shared" si="373"/>
        <v>1900</v>
      </c>
      <c r="P4797" s="61">
        <f t="shared" si="374"/>
        <v>1</v>
      </c>
      <c r="R4797" s="272"/>
      <c r="S4797" s="272"/>
    </row>
    <row r="4798" spans="9:19">
      <c r="I4798" s="213"/>
      <c r="J4798" s="213"/>
      <c r="L4798" s="272">
        <f t="shared" si="371"/>
        <v>1900</v>
      </c>
      <c r="M4798" s="272">
        <f t="shared" si="372"/>
        <v>1</v>
      </c>
      <c r="O4798" s="61">
        <f t="shared" si="373"/>
        <v>1900</v>
      </c>
      <c r="P4798" s="61">
        <f t="shared" si="374"/>
        <v>1</v>
      </c>
      <c r="R4798" s="272"/>
      <c r="S4798" s="272"/>
    </row>
    <row r="4799" spans="9:19">
      <c r="I4799" s="213"/>
      <c r="J4799" s="213"/>
      <c r="L4799" s="272">
        <f t="shared" si="371"/>
        <v>1900</v>
      </c>
      <c r="M4799" s="272">
        <f t="shared" si="372"/>
        <v>1</v>
      </c>
      <c r="O4799" s="61">
        <f t="shared" si="373"/>
        <v>1900</v>
      </c>
      <c r="P4799" s="61">
        <f t="shared" si="374"/>
        <v>1</v>
      </c>
      <c r="R4799" s="272"/>
      <c r="S4799" s="272"/>
    </row>
    <row r="4800" spans="9:19">
      <c r="I4800" s="213"/>
      <c r="J4800" s="213"/>
      <c r="L4800" s="272">
        <f t="shared" si="371"/>
        <v>1900</v>
      </c>
      <c r="M4800" s="272">
        <f t="shared" si="372"/>
        <v>1</v>
      </c>
      <c r="O4800" s="61">
        <f t="shared" si="373"/>
        <v>1900</v>
      </c>
      <c r="P4800" s="61">
        <f t="shared" si="374"/>
        <v>1</v>
      </c>
      <c r="R4800" s="272"/>
      <c r="S4800" s="272"/>
    </row>
    <row r="4801" spans="9:19">
      <c r="I4801" s="213"/>
      <c r="J4801" s="213"/>
      <c r="L4801" s="272">
        <f t="shared" si="371"/>
        <v>1900</v>
      </c>
      <c r="M4801" s="272">
        <f t="shared" si="372"/>
        <v>1</v>
      </c>
      <c r="O4801" s="61">
        <f t="shared" si="373"/>
        <v>1900</v>
      </c>
      <c r="P4801" s="61">
        <f t="shared" si="374"/>
        <v>1</v>
      </c>
      <c r="R4801" s="272"/>
      <c r="S4801" s="272"/>
    </row>
    <row r="4802" spans="9:19">
      <c r="I4802" s="213"/>
      <c r="J4802" s="213"/>
      <c r="L4802" s="272">
        <f t="shared" si="371"/>
        <v>1900</v>
      </c>
      <c r="M4802" s="272">
        <f t="shared" si="372"/>
        <v>1</v>
      </c>
      <c r="O4802" s="61">
        <f t="shared" si="373"/>
        <v>1900</v>
      </c>
      <c r="P4802" s="61">
        <f t="shared" si="374"/>
        <v>1</v>
      </c>
      <c r="R4802" s="272"/>
      <c r="S4802" s="272"/>
    </row>
    <row r="4803" spans="9:19">
      <c r="I4803" s="213"/>
      <c r="J4803" s="213"/>
      <c r="L4803" s="272">
        <f t="shared" si="371"/>
        <v>1900</v>
      </c>
      <c r="M4803" s="272">
        <f t="shared" si="372"/>
        <v>1</v>
      </c>
      <c r="O4803" s="61">
        <f t="shared" si="373"/>
        <v>1900</v>
      </c>
      <c r="P4803" s="61">
        <f t="shared" si="374"/>
        <v>1</v>
      </c>
      <c r="R4803" s="272"/>
      <c r="S4803" s="272"/>
    </row>
    <row r="4804" spans="9:19">
      <c r="I4804" s="213"/>
      <c r="J4804" s="213"/>
      <c r="L4804" s="272">
        <f t="shared" si="371"/>
        <v>1900</v>
      </c>
      <c r="M4804" s="272">
        <f t="shared" si="372"/>
        <v>1</v>
      </c>
      <c r="O4804" s="61">
        <f t="shared" si="373"/>
        <v>1900</v>
      </c>
      <c r="P4804" s="61">
        <f t="shared" si="374"/>
        <v>1</v>
      </c>
      <c r="R4804" s="272"/>
      <c r="S4804" s="272"/>
    </row>
    <row r="4805" spans="9:19">
      <c r="I4805" s="213"/>
      <c r="J4805" s="213"/>
      <c r="L4805" s="272">
        <f t="shared" si="371"/>
        <v>1900</v>
      </c>
      <c r="M4805" s="272">
        <f t="shared" si="372"/>
        <v>1</v>
      </c>
      <c r="O4805" s="61">
        <f t="shared" si="373"/>
        <v>1900</v>
      </c>
      <c r="P4805" s="61">
        <f t="shared" si="374"/>
        <v>1</v>
      </c>
      <c r="R4805" s="272"/>
      <c r="S4805" s="272"/>
    </row>
    <row r="4806" spans="9:19">
      <c r="I4806" s="213"/>
      <c r="J4806" s="213"/>
      <c r="L4806" s="272">
        <f t="shared" si="371"/>
        <v>1900</v>
      </c>
      <c r="M4806" s="272">
        <f t="shared" si="372"/>
        <v>1</v>
      </c>
      <c r="O4806" s="61">
        <f t="shared" si="373"/>
        <v>1900</v>
      </c>
      <c r="P4806" s="61">
        <f t="shared" si="374"/>
        <v>1</v>
      </c>
      <c r="R4806" s="272"/>
      <c r="S4806" s="272"/>
    </row>
    <row r="4807" spans="9:19">
      <c r="I4807" s="213"/>
      <c r="J4807" s="213"/>
      <c r="L4807" s="272">
        <f t="shared" si="371"/>
        <v>1900</v>
      </c>
      <c r="M4807" s="272">
        <f t="shared" si="372"/>
        <v>1</v>
      </c>
      <c r="O4807" s="61">
        <f t="shared" si="373"/>
        <v>1900</v>
      </c>
      <c r="P4807" s="61">
        <f t="shared" si="374"/>
        <v>1</v>
      </c>
      <c r="R4807" s="272"/>
      <c r="S4807" s="272"/>
    </row>
    <row r="4808" spans="9:19">
      <c r="I4808" s="213"/>
      <c r="J4808" s="213"/>
      <c r="L4808" s="272">
        <f t="shared" si="371"/>
        <v>1900</v>
      </c>
      <c r="M4808" s="272">
        <f t="shared" si="372"/>
        <v>1</v>
      </c>
      <c r="O4808" s="61">
        <f t="shared" si="373"/>
        <v>1900</v>
      </c>
      <c r="P4808" s="61">
        <f t="shared" si="374"/>
        <v>1</v>
      </c>
      <c r="R4808" s="272"/>
      <c r="S4808" s="272"/>
    </row>
    <row r="4809" spans="9:19">
      <c r="I4809" s="213"/>
      <c r="J4809" s="213"/>
      <c r="L4809" s="272">
        <f t="shared" si="371"/>
        <v>1900</v>
      </c>
      <c r="M4809" s="272">
        <f t="shared" si="372"/>
        <v>1</v>
      </c>
      <c r="O4809" s="61">
        <f t="shared" si="373"/>
        <v>1900</v>
      </c>
      <c r="P4809" s="61">
        <f t="shared" si="374"/>
        <v>1</v>
      </c>
      <c r="R4809" s="272"/>
      <c r="S4809" s="272"/>
    </row>
    <row r="4810" spans="9:19">
      <c r="I4810" s="213"/>
      <c r="J4810" s="213"/>
      <c r="L4810" s="272">
        <f t="shared" si="371"/>
        <v>1900</v>
      </c>
      <c r="M4810" s="272">
        <f t="shared" si="372"/>
        <v>1</v>
      </c>
      <c r="O4810" s="61">
        <f t="shared" si="373"/>
        <v>1900</v>
      </c>
      <c r="P4810" s="61">
        <f t="shared" si="374"/>
        <v>1</v>
      </c>
      <c r="R4810" s="272"/>
      <c r="S4810" s="272"/>
    </row>
    <row r="4811" spans="9:19">
      <c r="I4811" s="213"/>
      <c r="J4811" s="213"/>
      <c r="L4811" s="272">
        <f t="shared" si="371"/>
        <v>1900</v>
      </c>
      <c r="M4811" s="272">
        <f t="shared" si="372"/>
        <v>1</v>
      </c>
      <c r="O4811" s="61">
        <f t="shared" si="373"/>
        <v>1900</v>
      </c>
      <c r="P4811" s="61">
        <f t="shared" si="374"/>
        <v>1</v>
      </c>
      <c r="R4811" s="272"/>
      <c r="S4811" s="272"/>
    </row>
    <row r="4812" spans="9:19">
      <c r="I4812" s="213"/>
      <c r="J4812" s="213"/>
      <c r="L4812" s="272">
        <f t="shared" si="371"/>
        <v>1900</v>
      </c>
      <c r="M4812" s="272">
        <f t="shared" si="372"/>
        <v>1</v>
      </c>
      <c r="O4812" s="61">
        <f t="shared" si="373"/>
        <v>1900</v>
      </c>
      <c r="P4812" s="61">
        <f t="shared" si="374"/>
        <v>1</v>
      </c>
      <c r="R4812" s="272"/>
      <c r="S4812" s="272"/>
    </row>
    <row r="4813" spans="9:19">
      <c r="I4813" s="213"/>
      <c r="J4813" s="213"/>
      <c r="L4813" s="272">
        <f t="shared" si="371"/>
        <v>1900</v>
      </c>
      <c r="M4813" s="272">
        <f t="shared" si="372"/>
        <v>1</v>
      </c>
      <c r="O4813" s="61">
        <f t="shared" si="373"/>
        <v>1900</v>
      </c>
      <c r="P4813" s="61">
        <f t="shared" si="374"/>
        <v>1</v>
      </c>
      <c r="R4813" s="272"/>
      <c r="S4813" s="272"/>
    </row>
    <row r="4814" spans="9:19">
      <c r="I4814" s="213"/>
      <c r="J4814" s="213"/>
      <c r="L4814" s="272">
        <f t="shared" si="371"/>
        <v>1900</v>
      </c>
      <c r="M4814" s="272">
        <f t="shared" si="372"/>
        <v>1</v>
      </c>
      <c r="O4814" s="61">
        <f t="shared" si="373"/>
        <v>1900</v>
      </c>
      <c r="P4814" s="61">
        <f t="shared" si="374"/>
        <v>1</v>
      </c>
      <c r="R4814" s="272"/>
      <c r="S4814" s="272"/>
    </row>
    <row r="4815" spans="9:19">
      <c r="I4815" s="213"/>
      <c r="J4815" s="213"/>
      <c r="L4815" s="272">
        <f t="shared" si="371"/>
        <v>1900</v>
      </c>
      <c r="M4815" s="272">
        <f t="shared" si="372"/>
        <v>1</v>
      </c>
      <c r="O4815" s="61">
        <f t="shared" si="373"/>
        <v>1900</v>
      </c>
      <c r="P4815" s="61">
        <f t="shared" si="374"/>
        <v>1</v>
      </c>
      <c r="R4815" s="272"/>
      <c r="S4815" s="272"/>
    </row>
    <row r="4816" spans="9:19">
      <c r="I4816" s="213"/>
      <c r="J4816" s="213"/>
      <c r="L4816" s="272">
        <f t="shared" ref="L4816:L4879" si="375">YEAR(B4816)</f>
        <v>1900</v>
      </c>
      <c r="M4816" s="272">
        <f t="shared" ref="M4816:M4879" si="376">MONTH(B4816)</f>
        <v>1</v>
      </c>
      <c r="O4816" s="61">
        <f t="shared" ref="O4816:O4879" si="377">YEAR(B4816)</f>
        <v>1900</v>
      </c>
      <c r="P4816" s="61">
        <f t="shared" ref="P4816:P4879" si="378">MONTH(B4816)</f>
        <v>1</v>
      </c>
      <c r="R4816" s="272"/>
      <c r="S4816" s="272"/>
    </row>
    <row r="4817" spans="9:19">
      <c r="I4817" s="213"/>
      <c r="J4817" s="213"/>
      <c r="L4817" s="272">
        <f t="shared" si="375"/>
        <v>1900</v>
      </c>
      <c r="M4817" s="272">
        <f t="shared" si="376"/>
        <v>1</v>
      </c>
      <c r="O4817" s="61">
        <f t="shared" si="377"/>
        <v>1900</v>
      </c>
      <c r="P4817" s="61">
        <f t="shared" si="378"/>
        <v>1</v>
      </c>
      <c r="R4817" s="272"/>
      <c r="S4817" s="272"/>
    </row>
    <row r="4818" spans="9:19">
      <c r="I4818" s="213"/>
      <c r="J4818" s="213"/>
      <c r="L4818" s="272">
        <f t="shared" si="375"/>
        <v>1900</v>
      </c>
      <c r="M4818" s="272">
        <f t="shared" si="376"/>
        <v>1</v>
      </c>
      <c r="O4818" s="61">
        <f t="shared" si="377"/>
        <v>1900</v>
      </c>
      <c r="P4818" s="61">
        <f t="shared" si="378"/>
        <v>1</v>
      </c>
      <c r="R4818" s="272"/>
      <c r="S4818" s="272"/>
    </row>
    <row r="4819" spans="9:19">
      <c r="I4819" s="213"/>
      <c r="J4819" s="213"/>
      <c r="L4819" s="272">
        <f t="shared" si="375"/>
        <v>1900</v>
      </c>
      <c r="M4819" s="272">
        <f t="shared" si="376"/>
        <v>1</v>
      </c>
      <c r="O4819" s="61">
        <f t="shared" si="377"/>
        <v>1900</v>
      </c>
      <c r="P4819" s="61">
        <f t="shared" si="378"/>
        <v>1</v>
      </c>
      <c r="R4819" s="272"/>
      <c r="S4819" s="272"/>
    </row>
    <row r="4820" spans="9:19">
      <c r="I4820" s="213"/>
      <c r="J4820" s="213"/>
      <c r="L4820" s="272">
        <f t="shared" si="375"/>
        <v>1900</v>
      </c>
      <c r="M4820" s="272">
        <f t="shared" si="376"/>
        <v>1</v>
      </c>
      <c r="O4820" s="61">
        <f t="shared" si="377"/>
        <v>1900</v>
      </c>
      <c r="P4820" s="61">
        <f t="shared" si="378"/>
        <v>1</v>
      </c>
      <c r="R4820" s="272"/>
      <c r="S4820" s="272"/>
    </row>
    <row r="4821" spans="9:19">
      <c r="I4821" s="213"/>
      <c r="J4821" s="213"/>
      <c r="L4821" s="272">
        <f t="shared" si="375"/>
        <v>1900</v>
      </c>
      <c r="M4821" s="272">
        <f t="shared" si="376"/>
        <v>1</v>
      </c>
      <c r="O4821" s="61">
        <f t="shared" si="377"/>
        <v>1900</v>
      </c>
      <c r="P4821" s="61">
        <f t="shared" si="378"/>
        <v>1</v>
      </c>
      <c r="R4821" s="272"/>
      <c r="S4821" s="272"/>
    </row>
    <row r="4822" spans="9:19">
      <c r="I4822" s="213"/>
      <c r="J4822" s="213"/>
      <c r="L4822" s="272">
        <f t="shared" si="375"/>
        <v>1900</v>
      </c>
      <c r="M4822" s="272">
        <f t="shared" si="376"/>
        <v>1</v>
      </c>
      <c r="O4822" s="61">
        <f t="shared" si="377"/>
        <v>1900</v>
      </c>
      <c r="P4822" s="61">
        <f t="shared" si="378"/>
        <v>1</v>
      </c>
      <c r="R4822" s="272"/>
      <c r="S4822" s="272"/>
    </row>
    <row r="4823" spans="9:19">
      <c r="I4823" s="213"/>
      <c r="J4823" s="213"/>
      <c r="L4823" s="272">
        <f t="shared" si="375"/>
        <v>1900</v>
      </c>
      <c r="M4823" s="272">
        <f t="shared" si="376"/>
        <v>1</v>
      </c>
      <c r="O4823" s="61">
        <f t="shared" si="377"/>
        <v>1900</v>
      </c>
      <c r="P4823" s="61">
        <f t="shared" si="378"/>
        <v>1</v>
      </c>
      <c r="R4823" s="272"/>
      <c r="S4823" s="272"/>
    </row>
    <row r="4824" spans="9:19">
      <c r="I4824" s="213"/>
      <c r="J4824" s="213"/>
      <c r="L4824" s="272">
        <f t="shared" si="375"/>
        <v>1900</v>
      </c>
      <c r="M4824" s="272">
        <f t="shared" si="376"/>
        <v>1</v>
      </c>
      <c r="O4824" s="61">
        <f t="shared" si="377"/>
        <v>1900</v>
      </c>
      <c r="P4824" s="61">
        <f t="shared" si="378"/>
        <v>1</v>
      </c>
      <c r="R4824" s="272"/>
      <c r="S4824" s="272"/>
    </row>
    <row r="4825" spans="9:19">
      <c r="I4825" s="213"/>
      <c r="J4825" s="213"/>
      <c r="L4825" s="272">
        <f t="shared" si="375"/>
        <v>1900</v>
      </c>
      <c r="M4825" s="272">
        <f t="shared" si="376"/>
        <v>1</v>
      </c>
      <c r="O4825" s="61">
        <f t="shared" si="377"/>
        <v>1900</v>
      </c>
      <c r="P4825" s="61">
        <f t="shared" si="378"/>
        <v>1</v>
      </c>
      <c r="R4825" s="272"/>
      <c r="S4825" s="272"/>
    </row>
    <row r="4826" spans="9:19">
      <c r="I4826" s="213"/>
      <c r="J4826" s="213"/>
      <c r="L4826" s="272">
        <f t="shared" si="375"/>
        <v>1900</v>
      </c>
      <c r="M4826" s="272">
        <f t="shared" si="376"/>
        <v>1</v>
      </c>
      <c r="O4826" s="61">
        <f t="shared" si="377"/>
        <v>1900</v>
      </c>
      <c r="P4826" s="61">
        <f t="shared" si="378"/>
        <v>1</v>
      </c>
      <c r="R4826" s="272"/>
      <c r="S4826" s="272"/>
    </row>
    <row r="4827" spans="9:19">
      <c r="I4827" s="213"/>
      <c r="J4827" s="213"/>
      <c r="L4827" s="272">
        <f t="shared" si="375"/>
        <v>1900</v>
      </c>
      <c r="M4827" s="272">
        <f t="shared" si="376"/>
        <v>1</v>
      </c>
      <c r="O4827" s="61">
        <f t="shared" si="377"/>
        <v>1900</v>
      </c>
      <c r="P4827" s="61">
        <f t="shared" si="378"/>
        <v>1</v>
      </c>
      <c r="R4827" s="272"/>
      <c r="S4827" s="272"/>
    </row>
    <row r="4828" spans="9:19">
      <c r="I4828" s="213"/>
      <c r="J4828" s="213"/>
      <c r="L4828" s="272">
        <f t="shared" si="375"/>
        <v>1900</v>
      </c>
      <c r="M4828" s="272">
        <f t="shared" si="376"/>
        <v>1</v>
      </c>
      <c r="O4828" s="61">
        <f t="shared" si="377"/>
        <v>1900</v>
      </c>
      <c r="P4828" s="61">
        <f t="shared" si="378"/>
        <v>1</v>
      </c>
      <c r="R4828" s="272"/>
      <c r="S4828" s="272"/>
    </row>
    <row r="4829" spans="9:19">
      <c r="I4829" s="213"/>
      <c r="J4829" s="213"/>
      <c r="L4829" s="272">
        <f t="shared" si="375"/>
        <v>1900</v>
      </c>
      <c r="M4829" s="272">
        <f t="shared" si="376"/>
        <v>1</v>
      </c>
      <c r="O4829" s="61">
        <f t="shared" si="377"/>
        <v>1900</v>
      </c>
      <c r="P4829" s="61">
        <f t="shared" si="378"/>
        <v>1</v>
      </c>
      <c r="R4829" s="272"/>
      <c r="S4829" s="272"/>
    </row>
    <row r="4830" spans="9:19">
      <c r="I4830" s="213"/>
      <c r="J4830" s="213"/>
      <c r="L4830" s="272">
        <f t="shared" si="375"/>
        <v>1900</v>
      </c>
      <c r="M4830" s="272">
        <f t="shared" si="376"/>
        <v>1</v>
      </c>
      <c r="O4830" s="61">
        <f t="shared" si="377"/>
        <v>1900</v>
      </c>
      <c r="P4830" s="61">
        <f t="shared" si="378"/>
        <v>1</v>
      </c>
      <c r="R4830" s="272"/>
      <c r="S4830" s="272"/>
    </row>
    <row r="4831" spans="9:19">
      <c r="I4831" s="213"/>
      <c r="J4831" s="213"/>
      <c r="L4831" s="272">
        <f t="shared" si="375"/>
        <v>1900</v>
      </c>
      <c r="M4831" s="272">
        <f t="shared" si="376"/>
        <v>1</v>
      </c>
      <c r="O4831" s="61">
        <f t="shared" si="377"/>
        <v>1900</v>
      </c>
      <c r="P4831" s="61">
        <f t="shared" si="378"/>
        <v>1</v>
      </c>
      <c r="R4831" s="272"/>
      <c r="S4831" s="272"/>
    </row>
    <row r="4832" spans="9:19">
      <c r="I4832" s="213"/>
      <c r="J4832" s="213"/>
      <c r="L4832" s="272">
        <f t="shared" si="375"/>
        <v>1900</v>
      </c>
      <c r="M4832" s="272">
        <f t="shared" si="376"/>
        <v>1</v>
      </c>
      <c r="O4832" s="61">
        <f t="shared" si="377"/>
        <v>1900</v>
      </c>
      <c r="P4832" s="61">
        <f t="shared" si="378"/>
        <v>1</v>
      </c>
      <c r="R4832" s="272"/>
      <c r="S4832" s="272"/>
    </row>
    <row r="4833" spans="9:19">
      <c r="I4833" s="213"/>
      <c r="J4833" s="213"/>
      <c r="L4833" s="272">
        <f t="shared" si="375"/>
        <v>1900</v>
      </c>
      <c r="M4833" s="272">
        <f t="shared" si="376"/>
        <v>1</v>
      </c>
      <c r="O4833" s="61">
        <f t="shared" si="377"/>
        <v>1900</v>
      </c>
      <c r="P4833" s="61">
        <f t="shared" si="378"/>
        <v>1</v>
      </c>
      <c r="R4833" s="272"/>
      <c r="S4833" s="272"/>
    </row>
    <row r="4834" spans="9:19">
      <c r="I4834" s="213"/>
      <c r="J4834" s="213"/>
      <c r="L4834" s="272">
        <f t="shared" si="375"/>
        <v>1900</v>
      </c>
      <c r="M4834" s="272">
        <f t="shared" si="376"/>
        <v>1</v>
      </c>
      <c r="O4834" s="61">
        <f t="shared" si="377"/>
        <v>1900</v>
      </c>
      <c r="P4834" s="61">
        <f t="shared" si="378"/>
        <v>1</v>
      </c>
      <c r="R4834" s="272"/>
      <c r="S4834" s="272"/>
    </row>
    <row r="4835" spans="9:19">
      <c r="I4835" s="213"/>
      <c r="J4835" s="213"/>
      <c r="L4835" s="272">
        <f t="shared" si="375"/>
        <v>1900</v>
      </c>
      <c r="M4835" s="272">
        <f t="shared" si="376"/>
        <v>1</v>
      </c>
      <c r="O4835" s="61">
        <f t="shared" si="377"/>
        <v>1900</v>
      </c>
      <c r="P4835" s="61">
        <f t="shared" si="378"/>
        <v>1</v>
      </c>
      <c r="R4835" s="272"/>
      <c r="S4835" s="272"/>
    </row>
    <row r="4836" spans="9:19">
      <c r="I4836" s="213"/>
      <c r="J4836" s="213"/>
      <c r="L4836" s="272">
        <f t="shared" si="375"/>
        <v>1900</v>
      </c>
      <c r="M4836" s="272">
        <f t="shared" si="376"/>
        <v>1</v>
      </c>
      <c r="O4836" s="61">
        <f t="shared" si="377"/>
        <v>1900</v>
      </c>
      <c r="P4836" s="61">
        <f t="shared" si="378"/>
        <v>1</v>
      </c>
      <c r="R4836" s="272"/>
      <c r="S4836" s="272"/>
    </row>
    <row r="4837" spans="9:19">
      <c r="I4837" s="213"/>
      <c r="J4837" s="213"/>
      <c r="L4837" s="272">
        <f t="shared" si="375"/>
        <v>1900</v>
      </c>
      <c r="M4837" s="272">
        <f t="shared" si="376"/>
        <v>1</v>
      </c>
      <c r="O4837" s="61">
        <f t="shared" si="377"/>
        <v>1900</v>
      </c>
      <c r="P4837" s="61">
        <f t="shared" si="378"/>
        <v>1</v>
      </c>
      <c r="R4837" s="272"/>
      <c r="S4837" s="272"/>
    </row>
    <row r="4838" spans="9:19">
      <c r="I4838" s="213"/>
      <c r="J4838" s="213"/>
      <c r="L4838" s="272">
        <f t="shared" si="375"/>
        <v>1900</v>
      </c>
      <c r="M4838" s="272">
        <f t="shared" si="376"/>
        <v>1</v>
      </c>
      <c r="O4838" s="61">
        <f t="shared" si="377"/>
        <v>1900</v>
      </c>
      <c r="P4838" s="61">
        <f t="shared" si="378"/>
        <v>1</v>
      </c>
      <c r="R4838" s="272"/>
      <c r="S4838" s="272"/>
    </row>
    <row r="4839" spans="9:19">
      <c r="I4839" s="213"/>
      <c r="J4839" s="213"/>
      <c r="L4839" s="272">
        <f t="shared" si="375"/>
        <v>1900</v>
      </c>
      <c r="M4839" s="272">
        <f t="shared" si="376"/>
        <v>1</v>
      </c>
      <c r="O4839" s="61">
        <f t="shared" si="377"/>
        <v>1900</v>
      </c>
      <c r="P4839" s="61">
        <f t="shared" si="378"/>
        <v>1</v>
      </c>
      <c r="R4839" s="272"/>
      <c r="S4839" s="272"/>
    </row>
    <row r="4840" spans="9:19">
      <c r="I4840" s="213"/>
      <c r="J4840" s="213"/>
      <c r="L4840" s="272">
        <f t="shared" si="375"/>
        <v>1900</v>
      </c>
      <c r="M4840" s="272">
        <f t="shared" si="376"/>
        <v>1</v>
      </c>
      <c r="O4840" s="61">
        <f t="shared" si="377"/>
        <v>1900</v>
      </c>
      <c r="P4840" s="61">
        <f t="shared" si="378"/>
        <v>1</v>
      </c>
      <c r="R4840" s="272"/>
      <c r="S4840" s="272"/>
    </row>
    <row r="4841" spans="9:19">
      <c r="I4841" s="213"/>
      <c r="J4841" s="213"/>
      <c r="L4841" s="272">
        <f t="shared" si="375"/>
        <v>1900</v>
      </c>
      <c r="M4841" s="272">
        <f t="shared" si="376"/>
        <v>1</v>
      </c>
      <c r="O4841" s="61">
        <f t="shared" si="377"/>
        <v>1900</v>
      </c>
      <c r="P4841" s="61">
        <f t="shared" si="378"/>
        <v>1</v>
      </c>
      <c r="R4841" s="272"/>
      <c r="S4841" s="272"/>
    </row>
    <row r="4842" spans="9:19">
      <c r="I4842" s="213"/>
      <c r="J4842" s="213"/>
      <c r="L4842" s="272">
        <f t="shared" si="375"/>
        <v>1900</v>
      </c>
      <c r="M4842" s="272">
        <f t="shared" si="376"/>
        <v>1</v>
      </c>
      <c r="O4842" s="61">
        <f t="shared" si="377"/>
        <v>1900</v>
      </c>
      <c r="P4842" s="61">
        <f t="shared" si="378"/>
        <v>1</v>
      </c>
      <c r="R4842" s="272"/>
      <c r="S4842" s="272"/>
    </row>
    <row r="4843" spans="9:19">
      <c r="I4843" s="213"/>
      <c r="J4843" s="213"/>
      <c r="L4843" s="272">
        <f t="shared" si="375"/>
        <v>1900</v>
      </c>
      <c r="M4843" s="272">
        <f t="shared" si="376"/>
        <v>1</v>
      </c>
      <c r="O4843" s="61">
        <f t="shared" si="377"/>
        <v>1900</v>
      </c>
      <c r="P4843" s="61">
        <f t="shared" si="378"/>
        <v>1</v>
      </c>
      <c r="R4843" s="272"/>
      <c r="S4843" s="272"/>
    </row>
    <row r="4844" spans="9:19">
      <c r="I4844" s="213"/>
      <c r="J4844" s="213"/>
      <c r="L4844" s="272">
        <f t="shared" si="375"/>
        <v>1900</v>
      </c>
      <c r="M4844" s="272">
        <f t="shared" si="376"/>
        <v>1</v>
      </c>
      <c r="O4844" s="61">
        <f t="shared" si="377"/>
        <v>1900</v>
      </c>
      <c r="P4844" s="61">
        <f t="shared" si="378"/>
        <v>1</v>
      </c>
      <c r="R4844" s="272"/>
      <c r="S4844" s="272"/>
    </row>
    <row r="4845" spans="9:19">
      <c r="I4845" s="213"/>
      <c r="J4845" s="213"/>
      <c r="L4845" s="272">
        <f t="shared" si="375"/>
        <v>1900</v>
      </c>
      <c r="M4845" s="272">
        <f t="shared" si="376"/>
        <v>1</v>
      </c>
      <c r="O4845" s="61">
        <f t="shared" si="377"/>
        <v>1900</v>
      </c>
      <c r="P4845" s="61">
        <f t="shared" si="378"/>
        <v>1</v>
      </c>
      <c r="R4845" s="272"/>
      <c r="S4845" s="272"/>
    </row>
    <row r="4846" spans="9:19">
      <c r="I4846" s="213"/>
      <c r="J4846" s="213"/>
      <c r="L4846" s="272">
        <f t="shared" si="375"/>
        <v>1900</v>
      </c>
      <c r="M4846" s="272">
        <f t="shared" si="376"/>
        <v>1</v>
      </c>
      <c r="O4846" s="61">
        <f t="shared" si="377"/>
        <v>1900</v>
      </c>
      <c r="P4846" s="61">
        <f t="shared" si="378"/>
        <v>1</v>
      </c>
      <c r="R4846" s="272"/>
      <c r="S4846" s="272"/>
    </row>
    <row r="4847" spans="9:19">
      <c r="I4847" s="213"/>
      <c r="J4847" s="213"/>
      <c r="L4847" s="272">
        <f t="shared" si="375"/>
        <v>1900</v>
      </c>
      <c r="M4847" s="272">
        <f t="shared" si="376"/>
        <v>1</v>
      </c>
      <c r="O4847" s="61">
        <f t="shared" si="377"/>
        <v>1900</v>
      </c>
      <c r="P4847" s="61">
        <f t="shared" si="378"/>
        <v>1</v>
      </c>
      <c r="R4847" s="272"/>
      <c r="S4847" s="272"/>
    </row>
    <row r="4848" spans="9:19">
      <c r="I4848" s="213"/>
      <c r="J4848" s="213"/>
      <c r="L4848" s="272">
        <f t="shared" si="375"/>
        <v>1900</v>
      </c>
      <c r="M4848" s="272">
        <f t="shared" si="376"/>
        <v>1</v>
      </c>
      <c r="O4848" s="61">
        <f t="shared" si="377"/>
        <v>1900</v>
      </c>
      <c r="P4848" s="61">
        <f t="shared" si="378"/>
        <v>1</v>
      </c>
      <c r="R4848" s="272"/>
      <c r="S4848" s="272"/>
    </row>
    <row r="4849" spans="9:19">
      <c r="I4849" s="213"/>
      <c r="J4849" s="213"/>
      <c r="L4849" s="272">
        <f t="shared" si="375"/>
        <v>1900</v>
      </c>
      <c r="M4849" s="272">
        <f t="shared" si="376"/>
        <v>1</v>
      </c>
      <c r="O4849" s="61">
        <f t="shared" si="377"/>
        <v>1900</v>
      </c>
      <c r="P4849" s="61">
        <f t="shared" si="378"/>
        <v>1</v>
      </c>
      <c r="R4849" s="272"/>
      <c r="S4849" s="272"/>
    </row>
    <row r="4850" spans="9:19">
      <c r="I4850" s="213"/>
      <c r="J4850" s="213"/>
      <c r="L4850" s="272">
        <f t="shared" si="375"/>
        <v>1900</v>
      </c>
      <c r="M4850" s="272">
        <f t="shared" si="376"/>
        <v>1</v>
      </c>
      <c r="O4850" s="61">
        <f t="shared" si="377"/>
        <v>1900</v>
      </c>
      <c r="P4850" s="61">
        <f t="shared" si="378"/>
        <v>1</v>
      </c>
      <c r="R4850" s="272"/>
      <c r="S4850" s="272"/>
    </row>
    <row r="4851" spans="9:19">
      <c r="I4851" s="213"/>
      <c r="J4851" s="213"/>
      <c r="L4851" s="272">
        <f t="shared" si="375"/>
        <v>1900</v>
      </c>
      <c r="M4851" s="272">
        <f t="shared" si="376"/>
        <v>1</v>
      </c>
      <c r="O4851" s="61">
        <f t="shared" si="377"/>
        <v>1900</v>
      </c>
      <c r="P4851" s="61">
        <f t="shared" si="378"/>
        <v>1</v>
      </c>
      <c r="R4851" s="272"/>
      <c r="S4851" s="272"/>
    </row>
    <row r="4852" spans="9:19">
      <c r="I4852" s="213"/>
      <c r="J4852" s="213"/>
      <c r="L4852" s="272">
        <f t="shared" si="375"/>
        <v>1900</v>
      </c>
      <c r="M4852" s="272">
        <f t="shared" si="376"/>
        <v>1</v>
      </c>
      <c r="O4852" s="61">
        <f t="shared" si="377"/>
        <v>1900</v>
      </c>
      <c r="P4852" s="61">
        <f t="shared" si="378"/>
        <v>1</v>
      </c>
      <c r="R4852" s="272"/>
      <c r="S4852" s="272"/>
    </row>
    <row r="4853" spans="9:19">
      <c r="I4853" s="213"/>
      <c r="J4853" s="213"/>
      <c r="L4853" s="272">
        <f t="shared" si="375"/>
        <v>1900</v>
      </c>
      <c r="M4853" s="272">
        <f t="shared" si="376"/>
        <v>1</v>
      </c>
      <c r="O4853" s="61">
        <f t="shared" si="377"/>
        <v>1900</v>
      </c>
      <c r="P4853" s="61">
        <f t="shared" si="378"/>
        <v>1</v>
      </c>
      <c r="R4853" s="272"/>
      <c r="S4853" s="272"/>
    </row>
    <row r="4854" spans="9:19">
      <c r="I4854" s="213"/>
      <c r="J4854" s="213"/>
      <c r="L4854" s="272">
        <f t="shared" si="375"/>
        <v>1900</v>
      </c>
      <c r="M4854" s="272">
        <f t="shared" si="376"/>
        <v>1</v>
      </c>
      <c r="O4854" s="61">
        <f t="shared" si="377"/>
        <v>1900</v>
      </c>
      <c r="P4854" s="61">
        <f t="shared" si="378"/>
        <v>1</v>
      </c>
      <c r="R4854" s="272"/>
      <c r="S4854" s="272"/>
    </row>
    <row r="4855" spans="9:19">
      <c r="I4855" s="213"/>
      <c r="J4855" s="213"/>
      <c r="L4855" s="272">
        <f t="shared" si="375"/>
        <v>1900</v>
      </c>
      <c r="M4855" s="272">
        <f t="shared" si="376"/>
        <v>1</v>
      </c>
      <c r="O4855" s="61">
        <f t="shared" si="377"/>
        <v>1900</v>
      </c>
      <c r="P4855" s="61">
        <f t="shared" si="378"/>
        <v>1</v>
      </c>
      <c r="R4855" s="272"/>
      <c r="S4855" s="272"/>
    </row>
    <row r="4856" spans="9:19">
      <c r="I4856" s="213"/>
      <c r="J4856" s="213"/>
      <c r="L4856" s="272">
        <f t="shared" si="375"/>
        <v>1900</v>
      </c>
      <c r="M4856" s="272">
        <f t="shared" si="376"/>
        <v>1</v>
      </c>
      <c r="O4856" s="61">
        <f t="shared" si="377"/>
        <v>1900</v>
      </c>
      <c r="P4856" s="61">
        <f t="shared" si="378"/>
        <v>1</v>
      </c>
      <c r="R4856" s="272"/>
      <c r="S4856" s="272"/>
    </row>
    <row r="4857" spans="9:19">
      <c r="I4857" s="213"/>
      <c r="J4857" s="213"/>
      <c r="L4857" s="272">
        <f t="shared" si="375"/>
        <v>1900</v>
      </c>
      <c r="M4857" s="272">
        <f t="shared" si="376"/>
        <v>1</v>
      </c>
      <c r="O4857" s="61">
        <f t="shared" si="377"/>
        <v>1900</v>
      </c>
      <c r="P4857" s="61">
        <f t="shared" si="378"/>
        <v>1</v>
      </c>
      <c r="R4857" s="272"/>
      <c r="S4857" s="272"/>
    </row>
    <row r="4858" spans="9:19">
      <c r="I4858" s="213"/>
      <c r="J4858" s="213"/>
      <c r="L4858" s="272">
        <f t="shared" si="375"/>
        <v>1900</v>
      </c>
      <c r="M4858" s="272">
        <f t="shared" si="376"/>
        <v>1</v>
      </c>
      <c r="O4858" s="61">
        <f t="shared" si="377"/>
        <v>1900</v>
      </c>
      <c r="P4858" s="61">
        <f t="shared" si="378"/>
        <v>1</v>
      </c>
      <c r="R4858" s="272"/>
      <c r="S4858" s="272"/>
    </row>
    <row r="4859" spans="9:19">
      <c r="I4859" s="213"/>
      <c r="J4859" s="213"/>
      <c r="L4859" s="272">
        <f t="shared" si="375"/>
        <v>1900</v>
      </c>
      <c r="M4859" s="272">
        <f t="shared" si="376"/>
        <v>1</v>
      </c>
      <c r="O4859" s="61">
        <f t="shared" si="377"/>
        <v>1900</v>
      </c>
      <c r="P4859" s="61">
        <f t="shared" si="378"/>
        <v>1</v>
      </c>
      <c r="R4859" s="272"/>
      <c r="S4859" s="272"/>
    </row>
    <row r="4860" spans="9:19">
      <c r="I4860" s="213"/>
      <c r="J4860" s="213"/>
      <c r="L4860" s="272">
        <f t="shared" si="375"/>
        <v>1900</v>
      </c>
      <c r="M4860" s="272">
        <f t="shared" si="376"/>
        <v>1</v>
      </c>
      <c r="O4860" s="61">
        <f t="shared" si="377"/>
        <v>1900</v>
      </c>
      <c r="P4860" s="61">
        <f t="shared" si="378"/>
        <v>1</v>
      </c>
      <c r="R4860" s="272"/>
      <c r="S4860" s="272"/>
    </row>
    <row r="4861" spans="9:19">
      <c r="I4861" s="213"/>
      <c r="J4861" s="213"/>
      <c r="L4861" s="272">
        <f t="shared" si="375"/>
        <v>1900</v>
      </c>
      <c r="M4861" s="272">
        <f t="shared" si="376"/>
        <v>1</v>
      </c>
      <c r="O4861" s="61">
        <f t="shared" si="377"/>
        <v>1900</v>
      </c>
      <c r="P4861" s="61">
        <f t="shared" si="378"/>
        <v>1</v>
      </c>
      <c r="R4861" s="272"/>
      <c r="S4861" s="272"/>
    </row>
    <row r="4862" spans="9:19">
      <c r="I4862" s="213"/>
      <c r="J4862" s="213"/>
      <c r="L4862" s="272">
        <f t="shared" si="375"/>
        <v>1900</v>
      </c>
      <c r="M4862" s="272">
        <f t="shared" si="376"/>
        <v>1</v>
      </c>
      <c r="O4862" s="61">
        <f t="shared" si="377"/>
        <v>1900</v>
      </c>
      <c r="P4862" s="61">
        <f t="shared" si="378"/>
        <v>1</v>
      </c>
      <c r="R4862" s="272"/>
      <c r="S4862" s="272"/>
    </row>
    <row r="4863" spans="9:19">
      <c r="I4863" s="213"/>
      <c r="J4863" s="213"/>
      <c r="L4863" s="272">
        <f t="shared" si="375"/>
        <v>1900</v>
      </c>
      <c r="M4863" s="272">
        <f t="shared" si="376"/>
        <v>1</v>
      </c>
      <c r="O4863" s="61">
        <f t="shared" si="377"/>
        <v>1900</v>
      </c>
      <c r="P4863" s="61">
        <f t="shared" si="378"/>
        <v>1</v>
      </c>
      <c r="R4863" s="272"/>
      <c r="S4863" s="272"/>
    </row>
    <row r="4864" spans="9:19">
      <c r="I4864" s="213"/>
      <c r="J4864" s="213"/>
      <c r="L4864" s="272">
        <f t="shared" si="375"/>
        <v>1900</v>
      </c>
      <c r="M4864" s="272">
        <f t="shared" si="376"/>
        <v>1</v>
      </c>
      <c r="O4864" s="61">
        <f t="shared" si="377"/>
        <v>1900</v>
      </c>
      <c r="P4864" s="61">
        <f t="shared" si="378"/>
        <v>1</v>
      </c>
      <c r="R4864" s="272"/>
      <c r="S4864" s="272"/>
    </row>
    <row r="4865" spans="9:19">
      <c r="I4865" s="213"/>
      <c r="J4865" s="213"/>
      <c r="L4865" s="272">
        <f t="shared" si="375"/>
        <v>1900</v>
      </c>
      <c r="M4865" s="272">
        <f t="shared" si="376"/>
        <v>1</v>
      </c>
      <c r="O4865" s="61">
        <f t="shared" si="377"/>
        <v>1900</v>
      </c>
      <c r="P4865" s="61">
        <f t="shared" si="378"/>
        <v>1</v>
      </c>
      <c r="R4865" s="272"/>
      <c r="S4865" s="272"/>
    </row>
    <row r="4866" spans="9:19">
      <c r="I4866" s="213"/>
      <c r="J4866" s="213"/>
      <c r="L4866" s="272">
        <f t="shared" si="375"/>
        <v>1900</v>
      </c>
      <c r="M4866" s="272">
        <f t="shared" si="376"/>
        <v>1</v>
      </c>
      <c r="O4866" s="61">
        <f t="shared" si="377"/>
        <v>1900</v>
      </c>
      <c r="P4866" s="61">
        <f t="shared" si="378"/>
        <v>1</v>
      </c>
      <c r="R4866" s="272"/>
      <c r="S4866" s="272"/>
    </row>
    <row r="4867" spans="9:19">
      <c r="I4867" s="213"/>
      <c r="J4867" s="213"/>
      <c r="L4867" s="272">
        <f t="shared" si="375"/>
        <v>1900</v>
      </c>
      <c r="M4867" s="272">
        <f t="shared" si="376"/>
        <v>1</v>
      </c>
      <c r="O4867" s="61">
        <f t="shared" si="377"/>
        <v>1900</v>
      </c>
      <c r="P4867" s="61">
        <f t="shared" si="378"/>
        <v>1</v>
      </c>
      <c r="R4867" s="272"/>
      <c r="S4867" s="272"/>
    </row>
    <row r="4868" spans="9:19">
      <c r="I4868" s="213"/>
      <c r="J4868" s="213"/>
      <c r="L4868" s="272">
        <f t="shared" si="375"/>
        <v>1900</v>
      </c>
      <c r="M4868" s="272">
        <f t="shared" si="376"/>
        <v>1</v>
      </c>
      <c r="O4868" s="61">
        <f t="shared" si="377"/>
        <v>1900</v>
      </c>
      <c r="P4868" s="61">
        <f t="shared" si="378"/>
        <v>1</v>
      </c>
      <c r="R4868" s="272"/>
      <c r="S4868" s="272"/>
    </row>
    <row r="4869" spans="9:19">
      <c r="I4869" s="213"/>
      <c r="J4869" s="213"/>
      <c r="L4869" s="272">
        <f t="shared" si="375"/>
        <v>1900</v>
      </c>
      <c r="M4869" s="272">
        <f t="shared" si="376"/>
        <v>1</v>
      </c>
      <c r="O4869" s="61">
        <f t="shared" si="377"/>
        <v>1900</v>
      </c>
      <c r="P4869" s="61">
        <f t="shared" si="378"/>
        <v>1</v>
      </c>
      <c r="R4869" s="272"/>
      <c r="S4869" s="272"/>
    </row>
    <row r="4870" spans="9:19">
      <c r="I4870" s="213"/>
      <c r="J4870" s="213"/>
      <c r="L4870" s="272">
        <f t="shared" si="375"/>
        <v>1900</v>
      </c>
      <c r="M4870" s="272">
        <f t="shared" si="376"/>
        <v>1</v>
      </c>
      <c r="O4870" s="61">
        <f t="shared" si="377"/>
        <v>1900</v>
      </c>
      <c r="P4870" s="61">
        <f t="shared" si="378"/>
        <v>1</v>
      </c>
      <c r="R4870" s="272"/>
      <c r="S4870" s="272"/>
    </row>
    <row r="4871" spans="9:19">
      <c r="I4871" s="213"/>
      <c r="J4871" s="213"/>
      <c r="L4871" s="272">
        <f t="shared" si="375"/>
        <v>1900</v>
      </c>
      <c r="M4871" s="272">
        <f t="shared" si="376"/>
        <v>1</v>
      </c>
      <c r="O4871" s="61">
        <f t="shared" si="377"/>
        <v>1900</v>
      </c>
      <c r="P4871" s="61">
        <f t="shared" si="378"/>
        <v>1</v>
      </c>
      <c r="R4871" s="272"/>
      <c r="S4871" s="272"/>
    </row>
    <row r="4872" spans="9:19">
      <c r="I4872" s="213"/>
      <c r="J4872" s="213"/>
      <c r="L4872" s="272">
        <f t="shared" si="375"/>
        <v>1900</v>
      </c>
      <c r="M4872" s="272">
        <f t="shared" si="376"/>
        <v>1</v>
      </c>
      <c r="O4872" s="61">
        <f t="shared" si="377"/>
        <v>1900</v>
      </c>
      <c r="P4872" s="61">
        <f t="shared" si="378"/>
        <v>1</v>
      </c>
      <c r="R4872" s="272"/>
      <c r="S4872" s="272"/>
    </row>
    <row r="4873" spans="9:19">
      <c r="I4873" s="213"/>
      <c r="J4873" s="213"/>
      <c r="L4873" s="272">
        <f t="shared" si="375"/>
        <v>1900</v>
      </c>
      <c r="M4873" s="272">
        <f t="shared" si="376"/>
        <v>1</v>
      </c>
      <c r="O4873" s="61">
        <f t="shared" si="377"/>
        <v>1900</v>
      </c>
      <c r="P4873" s="61">
        <f t="shared" si="378"/>
        <v>1</v>
      </c>
      <c r="R4873" s="272"/>
      <c r="S4873" s="272"/>
    </row>
    <row r="4874" spans="9:19">
      <c r="I4874" s="213"/>
      <c r="J4874" s="213"/>
      <c r="L4874" s="272">
        <f t="shared" si="375"/>
        <v>1900</v>
      </c>
      <c r="M4874" s="272">
        <f t="shared" si="376"/>
        <v>1</v>
      </c>
      <c r="O4874" s="61">
        <f t="shared" si="377"/>
        <v>1900</v>
      </c>
      <c r="P4874" s="61">
        <f t="shared" si="378"/>
        <v>1</v>
      </c>
      <c r="R4874" s="272"/>
      <c r="S4874" s="272"/>
    </row>
    <row r="4875" spans="9:19">
      <c r="I4875" s="213"/>
      <c r="J4875" s="213"/>
      <c r="L4875" s="272">
        <f t="shared" si="375"/>
        <v>1900</v>
      </c>
      <c r="M4875" s="272">
        <f t="shared" si="376"/>
        <v>1</v>
      </c>
      <c r="O4875" s="61">
        <f t="shared" si="377"/>
        <v>1900</v>
      </c>
      <c r="P4875" s="61">
        <f t="shared" si="378"/>
        <v>1</v>
      </c>
      <c r="R4875" s="272"/>
      <c r="S4875" s="272"/>
    </row>
    <row r="4876" spans="9:19">
      <c r="I4876" s="213"/>
      <c r="J4876" s="213"/>
      <c r="L4876" s="272">
        <f t="shared" si="375"/>
        <v>1900</v>
      </c>
      <c r="M4876" s="272">
        <f t="shared" si="376"/>
        <v>1</v>
      </c>
      <c r="O4876" s="61">
        <f t="shared" si="377"/>
        <v>1900</v>
      </c>
      <c r="P4876" s="61">
        <f t="shared" si="378"/>
        <v>1</v>
      </c>
      <c r="R4876" s="272"/>
      <c r="S4876" s="272"/>
    </row>
    <row r="4877" spans="9:19">
      <c r="I4877" s="213"/>
      <c r="J4877" s="213"/>
      <c r="L4877" s="272">
        <f t="shared" si="375"/>
        <v>1900</v>
      </c>
      <c r="M4877" s="272">
        <f t="shared" si="376"/>
        <v>1</v>
      </c>
      <c r="O4877" s="61">
        <f t="shared" si="377"/>
        <v>1900</v>
      </c>
      <c r="P4877" s="61">
        <f t="shared" si="378"/>
        <v>1</v>
      </c>
      <c r="R4877" s="272"/>
      <c r="S4877" s="272"/>
    </row>
    <row r="4878" spans="9:19">
      <c r="I4878" s="213"/>
      <c r="J4878" s="213"/>
      <c r="L4878" s="272">
        <f t="shared" si="375"/>
        <v>1900</v>
      </c>
      <c r="M4878" s="272">
        <f t="shared" si="376"/>
        <v>1</v>
      </c>
      <c r="O4878" s="61">
        <f t="shared" si="377"/>
        <v>1900</v>
      </c>
      <c r="P4878" s="61">
        <f t="shared" si="378"/>
        <v>1</v>
      </c>
      <c r="R4878" s="272"/>
      <c r="S4878" s="272"/>
    </row>
    <row r="4879" spans="9:19">
      <c r="I4879" s="213"/>
      <c r="J4879" s="213"/>
      <c r="L4879" s="272">
        <f t="shared" si="375"/>
        <v>1900</v>
      </c>
      <c r="M4879" s="272">
        <f t="shared" si="376"/>
        <v>1</v>
      </c>
      <c r="O4879" s="61">
        <f t="shared" si="377"/>
        <v>1900</v>
      </c>
      <c r="P4879" s="61">
        <f t="shared" si="378"/>
        <v>1</v>
      </c>
      <c r="R4879" s="272"/>
      <c r="S4879" s="272"/>
    </row>
    <row r="4880" spans="9:19">
      <c r="I4880" s="213"/>
      <c r="J4880" s="213"/>
      <c r="L4880" s="272">
        <f t="shared" ref="L4880:L4943" si="379">YEAR(B4880)</f>
        <v>1900</v>
      </c>
      <c r="M4880" s="272">
        <f t="shared" ref="M4880:M4943" si="380">MONTH(B4880)</f>
        <v>1</v>
      </c>
      <c r="O4880" s="61">
        <f t="shared" ref="O4880:O4943" si="381">YEAR(B4880)</f>
        <v>1900</v>
      </c>
      <c r="P4880" s="61">
        <f t="shared" ref="P4880:P4943" si="382">MONTH(B4880)</f>
        <v>1</v>
      </c>
      <c r="R4880" s="272"/>
      <c r="S4880" s="272"/>
    </row>
    <row r="4881" spans="9:19">
      <c r="I4881" s="213"/>
      <c r="J4881" s="213"/>
      <c r="L4881" s="272">
        <f t="shared" si="379"/>
        <v>1900</v>
      </c>
      <c r="M4881" s="272">
        <f t="shared" si="380"/>
        <v>1</v>
      </c>
      <c r="O4881" s="61">
        <f t="shared" si="381"/>
        <v>1900</v>
      </c>
      <c r="P4881" s="61">
        <f t="shared" si="382"/>
        <v>1</v>
      </c>
      <c r="R4881" s="272"/>
      <c r="S4881" s="272"/>
    </row>
    <row r="4882" spans="9:19">
      <c r="I4882" s="213"/>
      <c r="J4882" s="213"/>
      <c r="L4882" s="272">
        <f t="shared" si="379"/>
        <v>1900</v>
      </c>
      <c r="M4882" s="272">
        <f t="shared" si="380"/>
        <v>1</v>
      </c>
      <c r="O4882" s="61">
        <f t="shared" si="381"/>
        <v>1900</v>
      </c>
      <c r="P4882" s="61">
        <f t="shared" si="382"/>
        <v>1</v>
      </c>
      <c r="R4882" s="272"/>
      <c r="S4882" s="272"/>
    </row>
    <row r="4883" spans="9:19">
      <c r="I4883" s="213"/>
      <c r="J4883" s="213"/>
      <c r="L4883" s="272">
        <f t="shared" si="379"/>
        <v>1900</v>
      </c>
      <c r="M4883" s="272">
        <f t="shared" si="380"/>
        <v>1</v>
      </c>
      <c r="O4883" s="61">
        <f t="shared" si="381"/>
        <v>1900</v>
      </c>
      <c r="P4883" s="61">
        <f t="shared" si="382"/>
        <v>1</v>
      </c>
      <c r="R4883" s="272"/>
      <c r="S4883" s="272"/>
    </row>
    <row r="4884" spans="9:19">
      <c r="I4884" s="213"/>
      <c r="J4884" s="213"/>
      <c r="L4884" s="272">
        <f t="shared" si="379"/>
        <v>1900</v>
      </c>
      <c r="M4884" s="272">
        <f t="shared" si="380"/>
        <v>1</v>
      </c>
      <c r="O4884" s="61">
        <f t="shared" si="381"/>
        <v>1900</v>
      </c>
      <c r="P4884" s="61">
        <f t="shared" si="382"/>
        <v>1</v>
      </c>
      <c r="R4884" s="272"/>
      <c r="S4884" s="272"/>
    </row>
    <row r="4885" spans="9:19">
      <c r="I4885" s="213"/>
      <c r="J4885" s="213"/>
      <c r="L4885" s="272">
        <f t="shared" si="379"/>
        <v>1900</v>
      </c>
      <c r="M4885" s="272">
        <f t="shared" si="380"/>
        <v>1</v>
      </c>
      <c r="O4885" s="61">
        <f t="shared" si="381"/>
        <v>1900</v>
      </c>
      <c r="P4885" s="61">
        <f t="shared" si="382"/>
        <v>1</v>
      </c>
      <c r="R4885" s="272"/>
      <c r="S4885" s="272"/>
    </row>
    <row r="4886" spans="9:19">
      <c r="I4886" s="213"/>
      <c r="J4886" s="213"/>
      <c r="L4886" s="272">
        <f t="shared" si="379"/>
        <v>1900</v>
      </c>
      <c r="M4886" s="272">
        <f t="shared" si="380"/>
        <v>1</v>
      </c>
      <c r="O4886" s="61">
        <f t="shared" si="381"/>
        <v>1900</v>
      </c>
      <c r="P4886" s="61">
        <f t="shared" si="382"/>
        <v>1</v>
      </c>
      <c r="R4886" s="272"/>
      <c r="S4886" s="272"/>
    </row>
    <row r="4887" spans="9:19">
      <c r="I4887" s="213"/>
      <c r="J4887" s="213"/>
      <c r="L4887" s="272">
        <f t="shared" si="379"/>
        <v>1900</v>
      </c>
      <c r="M4887" s="272">
        <f t="shared" si="380"/>
        <v>1</v>
      </c>
      <c r="O4887" s="61">
        <f t="shared" si="381"/>
        <v>1900</v>
      </c>
      <c r="P4887" s="61">
        <f t="shared" si="382"/>
        <v>1</v>
      </c>
      <c r="R4887" s="272"/>
      <c r="S4887" s="272"/>
    </row>
    <row r="4888" spans="9:19">
      <c r="I4888" s="213"/>
      <c r="J4888" s="213"/>
      <c r="L4888" s="272">
        <f t="shared" si="379"/>
        <v>1900</v>
      </c>
      <c r="M4888" s="272">
        <f t="shared" si="380"/>
        <v>1</v>
      </c>
      <c r="O4888" s="61">
        <f t="shared" si="381"/>
        <v>1900</v>
      </c>
      <c r="P4888" s="61">
        <f t="shared" si="382"/>
        <v>1</v>
      </c>
      <c r="R4888" s="272"/>
      <c r="S4888" s="272"/>
    </row>
    <row r="4889" spans="9:19">
      <c r="I4889" s="213"/>
      <c r="J4889" s="213"/>
      <c r="L4889" s="272">
        <f t="shared" si="379"/>
        <v>1900</v>
      </c>
      <c r="M4889" s="272">
        <f t="shared" si="380"/>
        <v>1</v>
      </c>
      <c r="O4889" s="61">
        <f t="shared" si="381"/>
        <v>1900</v>
      </c>
      <c r="P4889" s="61">
        <f t="shared" si="382"/>
        <v>1</v>
      </c>
      <c r="R4889" s="272"/>
      <c r="S4889" s="272"/>
    </row>
    <row r="4890" spans="9:19">
      <c r="I4890" s="213"/>
      <c r="J4890" s="213"/>
      <c r="L4890" s="272">
        <f t="shared" si="379"/>
        <v>1900</v>
      </c>
      <c r="M4890" s="272">
        <f t="shared" si="380"/>
        <v>1</v>
      </c>
      <c r="O4890" s="61">
        <f t="shared" si="381"/>
        <v>1900</v>
      </c>
      <c r="P4890" s="61">
        <f t="shared" si="382"/>
        <v>1</v>
      </c>
      <c r="R4890" s="272"/>
      <c r="S4890" s="272"/>
    </row>
    <row r="4891" spans="9:19">
      <c r="I4891" s="213"/>
      <c r="J4891" s="213"/>
      <c r="L4891" s="272">
        <f t="shared" si="379"/>
        <v>1900</v>
      </c>
      <c r="M4891" s="272">
        <f t="shared" si="380"/>
        <v>1</v>
      </c>
      <c r="O4891" s="61">
        <f t="shared" si="381"/>
        <v>1900</v>
      </c>
      <c r="P4891" s="61">
        <f t="shared" si="382"/>
        <v>1</v>
      </c>
      <c r="R4891" s="272"/>
      <c r="S4891" s="272"/>
    </row>
    <row r="4892" spans="9:19">
      <c r="I4892" s="213"/>
      <c r="J4892" s="213"/>
      <c r="L4892" s="272">
        <f t="shared" si="379"/>
        <v>1900</v>
      </c>
      <c r="M4892" s="272">
        <f t="shared" si="380"/>
        <v>1</v>
      </c>
      <c r="O4892" s="61">
        <f t="shared" si="381"/>
        <v>1900</v>
      </c>
      <c r="P4892" s="61">
        <f t="shared" si="382"/>
        <v>1</v>
      </c>
      <c r="R4892" s="272"/>
      <c r="S4892" s="272"/>
    </row>
    <row r="4893" spans="9:19">
      <c r="I4893" s="213"/>
      <c r="J4893" s="213"/>
      <c r="L4893" s="272">
        <f t="shared" si="379"/>
        <v>1900</v>
      </c>
      <c r="M4893" s="272">
        <f t="shared" si="380"/>
        <v>1</v>
      </c>
      <c r="O4893" s="61">
        <f t="shared" si="381"/>
        <v>1900</v>
      </c>
      <c r="P4893" s="61">
        <f t="shared" si="382"/>
        <v>1</v>
      </c>
      <c r="R4893" s="272"/>
      <c r="S4893" s="272"/>
    </row>
    <row r="4894" spans="9:19">
      <c r="I4894" s="213"/>
      <c r="J4894" s="213"/>
      <c r="L4894" s="272">
        <f t="shared" si="379"/>
        <v>1900</v>
      </c>
      <c r="M4894" s="272">
        <f t="shared" si="380"/>
        <v>1</v>
      </c>
      <c r="O4894" s="61">
        <f t="shared" si="381"/>
        <v>1900</v>
      </c>
      <c r="P4894" s="61">
        <f t="shared" si="382"/>
        <v>1</v>
      </c>
      <c r="R4894" s="272"/>
      <c r="S4894" s="272"/>
    </row>
    <row r="4895" spans="9:19">
      <c r="I4895" s="213"/>
      <c r="J4895" s="213"/>
      <c r="L4895" s="272">
        <f t="shared" si="379"/>
        <v>1900</v>
      </c>
      <c r="M4895" s="272">
        <f t="shared" si="380"/>
        <v>1</v>
      </c>
      <c r="O4895" s="61">
        <f t="shared" si="381"/>
        <v>1900</v>
      </c>
      <c r="P4895" s="61">
        <f t="shared" si="382"/>
        <v>1</v>
      </c>
      <c r="R4895" s="272"/>
      <c r="S4895" s="272"/>
    </row>
    <row r="4896" spans="9:19">
      <c r="I4896" s="213"/>
      <c r="J4896" s="213"/>
      <c r="L4896" s="272">
        <f t="shared" si="379"/>
        <v>1900</v>
      </c>
      <c r="M4896" s="272">
        <f t="shared" si="380"/>
        <v>1</v>
      </c>
      <c r="O4896" s="61">
        <f t="shared" si="381"/>
        <v>1900</v>
      </c>
      <c r="P4896" s="61">
        <f t="shared" si="382"/>
        <v>1</v>
      </c>
      <c r="R4896" s="272"/>
      <c r="S4896" s="272"/>
    </row>
    <row r="4897" spans="9:19">
      <c r="I4897" s="213"/>
      <c r="J4897" s="213"/>
      <c r="L4897" s="272">
        <f t="shared" si="379"/>
        <v>1900</v>
      </c>
      <c r="M4897" s="272">
        <f t="shared" si="380"/>
        <v>1</v>
      </c>
      <c r="O4897" s="61">
        <f t="shared" si="381"/>
        <v>1900</v>
      </c>
      <c r="P4897" s="61">
        <f t="shared" si="382"/>
        <v>1</v>
      </c>
      <c r="R4897" s="272"/>
      <c r="S4897" s="272"/>
    </row>
    <row r="4898" spans="9:19">
      <c r="I4898" s="213"/>
      <c r="J4898" s="213"/>
      <c r="L4898" s="272">
        <f t="shared" si="379"/>
        <v>1900</v>
      </c>
      <c r="M4898" s="272">
        <f t="shared" si="380"/>
        <v>1</v>
      </c>
      <c r="O4898" s="61">
        <f t="shared" si="381"/>
        <v>1900</v>
      </c>
      <c r="P4898" s="61">
        <f t="shared" si="382"/>
        <v>1</v>
      </c>
      <c r="R4898" s="272"/>
      <c r="S4898" s="272"/>
    </row>
    <row r="4899" spans="9:19">
      <c r="I4899" s="213"/>
      <c r="J4899" s="213"/>
      <c r="L4899" s="272">
        <f t="shared" si="379"/>
        <v>1900</v>
      </c>
      <c r="M4899" s="272">
        <f t="shared" si="380"/>
        <v>1</v>
      </c>
      <c r="O4899" s="61">
        <f t="shared" si="381"/>
        <v>1900</v>
      </c>
      <c r="P4899" s="61">
        <f t="shared" si="382"/>
        <v>1</v>
      </c>
      <c r="R4899" s="272"/>
      <c r="S4899" s="272"/>
    </row>
    <row r="4900" spans="9:19">
      <c r="I4900" s="213"/>
      <c r="J4900" s="213"/>
      <c r="L4900" s="272">
        <f t="shared" si="379"/>
        <v>1900</v>
      </c>
      <c r="M4900" s="272">
        <f t="shared" si="380"/>
        <v>1</v>
      </c>
      <c r="O4900" s="61">
        <f t="shared" si="381"/>
        <v>1900</v>
      </c>
      <c r="P4900" s="61">
        <f t="shared" si="382"/>
        <v>1</v>
      </c>
      <c r="R4900" s="272"/>
      <c r="S4900" s="272"/>
    </row>
    <row r="4901" spans="9:19">
      <c r="I4901" s="213"/>
      <c r="J4901" s="213"/>
      <c r="L4901" s="272">
        <f t="shared" si="379"/>
        <v>1900</v>
      </c>
      <c r="M4901" s="272">
        <f t="shared" si="380"/>
        <v>1</v>
      </c>
      <c r="O4901" s="61">
        <f t="shared" si="381"/>
        <v>1900</v>
      </c>
      <c r="P4901" s="61">
        <f t="shared" si="382"/>
        <v>1</v>
      </c>
      <c r="R4901" s="272"/>
      <c r="S4901" s="272"/>
    </row>
    <row r="4902" spans="9:19">
      <c r="I4902" s="213"/>
      <c r="J4902" s="213"/>
      <c r="L4902" s="272">
        <f t="shared" si="379"/>
        <v>1900</v>
      </c>
      <c r="M4902" s="272">
        <f t="shared" si="380"/>
        <v>1</v>
      </c>
      <c r="O4902" s="61">
        <f t="shared" si="381"/>
        <v>1900</v>
      </c>
      <c r="P4902" s="61">
        <f t="shared" si="382"/>
        <v>1</v>
      </c>
      <c r="R4902" s="272"/>
      <c r="S4902" s="272"/>
    </row>
    <row r="4903" spans="9:19">
      <c r="I4903" s="213"/>
      <c r="J4903" s="213"/>
      <c r="L4903" s="272">
        <f t="shared" si="379"/>
        <v>1900</v>
      </c>
      <c r="M4903" s="272">
        <f t="shared" si="380"/>
        <v>1</v>
      </c>
      <c r="O4903" s="61">
        <f t="shared" si="381"/>
        <v>1900</v>
      </c>
      <c r="P4903" s="61">
        <f t="shared" si="382"/>
        <v>1</v>
      </c>
      <c r="R4903" s="272"/>
      <c r="S4903" s="272"/>
    </row>
    <row r="4904" spans="9:19">
      <c r="I4904" s="213"/>
      <c r="J4904" s="213"/>
      <c r="L4904" s="272">
        <f t="shared" si="379"/>
        <v>1900</v>
      </c>
      <c r="M4904" s="272">
        <f t="shared" si="380"/>
        <v>1</v>
      </c>
      <c r="O4904" s="61">
        <f t="shared" si="381"/>
        <v>1900</v>
      </c>
      <c r="P4904" s="61">
        <f t="shared" si="382"/>
        <v>1</v>
      </c>
      <c r="R4904" s="272"/>
      <c r="S4904" s="272"/>
    </row>
    <row r="4905" spans="9:19">
      <c r="I4905" s="213"/>
      <c r="J4905" s="213"/>
      <c r="L4905" s="272">
        <f t="shared" si="379"/>
        <v>1900</v>
      </c>
      <c r="M4905" s="272">
        <f t="shared" si="380"/>
        <v>1</v>
      </c>
      <c r="O4905" s="61">
        <f t="shared" si="381"/>
        <v>1900</v>
      </c>
      <c r="P4905" s="61">
        <f t="shared" si="382"/>
        <v>1</v>
      </c>
      <c r="R4905" s="272"/>
      <c r="S4905" s="272"/>
    </row>
    <row r="4906" spans="9:19">
      <c r="I4906" s="213"/>
      <c r="J4906" s="213"/>
      <c r="L4906" s="272">
        <f t="shared" si="379"/>
        <v>1900</v>
      </c>
      <c r="M4906" s="272">
        <f t="shared" si="380"/>
        <v>1</v>
      </c>
      <c r="O4906" s="61">
        <f t="shared" si="381"/>
        <v>1900</v>
      </c>
      <c r="P4906" s="61">
        <f t="shared" si="382"/>
        <v>1</v>
      </c>
      <c r="R4906" s="272"/>
      <c r="S4906" s="272"/>
    </row>
    <row r="4907" spans="9:19">
      <c r="I4907" s="213"/>
      <c r="J4907" s="213"/>
      <c r="L4907" s="272">
        <f t="shared" si="379"/>
        <v>1900</v>
      </c>
      <c r="M4907" s="272">
        <f t="shared" si="380"/>
        <v>1</v>
      </c>
      <c r="O4907" s="61">
        <f t="shared" si="381"/>
        <v>1900</v>
      </c>
      <c r="P4907" s="61">
        <f t="shared" si="382"/>
        <v>1</v>
      </c>
      <c r="R4907" s="272"/>
      <c r="S4907" s="272"/>
    </row>
    <row r="4908" spans="9:19">
      <c r="I4908" s="213"/>
      <c r="J4908" s="213"/>
      <c r="L4908" s="272">
        <f t="shared" si="379"/>
        <v>1900</v>
      </c>
      <c r="M4908" s="272">
        <f t="shared" si="380"/>
        <v>1</v>
      </c>
      <c r="O4908" s="61">
        <f t="shared" si="381"/>
        <v>1900</v>
      </c>
      <c r="P4908" s="61">
        <f t="shared" si="382"/>
        <v>1</v>
      </c>
      <c r="R4908" s="272"/>
      <c r="S4908" s="272"/>
    </row>
    <row r="4909" spans="9:19">
      <c r="I4909" s="213"/>
      <c r="J4909" s="213"/>
      <c r="L4909" s="272">
        <f t="shared" si="379"/>
        <v>1900</v>
      </c>
      <c r="M4909" s="272">
        <f t="shared" si="380"/>
        <v>1</v>
      </c>
      <c r="O4909" s="61">
        <f t="shared" si="381"/>
        <v>1900</v>
      </c>
      <c r="P4909" s="61">
        <f t="shared" si="382"/>
        <v>1</v>
      </c>
      <c r="R4909" s="272"/>
      <c r="S4909" s="272"/>
    </row>
    <row r="4910" spans="9:19">
      <c r="I4910" s="213"/>
      <c r="J4910" s="213"/>
      <c r="L4910" s="272">
        <f t="shared" si="379"/>
        <v>1900</v>
      </c>
      <c r="M4910" s="272">
        <f t="shared" si="380"/>
        <v>1</v>
      </c>
      <c r="O4910" s="61">
        <f t="shared" si="381"/>
        <v>1900</v>
      </c>
      <c r="P4910" s="61">
        <f t="shared" si="382"/>
        <v>1</v>
      </c>
      <c r="R4910" s="272"/>
      <c r="S4910" s="272"/>
    </row>
    <row r="4911" spans="9:19">
      <c r="I4911" s="213"/>
      <c r="J4911" s="213"/>
      <c r="L4911" s="272">
        <f t="shared" si="379"/>
        <v>1900</v>
      </c>
      <c r="M4911" s="272">
        <f t="shared" si="380"/>
        <v>1</v>
      </c>
      <c r="O4911" s="61">
        <f t="shared" si="381"/>
        <v>1900</v>
      </c>
      <c r="P4911" s="61">
        <f t="shared" si="382"/>
        <v>1</v>
      </c>
      <c r="R4911" s="272"/>
      <c r="S4911" s="272"/>
    </row>
    <row r="4912" spans="9:19">
      <c r="I4912" s="213"/>
      <c r="J4912" s="213"/>
      <c r="L4912" s="272">
        <f t="shared" si="379"/>
        <v>1900</v>
      </c>
      <c r="M4912" s="272">
        <f t="shared" si="380"/>
        <v>1</v>
      </c>
      <c r="O4912" s="61">
        <f t="shared" si="381"/>
        <v>1900</v>
      </c>
      <c r="P4912" s="61">
        <f t="shared" si="382"/>
        <v>1</v>
      </c>
      <c r="R4912" s="272"/>
      <c r="S4912" s="272"/>
    </row>
    <row r="4913" spans="9:19">
      <c r="I4913" s="213"/>
      <c r="J4913" s="213"/>
      <c r="L4913" s="272">
        <f t="shared" si="379"/>
        <v>1900</v>
      </c>
      <c r="M4913" s="272">
        <f t="shared" si="380"/>
        <v>1</v>
      </c>
      <c r="O4913" s="61">
        <f t="shared" si="381"/>
        <v>1900</v>
      </c>
      <c r="P4913" s="61">
        <f t="shared" si="382"/>
        <v>1</v>
      </c>
      <c r="R4913" s="272"/>
      <c r="S4913" s="272"/>
    </row>
    <row r="4914" spans="9:19">
      <c r="I4914" s="213"/>
      <c r="J4914" s="213"/>
      <c r="L4914" s="272">
        <f t="shared" si="379"/>
        <v>1900</v>
      </c>
      <c r="M4914" s="272">
        <f t="shared" si="380"/>
        <v>1</v>
      </c>
      <c r="O4914" s="61">
        <f t="shared" si="381"/>
        <v>1900</v>
      </c>
      <c r="P4914" s="61">
        <f t="shared" si="382"/>
        <v>1</v>
      </c>
      <c r="R4914" s="272"/>
      <c r="S4914" s="272"/>
    </row>
    <row r="4915" spans="9:19">
      <c r="I4915" s="213"/>
      <c r="J4915" s="213"/>
      <c r="L4915" s="272">
        <f t="shared" si="379"/>
        <v>1900</v>
      </c>
      <c r="M4915" s="272">
        <f t="shared" si="380"/>
        <v>1</v>
      </c>
      <c r="O4915" s="61">
        <f t="shared" si="381"/>
        <v>1900</v>
      </c>
      <c r="P4915" s="61">
        <f t="shared" si="382"/>
        <v>1</v>
      </c>
      <c r="R4915" s="272"/>
      <c r="S4915" s="272"/>
    </row>
    <row r="4916" spans="9:19">
      <c r="I4916" s="213"/>
      <c r="J4916" s="213"/>
      <c r="L4916" s="272">
        <f t="shared" si="379"/>
        <v>1900</v>
      </c>
      <c r="M4916" s="272">
        <f t="shared" si="380"/>
        <v>1</v>
      </c>
      <c r="O4916" s="61">
        <f t="shared" si="381"/>
        <v>1900</v>
      </c>
      <c r="P4916" s="61">
        <f t="shared" si="382"/>
        <v>1</v>
      </c>
      <c r="R4916" s="272"/>
      <c r="S4916" s="272"/>
    </row>
    <row r="4917" spans="9:19">
      <c r="I4917" s="213"/>
      <c r="J4917" s="213"/>
      <c r="L4917" s="272">
        <f t="shared" si="379"/>
        <v>1900</v>
      </c>
      <c r="M4917" s="272">
        <f t="shared" si="380"/>
        <v>1</v>
      </c>
      <c r="O4917" s="61">
        <f t="shared" si="381"/>
        <v>1900</v>
      </c>
      <c r="P4917" s="61">
        <f t="shared" si="382"/>
        <v>1</v>
      </c>
      <c r="R4917" s="272"/>
      <c r="S4917" s="272"/>
    </row>
    <row r="4918" spans="9:19">
      <c r="I4918" s="213"/>
      <c r="J4918" s="213"/>
      <c r="L4918" s="272">
        <f t="shared" si="379"/>
        <v>1900</v>
      </c>
      <c r="M4918" s="272">
        <f t="shared" si="380"/>
        <v>1</v>
      </c>
      <c r="O4918" s="61">
        <f t="shared" si="381"/>
        <v>1900</v>
      </c>
      <c r="P4918" s="61">
        <f t="shared" si="382"/>
        <v>1</v>
      </c>
      <c r="R4918" s="272"/>
      <c r="S4918" s="272"/>
    </row>
    <row r="4919" spans="9:19">
      <c r="I4919" s="213"/>
      <c r="J4919" s="213"/>
      <c r="L4919" s="272">
        <f t="shared" si="379"/>
        <v>1900</v>
      </c>
      <c r="M4919" s="272">
        <f t="shared" si="380"/>
        <v>1</v>
      </c>
      <c r="O4919" s="61">
        <f t="shared" si="381"/>
        <v>1900</v>
      </c>
      <c r="P4919" s="61">
        <f t="shared" si="382"/>
        <v>1</v>
      </c>
      <c r="R4919" s="272"/>
      <c r="S4919" s="272"/>
    </row>
    <row r="4920" spans="9:19">
      <c r="I4920" s="213"/>
      <c r="J4920" s="213"/>
      <c r="L4920" s="272">
        <f t="shared" si="379"/>
        <v>1900</v>
      </c>
      <c r="M4920" s="272">
        <f t="shared" si="380"/>
        <v>1</v>
      </c>
      <c r="O4920" s="61">
        <f t="shared" si="381"/>
        <v>1900</v>
      </c>
      <c r="P4920" s="61">
        <f t="shared" si="382"/>
        <v>1</v>
      </c>
      <c r="R4920" s="272"/>
      <c r="S4920" s="272"/>
    </row>
    <row r="4921" spans="9:19">
      <c r="I4921" s="213"/>
      <c r="J4921" s="213"/>
      <c r="L4921" s="272">
        <f t="shared" si="379"/>
        <v>1900</v>
      </c>
      <c r="M4921" s="272">
        <f t="shared" si="380"/>
        <v>1</v>
      </c>
      <c r="O4921" s="61">
        <f t="shared" si="381"/>
        <v>1900</v>
      </c>
      <c r="P4921" s="61">
        <f t="shared" si="382"/>
        <v>1</v>
      </c>
      <c r="R4921" s="272"/>
      <c r="S4921" s="272"/>
    </row>
    <row r="4922" spans="9:19">
      <c r="I4922" s="213"/>
      <c r="J4922" s="213"/>
      <c r="L4922" s="272">
        <f t="shared" si="379"/>
        <v>1900</v>
      </c>
      <c r="M4922" s="272">
        <f t="shared" si="380"/>
        <v>1</v>
      </c>
      <c r="O4922" s="61">
        <f t="shared" si="381"/>
        <v>1900</v>
      </c>
      <c r="P4922" s="61">
        <f t="shared" si="382"/>
        <v>1</v>
      </c>
      <c r="R4922" s="272"/>
      <c r="S4922" s="272"/>
    </row>
    <row r="4923" spans="9:19">
      <c r="I4923" s="213"/>
      <c r="J4923" s="213"/>
      <c r="L4923" s="272">
        <f t="shared" si="379"/>
        <v>1900</v>
      </c>
      <c r="M4923" s="272">
        <f t="shared" si="380"/>
        <v>1</v>
      </c>
      <c r="O4923" s="61">
        <f t="shared" si="381"/>
        <v>1900</v>
      </c>
      <c r="P4923" s="61">
        <f t="shared" si="382"/>
        <v>1</v>
      </c>
      <c r="R4923" s="272"/>
      <c r="S4923" s="272"/>
    </row>
    <row r="4924" spans="9:19">
      <c r="I4924" s="213"/>
      <c r="J4924" s="213"/>
      <c r="L4924" s="272">
        <f t="shared" si="379"/>
        <v>1900</v>
      </c>
      <c r="M4924" s="272">
        <f t="shared" si="380"/>
        <v>1</v>
      </c>
      <c r="O4924" s="61">
        <f t="shared" si="381"/>
        <v>1900</v>
      </c>
      <c r="P4924" s="61">
        <f t="shared" si="382"/>
        <v>1</v>
      </c>
      <c r="R4924" s="272"/>
      <c r="S4924" s="272"/>
    </row>
    <row r="4925" spans="9:19">
      <c r="I4925" s="213"/>
      <c r="J4925" s="213"/>
      <c r="L4925" s="272">
        <f t="shared" si="379"/>
        <v>1900</v>
      </c>
      <c r="M4925" s="272">
        <f t="shared" si="380"/>
        <v>1</v>
      </c>
      <c r="O4925" s="61">
        <f t="shared" si="381"/>
        <v>1900</v>
      </c>
      <c r="P4925" s="61">
        <f t="shared" si="382"/>
        <v>1</v>
      </c>
      <c r="R4925" s="272"/>
      <c r="S4925" s="272"/>
    </row>
    <row r="4926" spans="9:19">
      <c r="I4926" s="213"/>
      <c r="J4926" s="213"/>
      <c r="L4926" s="272">
        <f t="shared" si="379"/>
        <v>1900</v>
      </c>
      <c r="M4926" s="272">
        <f t="shared" si="380"/>
        <v>1</v>
      </c>
      <c r="O4926" s="61">
        <f t="shared" si="381"/>
        <v>1900</v>
      </c>
      <c r="P4926" s="61">
        <f t="shared" si="382"/>
        <v>1</v>
      </c>
      <c r="R4926" s="272"/>
      <c r="S4926" s="272"/>
    </row>
    <row r="4927" spans="9:19">
      <c r="I4927" s="213"/>
      <c r="J4927" s="213"/>
      <c r="L4927" s="272">
        <f t="shared" si="379"/>
        <v>1900</v>
      </c>
      <c r="M4927" s="272">
        <f t="shared" si="380"/>
        <v>1</v>
      </c>
      <c r="O4927" s="61">
        <f t="shared" si="381"/>
        <v>1900</v>
      </c>
      <c r="P4927" s="61">
        <f t="shared" si="382"/>
        <v>1</v>
      </c>
      <c r="R4927" s="272"/>
      <c r="S4927" s="272"/>
    </row>
    <row r="4928" spans="9:19">
      <c r="I4928" s="213"/>
      <c r="J4928" s="213"/>
      <c r="L4928" s="272">
        <f t="shared" si="379"/>
        <v>1900</v>
      </c>
      <c r="M4928" s="272">
        <f t="shared" si="380"/>
        <v>1</v>
      </c>
      <c r="O4928" s="61">
        <f t="shared" si="381"/>
        <v>1900</v>
      </c>
      <c r="P4928" s="61">
        <f t="shared" si="382"/>
        <v>1</v>
      </c>
      <c r="R4928" s="272"/>
      <c r="S4928" s="272"/>
    </row>
    <row r="4929" spans="9:19">
      <c r="I4929" s="213"/>
      <c r="J4929" s="213"/>
      <c r="L4929" s="272">
        <f t="shared" si="379"/>
        <v>1900</v>
      </c>
      <c r="M4929" s="272">
        <f t="shared" si="380"/>
        <v>1</v>
      </c>
      <c r="O4929" s="61">
        <f t="shared" si="381"/>
        <v>1900</v>
      </c>
      <c r="P4929" s="61">
        <f t="shared" si="382"/>
        <v>1</v>
      </c>
      <c r="R4929" s="272"/>
      <c r="S4929" s="272"/>
    </row>
    <row r="4930" spans="9:19">
      <c r="I4930" s="213"/>
      <c r="J4930" s="213"/>
      <c r="L4930" s="272">
        <f t="shared" si="379"/>
        <v>1900</v>
      </c>
      <c r="M4930" s="272">
        <f t="shared" si="380"/>
        <v>1</v>
      </c>
      <c r="O4930" s="61">
        <f t="shared" si="381"/>
        <v>1900</v>
      </c>
      <c r="P4930" s="61">
        <f t="shared" si="382"/>
        <v>1</v>
      </c>
      <c r="R4930" s="272"/>
      <c r="S4930" s="272"/>
    </row>
    <row r="4931" spans="9:19">
      <c r="I4931" s="213"/>
      <c r="J4931" s="213"/>
      <c r="L4931" s="272">
        <f t="shared" si="379"/>
        <v>1900</v>
      </c>
      <c r="M4931" s="272">
        <f t="shared" si="380"/>
        <v>1</v>
      </c>
      <c r="O4931" s="61">
        <f t="shared" si="381"/>
        <v>1900</v>
      </c>
      <c r="P4931" s="61">
        <f t="shared" si="382"/>
        <v>1</v>
      </c>
      <c r="R4931" s="272"/>
      <c r="S4931" s="272"/>
    </row>
    <row r="4932" spans="9:19">
      <c r="I4932" s="213"/>
      <c r="J4932" s="213"/>
      <c r="L4932" s="272">
        <f t="shared" si="379"/>
        <v>1900</v>
      </c>
      <c r="M4932" s="272">
        <f t="shared" si="380"/>
        <v>1</v>
      </c>
      <c r="O4932" s="61">
        <f t="shared" si="381"/>
        <v>1900</v>
      </c>
      <c r="P4932" s="61">
        <f t="shared" si="382"/>
        <v>1</v>
      </c>
      <c r="R4932" s="272"/>
      <c r="S4932" s="272"/>
    </row>
    <row r="4933" spans="9:19">
      <c r="I4933" s="213"/>
      <c r="J4933" s="213"/>
      <c r="L4933" s="272">
        <f t="shared" si="379"/>
        <v>1900</v>
      </c>
      <c r="M4933" s="272">
        <f t="shared" si="380"/>
        <v>1</v>
      </c>
      <c r="O4933" s="61">
        <f t="shared" si="381"/>
        <v>1900</v>
      </c>
      <c r="P4933" s="61">
        <f t="shared" si="382"/>
        <v>1</v>
      </c>
      <c r="R4933" s="272"/>
      <c r="S4933" s="272"/>
    </row>
    <row r="4934" spans="9:19">
      <c r="I4934" s="213"/>
      <c r="J4934" s="213"/>
      <c r="L4934" s="272">
        <f t="shared" si="379"/>
        <v>1900</v>
      </c>
      <c r="M4934" s="272">
        <f t="shared" si="380"/>
        <v>1</v>
      </c>
      <c r="O4934" s="61">
        <f t="shared" si="381"/>
        <v>1900</v>
      </c>
      <c r="P4934" s="61">
        <f t="shared" si="382"/>
        <v>1</v>
      </c>
      <c r="R4934" s="272"/>
      <c r="S4934" s="272"/>
    </row>
    <row r="4935" spans="9:19">
      <c r="I4935" s="213"/>
      <c r="J4935" s="213"/>
      <c r="L4935" s="272">
        <f t="shared" si="379"/>
        <v>1900</v>
      </c>
      <c r="M4935" s="272">
        <f t="shared" si="380"/>
        <v>1</v>
      </c>
      <c r="O4935" s="61">
        <f t="shared" si="381"/>
        <v>1900</v>
      </c>
      <c r="P4935" s="61">
        <f t="shared" si="382"/>
        <v>1</v>
      </c>
      <c r="R4935" s="272"/>
      <c r="S4935" s="272"/>
    </row>
    <row r="4936" spans="9:19">
      <c r="I4936" s="213"/>
      <c r="J4936" s="213"/>
      <c r="L4936" s="272">
        <f t="shared" si="379"/>
        <v>1900</v>
      </c>
      <c r="M4936" s="272">
        <f t="shared" si="380"/>
        <v>1</v>
      </c>
      <c r="O4936" s="61">
        <f t="shared" si="381"/>
        <v>1900</v>
      </c>
      <c r="P4936" s="61">
        <f t="shared" si="382"/>
        <v>1</v>
      </c>
      <c r="R4936" s="272"/>
      <c r="S4936" s="272"/>
    </row>
    <row r="4937" spans="9:19">
      <c r="I4937" s="213"/>
      <c r="J4937" s="213"/>
      <c r="L4937" s="272">
        <f t="shared" si="379"/>
        <v>1900</v>
      </c>
      <c r="M4937" s="272">
        <f t="shared" si="380"/>
        <v>1</v>
      </c>
      <c r="O4937" s="61">
        <f t="shared" si="381"/>
        <v>1900</v>
      </c>
      <c r="P4937" s="61">
        <f t="shared" si="382"/>
        <v>1</v>
      </c>
      <c r="R4937" s="272"/>
      <c r="S4937" s="272"/>
    </row>
    <row r="4938" spans="9:19">
      <c r="I4938" s="213"/>
      <c r="J4938" s="213"/>
      <c r="L4938" s="272">
        <f t="shared" si="379"/>
        <v>1900</v>
      </c>
      <c r="M4938" s="272">
        <f t="shared" si="380"/>
        <v>1</v>
      </c>
      <c r="O4938" s="61">
        <f t="shared" si="381"/>
        <v>1900</v>
      </c>
      <c r="P4938" s="61">
        <f t="shared" si="382"/>
        <v>1</v>
      </c>
      <c r="R4938" s="272"/>
      <c r="S4938" s="272"/>
    </row>
    <row r="4939" spans="9:19">
      <c r="I4939" s="213"/>
      <c r="J4939" s="213"/>
      <c r="L4939" s="272">
        <f t="shared" si="379"/>
        <v>1900</v>
      </c>
      <c r="M4939" s="272">
        <f t="shared" si="380"/>
        <v>1</v>
      </c>
      <c r="O4939" s="61">
        <f t="shared" si="381"/>
        <v>1900</v>
      </c>
      <c r="P4939" s="61">
        <f t="shared" si="382"/>
        <v>1</v>
      </c>
      <c r="R4939" s="272"/>
      <c r="S4939" s="272"/>
    </row>
    <row r="4940" spans="9:19">
      <c r="I4940" s="213"/>
      <c r="J4940" s="213"/>
      <c r="L4940" s="272">
        <f t="shared" si="379"/>
        <v>1900</v>
      </c>
      <c r="M4940" s="272">
        <f t="shared" si="380"/>
        <v>1</v>
      </c>
      <c r="O4940" s="61">
        <f t="shared" si="381"/>
        <v>1900</v>
      </c>
      <c r="P4940" s="61">
        <f t="shared" si="382"/>
        <v>1</v>
      </c>
      <c r="R4940" s="272"/>
      <c r="S4940" s="272"/>
    </row>
    <row r="4941" spans="9:19">
      <c r="I4941" s="213"/>
      <c r="J4941" s="213"/>
      <c r="L4941" s="272">
        <f t="shared" si="379"/>
        <v>1900</v>
      </c>
      <c r="M4941" s="272">
        <f t="shared" si="380"/>
        <v>1</v>
      </c>
      <c r="O4941" s="61">
        <f t="shared" si="381"/>
        <v>1900</v>
      </c>
      <c r="P4941" s="61">
        <f t="shared" si="382"/>
        <v>1</v>
      </c>
      <c r="R4941" s="272"/>
      <c r="S4941" s="272"/>
    </row>
    <row r="4942" spans="9:19">
      <c r="I4942" s="213"/>
      <c r="J4942" s="213"/>
      <c r="L4942" s="272">
        <f t="shared" si="379"/>
        <v>1900</v>
      </c>
      <c r="M4942" s="272">
        <f t="shared" si="380"/>
        <v>1</v>
      </c>
      <c r="O4942" s="61">
        <f t="shared" si="381"/>
        <v>1900</v>
      </c>
      <c r="P4942" s="61">
        <f t="shared" si="382"/>
        <v>1</v>
      </c>
      <c r="R4942" s="272"/>
      <c r="S4942" s="272"/>
    </row>
    <row r="4943" spans="9:19">
      <c r="I4943" s="213"/>
      <c r="J4943" s="213"/>
      <c r="L4943" s="272">
        <f t="shared" si="379"/>
        <v>1900</v>
      </c>
      <c r="M4943" s="272">
        <f t="shared" si="380"/>
        <v>1</v>
      </c>
      <c r="O4943" s="61">
        <f t="shared" si="381"/>
        <v>1900</v>
      </c>
      <c r="P4943" s="61">
        <f t="shared" si="382"/>
        <v>1</v>
      </c>
      <c r="R4943" s="272"/>
      <c r="S4943" s="272"/>
    </row>
    <row r="4944" spans="9:19">
      <c r="I4944" s="213"/>
      <c r="J4944" s="213"/>
      <c r="L4944" s="272">
        <f t="shared" ref="L4944:L5007" si="383">YEAR(B4944)</f>
        <v>1900</v>
      </c>
      <c r="M4944" s="272">
        <f t="shared" ref="M4944:M5007" si="384">MONTH(B4944)</f>
        <v>1</v>
      </c>
      <c r="O4944" s="61">
        <f t="shared" ref="O4944:O5007" si="385">YEAR(B4944)</f>
        <v>1900</v>
      </c>
      <c r="P4944" s="61">
        <f t="shared" ref="P4944:P5007" si="386">MONTH(B4944)</f>
        <v>1</v>
      </c>
      <c r="R4944" s="272"/>
      <c r="S4944" s="272"/>
    </row>
    <row r="4945" spans="9:19">
      <c r="I4945" s="213"/>
      <c r="J4945" s="213"/>
      <c r="L4945" s="272">
        <f t="shared" si="383"/>
        <v>1900</v>
      </c>
      <c r="M4945" s="272">
        <f t="shared" si="384"/>
        <v>1</v>
      </c>
      <c r="O4945" s="61">
        <f t="shared" si="385"/>
        <v>1900</v>
      </c>
      <c r="P4945" s="61">
        <f t="shared" si="386"/>
        <v>1</v>
      </c>
      <c r="R4945" s="272"/>
      <c r="S4945" s="272"/>
    </row>
    <row r="4946" spans="9:19">
      <c r="I4946" s="213"/>
      <c r="J4946" s="213"/>
      <c r="L4946" s="272">
        <f t="shared" si="383"/>
        <v>1900</v>
      </c>
      <c r="M4946" s="272">
        <f t="shared" si="384"/>
        <v>1</v>
      </c>
      <c r="O4946" s="61">
        <f t="shared" si="385"/>
        <v>1900</v>
      </c>
      <c r="P4946" s="61">
        <f t="shared" si="386"/>
        <v>1</v>
      </c>
      <c r="R4946" s="272"/>
      <c r="S4946" s="272"/>
    </row>
    <row r="4947" spans="9:19">
      <c r="I4947" s="213"/>
      <c r="J4947" s="213"/>
      <c r="L4947" s="272">
        <f t="shared" si="383"/>
        <v>1900</v>
      </c>
      <c r="M4947" s="272">
        <f t="shared" si="384"/>
        <v>1</v>
      </c>
      <c r="O4947" s="61">
        <f t="shared" si="385"/>
        <v>1900</v>
      </c>
      <c r="P4947" s="61">
        <f t="shared" si="386"/>
        <v>1</v>
      </c>
      <c r="R4947" s="272"/>
      <c r="S4947" s="272"/>
    </row>
    <row r="4948" spans="9:19">
      <c r="I4948" s="213"/>
      <c r="J4948" s="213"/>
      <c r="L4948" s="272">
        <f t="shared" si="383"/>
        <v>1900</v>
      </c>
      <c r="M4948" s="272">
        <f t="shared" si="384"/>
        <v>1</v>
      </c>
      <c r="O4948" s="61">
        <f t="shared" si="385"/>
        <v>1900</v>
      </c>
      <c r="P4948" s="61">
        <f t="shared" si="386"/>
        <v>1</v>
      </c>
      <c r="R4948" s="272"/>
      <c r="S4948" s="272"/>
    </row>
    <row r="4949" spans="9:19">
      <c r="I4949" s="213"/>
      <c r="J4949" s="213"/>
      <c r="L4949" s="272">
        <f t="shared" si="383"/>
        <v>1900</v>
      </c>
      <c r="M4949" s="272">
        <f t="shared" si="384"/>
        <v>1</v>
      </c>
      <c r="O4949" s="61">
        <f t="shared" si="385"/>
        <v>1900</v>
      </c>
      <c r="P4949" s="61">
        <f t="shared" si="386"/>
        <v>1</v>
      </c>
      <c r="R4949" s="272"/>
      <c r="S4949" s="272"/>
    </row>
    <row r="4950" spans="9:19">
      <c r="I4950" s="213"/>
      <c r="J4950" s="213"/>
      <c r="L4950" s="272">
        <f t="shared" si="383"/>
        <v>1900</v>
      </c>
      <c r="M4950" s="272">
        <f t="shared" si="384"/>
        <v>1</v>
      </c>
      <c r="O4950" s="61">
        <f t="shared" si="385"/>
        <v>1900</v>
      </c>
      <c r="P4950" s="61">
        <f t="shared" si="386"/>
        <v>1</v>
      </c>
      <c r="R4950" s="272"/>
      <c r="S4950" s="272"/>
    </row>
    <row r="4951" spans="9:19">
      <c r="I4951" s="213"/>
      <c r="J4951" s="213"/>
      <c r="L4951" s="272">
        <f t="shared" si="383"/>
        <v>1900</v>
      </c>
      <c r="M4951" s="272">
        <f t="shared" si="384"/>
        <v>1</v>
      </c>
      <c r="O4951" s="61">
        <f t="shared" si="385"/>
        <v>1900</v>
      </c>
      <c r="P4951" s="61">
        <f t="shared" si="386"/>
        <v>1</v>
      </c>
      <c r="R4951" s="272"/>
      <c r="S4951" s="272"/>
    </row>
    <row r="4952" spans="9:19">
      <c r="I4952" s="213"/>
      <c r="J4952" s="213"/>
      <c r="L4952" s="272">
        <f t="shared" si="383"/>
        <v>1900</v>
      </c>
      <c r="M4952" s="272">
        <f t="shared" si="384"/>
        <v>1</v>
      </c>
      <c r="O4952" s="61">
        <f t="shared" si="385"/>
        <v>1900</v>
      </c>
      <c r="P4952" s="61">
        <f t="shared" si="386"/>
        <v>1</v>
      </c>
      <c r="R4952" s="272"/>
      <c r="S4952" s="272"/>
    </row>
    <row r="4953" spans="9:19">
      <c r="I4953" s="213"/>
      <c r="J4953" s="213"/>
      <c r="L4953" s="272">
        <f t="shared" si="383"/>
        <v>1900</v>
      </c>
      <c r="M4953" s="272">
        <f t="shared" si="384"/>
        <v>1</v>
      </c>
      <c r="O4953" s="61">
        <f t="shared" si="385"/>
        <v>1900</v>
      </c>
      <c r="P4953" s="61">
        <f t="shared" si="386"/>
        <v>1</v>
      </c>
      <c r="R4953" s="272"/>
      <c r="S4953" s="272"/>
    </row>
    <row r="4954" spans="9:19">
      <c r="I4954" s="213"/>
      <c r="J4954" s="213"/>
      <c r="L4954" s="272">
        <f t="shared" si="383"/>
        <v>1900</v>
      </c>
      <c r="M4954" s="272">
        <f t="shared" si="384"/>
        <v>1</v>
      </c>
      <c r="O4954" s="61">
        <f t="shared" si="385"/>
        <v>1900</v>
      </c>
      <c r="P4954" s="61">
        <f t="shared" si="386"/>
        <v>1</v>
      </c>
      <c r="R4954" s="272"/>
      <c r="S4954" s="272"/>
    </row>
    <row r="4955" spans="9:19">
      <c r="I4955" s="213"/>
      <c r="J4955" s="213"/>
      <c r="L4955" s="272">
        <f t="shared" si="383"/>
        <v>1900</v>
      </c>
      <c r="M4955" s="272">
        <f t="shared" si="384"/>
        <v>1</v>
      </c>
      <c r="O4955" s="61">
        <f t="shared" si="385"/>
        <v>1900</v>
      </c>
      <c r="P4955" s="61">
        <f t="shared" si="386"/>
        <v>1</v>
      </c>
      <c r="R4955" s="272"/>
      <c r="S4955" s="272"/>
    </row>
    <row r="4956" spans="9:19">
      <c r="I4956" s="213"/>
      <c r="J4956" s="213"/>
      <c r="L4956" s="272">
        <f t="shared" si="383"/>
        <v>1900</v>
      </c>
      <c r="M4956" s="272">
        <f t="shared" si="384"/>
        <v>1</v>
      </c>
      <c r="O4956" s="61">
        <f t="shared" si="385"/>
        <v>1900</v>
      </c>
      <c r="P4956" s="61">
        <f t="shared" si="386"/>
        <v>1</v>
      </c>
      <c r="R4956" s="272"/>
      <c r="S4956" s="272"/>
    </row>
    <row r="4957" spans="9:19">
      <c r="I4957" s="213"/>
      <c r="J4957" s="213"/>
      <c r="L4957" s="272">
        <f t="shared" si="383"/>
        <v>1900</v>
      </c>
      <c r="M4957" s="272">
        <f t="shared" si="384"/>
        <v>1</v>
      </c>
      <c r="O4957" s="61">
        <f t="shared" si="385"/>
        <v>1900</v>
      </c>
      <c r="P4957" s="61">
        <f t="shared" si="386"/>
        <v>1</v>
      </c>
      <c r="R4957" s="272"/>
      <c r="S4957" s="272"/>
    </row>
    <row r="4958" spans="9:19">
      <c r="I4958" s="213"/>
      <c r="J4958" s="213"/>
      <c r="L4958" s="272">
        <f t="shared" si="383"/>
        <v>1900</v>
      </c>
      <c r="M4958" s="272">
        <f t="shared" si="384"/>
        <v>1</v>
      </c>
      <c r="O4958" s="61">
        <f t="shared" si="385"/>
        <v>1900</v>
      </c>
      <c r="P4958" s="61">
        <f t="shared" si="386"/>
        <v>1</v>
      </c>
      <c r="R4958" s="272"/>
      <c r="S4958" s="272"/>
    </row>
    <row r="4959" spans="9:19">
      <c r="I4959" s="213"/>
      <c r="J4959" s="213"/>
      <c r="L4959" s="272">
        <f t="shared" si="383"/>
        <v>1900</v>
      </c>
      <c r="M4959" s="272">
        <f t="shared" si="384"/>
        <v>1</v>
      </c>
      <c r="O4959" s="61">
        <f t="shared" si="385"/>
        <v>1900</v>
      </c>
      <c r="P4959" s="61">
        <f t="shared" si="386"/>
        <v>1</v>
      </c>
      <c r="R4959" s="272"/>
      <c r="S4959" s="272"/>
    </row>
    <row r="4960" spans="9:19">
      <c r="I4960" s="213"/>
      <c r="J4960" s="213"/>
      <c r="L4960" s="272">
        <f t="shared" si="383"/>
        <v>1900</v>
      </c>
      <c r="M4960" s="272">
        <f t="shared" si="384"/>
        <v>1</v>
      </c>
      <c r="O4960" s="61">
        <f t="shared" si="385"/>
        <v>1900</v>
      </c>
      <c r="P4960" s="61">
        <f t="shared" si="386"/>
        <v>1</v>
      </c>
      <c r="R4960" s="272"/>
      <c r="S4960" s="272"/>
    </row>
    <row r="4961" spans="9:19">
      <c r="I4961" s="213"/>
      <c r="J4961" s="213"/>
      <c r="L4961" s="272">
        <f t="shared" si="383"/>
        <v>1900</v>
      </c>
      <c r="M4961" s="272">
        <f t="shared" si="384"/>
        <v>1</v>
      </c>
      <c r="O4961" s="61">
        <f t="shared" si="385"/>
        <v>1900</v>
      </c>
      <c r="P4961" s="61">
        <f t="shared" si="386"/>
        <v>1</v>
      </c>
      <c r="R4961" s="272"/>
      <c r="S4961" s="272"/>
    </row>
    <row r="4962" spans="9:19">
      <c r="I4962" s="213"/>
      <c r="J4962" s="213"/>
      <c r="L4962" s="272">
        <f t="shared" si="383"/>
        <v>1900</v>
      </c>
      <c r="M4962" s="272">
        <f t="shared" si="384"/>
        <v>1</v>
      </c>
      <c r="O4962" s="61">
        <f t="shared" si="385"/>
        <v>1900</v>
      </c>
      <c r="P4962" s="61">
        <f t="shared" si="386"/>
        <v>1</v>
      </c>
      <c r="R4962" s="272"/>
      <c r="S4962" s="272"/>
    </row>
    <row r="4963" spans="9:19">
      <c r="I4963" s="213"/>
      <c r="J4963" s="213"/>
      <c r="L4963" s="272">
        <f t="shared" si="383"/>
        <v>1900</v>
      </c>
      <c r="M4963" s="272">
        <f t="shared" si="384"/>
        <v>1</v>
      </c>
      <c r="O4963" s="61">
        <f t="shared" si="385"/>
        <v>1900</v>
      </c>
      <c r="P4963" s="61">
        <f t="shared" si="386"/>
        <v>1</v>
      </c>
      <c r="R4963" s="272"/>
      <c r="S4963" s="272"/>
    </row>
    <row r="4964" spans="9:19">
      <c r="I4964" s="213"/>
      <c r="J4964" s="213"/>
      <c r="L4964" s="272">
        <f t="shared" si="383"/>
        <v>1900</v>
      </c>
      <c r="M4964" s="272">
        <f t="shared" si="384"/>
        <v>1</v>
      </c>
      <c r="O4964" s="61">
        <f t="shared" si="385"/>
        <v>1900</v>
      </c>
      <c r="P4964" s="61">
        <f t="shared" si="386"/>
        <v>1</v>
      </c>
      <c r="R4964" s="272"/>
      <c r="S4964" s="272"/>
    </row>
    <row r="4965" spans="9:19">
      <c r="I4965" s="213"/>
      <c r="J4965" s="213"/>
      <c r="L4965" s="272">
        <f t="shared" si="383"/>
        <v>1900</v>
      </c>
      <c r="M4965" s="272">
        <f t="shared" si="384"/>
        <v>1</v>
      </c>
      <c r="O4965" s="61">
        <f t="shared" si="385"/>
        <v>1900</v>
      </c>
      <c r="P4965" s="61">
        <f t="shared" si="386"/>
        <v>1</v>
      </c>
      <c r="R4965" s="272"/>
      <c r="S4965" s="272"/>
    </row>
    <row r="4966" spans="9:19">
      <c r="I4966" s="213"/>
      <c r="J4966" s="213"/>
      <c r="L4966" s="272">
        <f t="shared" si="383"/>
        <v>1900</v>
      </c>
      <c r="M4966" s="272">
        <f t="shared" si="384"/>
        <v>1</v>
      </c>
      <c r="O4966" s="61">
        <f t="shared" si="385"/>
        <v>1900</v>
      </c>
      <c r="P4966" s="61">
        <f t="shared" si="386"/>
        <v>1</v>
      </c>
      <c r="R4966" s="272"/>
      <c r="S4966" s="272"/>
    </row>
    <row r="4967" spans="9:19">
      <c r="I4967" s="213"/>
      <c r="J4967" s="213"/>
      <c r="L4967" s="272">
        <f t="shared" si="383"/>
        <v>1900</v>
      </c>
      <c r="M4967" s="272">
        <f t="shared" si="384"/>
        <v>1</v>
      </c>
      <c r="O4967" s="61">
        <f t="shared" si="385"/>
        <v>1900</v>
      </c>
      <c r="P4967" s="61">
        <f t="shared" si="386"/>
        <v>1</v>
      </c>
      <c r="R4967" s="272"/>
      <c r="S4967" s="272"/>
    </row>
    <row r="4968" spans="9:19">
      <c r="I4968" s="213"/>
      <c r="J4968" s="213"/>
      <c r="L4968" s="272">
        <f t="shared" si="383"/>
        <v>1900</v>
      </c>
      <c r="M4968" s="272">
        <f t="shared" si="384"/>
        <v>1</v>
      </c>
      <c r="O4968" s="61">
        <f t="shared" si="385"/>
        <v>1900</v>
      </c>
      <c r="P4968" s="61">
        <f t="shared" si="386"/>
        <v>1</v>
      </c>
      <c r="R4968" s="272"/>
      <c r="S4968" s="272"/>
    </row>
    <row r="4969" spans="9:19">
      <c r="I4969" s="213"/>
      <c r="J4969" s="213"/>
      <c r="L4969" s="272">
        <f t="shared" si="383"/>
        <v>1900</v>
      </c>
      <c r="M4969" s="272">
        <f t="shared" si="384"/>
        <v>1</v>
      </c>
      <c r="O4969" s="61">
        <f t="shared" si="385"/>
        <v>1900</v>
      </c>
      <c r="P4969" s="61">
        <f t="shared" si="386"/>
        <v>1</v>
      </c>
      <c r="R4969" s="272"/>
      <c r="S4969" s="272"/>
    </row>
    <row r="4970" spans="9:19">
      <c r="I4970" s="213"/>
      <c r="J4970" s="213"/>
      <c r="L4970" s="272">
        <f t="shared" si="383"/>
        <v>1900</v>
      </c>
      <c r="M4970" s="272">
        <f t="shared" si="384"/>
        <v>1</v>
      </c>
      <c r="O4970" s="61">
        <f t="shared" si="385"/>
        <v>1900</v>
      </c>
      <c r="P4970" s="61">
        <f t="shared" si="386"/>
        <v>1</v>
      </c>
      <c r="R4970" s="272"/>
      <c r="S4970" s="272"/>
    </row>
    <row r="4971" spans="9:19">
      <c r="I4971" s="213"/>
      <c r="J4971" s="213"/>
      <c r="L4971" s="272">
        <f t="shared" si="383"/>
        <v>1900</v>
      </c>
      <c r="M4971" s="272">
        <f t="shared" si="384"/>
        <v>1</v>
      </c>
      <c r="O4971" s="61">
        <f t="shared" si="385"/>
        <v>1900</v>
      </c>
      <c r="P4971" s="61">
        <f t="shared" si="386"/>
        <v>1</v>
      </c>
      <c r="R4971" s="272"/>
      <c r="S4971" s="272"/>
    </row>
    <row r="4972" spans="9:19">
      <c r="I4972" s="213"/>
      <c r="J4972" s="213"/>
      <c r="L4972" s="272">
        <f t="shared" si="383"/>
        <v>1900</v>
      </c>
      <c r="M4972" s="272">
        <f t="shared" si="384"/>
        <v>1</v>
      </c>
      <c r="O4972" s="61">
        <f t="shared" si="385"/>
        <v>1900</v>
      </c>
      <c r="P4972" s="61">
        <f t="shared" si="386"/>
        <v>1</v>
      </c>
      <c r="R4972" s="272"/>
      <c r="S4972" s="272"/>
    </row>
    <row r="4973" spans="9:19">
      <c r="I4973" s="213"/>
      <c r="J4973" s="213"/>
      <c r="L4973" s="272">
        <f t="shared" si="383"/>
        <v>1900</v>
      </c>
      <c r="M4973" s="272">
        <f t="shared" si="384"/>
        <v>1</v>
      </c>
      <c r="O4973" s="61">
        <f t="shared" si="385"/>
        <v>1900</v>
      </c>
      <c r="P4973" s="61">
        <f t="shared" si="386"/>
        <v>1</v>
      </c>
      <c r="R4973" s="272"/>
      <c r="S4973" s="272"/>
    </row>
    <row r="4974" spans="9:19">
      <c r="I4974" s="213"/>
      <c r="J4974" s="213"/>
      <c r="L4974" s="272">
        <f t="shared" si="383"/>
        <v>1900</v>
      </c>
      <c r="M4974" s="272">
        <f t="shared" si="384"/>
        <v>1</v>
      </c>
      <c r="O4974" s="61">
        <f t="shared" si="385"/>
        <v>1900</v>
      </c>
      <c r="P4974" s="61">
        <f t="shared" si="386"/>
        <v>1</v>
      </c>
      <c r="R4974" s="272"/>
      <c r="S4974" s="272"/>
    </row>
    <row r="4975" spans="9:19">
      <c r="I4975" s="213"/>
      <c r="J4975" s="213"/>
      <c r="L4975" s="272">
        <f t="shared" si="383"/>
        <v>1900</v>
      </c>
      <c r="M4975" s="272">
        <f t="shared" si="384"/>
        <v>1</v>
      </c>
      <c r="O4975" s="61">
        <f t="shared" si="385"/>
        <v>1900</v>
      </c>
      <c r="P4975" s="61">
        <f t="shared" si="386"/>
        <v>1</v>
      </c>
      <c r="R4975" s="272"/>
      <c r="S4975" s="272"/>
    </row>
    <row r="4976" spans="9:19">
      <c r="I4976" s="213"/>
      <c r="J4976" s="213"/>
      <c r="L4976" s="272">
        <f t="shared" si="383"/>
        <v>1900</v>
      </c>
      <c r="M4976" s="272">
        <f t="shared" si="384"/>
        <v>1</v>
      </c>
      <c r="O4976" s="61">
        <f t="shared" si="385"/>
        <v>1900</v>
      </c>
      <c r="P4976" s="61">
        <f t="shared" si="386"/>
        <v>1</v>
      </c>
      <c r="R4976" s="272"/>
      <c r="S4976" s="272"/>
    </row>
    <row r="4977" spans="9:19">
      <c r="I4977" s="213"/>
      <c r="J4977" s="213"/>
      <c r="L4977" s="272">
        <f t="shared" si="383"/>
        <v>1900</v>
      </c>
      <c r="M4977" s="272">
        <f t="shared" si="384"/>
        <v>1</v>
      </c>
      <c r="O4977" s="61">
        <f t="shared" si="385"/>
        <v>1900</v>
      </c>
      <c r="P4977" s="61">
        <f t="shared" si="386"/>
        <v>1</v>
      </c>
      <c r="R4977" s="272"/>
      <c r="S4977" s="272"/>
    </row>
    <row r="4978" spans="9:19">
      <c r="I4978" s="213"/>
      <c r="J4978" s="213"/>
      <c r="L4978" s="272">
        <f t="shared" si="383"/>
        <v>1900</v>
      </c>
      <c r="M4978" s="272">
        <f t="shared" si="384"/>
        <v>1</v>
      </c>
      <c r="O4978" s="61">
        <f t="shared" si="385"/>
        <v>1900</v>
      </c>
      <c r="P4978" s="61">
        <f t="shared" si="386"/>
        <v>1</v>
      </c>
      <c r="R4978" s="272"/>
      <c r="S4978" s="272"/>
    </row>
    <row r="4979" spans="9:19">
      <c r="I4979" s="213"/>
      <c r="J4979" s="213"/>
      <c r="L4979" s="272">
        <f t="shared" si="383"/>
        <v>1900</v>
      </c>
      <c r="M4979" s="272">
        <f t="shared" si="384"/>
        <v>1</v>
      </c>
      <c r="O4979" s="61">
        <f t="shared" si="385"/>
        <v>1900</v>
      </c>
      <c r="P4979" s="61">
        <f t="shared" si="386"/>
        <v>1</v>
      </c>
      <c r="R4979" s="272"/>
      <c r="S4979" s="272"/>
    </row>
    <row r="4980" spans="9:19">
      <c r="I4980" s="213"/>
      <c r="J4980" s="213"/>
      <c r="L4980" s="272">
        <f t="shared" si="383"/>
        <v>1900</v>
      </c>
      <c r="M4980" s="272">
        <f t="shared" si="384"/>
        <v>1</v>
      </c>
      <c r="O4980" s="61">
        <f t="shared" si="385"/>
        <v>1900</v>
      </c>
      <c r="P4980" s="61">
        <f t="shared" si="386"/>
        <v>1</v>
      </c>
      <c r="R4980" s="272"/>
      <c r="S4980" s="272"/>
    </row>
    <row r="4981" spans="9:19">
      <c r="I4981" s="213"/>
      <c r="J4981" s="213"/>
      <c r="L4981" s="272">
        <f t="shared" si="383"/>
        <v>1900</v>
      </c>
      <c r="M4981" s="272">
        <f t="shared" si="384"/>
        <v>1</v>
      </c>
      <c r="O4981" s="61">
        <f t="shared" si="385"/>
        <v>1900</v>
      </c>
      <c r="P4981" s="61">
        <f t="shared" si="386"/>
        <v>1</v>
      </c>
      <c r="R4981" s="272"/>
      <c r="S4981" s="272"/>
    </row>
    <row r="4982" spans="9:19">
      <c r="I4982" s="213"/>
      <c r="J4982" s="213"/>
      <c r="L4982" s="272">
        <f t="shared" si="383"/>
        <v>1900</v>
      </c>
      <c r="M4982" s="272">
        <f t="shared" si="384"/>
        <v>1</v>
      </c>
      <c r="O4982" s="61">
        <f t="shared" si="385"/>
        <v>1900</v>
      </c>
      <c r="P4982" s="61">
        <f t="shared" si="386"/>
        <v>1</v>
      </c>
      <c r="R4982" s="272"/>
      <c r="S4982" s="272"/>
    </row>
    <row r="4983" spans="9:19">
      <c r="I4983" s="213"/>
      <c r="J4983" s="213"/>
      <c r="L4983" s="272">
        <f t="shared" si="383"/>
        <v>1900</v>
      </c>
      <c r="M4983" s="272">
        <f t="shared" si="384"/>
        <v>1</v>
      </c>
      <c r="O4983" s="61">
        <f t="shared" si="385"/>
        <v>1900</v>
      </c>
      <c r="P4983" s="61">
        <f t="shared" si="386"/>
        <v>1</v>
      </c>
      <c r="R4983" s="272"/>
      <c r="S4983" s="272"/>
    </row>
    <row r="4984" spans="9:19">
      <c r="I4984" s="213"/>
      <c r="J4984" s="213"/>
      <c r="L4984" s="272">
        <f t="shared" si="383"/>
        <v>1900</v>
      </c>
      <c r="M4984" s="272">
        <f t="shared" si="384"/>
        <v>1</v>
      </c>
      <c r="O4984" s="61">
        <f t="shared" si="385"/>
        <v>1900</v>
      </c>
      <c r="P4984" s="61">
        <f t="shared" si="386"/>
        <v>1</v>
      </c>
      <c r="R4984" s="272"/>
      <c r="S4984" s="272"/>
    </row>
    <row r="4985" spans="9:19">
      <c r="I4985" s="213"/>
      <c r="J4985" s="213"/>
      <c r="L4985" s="272">
        <f t="shared" si="383"/>
        <v>1900</v>
      </c>
      <c r="M4985" s="272">
        <f t="shared" si="384"/>
        <v>1</v>
      </c>
      <c r="O4985" s="61">
        <f t="shared" si="385"/>
        <v>1900</v>
      </c>
      <c r="P4985" s="61">
        <f t="shared" si="386"/>
        <v>1</v>
      </c>
      <c r="R4985" s="272"/>
      <c r="S4985" s="272"/>
    </row>
    <row r="4986" spans="9:19">
      <c r="I4986" s="213"/>
      <c r="J4986" s="213"/>
      <c r="L4986" s="272">
        <f t="shared" si="383"/>
        <v>1900</v>
      </c>
      <c r="M4986" s="272">
        <f t="shared" si="384"/>
        <v>1</v>
      </c>
      <c r="O4986" s="61">
        <f t="shared" si="385"/>
        <v>1900</v>
      </c>
      <c r="P4986" s="61">
        <f t="shared" si="386"/>
        <v>1</v>
      </c>
      <c r="R4986" s="272"/>
      <c r="S4986" s="272"/>
    </row>
    <row r="4987" spans="9:19">
      <c r="I4987" s="213"/>
      <c r="J4987" s="213"/>
      <c r="L4987" s="272">
        <f t="shared" si="383"/>
        <v>1900</v>
      </c>
      <c r="M4987" s="272">
        <f t="shared" si="384"/>
        <v>1</v>
      </c>
      <c r="O4987" s="61">
        <f t="shared" si="385"/>
        <v>1900</v>
      </c>
      <c r="P4987" s="61">
        <f t="shared" si="386"/>
        <v>1</v>
      </c>
      <c r="R4987" s="272"/>
      <c r="S4987" s="272"/>
    </row>
    <row r="4988" spans="9:19">
      <c r="I4988" s="213"/>
      <c r="J4988" s="213"/>
      <c r="L4988" s="272">
        <f t="shared" si="383"/>
        <v>1900</v>
      </c>
      <c r="M4988" s="272">
        <f t="shared" si="384"/>
        <v>1</v>
      </c>
      <c r="O4988" s="61">
        <f t="shared" si="385"/>
        <v>1900</v>
      </c>
      <c r="P4988" s="61">
        <f t="shared" si="386"/>
        <v>1</v>
      </c>
      <c r="R4988" s="272"/>
      <c r="S4988" s="272"/>
    </row>
    <row r="4989" spans="9:19">
      <c r="I4989" s="213"/>
      <c r="J4989" s="213"/>
      <c r="L4989" s="272">
        <f t="shared" si="383"/>
        <v>1900</v>
      </c>
      <c r="M4989" s="272">
        <f t="shared" si="384"/>
        <v>1</v>
      </c>
      <c r="O4989" s="61">
        <f t="shared" si="385"/>
        <v>1900</v>
      </c>
      <c r="P4989" s="61">
        <f t="shared" si="386"/>
        <v>1</v>
      </c>
      <c r="R4989" s="272"/>
      <c r="S4989" s="272"/>
    </row>
    <row r="4990" spans="9:19">
      <c r="I4990" s="213"/>
      <c r="J4990" s="213"/>
      <c r="L4990" s="272">
        <f t="shared" si="383"/>
        <v>1900</v>
      </c>
      <c r="M4990" s="272">
        <f t="shared" si="384"/>
        <v>1</v>
      </c>
      <c r="O4990" s="61">
        <f t="shared" si="385"/>
        <v>1900</v>
      </c>
      <c r="P4990" s="61">
        <f t="shared" si="386"/>
        <v>1</v>
      </c>
      <c r="R4990" s="272"/>
      <c r="S4990" s="272"/>
    </row>
    <row r="4991" spans="9:19">
      <c r="I4991" s="213"/>
      <c r="J4991" s="213"/>
      <c r="L4991" s="272">
        <f t="shared" si="383"/>
        <v>1900</v>
      </c>
      <c r="M4991" s="272">
        <f t="shared" si="384"/>
        <v>1</v>
      </c>
      <c r="O4991" s="61">
        <f t="shared" si="385"/>
        <v>1900</v>
      </c>
      <c r="P4991" s="61">
        <f t="shared" si="386"/>
        <v>1</v>
      </c>
      <c r="R4991" s="272"/>
      <c r="S4991" s="272"/>
    </row>
    <row r="4992" spans="9:19">
      <c r="I4992" s="213"/>
      <c r="J4992" s="213"/>
      <c r="L4992" s="272">
        <f t="shared" si="383"/>
        <v>1900</v>
      </c>
      <c r="M4992" s="272">
        <f t="shared" si="384"/>
        <v>1</v>
      </c>
      <c r="O4992" s="61">
        <f t="shared" si="385"/>
        <v>1900</v>
      </c>
      <c r="P4992" s="61">
        <f t="shared" si="386"/>
        <v>1</v>
      </c>
      <c r="R4992" s="272"/>
      <c r="S4992" s="272"/>
    </row>
    <row r="4993" spans="9:19">
      <c r="I4993" s="213"/>
      <c r="J4993" s="213"/>
      <c r="L4993" s="272">
        <f t="shared" si="383"/>
        <v>1900</v>
      </c>
      <c r="M4993" s="272">
        <f t="shared" si="384"/>
        <v>1</v>
      </c>
      <c r="O4993" s="61">
        <f t="shared" si="385"/>
        <v>1900</v>
      </c>
      <c r="P4993" s="61">
        <f t="shared" si="386"/>
        <v>1</v>
      </c>
      <c r="R4993" s="272"/>
      <c r="S4993" s="272"/>
    </row>
    <row r="4994" spans="9:19">
      <c r="I4994" s="213"/>
      <c r="J4994" s="213"/>
      <c r="L4994" s="272">
        <f t="shared" si="383"/>
        <v>1900</v>
      </c>
      <c r="M4994" s="272">
        <f t="shared" si="384"/>
        <v>1</v>
      </c>
      <c r="O4994" s="61">
        <f t="shared" si="385"/>
        <v>1900</v>
      </c>
      <c r="P4994" s="61">
        <f t="shared" si="386"/>
        <v>1</v>
      </c>
      <c r="R4994" s="272"/>
      <c r="S4994" s="272"/>
    </row>
    <row r="4995" spans="9:19">
      <c r="I4995" s="213"/>
      <c r="J4995" s="213"/>
      <c r="L4995" s="272">
        <f t="shared" si="383"/>
        <v>1900</v>
      </c>
      <c r="M4995" s="272">
        <f t="shared" si="384"/>
        <v>1</v>
      </c>
      <c r="O4995" s="61">
        <f t="shared" si="385"/>
        <v>1900</v>
      </c>
      <c r="P4995" s="61">
        <f t="shared" si="386"/>
        <v>1</v>
      </c>
      <c r="R4995" s="272"/>
      <c r="S4995" s="272"/>
    </row>
    <row r="4996" spans="9:19">
      <c r="I4996" s="213"/>
      <c r="J4996" s="213"/>
      <c r="L4996" s="272">
        <f t="shared" si="383"/>
        <v>1900</v>
      </c>
      <c r="M4996" s="272">
        <f t="shared" si="384"/>
        <v>1</v>
      </c>
      <c r="O4996" s="61">
        <f t="shared" si="385"/>
        <v>1900</v>
      </c>
      <c r="P4996" s="61">
        <f t="shared" si="386"/>
        <v>1</v>
      </c>
      <c r="R4996" s="272"/>
      <c r="S4996" s="272"/>
    </row>
    <row r="4997" spans="9:19">
      <c r="I4997" s="213"/>
      <c r="J4997" s="213"/>
      <c r="L4997" s="272">
        <f t="shared" si="383"/>
        <v>1900</v>
      </c>
      <c r="M4997" s="272">
        <f t="shared" si="384"/>
        <v>1</v>
      </c>
      <c r="O4997" s="61">
        <f t="shared" si="385"/>
        <v>1900</v>
      </c>
      <c r="P4997" s="61">
        <f t="shared" si="386"/>
        <v>1</v>
      </c>
      <c r="R4997" s="272"/>
      <c r="S4997" s="272"/>
    </row>
    <row r="4998" spans="9:19">
      <c r="I4998" s="213"/>
      <c r="J4998" s="213"/>
      <c r="L4998" s="272">
        <f t="shared" si="383"/>
        <v>1900</v>
      </c>
      <c r="M4998" s="272">
        <f t="shared" si="384"/>
        <v>1</v>
      </c>
      <c r="O4998" s="61">
        <f t="shared" si="385"/>
        <v>1900</v>
      </c>
      <c r="P4998" s="61">
        <f t="shared" si="386"/>
        <v>1</v>
      </c>
      <c r="R4998" s="272"/>
      <c r="S4998" s="272"/>
    </row>
    <row r="4999" spans="9:19">
      <c r="I4999" s="213"/>
      <c r="J4999" s="213"/>
      <c r="L4999" s="272">
        <f t="shared" si="383"/>
        <v>1900</v>
      </c>
      <c r="M4999" s="272">
        <f t="shared" si="384"/>
        <v>1</v>
      </c>
      <c r="O4999" s="61">
        <f t="shared" si="385"/>
        <v>1900</v>
      </c>
      <c r="P4999" s="61">
        <f t="shared" si="386"/>
        <v>1</v>
      </c>
      <c r="R4999" s="272"/>
      <c r="S4999" s="272"/>
    </row>
    <row r="5000" spans="9:19">
      <c r="I5000" s="213"/>
      <c r="J5000" s="213"/>
      <c r="L5000" s="272">
        <f t="shared" si="383"/>
        <v>1900</v>
      </c>
      <c r="M5000" s="272">
        <f t="shared" si="384"/>
        <v>1</v>
      </c>
      <c r="O5000" s="61">
        <f t="shared" si="385"/>
        <v>1900</v>
      </c>
      <c r="P5000" s="61">
        <f t="shared" si="386"/>
        <v>1</v>
      </c>
      <c r="R5000" s="272"/>
      <c r="S5000" s="272"/>
    </row>
    <row r="5001" spans="9:19">
      <c r="I5001" s="213"/>
      <c r="J5001" s="213"/>
      <c r="L5001" s="272">
        <f t="shared" si="383"/>
        <v>1900</v>
      </c>
      <c r="M5001" s="272">
        <f t="shared" si="384"/>
        <v>1</v>
      </c>
      <c r="O5001" s="61">
        <f t="shared" si="385"/>
        <v>1900</v>
      </c>
      <c r="P5001" s="61">
        <f t="shared" si="386"/>
        <v>1</v>
      </c>
      <c r="R5001" s="272"/>
      <c r="S5001" s="272"/>
    </row>
    <row r="5002" spans="9:19">
      <c r="I5002" s="213"/>
      <c r="J5002" s="213"/>
      <c r="L5002" s="272">
        <f t="shared" si="383"/>
        <v>1900</v>
      </c>
      <c r="M5002" s="272">
        <f t="shared" si="384"/>
        <v>1</v>
      </c>
      <c r="O5002" s="61">
        <f t="shared" si="385"/>
        <v>1900</v>
      </c>
      <c r="P5002" s="61">
        <f t="shared" si="386"/>
        <v>1</v>
      </c>
      <c r="R5002" s="272"/>
      <c r="S5002" s="272"/>
    </row>
    <row r="5003" spans="9:19">
      <c r="I5003" s="213"/>
      <c r="J5003" s="213"/>
      <c r="L5003" s="272">
        <f t="shared" si="383"/>
        <v>1900</v>
      </c>
      <c r="M5003" s="272">
        <f t="shared" si="384"/>
        <v>1</v>
      </c>
      <c r="O5003" s="61">
        <f t="shared" si="385"/>
        <v>1900</v>
      </c>
      <c r="P5003" s="61">
        <f t="shared" si="386"/>
        <v>1</v>
      </c>
      <c r="R5003" s="272"/>
      <c r="S5003" s="272"/>
    </row>
    <row r="5004" spans="9:19">
      <c r="I5004" s="213"/>
      <c r="J5004" s="213"/>
      <c r="L5004" s="272">
        <f t="shared" si="383"/>
        <v>1900</v>
      </c>
      <c r="M5004" s="272">
        <f t="shared" si="384"/>
        <v>1</v>
      </c>
      <c r="O5004" s="61">
        <f t="shared" si="385"/>
        <v>1900</v>
      </c>
      <c r="P5004" s="61">
        <f t="shared" si="386"/>
        <v>1</v>
      </c>
      <c r="R5004" s="272"/>
      <c r="S5004" s="272"/>
    </row>
    <row r="5005" spans="9:19">
      <c r="I5005" s="213"/>
      <c r="J5005" s="213"/>
      <c r="L5005" s="272">
        <f t="shared" si="383"/>
        <v>1900</v>
      </c>
      <c r="M5005" s="272">
        <f t="shared" si="384"/>
        <v>1</v>
      </c>
      <c r="O5005" s="61">
        <f t="shared" si="385"/>
        <v>1900</v>
      </c>
      <c r="P5005" s="61">
        <f t="shared" si="386"/>
        <v>1</v>
      </c>
      <c r="R5005" s="272"/>
      <c r="S5005" s="272"/>
    </row>
    <row r="5006" spans="9:19">
      <c r="I5006" s="213"/>
      <c r="J5006" s="213"/>
      <c r="L5006" s="272">
        <f t="shared" si="383"/>
        <v>1900</v>
      </c>
      <c r="M5006" s="272">
        <f t="shared" si="384"/>
        <v>1</v>
      </c>
      <c r="O5006" s="61">
        <f t="shared" si="385"/>
        <v>1900</v>
      </c>
      <c r="P5006" s="61">
        <f t="shared" si="386"/>
        <v>1</v>
      </c>
      <c r="R5006" s="272"/>
      <c r="S5006" s="272"/>
    </row>
    <row r="5007" spans="9:19">
      <c r="I5007" s="213"/>
      <c r="J5007" s="213"/>
      <c r="L5007" s="272">
        <f t="shared" si="383"/>
        <v>1900</v>
      </c>
      <c r="M5007" s="272">
        <f t="shared" si="384"/>
        <v>1</v>
      </c>
      <c r="O5007" s="61">
        <f t="shared" si="385"/>
        <v>1900</v>
      </c>
      <c r="P5007" s="61">
        <f t="shared" si="386"/>
        <v>1</v>
      </c>
      <c r="R5007" s="272"/>
      <c r="S5007" s="272"/>
    </row>
    <row r="5008" spans="9:19">
      <c r="I5008" s="213"/>
      <c r="J5008" s="213"/>
      <c r="L5008" s="272">
        <f t="shared" ref="L5008:L5071" si="387">YEAR(B5008)</f>
        <v>1900</v>
      </c>
      <c r="M5008" s="272">
        <f t="shared" ref="M5008:M5071" si="388">MONTH(B5008)</f>
        <v>1</v>
      </c>
      <c r="O5008" s="61">
        <f t="shared" ref="O5008:O5071" si="389">YEAR(B5008)</f>
        <v>1900</v>
      </c>
      <c r="P5008" s="61">
        <f t="shared" ref="P5008:P5071" si="390">MONTH(B5008)</f>
        <v>1</v>
      </c>
      <c r="R5008" s="272"/>
      <c r="S5008" s="272"/>
    </row>
    <row r="5009" spans="9:19">
      <c r="I5009" s="213"/>
      <c r="J5009" s="213"/>
      <c r="L5009" s="272">
        <f t="shared" si="387"/>
        <v>1900</v>
      </c>
      <c r="M5009" s="272">
        <f t="shared" si="388"/>
        <v>1</v>
      </c>
      <c r="O5009" s="61">
        <f t="shared" si="389"/>
        <v>1900</v>
      </c>
      <c r="P5009" s="61">
        <f t="shared" si="390"/>
        <v>1</v>
      </c>
      <c r="R5009" s="272"/>
      <c r="S5009" s="272"/>
    </row>
    <row r="5010" spans="9:19">
      <c r="I5010" s="213"/>
      <c r="J5010" s="213"/>
      <c r="L5010" s="272">
        <f t="shared" si="387"/>
        <v>1900</v>
      </c>
      <c r="M5010" s="272">
        <f t="shared" si="388"/>
        <v>1</v>
      </c>
      <c r="O5010" s="61">
        <f t="shared" si="389"/>
        <v>1900</v>
      </c>
      <c r="P5010" s="61">
        <f t="shared" si="390"/>
        <v>1</v>
      </c>
      <c r="R5010" s="272"/>
      <c r="S5010" s="272"/>
    </row>
    <row r="5011" spans="9:19">
      <c r="I5011" s="213"/>
      <c r="J5011" s="213"/>
      <c r="L5011" s="272">
        <f t="shared" si="387"/>
        <v>1900</v>
      </c>
      <c r="M5011" s="272">
        <f t="shared" si="388"/>
        <v>1</v>
      </c>
      <c r="O5011" s="61">
        <f t="shared" si="389"/>
        <v>1900</v>
      </c>
      <c r="P5011" s="61">
        <f t="shared" si="390"/>
        <v>1</v>
      </c>
      <c r="R5011" s="272"/>
      <c r="S5011" s="272"/>
    </row>
    <row r="5012" spans="9:19">
      <c r="I5012" s="213"/>
      <c r="J5012" s="213"/>
      <c r="L5012" s="272">
        <f t="shared" si="387"/>
        <v>1900</v>
      </c>
      <c r="M5012" s="272">
        <f t="shared" si="388"/>
        <v>1</v>
      </c>
      <c r="O5012" s="61">
        <f t="shared" si="389"/>
        <v>1900</v>
      </c>
      <c r="P5012" s="61">
        <f t="shared" si="390"/>
        <v>1</v>
      </c>
      <c r="R5012" s="272"/>
      <c r="S5012" s="272"/>
    </row>
    <row r="5013" spans="9:19">
      <c r="I5013" s="213"/>
      <c r="J5013" s="213"/>
      <c r="L5013" s="272">
        <f t="shared" si="387"/>
        <v>1900</v>
      </c>
      <c r="M5013" s="272">
        <f t="shared" si="388"/>
        <v>1</v>
      </c>
      <c r="O5013" s="61">
        <f t="shared" si="389"/>
        <v>1900</v>
      </c>
      <c r="P5013" s="61">
        <f t="shared" si="390"/>
        <v>1</v>
      </c>
      <c r="R5013" s="272"/>
      <c r="S5013" s="272"/>
    </row>
    <row r="5014" spans="9:19">
      <c r="I5014" s="213"/>
      <c r="J5014" s="213"/>
      <c r="L5014" s="272">
        <f t="shared" si="387"/>
        <v>1900</v>
      </c>
      <c r="M5014" s="272">
        <f t="shared" si="388"/>
        <v>1</v>
      </c>
      <c r="O5014" s="61">
        <f t="shared" si="389"/>
        <v>1900</v>
      </c>
      <c r="P5014" s="61">
        <f t="shared" si="390"/>
        <v>1</v>
      </c>
      <c r="R5014" s="272"/>
      <c r="S5014" s="272"/>
    </row>
    <row r="5015" spans="9:19">
      <c r="I5015" s="213"/>
      <c r="J5015" s="213"/>
      <c r="L5015" s="272">
        <f t="shared" si="387"/>
        <v>1900</v>
      </c>
      <c r="M5015" s="272">
        <f t="shared" si="388"/>
        <v>1</v>
      </c>
      <c r="O5015" s="61">
        <f t="shared" si="389"/>
        <v>1900</v>
      </c>
      <c r="P5015" s="61">
        <f t="shared" si="390"/>
        <v>1</v>
      </c>
      <c r="R5015" s="272"/>
      <c r="S5015" s="272"/>
    </row>
    <row r="5016" spans="9:19">
      <c r="I5016" s="213"/>
      <c r="J5016" s="213"/>
      <c r="L5016" s="272">
        <f t="shared" si="387"/>
        <v>1900</v>
      </c>
      <c r="M5016" s="272">
        <f t="shared" si="388"/>
        <v>1</v>
      </c>
      <c r="O5016" s="61">
        <f t="shared" si="389"/>
        <v>1900</v>
      </c>
      <c r="P5016" s="61">
        <f t="shared" si="390"/>
        <v>1</v>
      </c>
      <c r="R5016" s="272"/>
      <c r="S5016" s="272"/>
    </row>
    <row r="5017" spans="9:19">
      <c r="I5017" s="213"/>
      <c r="J5017" s="213"/>
      <c r="L5017" s="272">
        <f t="shared" si="387"/>
        <v>1900</v>
      </c>
      <c r="M5017" s="272">
        <f t="shared" si="388"/>
        <v>1</v>
      </c>
      <c r="O5017" s="61">
        <f t="shared" si="389"/>
        <v>1900</v>
      </c>
      <c r="P5017" s="61">
        <f t="shared" si="390"/>
        <v>1</v>
      </c>
      <c r="R5017" s="272"/>
      <c r="S5017" s="272"/>
    </row>
    <row r="5018" spans="9:19">
      <c r="I5018" s="213"/>
      <c r="J5018" s="213"/>
      <c r="L5018" s="272">
        <f t="shared" si="387"/>
        <v>1900</v>
      </c>
      <c r="M5018" s="272">
        <f t="shared" si="388"/>
        <v>1</v>
      </c>
      <c r="O5018" s="61">
        <f t="shared" si="389"/>
        <v>1900</v>
      </c>
      <c r="P5018" s="61">
        <f t="shared" si="390"/>
        <v>1</v>
      </c>
      <c r="R5018" s="272"/>
      <c r="S5018" s="272"/>
    </row>
    <row r="5019" spans="9:19">
      <c r="I5019" s="213"/>
      <c r="J5019" s="213"/>
      <c r="L5019" s="272">
        <f t="shared" si="387"/>
        <v>1900</v>
      </c>
      <c r="M5019" s="272">
        <f t="shared" si="388"/>
        <v>1</v>
      </c>
      <c r="O5019" s="61">
        <f t="shared" si="389"/>
        <v>1900</v>
      </c>
      <c r="P5019" s="61">
        <f t="shared" si="390"/>
        <v>1</v>
      </c>
      <c r="R5019" s="272"/>
      <c r="S5019" s="272"/>
    </row>
    <row r="5020" spans="9:19">
      <c r="I5020" s="213"/>
      <c r="J5020" s="213"/>
      <c r="L5020" s="272">
        <f t="shared" si="387"/>
        <v>1900</v>
      </c>
      <c r="M5020" s="272">
        <f t="shared" si="388"/>
        <v>1</v>
      </c>
      <c r="O5020" s="61">
        <f t="shared" si="389"/>
        <v>1900</v>
      </c>
      <c r="P5020" s="61">
        <f t="shared" si="390"/>
        <v>1</v>
      </c>
      <c r="R5020" s="272"/>
      <c r="S5020" s="272"/>
    </row>
    <row r="5021" spans="9:19">
      <c r="I5021" s="213"/>
      <c r="J5021" s="213"/>
      <c r="L5021" s="272">
        <f t="shared" si="387"/>
        <v>1900</v>
      </c>
      <c r="M5021" s="272">
        <f t="shared" si="388"/>
        <v>1</v>
      </c>
      <c r="O5021" s="61">
        <f t="shared" si="389"/>
        <v>1900</v>
      </c>
      <c r="P5021" s="61">
        <f t="shared" si="390"/>
        <v>1</v>
      </c>
      <c r="R5021" s="272"/>
      <c r="S5021" s="272"/>
    </row>
    <row r="5022" spans="9:19">
      <c r="I5022" s="213"/>
      <c r="J5022" s="213"/>
      <c r="L5022" s="272">
        <f t="shared" si="387"/>
        <v>1900</v>
      </c>
      <c r="M5022" s="272">
        <f t="shared" si="388"/>
        <v>1</v>
      </c>
      <c r="O5022" s="61">
        <f t="shared" si="389"/>
        <v>1900</v>
      </c>
      <c r="P5022" s="61">
        <f t="shared" si="390"/>
        <v>1</v>
      </c>
      <c r="R5022" s="272"/>
      <c r="S5022" s="272"/>
    </row>
    <row r="5023" spans="9:19">
      <c r="I5023" s="213"/>
      <c r="J5023" s="213"/>
      <c r="L5023" s="272">
        <f t="shared" si="387"/>
        <v>1900</v>
      </c>
      <c r="M5023" s="272">
        <f t="shared" si="388"/>
        <v>1</v>
      </c>
      <c r="O5023" s="61">
        <f t="shared" si="389"/>
        <v>1900</v>
      </c>
      <c r="P5023" s="61">
        <f t="shared" si="390"/>
        <v>1</v>
      </c>
      <c r="R5023" s="272"/>
      <c r="S5023" s="272"/>
    </row>
    <row r="5024" spans="9:19">
      <c r="I5024" s="213"/>
      <c r="J5024" s="213"/>
      <c r="L5024" s="272">
        <f t="shared" si="387"/>
        <v>1900</v>
      </c>
      <c r="M5024" s="272">
        <f t="shared" si="388"/>
        <v>1</v>
      </c>
      <c r="O5024" s="61">
        <f t="shared" si="389"/>
        <v>1900</v>
      </c>
      <c r="P5024" s="61">
        <f t="shared" si="390"/>
        <v>1</v>
      </c>
      <c r="R5024" s="272"/>
      <c r="S5024" s="272"/>
    </row>
    <row r="5025" spans="9:19">
      <c r="I5025" s="213"/>
      <c r="J5025" s="213"/>
      <c r="L5025" s="272">
        <f t="shared" si="387"/>
        <v>1900</v>
      </c>
      <c r="M5025" s="272">
        <f t="shared" si="388"/>
        <v>1</v>
      </c>
      <c r="O5025" s="61">
        <f t="shared" si="389"/>
        <v>1900</v>
      </c>
      <c r="P5025" s="61">
        <f t="shared" si="390"/>
        <v>1</v>
      </c>
      <c r="R5025" s="272"/>
      <c r="S5025" s="272"/>
    </row>
    <row r="5026" spans="9:19">
      <c r="I5026" s="213"/>
      <c r="J5026" s="213"/>
      <c r="L5026" s="272">
        <f t="shared" si="387"/>
        <v>1900</v>
      </c>
      <c r="M5026" s="272">
        <f t="shared" si="388"/>
        <v>1</v>
      </c>
      <c r="O5026" s="61">
        <f t="shared" si="389"/>
        <v>1900</v>
      </c>
      <c r="P5026" s="61">
        <f t="shared" si="390"/>
        <v>1</v>
      </c>
      <c r="R5026" s="272"/>
      <c r="S5026" s="272"/>
    </row>
    <row r="5027" spans="9:19">
      <c r="I5027" s="213"/>
      <c r="J5027" s="213"/>
      <c r="L5027" s="272">
        <f t="shared" si="387"/>
        <v>1900</v>
      </c>
      <c r="M5027" s="272">
        <f t="shared" si="388"/>
        <v>1</v>
      </c>
      <c r="O5027" s="61">
        <f t="shared" si="389"/>
        <v>1900</v>
      </c>
      <c r="P5027" s="61">
        <f t="shared" si="390"/>
        <v>1</v>
      </c>
      <c r="R5027" s="272"/>
      <c r="S5027" s="272"/>
    </row>
    <row r="5028" spans="9:19">
      <c r="I5028" s="213"/>
      <c r="J5028" s="213"/>
      <c r="L5028" s="272">
        <f t="shared" si="387"/>
        <v>1900</v>
      </c>
      <c r="M5028" s="272">
        <f t="shared" si="388"/>
        <v>1</v>
      </c>
      <c r="O5028" s="61">
        <f t="shared" si="389"/>
        <v>1900</v>
      </c>
      <c r="P5028" s="61">
        <f t="shared" si="390"/>
        <v>1</v>
      </c>
      <c r="R5028" s="272"/>
      <c r="S5028" s="272"/>
    </row>
    <row r="5029" spans="9:19">
      <c r="I5029" s="213"/>
      <c r="J5029" s="213"/>
      <c r="L5029" s="272">
        <f t="shared" si="387"/>
        <v>1900</v>
      </c>
      <c r="M5029" s="272">
        <f t="shared" si="388"/>
        <v>1</v>
      </c>
      <c r="O5029" s="61">
        <f t="shared" si="389"/>
        <v>1900</v>
      </c>
      <c r="P5029" s="61">
        <f t="shared" si="390"/>
        <v>1</v>
      </c>
      <c r="R5029" s="272"/>
      <c r="S5029" s="272"/>
    </row>
    <row r="5030" spans="9:19">
      <c r="I5030" s="213"/>
      <c r="J5030" s="213"/>
      <c r="L5030" s="272">
        <f t="shared" si="387"/>
        <v>1900</v>
      </c>
      <c r="M5030" s="272">
        <f t="shared" si="388"/>
        <v>1</v>
      </c>
      <c r="O5030" s="61">
        <f t="shared" si="389"/>
        <v>1900</v>
      </c>
      <c r="P5030" s="61">
        <f t="shared" si="390"/>
        <v>1</v>
      </c>
      <c r="R5030" s="272"/>
      <c r="S5030" s="272"/>
    </row>
    <row r="5031" spans="9:19">
      <c r="I5031" s="213"/>
      <c r="J5031" s="213"/>
      <c r="L5031" s="272">
        <f t="shared" si="387"/>
        <v>1900</v>
      </c>
      <c r="M5031" s="272">
        <f t="shared" si="388"/>
        <v>1</v>
      </c>
      <c r="O5031" s="61">
        <f t="shared" si="389"/>
        <v>1900</v>
      </c>
      <c r="P5031" s="61">
        <f t="shared" si="390"/>
        <v>1</v>
      </c>
      <c r="R5031" s="272"/>
      <c r="S5031" s="272"/>
    </row>
    <row r="5032" spans="9:19">
      <c r="I5032" s="213"/>
      <c r="J5032" s="213"/>
      <c r="L5032" s="272">
        <f t="shared" si="387"/>
        <v>1900</v>
      </c>
      <c r="M5032" s="272">
        <f t="shared" si="388"/>
        <v>1</v>
      </c>
      <c r="O5032" s="61">
        <f t="shared" si="389"/>
        <v>1900</v>
      </c>
      <c r="P5032" s="61">
        <f t="shared" si="390"/>
        <v>1</v>
      </c>
      <c r="R5032" s="272"/>
      <c r="S5032" s="272"/>
    </row>
    <row r="5033" spans="9:19">
      <c r="I5033" s="213"/>
      <c r="J5033" s="213"/>
      <c r="L5033" s="272">
        <f t="shared" si="387"/>
        <v>1900</v>
      </c>
      <c r="M5033" s="272">
        <f t="shared" si="388"/>
        <v>1</v>
      </c>
      <c r="O5033" s="61">
        <f t="shared" si="389"/>
        <v>1900</v>
      </c>
      <c r="P5033" s="61">
        <f t="shared" si="390"/>
        <v>1</v>
      </c>
      <c r="R5033" s="272"/>
      <c r="S5033" s="272"/>
    </row>
    <row r="5034" spans="9:19">
      <c r="I5034" s="213"/>
      <c r="J5034" s="213"/>
      <c r="L5034" s="272">
        <f t="shared" si="387"/>
        <v>1900</v>
      </c>
      <c r="M5034" s="272">
        <f t="shared" si="388"/>
        <v>1</v>
      </c>
      <c r="O5034" s="61">
        <f t="shared" si="389"/>
        <v>1900</v>
      </c>
      <c r="P5034" s="61">
        <f t="shared" si="390"/>
        <v>1</v>
      </c>
      <c r="R5034" s="272"/>
      <c r="S5034" s="272"/>
    </row>
    <row r="5035" spans="9:19">
      <c r="I5035" s="213"/>
      <c r="J5035" s="213"/>
      <c r="L5035" s="272">
        <f t="shared" si="387"/>
        <v>1900</v>
      </c>
      <c r="M5035" s="272">
        <f t="shared" si="388"/>
        <v>1</v>
      </c>
      <c r="O5035" s="61">
        <f t="shared" si="389"/>
        <v>1900</v>
      </c>
      <c r="P5035" s="61">
        <f t="shared" si="390"/>
        <v>1</v>
      </c>
      <c r="R5035" s="272"/>
      <c r="S5035" s="272"/>
    </row>
    <row r="5036" spans="9:19">
      <c r="I5036" s="213"/>
      <c r="J5036" s="213"/>
      <c r="L5036" s="272">
        <f t="shared" si="387"/>
        <v>1900</v>
      </c>
      <c r="M5036" s="272">
        <f t="shared" si="388"/>
        <v>1</v>
      </c>
      <c r="O5036" s="61">
        <f t="shared" si="389"/>
        <v>1900</v>
      </c>
      <c r="P5036" s="61">
        <f t="shared" si="390"/>
        <v>1</v>
      </c>
      <c r="R5036" s="272"/>
      <c r="S5036" s="272"/>
    </row>
    <row r="5037" spans="9:19">
      <c r="I5037" s="213"/>
      <c r="J5037" s="213"/>
      <c r="L5037" s="272">
        <f t="shared" si="387"/>
        <v>1900</v>
      </c>
      <c r="M5037" s="272">
        <f t="shared" si="388"/>
        <v>1</v>
      </c>
      <c r="O5037" s="61">
        <f t="shared" si="389"/>
        <v>1900</v>
      </c>
      <c r="P5037" s="61">
        <f t="shared" si="390"/>
        <v>1</v>
      </c>
      <c r="R5037" s="272"/>
      <c r="S5037" s="272"/>
    </row>
    <row r="5038" spans="9:19">
      <c r="I5038" s="213"/>
      <c r="J5038" s="213"/>
      <c r="L5038" s="272">
        <f t="shared" si="387"/>
        <v>1900</v>
      </c>
      <c r="M5038" s="272">
        <f t="shared" si="388"/>
        <v>1</v>
      </c>
      <c r="O5038" s="61">
        <f t="shared" si="389"/>
        <v>1900</v>
      </c>
      <c r="P5038" s="61">
        <f t="shared" si="390"/>
        <v>1</v>
      </c>
      <c r="R5038" s="272"/>
      <c r="S5038" s="272"/>
    </row>
    <row r="5039" spans="9:19">
      <c r="I5039" s="213"/>
      <c r="J5039" s="213"/>
      <c r="L5039" s="272">
        <f t="shared" si="387"/>
        <v>1900</v>
      </c>
      <c r="M5039" s="272">
        <f t="shared" si="388"/>
        <v>1</v>
      </c>
      <c r="O5039" s="61">
        <f t="shared" si="389"/>
        <v>1900</v>
      </c>
      <c r="P5039" s="61">
        <f t="shared" si="390"/>
        <v>1</v>
      </c>
      <c r="R5039" s="272"/>
      <c r="S5039" s="272"/>
    </row>
    <row r="5040" spans="9:19">
      <c r="I5040" s="213"/>
      <c r="J5040" s="213"/>
      <c r="L5040" s="272">
        <f t="shared" si="387"/>
        <v>1900</v>
      </c>
      <c r="M5040" s="272">
        <f t="shared" si="388"/>
        <v>1</v>
      </c>
      <c r="O5040" s="61">
        <f t="shared" si="389"/>
        <v>1900</v>
      </c>
      <c r="P5040" s="61">
        <f t="shared" si="390"/>
        <v>1</v>
      </c>
      <c r="R5040" s="272"/>
      <c r="S5040" s="272"/>
    </row>
    <row r="5041" spans="9:19">
      <c r="I5041" s="213"/>
      <c r="J5041" s="213"/>
      <c r="L5041" s="272">
        <f t="shared" si="387"/>
        <v>1900</v>
      </c>
      <c r="M5041" s="272">
        <f t="shared" si="388"/>
        <v>1</v>
      </c>
      <c r="O5041" s="61">
        <f t="shared" si="389"/>
        <v>1900</v>
      </c>
      <c r="P5041" s="61">
        <f t="shared" si="390"/>
        <v>1</v>
      </c>
      <c r="R5041" s="272"/>
      <c r="S5041" s="272"/>
    </row>
    <row r="5042" spans="9:19">
      <c r="I5042" s="213"/>
      <c r="J5042" s="213"/>
      <c r="L5042" s="272">
        <f t="shared" si="387"/>
        <v>1900</v>
      </c>
      <c r="M5042" s="272">
        <f t="shared" si="388"/>
        <v>1</v>
      </c>
      <c r="O5042" s="61">
        <f t="shared" si="389"/>
        <v>1900</v>
      </c>
      <c r="P5042" s="61">
        <f t="shared" si="390"/>
        <v>1</v>
      </c>
      <c r="R5042" s="272"/>
      <c r="S5042" s="272"/>
    </row>
    <row r="5043" spans="9:19">
      <c r="I5043" s="213"/>
      <c r="J5043" s="213"/>
      <c r="L5043" s="272">
        <f t="shared" si="387"/>
        <v>1900</v>
      </c>
      <c r="M5043" s="272">
        <f t="shared" si="388"/>
        <v>1</v>
      </c>
      <c r="O5043" s="61">
        <f t="shared" si="389"/>
        <v>1900</v>
      </c>
      <c r="P5043" s="61">
        <f t="shared" si="390"/>
        <v>1</v>
      </c>
      <c r="R5043" s="272"/>
      <c r="S5043" s="272"/>
    </row>
    <row r="5044" spans="9:19">
      <c r="I5044" s="213"/>
      <c r="J5044" s="213"/>
      <c r="L5044" s="272">
        <f t="shared" si="387"/>
        <v>1900</v>
      </c>
      <c r="M5044" s="272">
        <f t="shared" si="388"/>
        <v>1</v>
      </c>
      <c r="O5044" s="61">
        <f t="shared" si="389"/>
        <v>1900</v>
      </c>
      <c r="P5044" s="61">
        <f t="shared" si="390"/>
        <v>1</v>
      </c>
      <c r="R5044" s="272"/>
      <c r="S5044" s="272"/>
    </row>
    <row r="5045" spans="9:19">
      <c r="I5045" s="213"/>
      <c r="J5045" s="213"/>
      <c r="L5045" s="272">
        <f t="shared" si="387"/>
        <v>1900</v>
      </c>
      <c r="M5045" s="272">
        <f t="shared" si="388"/>
        <v>1</v>
      </c>
      <c r="O5045" s="61">
        <f t="shared" si="389"/>
        <v>1900</v>
      </c>
      <c r="P5045" s="61">
        <f t="shared" si="390"/>
        <v>1</v>
      </c>
      <c r="R5045" s="272"/>
      <c r="S5045" s="272"/>
    </row>
    <row r="5046" spans="9:19">
      <c r="I5046" s="213"/>
      <c r="J5046" s="213"/>
      <c r="L5046" s="272">
        <f t="shared" si="387"/>
        <v>1900</v>
      </c>
      <c r="M5046" s="272">
        <f t="shared" si="388"/>
        <v>1</v>
      </c>
      <c r="O5046" s="61">
        <f t="shared" si="389"/>
        <v>1900</v>
      </c>
      <c r="P5046" s="61">
        <f t="shared" si="390"/>
        <v>1</v>
      </c>
      <c r="R5046" s="272"/>
      <c r="S5046" s="272"/>
    </row>
    <row r="5047" spans="9:19">
      <c r="I5047" s="213"/>
      <c r="J5047" s="213"/>
      <c r="L5047" s="272">
        <f t="shared" si="387"/>
        <v>1900</v>
      </c>
      <c r="M5047" s="272">
        <f t="shared" si="388"/>
        <v>1</v>
      </c>
      <c r="O5047" s="61">
        <f t="shared" si="389"/>
        <v>1900</v>
      </c>
      <c r="P5047" s="61">
        <f t="shared" si="390"/>
        <v>1</v>
      </c>
      <c r="R5047" s="272"/>
      <c r="S5047" s="272"/>
    </row>
    <row r="5048" spans="9:19">
      <c r="I5048" s="213"/>
      <c r="J5048" s="213"/>
      <c r="L5048" s="272">
        <f t="shared" si="387"/>
        <v>1900</v>
      </c>
      <c r="M5048" s="272">
        <f t="shared" si="388"/>
        <v>1</v>
      </c>
      <c r="O5048" s="61">
        <f t="shared" si="389"/>
        <v>1900</v>
      </c>
      <c r="P5048" s="61">
        <f t="shared" si="390"/>
        <v>1</v>
      </c>
      <c r="R5048" s="272"/>
      <c r="S5048" s="272"/>
    </row>
    <row r="5049" spans="9:19">
      <c r="I5049" s="213"/>
      <c r="J5049" s="213"/>
      <c r="L5049" s="272">
        <f t="shared" si="387"/>
        <v>1900</v>
      </c>
      <c r="M5049" s="272">
        <f t="shared" si="388"/>
        <v>1</v>
      </c>
      <c r="O5049" s="61">
        <f t="shared" si="389"/>
        <v>1900</v>
      </c>
      <c r="P5049" s="61">
        <f t="shared" si="390"/>
        <v>1</v>
      </c>
      <c r="R5049" s="272"/>
      <c r="S5049" s="272"/>
    </row>
    <row r="5050" spans="9:19">
      <c r="I5050" s="213"/>
      <c r="J5050" s="213"/>
      <c r="L5050" s="272">
        <f t="shared" si="387"/>
        <v>1900</v>
      </c>
      <c r="M5050" s="272">
        <f t="shared" si="388"/>
        <v>1</v>
      </c>
      <c r="O5050" s="61">
        <f t="shared" si="389"/>
        <v>1900</v>
      </c>
      <c r="P5050" s="61">
        <f t="shared" si="390"/>
        <v>1</v>
      </c>
      <c r="R5050" s="272"/>
      <c r="S5050" s="272"/>
    </row>
    <row r="5051" spans="9:19">
      <c r="I5051" s="213"/>
      <c r="J5051" s="213"/>
      <c r="L5051" s="272">
        <f t="shared" si="387"/>
        <v>1900</v>
      </c>
      <c r="M5051" s="272">
        <f t="shared" si="388"/>
        <v>1</v>
      </c>
      <c r="O5051" s="61">
        <f t="shared" si="389"/>
        <v>1900</v>
      </c>
      <c r="P5051" s="61">
        <f t="shared" si="390"/>
        <v>1</v>
      </c>
      <c r="R5051" s="272"/>
      <c r="S5051" s="272"/>
    </row>
    <row r="5052" spans="9:19">
      <c r="I5052" s="213"/>
      <c r="J5052" s="213"/>
      <c r="L5052" s="272">
        <f t="shared" si="387"/>
        <v>1900</v>
      </c>
      <c r="M5052" s="272">
        <f t="shared" si="388"/>
        <v>1</v>
      </c>
      <c r="O5052" s="61">
        <f t="shared" si="389"/>
        <v>1900</v>
      </c>
      <c r="P5052" s="61">
        <f t="shared" si="390"/>
        <v>1</v>
      </c>
      <c r="R5052" s="272"/>
      <c r="S5052" s="272"/>
    </row>
    <row r="5053" spans="9:19">
      <c r="I5053" s="213"/>
      <c r="J5053" s="213"/>
      <c r="L5053" s="272">
        <f t="shared" si="387"/>
        <v>1900</v>
      </c>
      <c r="M5053" s="272">
        <f t="shared" si="388"/>
        <v>1</v>
      </c>
      <c r="O5053" s="61">
        <f t="shared" si="389"/>
        <v>1900</v>
      </c>
      <c r="P5053" s="61">
        <f t="shared" si="390"/>
        <v>1</v>
      </c>
      <c r="R5053" s="272"/>
      <c r="S5053" s="272"/>
    </row>
    <row r="5054" spans="9:19">
      <c r="I5054" s="213"/>
      <c r="J5054" s="213"/>
      <c r="L5054" s="272">
        <f t="shared" si="387"/>
        <v>1900</v>
      </c>
      <c r="M5054" s="272">
        <f t="shared" si="388"/>
        <v>1</v>
      </c>
      <c r="O5054" s="61">
        <f t="shared" si="389"/>
        <v>1900</v>
      </c>
      <c r="P5054" s="61">
        <f t="shared" si="390"/>
        <v>1</v>
      </c>
      <c r="R5054" s="272"/>
      <c r="S5054" s="272"/>
    </row>
    <row r="5055" spans="9:19">
      <c r="I5055" s="213"/>
      <c r="J5055" s="213"/>
      <c r="L5055" s="272">
        <f t="shared" si="387"/>
        <v>1900</v>
      </c>
      <c r="M5055" s="272">
        <f t="shared" si="388"/>
        <v>1</v>
      </c>
      <c r="O5055" s="61">
        <f t="shared" si="389"/>
        <v>1900</v>
      </c>
      <c r="P5055" s="61">
        <f t="shared" si="390"/>
        <v>1</v>
      </c>
      <c r="R5055" s="272"/>
      <c r="S5055" s="272"/>
    </row>
    <row r="5056" spans="9:19">
      <c r="I5056" s="213"/>
      <c r="J5056" s="213"/>
      <c r="L5056" s="272">
        <f t="shared" si="387"/>
        <v>1900</v>
      </c>
      <c r="M5056" s="272">
        <f t="shared" si="388"/>
        <v>1</v>
      </c>
      <c r="O5056" s="61">
        <f t="shared" si="389"/>
        <v>1900</v>
      </c>
      <c r="P5056" s="61">
        <f t="shared" si="390"/>
        <v>1</v>
      </c>
      <c r="R5056" s="272"/>
      <c r="S5056" s="272"/>
    </row>
    <row r="5057" spans="9:19">
      <c r="I5057" s="213"/>
      <c r="J5057" s="213"/>
      <c r="L5057" s="272">
        <f t="shared" si="387"/>
        <v>1900</v>
      </c>
      <c r="M5057" s="272">
        <f t="shared" si="388"/>
        <v>1</v>
      </c>
      <c r="O5057" s="61">
        <f t="shared" si="389"/>
        <v>1900</v>
      </c>
      <c r="P5057" s="61">
        <f t="shared" si="390"/>
        <v>1</v>
      </c>
      <c r="R5057" s="272"/>
      <c r="S5057" s="272"/>
    </row>
    <row r="5058" spans="9:19">
      <c r="I5058" s="213"/>
      <c r="J5058" s="213"/>
      <c r="L5058" s="272">
        <f t="shared" si="387"/>
        <v>1900</v>
      </c>
      <c r="M5058" s="272">
        <f t="shared" si="388"/>
        <v>1</v>
      </c>
      <c r="O5058" s="61">
        <f t="shared" si="389"/>
        <v>1900</v>
      </c>
      <c r="P5058" s="61">
        <f t="shared" si="390"/>
        <v>1</v>
      </c>
      <c r="R5058" s="272"/>
      <c r="S5058" s="272"/>
    </row>
    <row r="5059" spans="9:19">
      <c r="I5059" s="213"/>
      <c r="J5059" s="213"/>
      <c r="L5059" s="272">
        <f t="shared" si="387"/>
        <v>1900</v>
      </c>
      <c r="M5059" s="272">
        <f t="shared" si="388"/>
        <v>1</v>
      </c>
      <c r="O5059" s="61">
        <f t="shared" si="389"/>
        <v>1900</v>
      </c>
      <c r="P5059" s="61">
        <f t="shared" si="390"/>
        <v>1</v>
      </c>
      <c r="R5059" s="272"/>
      <c r="S5059" s="272"/>
    </row>
    <row r="5060" spans="9:19">
      <c r="I5060" s="213"/>
      <c r="J5060" s="213"/>
      <c r="L5060" s="272">
        <f t="shared" si="387"/>
        <v>1900</v>
      </c>
      <c r="M5060" s="272">
        <f t="shared" si="388"/>
        <v>1</v>
      </c>
      <c r="O5060" s="61">
        <f t="shared" si="389"/>
        <v>1900</v>
      </c>
      <c r="P5060" s="61">
        <f t="shared" si="390"/>
        <v>1</v>
      </c>
      <c r="R5060" s="272"/>
      <c r="S5060" s="272"/>
    </row>
    <row r="5061" spans="9:19">
      <c r="I5061" s="213"/>
      <c r="J5061" s="213"/>
      <c r="L5061" s="272">
        <f t="shared" si="387"/>
        <v>1900</v>
      </c>
      <c r="M5061" s="272">
        <f t="shared" si="388"/>
        <v>1</v>
      </c>
      <c r="O5061" s="61">
        <f t="shared" si="389"/>
        <v>1900</v>
      </c>
      <c r="P5061" s="61">
        <f t="shared" si="390"/>
        <v>1</v>
      </c>
      <c r="R5061" s="272"/>
      <c r="S5061" s="272"/>
    </row>
    <row r="5062" spans="9:19">
      <c r="I5062" s="213"/>
      <c r="J5062" s="213"/>
      <c r="L5062" s="272">
        <f t="shared" si="387"/>
        <v>1900</v>
      </c>
      <c r="M5062" s="272">
        <f t="shared" si="388"/>
        <v>1</v>
      </c>
      <c r="O5062" s="61">
        <f t="shared" si="389"/>
        <v>1900</v>
      </c>
      <c r="P5062" s="61">
        <f t="shared" si="390"/>
        <v>1</v>
      </c>
      <c r="R5062" s="272"/>
      <c r="S5062" s="272"/>
    </row>
    <row r="5063" spans="9:19">
      <c r="I5063" s="213"/>
      <c r="J5063" s="213"/>
      <c r="L5063" s="272">
        <f t="shared" si="387"/>
        <v>1900</v>
      </c>
      <c r="M5063" s="272">
        <f t="shared" si="388"/>
        <v>1</v>
      </c>
      <c r="O5063" s="61">
        <f t="shared" si="389"/>
        <v>1900</v>
      </c>
      <c r="P5063" s="61">
        <f t="shared" si="390"/>
        <v>1</v>
      </c>
      <c r="R5063" s="272"/>
      <c r="S5063" s="272"/>
    </row>
    <row r="5064" spans="9:19">
      <c r="I5064" s="213"/>
      <c r="J5064" s="213"/>
      <c r="L5064" s="272">
        <f t="shared" si="387"/>
        <v>1900</v>
      </c>
      <c r="M5064" s="272">
        <f t="shared" si="388"/>
        <v>1</v>
      </c>
      <c r="O5064" s="61">
        <f t="shared" si="389"/>
        <v>1900</v>
      </c>
      <c r="P5064" s="61">
        <f t="shared" si="390"/>
        <v>1</v>
      </c>
      <c r="R5064" s="272"/>
      <c r="S5064" s="272"/>
    </row>
    <row r="5065" spans="9:19">
      <c r="I5065" s="213"/>
      <c r="J5065" s="213"/>
      <c r="L5065" s="272">
        <f t="shared" si="387"/>
        <v>1900</v>
      </c>
      <c r="M5065" s="272">
        <f t="shared" si="388"/>
        <v>1</v>
      </c>
      <c r="O5065" s="61">
        <f t="shared" si="389"/>
        <v>1900</v>
      </c>
      <c r="P5065" s="61">
        <f t="shared" si="390"/>
        <v>1</v>
      </c>
      <c r="R5065" s="272"/>
      <c r="S5065" s="272"/>
    </row>
    <row r="5066" spans="9:19">
      <c r="I5066" s="213"/>
      <c r="J5066" s="213"/>
      <c r="L5066" s="272">
        <f t="shared" si="387"/>
        <v>1900</v>
      </c>
      <c r="M5066" s="272">
        <f t="shared" si="388"/>
        <v>1</v>
      </c>
      <c r="O5066" s="61">
        <f t="shared" si="389"/>
        <v>1900</v>
      </c>
      <c r="P5066" s="61">
        <f t="shared" si="390"/>
        <v>1</v>
      </c>
      <c r="R5066" s="272"/>
      <c r="S5066" s="272"/>
    </row>
    <row r="5067" spans="9:19">
      <c r="I5067" s="213"/>
      <c r="J5067" s="213"/>
      <c r="L5067" s="272">
        <f t="shared" si="387"/>
        <v>1900</v>
      </c>
      <c r="M5067" s="272">
        <f t="shared" si="388"/>
        <v>1</v>
      </c>
      <c r="O5067" s="61">
        <f t="shared" si="389"/>
        <v>1900</v>
      </c>
      <c r="P5067" s="61">
        <f t="shared" si="390"/>
        <v>1</v>
      </c>
      <c r="R5067" s="272"/>
      <c r="S5067" s="272"/>
    </row>
    <row r="5068" spans="9:19">
      <c r="I5068" s="213"/>
      <c r="J5068" s="213"/>
      <c r="L5068" s="272">
        <f t="shared" si="387"/>
        <v>1900</v>
      </c>
      <c r="M5068" s="272">
        <f t="shared" si="388"/>
        <v>1</v>
      </c>
      <c r="O5068" s="61">
        <f t="shared" si="389"/>
        <v>1900</v>
      </c>
      <c r="P5068" s="61">
        <f t="shared" si="390"/>
        <v>1</v>
      </c>
      <c r="R5068" s="272"/>
      <c r="S5068" s="272"/>
    </row>
    <row r="5069" spans="9:19">
      <c r="I5069" s="213"/>
      <c r="J5069" s="213"/>
      <c r="L5069" s="272">
        <f t="shared" si="387"/>
        <v>1900</v>
      </c>
      <c r="M5069" s="272">
        <f t="shared" si="388"/>
        <v>1</v>
      </c>
      <c r="O5069" s="61">
        <f t="shared" si="389"/>
        <v>1900</v>
      </c>
      <c r="P5069" s="61">
        <f t="shared" si="390"/>
        <v>1</v>
      </c>
      <c r="R5069" s="272"/>
      <c r="S5069" s="272"/>
    </row>
    <row r="5070" spans="9:19">
      <c r="I5070" s="213"/>
      <c r="J5070" s="213"/>
      <c r="L5070" s="272">
        <f t="shared" si="387"/>
        <v>1900</v>
      </c>
      <c r="M5070" s="272">
        <f t="shared" si="388"/>
        <v>1</v>
      </c>
      <c r="O5070" s="61">
        <f t="shared" si="389"/>
        <v>1900</v>
      </c>
      <c r="P5070" s="61">
        <f t="shared" si="390"/>
        <v>1</v>
      </c>
      <c r="R5070" s="272"/>
      <c r="S5070" s="272"/>
    </row>
    <row r="5071" spans="9:19">
      <c r="I5071" s="213"/>
      <c r="J5071" s="213"/>
      <c r="L5071" s="272">
        <f t="shared" si="387"/>
        <v>1900</v>
      </c>
      <c r="M5071" s="272">
        <f t="shared" si="388"/>
        <v>1</v>
      </c>
      <c r="O5071" s="61">
        <f t="shared" si="389"/>
        <v>1900</v>
      </c>
      <c r="P5071" s="61">
        <f t="shared" si="390"/>
        <v>1</v>
      </c>
      <c r="R5071" s="272"/>
      <c r="S5071" s="272"/>
    </row>
    <row r="5072" spans="9:19">
      <c r="I5072" s="213"/>
      <c r="J5072" s="213"/>
      <c r="L5072" s="272">
        <f t="shared" ref="L5072:L5135" si="391">YEAR(B5072)</f>
        <v>1900</v>
      </c>
      <c r="M5072" s="272">
        <f t="shared" ref="M5072:M5135" si="392">MONTH(B5072)</f>
        <v>1</v>
      </c>
      <c r="O5072" s="61">
        <f t="shared" ref="O5072:O5135" si="393">YEAR(B5072)</f>
        <v>1900</v>
      </c>
      <c r="P5072" s="61">
        <f t="shared" ref="P5072:P5135" si="394">MONTH(B5072)</f>
        <v>1</v>
      </c>
      <c r="R5072" s="272"/>
      <c r="S5072" s="272"/>
    </row>
    <row r="5073" spans="9:19">
      <c r="I5073" s="213"/>
      <c r="J5073" s="213"/>
      <c r="L5073" s="272">
        <f t="shared" si="391"/>
        <v>1900</v>
      </c>
      <c r="M5073" s="272">
        <f t="shared" si="392"/>
        <v>1</v>
      </c>
      <c r="O5073" s="61">
        <f t="shared" si="393"/>
        <v>1900</v>
      </c>
      <c r="P5073" s="61">
        <f t="shared" si="394"/>
        <v>1</v>
      </c>
      <c r="R5073" s="272"/>
      <c r="S5073" s="272"/>
    </row>
    <row r="5074" spans="9:19">
      <c r="I5074" s="213"/>
      <c r="J5074" s="213"/>
      <c r="L5074" s="272">
        <f t="shared" si="391"/>
        <v>1900</v>
      </c>
      <c r="M5074" s="272">
        <f t="shared" si="392"/>
        <v>1</v>
      </c>
      <c r="O5074" s="61">
        <f t="shared" si="393"/>
        <v>1900</v>
      </c>
      <c r="P5074" s="61">
        <f t="shared" si="394"/>
        <v>1</v>
      </c>
      <c r="R5074" s="272"/>
      <c r="S5074" s="272"/>
    </row>
    <row r="5075" spans="9:19">
      <c r="I5075" s="213"/>
      <c r="J5075" s="213"/>
      <c r="L5075" s="272">
        <f t="shared" si="391"/>
        <v>1900</v>
      </c>
      <c r="M5075" s="272">
        <f t="shared" si="392"/>
        <v>1</v>
      </c>
      <c r="O5075" s="61">
        <f t="shared" si="393"/>
        <v>1900</v>
      </c>
      <c r="P5075" s="61">
        <f t="shared" si="394"/>
        <v>1</v>
      </c>
      <c r="R5075" s="272"/>
      <c r="S5075" s="272"/>
    </row>
    <row r="5076" spans="9:19">
      <c r="I5076" s="213"/>
      <c r="J5076" s="213"/>
      <c r="L5076" s="272">
        <f t="shared" si="391"/>
        <v>1900</v>
      </c>
      <c r="M5076" s="272">
        <f t="shared" si="392"/>
        <v>1</v>
      </c>
      <c r="O5076" s="61">
        <f t="shared" si="393"/>
        <v>1900</v>
      </c>
      <c r="P5076" s="61">
        <f t="shared" si="394"/>
        <v>1</v>
      </c>
      <c r="R5076" s="272"/>
      <c r="S5076" s="272"/>
    </row>
    <row r="5077" spans="9:19">
      <c r="I5077" s="213"/>
      <c r="J5077" s="213"/>
      <c r="L5077" s="272">
        <f t="shared" si="391"/>
        <v>1900</v>
      </c>
      <c r="M5077" s="272">
        <f t="shared" si="392"/>
        <v>1</v>
      </c>
      <c r="O5077" s="61">
        <f t="shared" si="393"/>
        <v>1900</v>
      </c>
      <c r="P5077" s="61">
        <f t="shared" si="394"/>
        <v>1</v>
      </c>
      <c r="R5077" s="272"/>
      <c r="S5077" s="272"/>
    </row>
    <row r="5078" spans="9:19">
      <c r="I5078" s="213"/>
      <c r="J5078" s="213"/>
      <c r="L5078" s="272">
        <f t="shared" si="391"/>
        <v>1900</v>
      </c>
      <c r="M5078" s="272">
        <f t="shared" si="392"/>
        <v>1</v>
      </c>
      <c r="O5078" s="61">
        <f t="shared" si="393"/>
        <v>1900</v>
      </c>
      <c r="P5078" s="61">
        <f t="shared" si="394"/>
        <v>1</v>
      </c>
      <c r="R5078" s="272"/>
      <c r="S5078" s="272"/>
    </row>
    <row r="5079" spans="9:19">
      <c r="I5079" s="213"/>
      <c r="J5079" s="213"/>
      <c r="L5079" s="272">
        <f t="shared" si="391"/>
        <v>1900</v>
      </c>
      <c r="M5079" s="272">
        <f t="shared" si="392"/>
        <v>1</v>
      </c>
      <c r="O5079" s="61">
        <f t="shared" si="393"/>
        <v>1900</v>
      </c>
      <c r="P5079" s="61">
        <f t="shared" si="394"/>
        <v>1</v>
      </c>
      <c r="R5079" s="272"/>
      <c r="S5079" s="272"/>
    </row>
    <row r="5080" spans="9:19">
      <c r="I5080" s="213"/>
      <c r="J5080" s="213"/>
      <c r="L5080" s="272">
        <f t="shared" si="391"/>
        <v>1900</v>
      </c>
      <c r="M5080" s="272">
        <f t="shared" si="392"/>
        <v>1</v>
      </c>
      <c r="O5080" s="61">
        <f t="shared" si="393"/>
        <v>1900</v>
      </c>
      <c r="P5080" s="61">
        <f t="shared" si="394"/>
        <v>1</v>
      </c>
      <c r="R5080" s="272"/>
      <c r="S5080" s="272"/>
    </row>
    <row r="5081" spans="9:19">
      <c r="I5081" s="213"/>
      <c r="J5081" s="213"/>
      <c r="L5081" s="272">
        <f t="shared" si="391"/>
        <v>1900</v>
      </c>
      <c r="M5081" s="272">
        <f t="shared" si="392"/>
        <v>1</v>
      </c>
      <c r="O5081" s="61">
        <f t="shared" si="393"/>
        <v>1900</v>
      </c>
      <c r="P5081" s="61">
        <f t="shared" si="394"/>
        <v>1</v>
      </c>
      <c r="R5081" s="272"/>
      <c r="S5081" s="272"/>
    </row>
    <row r="5082" spans="9:19">
      <c r="I5082" s="213"/>
      <c r="J5082" s="213"/>
      <c r="L5082" s="272">
        <f t="shared" si="391"/>
        <v>1900</v>
      </c>
      <c r="M5082" s="272">
        <f t="shared" si="392"/>
        <v>1</v>
      </c>
      <c r="O5082" s="61">
        <f t="shared" si="393"/>
        <v>1900</v>
      </c>
      <c r="P5082" s="61">
        <f t="shared" si="394"/>
        <v>1</v>
      </c>
      <c r="R5082" s="272"/>
      <c r="S5082" s="272"/>
    </row>
    <row r="5083" spans="9:19">
      <c r="I5083" s="213"/>
      <c r="J5083" s="213"/>
      <c r="L5083" s="272">
        <f t="shared" si="391"/>
        <v>1900</v>
      </c>
      <c r="M5083" s="272">
        <f t="shared" si="392"/>
        <v>1</v>
      </c>
      <c r="O5083" s="61">
        <f t="shared" si="393"/>
        <v>1900</v>
      </c>
      <c r="P5083" s="61">
        <f t="shared" si="394"/>
        <v>1</v>
      </c>
      <c r="R5083" s="272"/>
      <c r="S5083" s="272"/>
    </row>
    <row r="5084" spans="9:19">
      <c r="I5084" s="213"/>
      <c r="J5084" s="213"/>
      <c r="L5084" s="272">
        <f t="shared" si="391"/>
        <v>1900</v>
      </c>
      <c r="M5084" s="272">
        <f t="shared" si="392"/>
        <v>1</v>
      </c>
      <c r="O5084" s="61">
        <f t="shared" si="393"/>
        <v>1900</v>
      </c>
      <c r="P5084" s="61">
        <f t="shared" si="394"/>
        <v>1</v>
      </c>
      <c r="R5084" s="272"/>
      <c r="S5084" s="272"/>
    </row>
    <row r="5085" spans="9:19">
      <c r="I5085" s="213"/>
      <c r="J5085" s="213"/>
      <c r="L5085" s="272">
        <f t="shared" si="391"/>
        <v>1900</v>
      </c>
      <c r="M5085" s="272">
        <f t="shared" si="392"/>
        <v>1</v>
      </c>
      <c r="O5085" s="61">
        <f t="shared" si="393"/>
        <v>1900</v>
      </c>
      <c r="P5085" s="61">
        <f t="shared" si="394"/>
        <v>1</v>
      </c>
      <c r="R5085" s="272"/>
      <c r="S5085" s="272"/>
    </row>
    <row r="5086" spans="9:19">
      <c r="I5086" s="213"/>
      <c r="J5086" s="213"/>
      <c r="L5086" s="272">
        <f t="shared" si="391"/>
        <v>1900</v>
      </c>
      <c r="M5086" s="272">
        <f t="shared" si="392"/>
        <v>1</v>
      </c>
      <c r="O5086" s="61">
        <f t="shared" si="393"/>
        <v>1900</v>
      </c>
      <c r="P5086" s="61">
        <f t="shared" si="394"/>
        <v>1</v>
      </c>
      <c r="R5086" s="272"/>
      <c r="S5086" s="272"/>
    </row>
    <row r="5087" spans="9:19">
      <c r="I5087" s="213"/>
      <c r="J5087" s="213"/>
      <c r="L5087" s="272">
        <f t="shared" si="391"/>
        <v>1900</v>
      </c>
      <c r="M5087" s="272">
        <f t="shared" si="392"/>
        <v>1</v>
      </c>
      <c r="O5087" s="61">
        <f t="shared" si="393"/>
        <v>1900</v>
      </c>
      <c r="P5087" s="61">
        <f t="shared" si="394"/>
        <v>1</v>
      </c>
      <c r="R5087" s="272"/>
      <c r="S5087" s="272"/>
    </row>
    <row r="5088" spans="9:19">
      <c r="I5088" s="213"/>
      <c r="J5088" s="213"/>
      <c r="L5088" s="272">
        <f t="shared" si="391"/>
        <v>1900</v>
      </c>
      <c r="M5088" s="272">
        <f t="shared" si="392"/>
        <v>1</v>
      </c>
      <c r="O5088" s="61">
        <f t="shared" si="393"/>
        <v>1900</v>
      </c>
      <c r="P5088" s="61">
        <f t="shared" si="394"/>
        <v>1</v>
      </c>
      <c r="R5088" s="272"/>
      <c r="S5088" s="272"/>
    </row>
    <row r="5089" spans="9:19">
      <c r="I5089" s="213"/>
      <c r="J5089" s="213"/>
      <c r="L5089" s="272">
        <f t="shared" si="391"/>
        <v>1900</v>
      </c>
      <c r="M5089" s="272">
        <f t="shared" si="392"/>
        <v>1</v>
      </c>
      <c r="O5089" s="61">
        <f t="shared" si="393"/>
        <v>1900</v>
      </c>
      <c r="P5089" s="61">
        <f t="shared" si="394"/>
        <v>1</v>
      </c>
      <c r="R5089" s="272"/>
      <c r="S5089" s="272"/>
    </row>
    <row r="5090" spans="9:19">
      <c r="I5090" s="213"/>
      <c r="J5090" s="213"/>
      <c r="L5090" s="272">
        <f t="shared" si="391"/>
        <v>1900</v>
      </c>
      <c r="M5090" s="272">
        <f t="shared" si="392"/>
        <v>1</v>
      </c>
      <c r="O5090" s="61">
        <f t="shared" si="393"/>
        <v>1900</v>
      </c>
      <c r="P5090" s="61">
        <f t="shared" si="394"/>
        <v>1</v>
      </c>
      <c r="R5090" s="272"/>
      <c r="S5090" s="272"/>
    </row>
    <row r="5091" spans="9:19">
      <c r="I5091" s="213"/>
      <c r="J5091" s="213"/>
      <c r="L5091" s="272">
        <f t="shared" si="391"/>
        <v>1900</v>
      </c>
      <c r="M5091" s="272">
        <f t="shared" si="392"/>
        <v>1</v>
      </c>
      <c r="O5091" s="61">
        <f t="shared" si="393"/>
        <v>1900</v>
      </c>
      <c r="P5091" s="61">
        <f t="shared" si="394"/>
        <v>1</v>
      </c>
      <c r="R5091" s="272"/>
      <c r="S5091" s="272"/>
    </row>
    <row r="5092" spans="9:19">
      <c r="I5092" s="213"/>
      <c r="J5092" s="213"/>
      <c r="L5092" s="272">
        <f t="shared" si="391"/>
        <v>1900</v>
      </c>
      <c r="M5092" s="272">
        <f t="shared" si="392"/>
        <v>1</v>
      </c>
      <c r="O5092" s="61">
        <f t="shared" si="393"/>
        <v>1900</v>
      </c>
      <c r="P5092" s="61">
        <f t="shared" si="394"/>
        <v>1</v>
      </c>
      <c r="R5092" s="272"/>
      <c r="S5092" s="272"/>
    </row>
    <row r="5093" spans="9:19">
      <c r="I5093" s="213"/>
      <c r="J5093" s="213"/>
      <c r="L5093" s="272">
        <f t="shared" si="391"/>
        <v>1900</v>
      </c>
      <c r="M5093" s="272">
        <f t="shared" si="392"/>
        <v>1</v>
      </c>
      <c r="O5093" s="61">
        <f t="shared" si="393"/>
        <v>1900</v>
      </c>
      <c r="P5093" s="61">
        <f t="shared" si="394"/>
        <v>1</v>
      </c>
      <c r="R5093" s="272"/>
      <c r="S5093" s="272"/>
    </row>
    <row r="5094" spans="9:19">
      <c r="I5094" s="213"/>
      <c r="J5094" s="213"/>
      <c r="L5094" s="272">
        <f t="shared" si="391"/>
        <v>1900</v>
      </c>
      <c r="M5094" s="272">
        <f t="shared" si="392"/>
        <v>1</v>
      </c>
      <c r="O5094" s="61">
        <f t="shared" si="393"/>
        <v>1900</v>
      </c>
      <c r="P5094" s="61">
        <f t="shared" si="394"/>
        <v>1</v>
      </c>
      <c r="R5094" s="272"/>
      <c r="S5094" s="272"/>
    </row>
    <row r="5095" spans="9:19">
      <c r="I5095" s="213"/>
      <c r="J5095" s="213"/>
      <c r="L5095" s="272">
        <f t="shared" si="391"/>
        <v>1900</v>
      </c>
      <c r="M5095" s="272">
        <f t="shared" si="392"/>
        <v>1</v>
      </c>
      <c r="O5095" s="61">
        <f t="shared" si="393"/>
        <v>1900</v>
      </c>
      <c r="P5095" s="61">
        <f t="shared" si="394"/>
        <v>1</v>
      </c>
      <c r="R5095" s="272"/>
      <c r="S5095" s="272"/>
    </row>
    <row r="5096" spans="9:19">
      <c r="I5096" s="213"/>
      <c r="J5096" s="213"/>
      <c r="L5096" s="272">
        <f t="shared" si="391"/>
        <v>1900</v>
      </c>
      <c r="M5096" s="272">
        <f t="shared" si="392"/>
        <v>1</v>
      </c>
      <c r="O5096" s="61">
        <f t="shared" si="393"/>
        <v>1900</v>
      </c>
      <c r="P5096" s="61">
        <f t="shared" si="394"/>
        <v>1</v>
      </c>
      <c r="R5096" s="272"/>
      <c r="S5096" s="272"/>
    </row>
    <row r="5097" spans="9:19">
      <c r="I5097" s="213"/>
      <c r="J5097" s="213"/>
      <c r="L5097" s="272">
        <f t="shared" si="391"/>
        <v>1900</v>
      </c>
      <c r="M5097" s="272">
        <f t="shared" si="392"/>
        <v>1</v>
      </c>
      <c r="O5097" s="61">
        <f t="shared" si="393"/>
        <v>1900</v>
      </c>
      <c r="P5097" s="61">
        <f t="shared" si="394"/>
        <v>1</v>
      </c>
      <c r="R5097" s="272"/>
      <c r="S5097" s="272"/>
    </row>
    <row r="5098" spans="9:19">
      <c r="I5098" s="213"/>
      <c r="J5098" s="213"/>
      <c r="L5098" s="272">
        <f t="shared" si="391"/>
        <v>1900</v>
      </c>
      <c r="M5098" s="272">
        <f t="shared" si="392"/>
        <v>1</v>
      </c>
      <c r="O5098" s="61">
        <f t="shared" si="393"/>
        <v>1900</v>
      </c>
      <c r="P5098" s="61">
        <f t="shared" si="394"/>
        <v>1</v>
      </c>
      <c r="R5098" s="272"/>
      <c r="S5098" s="272"/>
    </row>
    <row r="5099" spans="9:19">
      <c r="I5099" s="213"/>
      <c r="J5099" s="213"/>
      <c r="L5099" s="272">
        <f t="shared" si="391"/>
        <v>1900</v>
      </c>
      <c r="M5099" s="272">
        <f t="shared" si="392"/>
        <v>1</v>
      </c>
      <c r="O5099" s="61">
        <f t="shared" si="393"/>
        <v>1900</v>
      </c>
      <c r="P5099" s="61">
        <f t="shared" si="394"/>
        <v>1</v>
      </c>
      <c r="R5099" s="272"/>
      <c r="S5099" s="272"/>
    </row>
    <row r="5100" spans="9:19">
      <c r="I5100" s="213"/>
      <c r="J5100" s="213"/>
      <c r="L5100" s="272">
        <f t="shared" si="391"/>
        <v>1900</v>
      </c>
      <c r="M5100" s="272">
        <f t="shared" si="392"/>
        <v>1</v>
      </c>
      <c r="O5100" s="61">
        <f t="shared" si="393"/>
        <v>1900</v>
      </c>
      <c r="P5100" s="61">
        <f t="shared" si="394"/>
        <v>1</v>
      </c>
      <c r="R5100" s="272"/>
      <c r="S5100" s="272"/>
    </row>
    <row r="5101" spans="9:19">
      <c r="I5101" s="213"/>
      <c r="J5101" s="213"/>
      <c r="L5101" s="272">
        <f t="shared" si="391"/>
        <v>1900</v>
      </c>
      <c r="M5101" s="272">
        <f t="shared" si="392"/>
        <v>1</v>
      </c>
      <c r="O5101" s="61">
        <f t="shared" si="393"/>
        <v>1900</v>
      </c>
      <c r="P5101" s="61">
        <f t="shared" si="394"/>
        <v>1</v>
      </c>
      <c r="R5101" s="272"/>
      <c r="S5101" s="272"/>
    </row>
    <row r="5102" spans="9:19">
      <c r="I5102" s="213"/>
      <c r="J5102" s="213"/>
      <c r="L5102" s="272">
        <f t="shared" si="391"/>
        <v>1900</v>
      </c>
      <c r="M5102" s="272">
        <f t="shared" si="392"/>
        <v>1</v>
      </c>
      <c r="O5102" s="61">
        <f t="shared" si="393"/>
        <v>1900</v>
      </c>
      <c r="P5102" s="61">
        <f t="shared" si="394"/>
        <v>1</v>
      </c>
      <c r="R5102" s="272"/>
      <c r="S5102" s="272"/>
    </row>
    <row r="5103" spans="9:19">
      <c r="I5103" s="213"/>
      <c r="J5103" s="213"/>
      <c r="L5103" s="272">
        <f t="shared" si="391"/>
        <v>1900</v>
      </c>
      <c r="M5103" s="272">
        <f t="shared" si="392"/>
        <v>1</v>
      </c>
      <c r="O5103" s="61">
        <f t="shared" si="393"/>
        <v>1900</v>
      </c>
      <c r="P5103" s="61">
        <f t="shared" si="394"/>
        <v>1</v>
      </c>
      <c r="R5103" s="272"/>
      <c r="S5103" s="272"/>
    </row>
    <row r="5104" spans="9:19">
      <c r="I5104" s="213"/>
      <c r="J5104" s="213"/>
      <c r="L5104" s="272">
        <f t="shared" si="391"/>
        <v>1900</v>
      </c>
      <c r="M5104" s="272">
        <f t="shared" si="392"/>
        <v>1</v>
      </c>
      <c r="O5104" s="61">
        <f t="shared" si="393"/>
        <v>1900</v>
      </c>
      <c r="P5104" s="61">
        <f t="shared" si="394"/>
        <v>1</v>
      </c>
      <c r="R5104" s="272"/>
      <c r="S5104" s="272"/>
    </row>
    <row r="5105" spans="9:19">
      <c r="I5105" s="213"/>
      <c r="J5105" s="213"/>
      <c r="L5105" s="272">
        <f t="shared" si="391"/>
        <v>1900</v>
      </c>
      <c r="M5105" s="272">
        <f t="shared" si="392"/>
        <v>1</v>
      </c>
      <c r="O5105" s="61">
        <f t="shared" si="393"/>
        <v>1900</v>
      </c>
      <c r="P5105" s="61">
        <f t="shared" si="394"/>
        <v>1</v>
      </c>
      <c r="R5105" s="272"/>
      <c r="S5105" s="272"/>
    </row>
    <row r="5106" spans="9:19">
      <c r="I5106" s="213"/>
      <c r="J5106" s="213"/>
      <c r="L5106" s="272">
        <f t="shared" si="391"/>
        <v>1900</v>
      </c>
      <c r="M5106" s="272">
        <f t="shared" si="392"/>
        <v>1</v>
      </c>
      <c r="O5106" s="61">
        <f t="shared" si="393"/>
        <v>1900</v>
      </c>
      <c r="P5106" s="61">
        <f t="shared" si="394"/>
        <v>1</v>
      </c>
      <c r="R5106" s="272"/>
      <c r="S5106" s="272"/>
    </row>
    <row r="5107" spans="9:19">
      <c r="I5107" s="213"/>
      <c r="J5107" s="213"/>
      <c r="L5107" s="272">
        <f t="shared" si="391"/>
        <v>1900</v>
      </c>
      <c r="M5107" s="272">
        <f t="shared" si="392"/>
        <v>1</v>
      </c>
      <c r="O5107" s="61">
        <f t="shared" si="393"/>
        <v>1900</v>
      </c>
      <c r="P5107" s="61">
        <f t="shared" si="394"/>
        <v>1</v>
      </c>
      <c r="R5107" s="272"/>
      <c r="S5107" s="272"/>
    </row>
    <row r="5108" spans="9:19">
      <c r="I5108" s="213"/>
      <c r="J5108" s="213"/>
      <c r="L5108" s="272">
        <f t="shared" si="391"/>
        <v>1900</v>
      </c>
      <c r="M5108" s="272">
        <f t="shared" si="392"/>
        <v>1</v>
      </c>
      <c r="O5108" s="61">
        <f t="shared" si="393"/>
        <v>1900</v>
      </c>
      <c r="P5108" s="61">
        <f t="shared" si="394"/>
        <v>1</v>
      </c>
      <c r="R5108" s="272"/>
      <c r="S5108" s="272"/>
    </row>
    <row r="5109" spans="9:19">
      <c r="I5109" s="213"/>
      <c r="J5109" s="213"/>
      <c r="L5109" s="272">
        <f t="shared" si="391"/>
        <v>1900</v>
      </c>
      <c r="M5109" s="272">
        <f t="shared" si="392"/>
        <v>1</v>
      </c>
      <c r="O5109" s="61">
        <f t="shared" si="393"/>
        <v>1900</v>
      </c>
      <c r="P5109" s="61">
        <f t="shared" si="394"/>
        <v>1</v>
      </c>
      <c r="R5109" s="272"/>
      <c r="S5109" s="272"/>
    </row>
    <row r="5110" spans="9:19">
      <c r="I5110" s="213"/>
      <c r="J5110" s="213"/>
      <c r="L5110" s="272">
        <f t="shared" si="391"/>
        <v>1900</v>
      </c>
      <c r="M5110" s="272">
        <f t="shared" si="392"/>
        <v>1</v>
      </c>
      <c r="O5110" s="61">
        <f t="shared" si="393"/>
        <v>1900</v>
      </c>
      <c r="P5110" s="61">
        <f t="shared" si="394"/>
        <v>1</v>
      </c>
      <c r="R5110" s="272"/>
      <c r="S5110" s="272"/>
    </row>
    <row r="5111" spans="9:19">
      <c r="I5111" s="213"/>
      <c r="J5111" s="213"/>
      <c r="L5111" s="272">
        <f t="shared" si="391"/>
        <v>1900</v>
      </c>
      <c r="M5111" s="272">
        <f t="shared" si="392"/>
        <v>1</v>
      </c>
      <c r="O5111" s="61">
        <f t="shared" si="393"/>
        <v>1900</v>
      </c>
      <c r="P5111" s="61">
        <f t="shared" si="394"/>
        <v>1</v>
      </c>
      <c r="R5111" s="272"/>
      <c r="S5111" s="272"/>
    </row>
    <row r="5112" spans="9:19">
      <c r="I5112" s="213"/>
      <c r="J5112" s="213"/>
      <c r="L5112" s="272">
        <f t="shared" si="391"/>
        <v>1900</v>
      </c>
      <c r="M5112" s="272">
        <f t="shared" si="392"/>
        <v>1</v>
      </c>
      <c r="O5112" s="61">
        <f t="shared" si="393"/>
        <v>1900</v>
      </c>
      <c r="P5112" s="61">
        <f t="shared" si="394"/>
        <v>1</v>
      </c>
      <c r="R5112" s="272"/>
      <c r="S5112" s="272"/>
    </row>
    <row r="5113" spans="9:19">
      <c r="I5113" s="213"/>
      <c r="J5113" s="213"/>
      <c r="L5113" s="272">
        <f t="shared" si="391"/>
        <v>1900</v>
      </c>
      <c r="M5113" s="272">
        <f t="shared" si="392"/>
        <v>1</v>
      </c>
      <c r="O5113" s="61">
        <f t="shared" si="393"/>
        <v>1900</v>
      </c>
      <c r="P5113" s="61">
        <f t="shared" si="394"/>
        <v>1</v>
      </c>
      <c r="R5113" s="272"/>
      <c r="S5113" s="272"/>
    </row>
    <row r="5114" spans="9:19">
      <c r="I5114" s="213"/>
      <c r="J5114" s="213"/>
      <c r="L5114" s="272">
        <f t="shared" si="391"/>
        <v>1900</v>
      </c>
      <c r="M5114" s="272">
        <f t="shared" si="392"/>
        <v>1</v>
      </c>
      <c r="O5114" s="61">
        <f t="shared" si="393"/>
        <v>1900</v>
      </c>
      <c r="P5114" s="61">
        <f t="shared" si="394"/>
        <v>1</v>
      </c>
      <c r="R5114" s="272"/>
      <c r="S5114" s="272"/>
    </row>
    <row r="5115" spans="9:19">
      <c r="I5115" s="213"/>
      <c r="J5115" s="213"/>
      <c r="L5115" s="272">
        <f t="shared" si="391"/>
        <v>1900</v>
      </c>
      <c r="M5115" s="272">
        <f t="shared" si="392"/>
        <v>1</v>
      </c>
      <c r="O5115" s="61">
        <f t="shared" si="393"/>
        <v>1900</v>
      </c>
      <c r="P5115" s="61">
        <f t="shared" si="394"/>
        <v>1</v>
      </c>
      <c r="R5115" s="272"/>
      <c r="S5115" s="272"/>
    </row>
    <row r="5116" spans="9:19">
      <c r="I5116" s="213"/>
      <c r="J5116" s="213"/>
      <c r="L5116" s="272">
        <f t="shared" si="391"/>
        <v>1900</v>
      </c>
      <c r="M5116" s="272">
        <f t="shared" si="392"/>
        <v>1</v>
      </c>
      <c r="O5116" s="61">
        <f t="shared" si="393"/>
        <v>1900</v>
      </c>
      <c r="P5116" s="61">
        <f t="shared" si="394"/>
        <v>1</v>
      </c>
      <c r="R5116" s="272"/>
      <c r="S5116" s="272"/>
    </row>
    <row r="5117" spans="9:19">
      <c r="I5117" s="213"/>
      <c r="J5117" s="213"/>
      <c r="L5117" s="272">
        <f t="shared" si="391"/>
        <v>1900</v>
      </c>
      <c r="M5117" s="272">
        <f t="shared" si="392"/>
        <v>1</v>
      </c>
      <c r="O5117" s="61">
        <f t="shared" si="393"/>
        <v>1900</v>
      </c>
      <c r="P5117" s="61">
        <f t="shared" si="394"/>
        <v>1</v>
      </c>
      <c r="R5117" s="272"/>
      <c r="S5117" s="272"/>
    </row>
    <row r="5118" spans="9:19">
      <c r="I5118" s="213"/>
      <c r="J5118" s="213"/>
      <c r="L5118" s="272">
        <f t="shared" si="391"/>
        <v>1900</v>
      </c>
      <c r="M5118" s="272">
        <f t="shared" si="392"/>
        <v>1</v>
      </c>
      <c r="O5118" s="61">
        <f t="shared" si="393"/>
        <v>1900</v>
      </c>
      <c r="P5118" s="61">
        <f t="shared" si="394"/>
        <v>1</v>
      </c>
      <c r="R5118" s="272"/>
      <c r="S5118" s="272"/>
    </row>
    <row r="5119" spans="9:19">
      <c r="I5119" s="213"/>
      <c r="J5119" s="213"/>
      <c r="L5119" s="272">
        <f t="shared" si="391"/>
        <v>1900</v>
      </c>
      <c r="M5119" s="272">
        <f t="shared" si="392"/>
        <v>1</v>
      </c>
      <c r="O5119" s="61">
        <f t="shared" si="393"/>
        <v>1900</v>
      </c>
      <c r="P5119" s="61">
        <f t="shared" si="394"/>
        <v>1</v>
      </c>
      <c r="R5119" s="272"/>
      <c r="S5119" s="272"/>
    </row>
    <row r="5120" spans="9:19">
      <c r="I5120" s="213"/>
      <c r="J5120" s="213"/>
      <c r="L5120" s="272">
        <f t="shared" si="391"/>
        <v>1900</v>
      </c>
      <c r="M5120" s="272">
        <f t="shared" si="392"/>
        <v>1</v>
      </c>
      <c r="O5120" s="61">
        <f t="shared" si="393"/>
        <v>1900</v>
      </c>
      <c r="P5120" s="61">
        <f t="shared" si="394"/>
        <v>1</v>
      </c>
      <c r="R5120" s="272"/>
      <c r="S5120" s="272"/>
    </row>
    <row r="5121" spans="9:19">
      <c r="I5121" s="213"/>
      <c r="J5121" s="213"/>
      <c r="L5121" s="272">
        <f t="shared" si="391"/>
        <v>1900</v>
      </c>
      <c r="M5121" s="272">
        <f t="shared" si="392"/>
        <v>1</v>
      </c>
      <c r="O5121" s="61">
        <f t="shared" si="393"/>
        <v>1900</v>
      </c>
      <c r="P5121" s="61">
        <f t="shared" si="394"/>
        <v>1</v>
      </c>
      <c r="R5121" s="272"/>
      <c r="S5121" s="272"/>
    </row>
    <row r="5122" spans="9:19">
      <c r="I5122" s="213"/>
      <c r="J5122" s="213"/>
      <c r="L5122" s="272">
        <f t="shared" si="391"/>
        <v>1900</v>
      </c>
      <c r="M5122" s="272">
        <f t="shared" si="392"/>
        <v>1</v>
      </c>
      <c r="O5122" s="61">
        <f t="shared" si="393"/>
        <v>1900</v>
      </c>
      <c r="P5122" s="61">
        <f t="shared" si="394"/>
        <v>1</v>
      </c>
      <c r="R5122" s="272"/>
      <c r="S5122" s="272"/>
    </row>
    <row r="5123" spans="9:19">
      <c r="I5123" s="213"/>
      <c r="J5123" s="213"/>
      <c r="L5123" s="272">
        <f t="shared" si="391"/>
        <v>1900</v>
      </c>
      <c r="M5123" s="272">
        <f t="shared" si="392"/>
        <v>1</v>
      </c>
      <c r="O5123" s="61">
        <f t="shared" si="393"/>
        <v>1900</v>
      </c>
      <c r="P5123" s="61">
        <f t="shared" si="394"/>
        <v>1</v>
      </c>
      <c r="R5123" s="272"/>
      <c r="S5123" s="272"/>
    </row>
    <row r="5124" spans="9:19">
      <c r="I5124" s="213"/>
      <c r="J5124" s="213"/>
      <c r="L5124" s="272">
        <f t="shared" si="391"/>
        <v>1900</v>
      </c>
      <c r="M5124" s="272">
        <f t="shared" si="392"/>
        <v>1</v>
      </c>
      <c r="O5124" s="61">
        <f t="shared" si="393"/>
        <v>1900</v>
      </c>
      <c r="P5124" s="61">
        <f t="shared" si="394"/>
        <v>1</v>
      </c>
      <c r="R5124" s="272"/>
      <c r="S5124" s="272"/>
    </row>
    <row r="5125" spans="9:19">
      <c r="I5125" s="213"/>
      <c r="J5125" s="213"/>
      <c r="L5125" s="272">
        <f t="shared" si="391"/>
        <v>1900</v>
      </c>
      <c r="M5125" s="272">
        <f t="shared" si="392"/>
        <v>1</v>
      </c>
      <c r="O5125" s="61">
        <f t="shared" si="393"/>
        <v>1900</v>
      </c>
      <c r="P5125" s="61">
        <f t="shared" si="394"/>
        <v>1</v>
      </c>
      <c r="R5125" s="272"/>
      <c r="S5125" s="272"/>
    </row>
    <row r="5126" spans="9:19">
      <c r="I5126" s="213"/>
      <c r="J5126" s="213"/>
      <c r="L5126" s="272">
        <f t="shared" si="391"/>
        <v>1900</v>
      </c>
      <c r="M5126" s="272">
        <f t="shared" si="392"/>
        <v>1</v>
      </c>
      <c r="O5126" s="61">
        <f t="shared" si="393"/>
        <v>1900</v>
      </c>
      <c r="P5126" s="61">
        <f t="shared" si="394"/>
        <v>1</v>
      </c>
      <c r="R5126" s="272"/>
      <c r="S5126" s="272"/>
    </row>
    <row r="5127" spans="9:19">
      <c r="I5127" s="213"/>
      <c r="J5127" s="213"/>
      <c r="L5127" s="272">
        <f t="shared" si="391"/>
        <v>1900</v>
      </c>
      <c r="M5127" s="272">
        <f t="shared" si="392"/>
        <v>1</v>
      </c>
      <c r="O5127" s="61">
        <f t="shared" si="393"/>
        <v>1900</v>
      </c>
      <c r="P5127" s="61">
        <f t="shared" si="394"/>
        <v>1</v>
      </c>
      <c r="R5127" s="272"/>
      <c r="S5127" s="272"/>
    </row>
    <row r="5128" spans="9:19">
      <c r="I5128" s="213"/>
      <c r="J5128" s="213"/>
      <c r="L5128" s="272">
        <f t="shared" si="391"/>
        <v>1900</v>
      </c>
      <c r="M5128" s="272">
        <f t="shared" si="392"/>
        <v>1</v>
      </c>
      <c r="O5128" s="61">
        <f t="shared" si="393"/>
        <v>1900</v>
      </c>
      <c r="P5128" s="61">
        <f t="shared" si="394"/>
        <v>1</v>
      </c>
      <c r="R5128" s="272"/>
      <c r="S5128" s="272"/>
    </row>
    <row r="5129" spans="9:19">
      <c r="I5129" s="213"/>
      <c r="J5129" s="213"/>
      <c r="L5129" s="272">
        <f t="shared" si="391"/>
        <v>1900</v>
      </c>
      <c r="M5129" s="272">
        <f t="shared" si="392"/>
        <v>1</v>
      </c>
      <c r="O5129" s="61">
        <f t="shared" si="393"/>
        <v>1900</v>
      </c>
      <c r="P5129" s="61">
        <f t="shared" si="394"/>
        <v>1</v>
      </c>
      <c r="R5129" s="272"/>
      <c r="S5129" s="272"/>
    </row>
    <row r="5130" spans="9:19">
      <c r="I5130" s="213"/>
      <c r="J5130" s="213"/>
      <c r="L5130" s="272">
        <f t="shared" si="391"/>
        <v>1900</v>
      </c>
      <c r="M5130" s="272">
        <f t="shared" si="392"/>
        <v>1</v>
      </c>
      <c r="O5130" s="61">
        <f t="shared" si="393"/>
        <v>1900</v>
      </c>
      <c r="P5130" s="61">
        <f t="shared" si="394"/>
        <v>1</v>
      </c>
      <c r="R5130" s="272"/>
      <c r="S5130" s="272"/>
    </row>
    <row r="5131" spans="9:19">
      <c r="I5131" s="213"/>
      <c r="J5131" s="213"/>
      <c r="L5131" s="272">
        <f t="shared" si="391"/>
        <v>1900</v>
      </c>
      <c r="M5131" s="272">
        <f t="shared" si="392"/>
        <v>1</v>
      </c>
      <c r="O5131" s="61">
        <f t="shared" si="393"/>
        <v>1900</v>
      </c>
      <c r="P5131" s="61">
        <f t="shared" si="394"/>
        <v>1</v>
      </c>
      <c r="R5131" s="272"/>
      <c r="S5131" s="272"/>
    </row>
    <row r="5132" spans="9:19">
      <c r="I5132" s="213"/>
      <c r="J5132" s="213"/>
      <c r="L5132" s="272">
        <f t="shared" si="391"/>
        <v>1900</v>
      </c>
      <c r="M5132" s="272">
        <f t="shared" si="392"/>
        <v>1</v>
      </c>
      <c r="O5132" s="61">
        <f t="shared" si="393"/>
        <v>1900</v>
      </c>
      <c r="P5132" s="61">
        <f t="shared" si="394"/>
        <v>1</v>
      </c>
      <c r="R5132" s="272"/>
      <c r="S5132" s="272"/>
    </row>
    <row r="5133" spans="9:19">
      <c r="I5133" s="213"/>
      <c r="J5133" s="213"/>
      <c r="L5133" s="272">
        <f t="shared" si="391"/>
        <v>1900</v>
      </c>
      <c r="M5133" s="272">
        <f t="shared" si="392"/>
        <v>1</v>
      </c>
      <c r="O5133" s="61">
        <f t="shared" si="393"/>
        <v>1900</v>
      </c>
      <c r="P5133" s="61">
        <f t="shared" si="394"/>
        <v>1</v>
      </c>
      <c r="R5133" s="272"/>
      <c r="S5133" s="272"/>
    </row>
    <row r="5134" spans="9:19">
      <c r="I5134" s="213"/>
      <c r="J5134" s="213"/>
      <c r="L5134" s="272">
        <f t="shared" si="391"/>
        <v>1900</v>
      </c>
      <c r="M5134" s="272">
        <f t="shared" si="392"/>
        <v>1</v>
      </c>
      <c r="O5134" s="61">
        <f t="shared" si="393"/>
        <v>1900</v>
      </c>
      <c r="P5134" s="61">
        <f t="shared" si="394"/>
        <v>1</v>
      </c>
      <c r="R5134" s="272"/>
      <c r="S5134" s="272"/>
    </row>
    <row r="5135" spans="9:19">
      <c r="I5135" s="213"/>
      <c r="J5135" s="213"/>
      <c r="L5135" s="272">
        <f t="shared" si="391"/>
        <v>1900</v>
      </c>
      <c r="M5135" s="272">
        <f t="shared" si="392"/>
        <v>1</v>
      </c>
      <c r="O5135" s="61">
        <f t="shared" si="393"/>
        <v>1900</v>
      </c>
      <c r="P5135" s="61">
        <f t="shared" si="394"/>
        <v>1</v>
      </c>
      <c r="R5135" s="272"/>
      <c r="S5135" s="272"/>
    </row>
    <row r="5136" spans="9:19">
      <c r="I5136" s="213"/>
      <c r="J5136" s="213"/>
      <c r="L5136" s="272">
        <f t="shared" ref="L5136:L5199" si="395">YEAR(B5136)</f>
        <v>1900</v>
      </c>
      <c r="M5136" s="272">
        <f t="shared" ref="M5136:M5199" si="396">MONTH(B5136)</f>
        <v>1</v>
      </c>
      <c r="O5136" s="61">
        <f t="shared" ref="O5136:O5199" si="397">YEAR(B5136)</f>
        <v>1900</v>
      </c>
      <c r="P5136" s="61">
        <f t="shared" ref="P5136:P5199" si="398">MONTH(B5136)</f>
        <v>1</v>
      </c>
      <c r="R5136" s="272"/>
      <c r="S5136" s="272"/>
    </row>
    <row r="5137" spans="9:19">
      <c r="I5137" s="213"/>
      <c r="J5137" s="213"/>
      <c r="L5137" s="272">
        <f t="shared" si="395"/>
        <v>1900</v>
      </c>
      <c r="M5137" s="272">
        <f t="shared" si="396"/>
        <v>1</v>
      </c>
      <c r="O5137" s="61">
        <f t="shared" si="397"/>
        <v>1900</v>
      </c>
      <c r="P5137" s="61">
        <f t="shared" si="398"/>
        <v>1</v>
      </c>
      <c r="R5137" s="272"/>
      <c r="S5137" s="272"/>
    </row>
    <row r="5138" spans="9:19">
      <c r="I5138" s="213"/>
      <c r="J5138" s="213"/>
      <c r="L5138" s="272">
        <f t="shared" si="395"/>
        <v>1900</v>
      </c>
      <c r="M5138" s="272">
        <f t="shared" si="396"/>
        <v>1</v>
      </c>
      <c r="O5138" s="61">
        <f t="shared" si="397"/>
        <v>1900</v>
      </c>
      <c r="P5138" s="61">
        <f t="shared" si="398"/>
        <v>1</v>
      </c>
      <c r="R5138" s="272"/>
      <c r="S5138" s="272"/>
    </row>
    <row r="5139" spans="9:19">
      <c r="I5139" s="213"/>
      <c r="J5139" s="213"/>
      <c r="L5139" s="272">
        <f t="shared" si="395"/>
        <v>1900</v>
      </c>
      <c r="M5139" s="272">
        <f t="shared" si="396"/>
        <v>1</v>
      </c>
      <c r="O5139" s="61">
        <f t="shared" si="397"/>
        <v>1900</v>
      </c>
      <c r="P5139" s="61">
        <f t="shared" si="398"/>
        <v>1</v>
      </c>
      <c r="R5139" s="272"/>
      <c r="S5139" s="272"/>
    </row>
    <row r="5140" spans="9:19">
      <c r="I5140" s="213"/>
      <c r="J5140" s="213"/>
      <c r="L5140" s="272">
        <f t="shared" si="395"/>
        <v>1900</v>
      </c>
      <c r="M5140" s="272">
        <f t="shared" si="396"/>
        <v>1</v>
      </c>
      <c r="O5140" s="61">
        <f t="shared" si="397"/>
        <v>1900</v>
      </c>
      <c r="P5140" s="61">
        <f t="shared" si="398"/>
        <v>1</v>
      </c>
      <c r="R5140" s="272"/>
      <c r="S5140" s="272"/>
    </row>
    <row r="5141" spans="9:19">
      <c r="I5141" s="213"/>
      <c r="J5141" s="213"/>
      <c r="L5141" s="272">
        <f t="shared" si="395"/>
        <v>1900</v>
      </c>
      <c r="M5141" s="272">
        <f t="shared" si="396"/>
        <v>1</v>
      </c>
      <c r="O5141" s="61">
        <f t="shared" si="397"/>
        <v>1900</v>
      </c>
      <c r="P5141" s="61">
        <f t="shared" si="398"/>
        <v>1</v>
      </c>
      <c r="R5141" s="272"/>
      <c r="S5141" s="272"/>
    </row>
    <row r="5142" spans="9:19">
      <c r="I5142" s="213"/>
      <c r="J5142" s="213"/>
      <c r="L5142" s="272">
        <f t="shared" si="395"/>
        <v>1900</v>
      </c>
      <c r="M5142" s="272">
        <f t="shared" si="396"/>
        <v>1</v>
      </c>
      <c r="O5142" s="61">
        <f t="shared" si="397"/>
        <v>1900</v>
      </c>
      <c r="P5142" s="61">
        <f t="shared" si="398"/>
        <v>1</v>
      </c>
      <c r="R5142" s="272"/>
      <c r="S5142" s="272"/>
    </row>
    <row r="5143" spans="9:19">
      <c r="I5143" s="213"/>
      <c r="J5143" s="213"/>
      <c r="L5143" s="272">
        <f t="shared" si="395"/>
        <v>1900</v>
      </c>
      <c r="M5143" s="272">
        <f t="shared" si="396"/>
        <v>1</v>
      </c>
      <c r="O5143" s="61">
        <f t="shared" si="397"/>
        <v>1900</v>
      </c>
      <c r="P5143" s="61">
        <f t="shared" si="398"/>
        <v>1</v>
      </c>
      <c r="R5143" s="272"/>
      <c r="S5143" s="272"/>
    </row>
    <row r="5144" spans="9:19">
      <c r="I5144" s="213"/>
      <c r="J5144" s="213"/>
      <c r="L5144" s="272">
        <f t="shared" si="395"/>
        <v>1900</v>
      </c>
      <c r="M5144" s="272">
        <f t="shared" si="396"/>
        <v>1</v>
      </c>
      <c r="O5144" s="61">
        <f t="shared" si="397"/>
        <v>1900</v>
      </c>
      <c r="P5144" s="61">
        <f t="shared" si="398"/>
        <v>1</v>
      </c>
      <c r="R5144" s="272"/>
      <c r="S5144" s="272"/>
    </row>
    <row r="5145" spans="9:19">
      <c r="I5145" s="213"/>
      <c r="J5145" s="213"/>
      <c r="L5145" s="272">
        <f t="shared" si="395"/>
        <v>1900</v>
      </c>
      <c r="M5145" s="272">
        <f t="shared" si="396"/>
        <v>1</v>
      </c>
      <c r="O5145" s="61">
        <f t="shared" si="397"/>
        <v>1900</v>
      </c>
      <c r="P5145" s="61">
        <f t="shared" si="398"/>
        <v>1</v>
      </c>
      <c r="R5145" s="272"/>
      <c r="S5145" s="272"/>
    </row>
    <row r="5146" spans="9:19">
      <c r="I5146" s="213"/>
      <c r="J5146" s="213"/>
      <c r="L5146" s="272">
        <f t="shared" si="395"/>
        <v>1900</v>
      </c>
      <c r="M5146" s="272">
        <f t="shared" si="396"/>
        <v>1</v>
      </c>
      <c r="O5146" s="61">
        <f t="shared" si="397"/>
        <v>1900</v>
      </c>
      <c r="P5146" s="61">
        <f t="shared" si="398"/>
        <v>1</v>
      </c>
      <c r="R5146" s="272"/>
      <c r="S5146" s="272"/>
    </row>
    <row r="5147" spans="9:19">
      <c r="I5147" s="213"/>
      <c r="J5147" s="213"/>
      <c r="L5147" s="272">
        <f t="shared" si="395"/>
        <v>1900</v>
      </c>
      <c r="M5147" s="272">
        <f t="shared" si="396"/>
        <v>1</v>
      </c>
      <c r="O5147" s="61">
        <f t="shared" si="397"/>
        <v>1900</v>
      </c>
      <c r="P5147" s="61">
        <f t="shared" si="398"/>
        <v>1</v>
      </c>
      <c r="R5147" s="272"/>
      <c r="S5147" s="272"/>
    </row>
    <row r="5148" spans="9:19">
      <c r="I5148" s="213"/>
      <c r="J5148" s="213"/>
      <c r="L5148" s="272">
        <f t="shared" si="395"/>
        <v>1900</v>
      </c>
      <c r="M5148" s="272">
        <f t="shared" si="396"/>
        <v>1</v>
      </c>
      <c r="O5148" s="61">
        <f t="shared" si="397"/>
        <v>1900</v>
      </c>
      <c r="P5148" s="61">
        <f t="shared" si="398"/>
        <v>1</v>
      </c>
      <c r="R5148" s="272"/>
      <c r="S5148" s="272"/>
    </row>
    <row r="5149" spans="9:19">
      <c r="I5149" s="213"/>
      <c r="J5149" s="213"/>
      <c r="L5149" s="272">
        <f t="shared" si="395"/>
        <v>1900</v>
      </c>
      <c r="M5149" s="272">
        <f t="shared" si="396"/>
        <v>1</v>
      </c>
      <c r="O5149" s="61">
        <f t="shared" si="397"/>
        <v>1900</v>
      </c>
      <c r="P5149" s="61">
        <f t="shared" si="398"/>
        <v>1</v>
      </c>
      <c r="R5149" s="272"/>
      <c r="S5149" s="272"/>
    </row>
    <row r="5150" spans="9:19">
      <c r="I5150" s="213"/>
      <c r="J5150" s="213"/>
      <c r="L5150" s="272">
        <f t="shared" si="395"/>
        <v>1900</v>
      </c>
      <c r="M5150" s="272">
        <f t="shared" si="396"/>
        <v>1</v>
      </c>
      <c r="O5150" s="61">
        <f t="shared" si="397"/>
        <v>1900</v>
      </c>
      <c r="P5150" s="61">
        <f t="shared" si="398"/>
        <v>1</v>
      </c>
      <c r="R5150" s="272"/>
      <c r="S5150" s="272"/>
    </row>
    <row r="5151" spans="9:19">
      <c r="I5151" s="213"/>
      <c r="J5151" s="213"/>
      <c r="L5151" s="272">
        <f t="shared" si="395"/>
        <v>1900</v>
      </c>
      <c r="M5151" s="272">
        <f t="shared" si="396"/>
        <v>1</v>
      </c>
      <c r="O5151" s="61">
        <f t="shared" si="397"/>
        <v>1900</v>
      </c>
      <c r="P5151" s="61">
        <f t="shared" si="398"/>
        <v>1</v>
      </c>
      <c r="R5151" s="272"/>
      <c r="S5151" s="272"/>
    </row>
    <row r="5152" spans="9:19">
      <c r="I5152" s="213"/>
      <c r="J5152" s="213"/>
      <c r="L5152" s="272">
        <f t="shared" si="395"/>
        <v>1900</v>
      </c>
      <c r="M5152" s="272">
        <f t="shared" si="396"/>
        <v>1</v>
      </c>
      <c r="O5152" s="61">
        <f t="shared" si="397"/>
        <v>1900</v>
      </c>
      <c r="P5152" s="61">
        <f t="shared" si="398"/>
        <v>1</v>
      </c>
      <c r="R5152" s="272"/>
      <c r="S5152" s="272"/>
    </row>
    <row r="5153" spans="9:19">
      <c r="I5153" s="213"/>
      <c r="J5153" s="213"/>
      <c r="L5153" s="272">
        <f t="shared" si="395"/>
        <v>1900</v>
      </c>
      <c r="M5153" s="272">
        <f t="shared" si="396"/>
        <v>1</v>
      </c>
      <c r="O5153" s="61">
        <f t="shared" si="397"/>
        <v>1900</v>
      </c>
      <c r="P5153" s="61">
        <f t="shared" si="398"/>
        <v>1</v>
      </c>
      <c r="R5153" s="272"/>
      <c r="S5153" s="272"/>
    </row>
    <row r="5154" spans="9:19">
      <c r="I5154" s="213"/>
      <c r="J5154" s="213"/>
      <c r="L5154" s="272">
        <f t="shared" si="395"/>
        <v>1900</v>
      </c>
      <c r="M5154" s="272">
        <f t="shared" si="396"/>
        <v>1</v>
      </c>
      <c r="O5154" s="61">
        <f t="shared" si="397"/>
        <v>1900</v>
      </c>
      <c r="P5154" s="61">
        <f t="shared" si="398"/>
        <v>1</v>
      </c>
      <c r="R5154" s="272"/>
      <c r="S5154" s="272"/>
    </row>
    <row r="5155" spans="9:19">
      <c r="I5155" s="213"/>
      <c r="J5155" s="213"/>
      <c r="L5155" s="272">
        <f t="shared" si="395"/>
        <v>1900</v>
      </c>
      <c r="M5155" s="272">
        <f t="shared" si="396"/>
        <v>1</v>
      </c>
      <c r="O5155" s="61">
        <f t="shared" si="397"/>
        <v>1900</v>
      </c>
      <c r="P5155" s="61">
        <f t="shared" si="398"/>
        <v>1</v>
      </c>
      <c r="R5155" s="272"/>
      <c r="S5155" s="272"/>
    </row>
    <row r="5156" spans="9:19">
      <c r="I5156" s="213"/>
      <c r="J5156" s="213"/>
      <c r="L5156" s="272">
        <f t="shared" si="395"/>
        <v>1900</v>
      </c>
      <c r="M5156" s="272">
        <f t="shared" si="396"/>
        <v>1</v>
      </c>
      <c r="O5156" s="61">
        <f t="shared" si="397"/>
        <v>1900</v>
      </c>
      <c r="P5156" s="61">
        <f t="shared" si="398"/>
        <v>1</v>
      </c>
      <c r="R5156" s="272"/>
      <c r="S5156" s="272"/>
    </row>
    <row r="5157" spans="9:19">
      <c r="I5157" s="213"/>
      <c r="J5157" s="213"/>
      <c r="L5157" s="272">
        <f t="shared" si="395"/>
        <v>1900</v>
      </c>
      <c r="M5157" s="272">
        <f t="shared" si="396"/>
        <v>1</v>
      </c>
      <c r="O5157" s="61">
        <f t="shared" si="397"/>
        <v>1900</v>
      </c>
      <c r="P5157" s="61">
        <f t="shared" si="398"/>
        <v>1</v>
      </c>
      <c r="R5157" s="272"/>
      <c r="S5157" s="272"/>
    </row>
    <row r="5158" spans="9:19">
      <c r="I5158" s="213"/>
      <c r="J5158" s="213"/>
      <c r="L5158" s="272">
        <f t="shared" si="395"/>
        <v>1900</v>
      </c>
      <c r="M5158" s="272">
        <f t="shared" si="396"/>
        <v>1</v>
      </c>
      <c r="O5158" s="61">
        <f t="shared" si="397"/>
        <v>1900</v>
      </c>
      <c r="P5158" s="61">
        <f t="shared" si="398"/>
        <v>1</v>
      </c>
      <c r="R5158" s="272"/>
      <c r="S5158" s="272"/>
    </row>
    <row r="5159" spans="9:19">
      <c r="I5159" s="213"/>
      <c r="J5159" s="213"/>
      <c r="L5159" s="272">
        <f t="shared" si="395"/>
        <v>1900</v>
      </c>
      <c r="M5159" s="272">
        <f t="shared" si="396"/>
        <v>1</v>
      </c>
      <c r="O5159" s="61">
        <f t="shared" si="397"/>
        <v>1900</v>
      </c>
      <c r="P5159" s="61">
        <f t="shared" si="398"/>
        <v>1</v>
      </c>
      <c r="R5159" s="272"/>
      <c r="S5159" s="272"/>
    </row>
    <row r="5160" spans="9:19">
      <c r="I5160" s="213"/>
      <c r="J5160" s="213"/>
      <c r="L5160" s="272">
        <f t="shared" si="395"/>
        <v>1900</v>
      </c>
      <c r="M5160" s="272">
        <f t="shared" si="396"/>
        <v>1</v>
      </c>
      <c r="O5160" s="61">
        <f t="shared" si="397"/>
        <v>1900</v>
      </c>
      <c r="P5160" s="61">
        <f t="shared" si="398"/>
        <v>1</v>
      </c>
      <c r="R5160" s="272"/>
      <c r="S5160" s="272"/>
    </row>
    <row r="5161" spans="9:19">
      <c r="I5161" s="213"/>
      <c r="J5161" s="213"/>
      <c r="L5161" s="272">
        <f t="shared" si="395"/>
        <v>1900</v>
      </c>
      <c r="M5161" s="272">
        <f t="shared" si="396"/>
        <v>1</v>
      </c>
      <c r="O5161" s="61">
        <f t="shared" si="397"/>
        <v>1900</v>
      </c>
      <c r="P5161" s="61">
        <f t="shared" si="398"/>
        <v>1</v>
      </c>
      <c r="R5161" s="272"/>
      <c r="S5161" s="272"/>
    </row>
    <row r="5162" spans="9:19">
      <c r="I5162" s="213"/>
      <c r="J5162" s="213"/>
      <c r="L5162" s="272">
        <f t="shared" si="395"/>
        <v>1900</v>
      </c>
      <c r="M5162" s="272">
        <f t="shared" si="396"/>
        <v>1</v>
      </c>
      <c r="O5162" s="61">
        <f t="shared" si="397"/>
        <v>1900</v>
      </c>
      <c r="P5162" s="61">
        <f t="shared" si="398"/>
        <v>1</v>
      </c>
      <c r="R5162" s="272"/>
      <c r="S5162" s="272"/>
    </row>
    <row r="5163" spans="9:19">
      <c r="I5163" s="213"/>
      <c r="J5163" s="213"/>
      <c r="L5163" s="272">
        <f t="shared" si="395"/>
        <v>1900</v>
      </c>
      <c r="M5163" s="272">
        <f t="shared" si="396"/>
        <v>1</v>
      </c>
      <c r="O5163" s="61">
        <f t="shared" si="397"/>
        <v>1900</v>
      </c>
      <c r="P5163" s="61">
        <f t="shared" si="398"/>
        <v>1</v>
      </c>
      <c r="R5163" s="272"/>
      <c r="S5163" s="272"/>
    </row>
    <row r="5164" spans="9:19">
      <c r="I5164" s="213"/>
      <c r="J5164" s="213"/>
      <c r="L5164" s="272">
        <f t="shared" si="395"/>
        <v>1900</v>
      </c>
      <c r="M5164" s="272">
        <f t="shared" si="396"/>
        <v>1</v>
      </c>
      <c r="O5164" s="61">
        <f t="shared" si="397"/>
        <v>1900</v>
      </c>
      <c r="P5164" s="61">
        <f t="shared" si="398"/>
        <v>1</v>
      </c>
      <c r="R5164" s="272"/>
      <c r="S5164" s="272"/>
    </row>
    <row r="5165" spans="9:19">
      <c r="I5165" s="213"/>
      <c r="J5165" s="213"/>
      <c r="L5165" s="272">
        <f t="shared" si="395"/>
        <v>1900</v>
      </c>
      <c r="M5165" s="272">
        <f t="shared" si="396"/>
        <v>1</v>
      </c>
      <c r="O5165" s="61">
        <f t="shared" si="397"/>
        <v>1900</v>
      </c>
      <c r="P5165" s="61">
        <f t="shared" si="398"/>
        <v>1</v>
      </c>
      <c r="R5165" s="272"/>
      <c r="S5165" s="272"/>
    </row>
    <row r="5166" spans="9:19">
      <c r="I5166" s="213"/>
      <c r="J5166" s="213"/>
      <c r="L5166" s="272">
        <f t="shared" si="395"/>
        <v>1900</v>
      </c>
      <c r="M5166" s="272">
        <f t="shared" si="396"/>
        <v>1</v>
      </c>
      <c r="O5166" s="61">
        <f t="shared" si="397"/>
        <v>1900</v>
      </c>
      <c r="P5166" s="61">
        <f t="shared" si="398"/>
        <v>1</v>
      </c>
      <c r="R5166" s="272"/>
      <c r="S5166" s="272"/>
    </row>
    <row r="5167" spans="9:19">
      <c r="I5167" s="213"/>
      <c r="J5167" s="213"/>
      <c r="L5167" s="272">
        <f t="shared" si="395"/>
        <v>1900</v>
      </c>
      <c r="M5167" s="272">
        <f t="shared" si="396"/>
        <v>1</v>
      </c>
      <c r="O5167" s="61">
        <f t="shared" si="397"/>
        <v>1900</v>
      </c>
      <c r="P5167" s="61">
        <f t="shared" si="398"/>
        <v>1</v>
      </c>
      <c r="R5167" s="272"/>
      <c r="S5167" s="272"/>
    </row>
    <row r="5168" spans="9:19">
      <c r="I5168" s="213"/>
      <c r="J5168" s="213"/>
      <c r="L5168" s="272">
        <f t="shared" si="395"/>
        <v>1900</v>
      </c>
      <c r="M5168" s="272">
        <f t="shared" si="396"/>
        <v>1</v>
      </c>
      <c r="O5168" s="61">
        <f t="shared" si="397"/>
        <v>1900</v>
      </c>
      <c r="P5168" s="61">
        <f t="shared" si="398"/>
        <v>1</v>
      </c>
      <c r="R5168" s="272"/>
      <c r="S5168" s="272"/>
    </row>
    <row r="5169" spans="9:19">
      <c r="I5169" s="213"/>
      <c r="J5169" s="213"/>
      <c r="L5169" s="272">
        <f t="shared" si="395"/>
        <v>1900</v>
      </c>
      <c r="M5169" s="272">
        <f t="shared" si="396"/>
        <v>1</v>
      </c>
      <c r="O5169" s="61">
        <f t="shared" si="397"/>
        <v>1900</v>
      </c>
      <c r="P5169" s="61">
        <f t="shared" si="398"/>
        <v>1</v>
      </c>
      <c r="R5169" s="272"/>
      <c r="S5169" s="272"/>
    </row>
    <row r="5170" spans="9:19">
      <c r="I5170" s="213"/>
      <c r="J5170" s="213"/>
      <c r="L5170" s="272">
        <f t="shared" si="395"/>
        <v>1900</v>
      </c>
      <c r="M5170" s="272">
        <f t="shared" si="396"/>
        <v>1</v>
      </c>
      <c r="O5170" s="61">
        <f t="shared" si="397"/>
        <v>1900</v>
      </c>
      <c r="P5170" s="61">
        <f t="shared" si="398"/>
        <v>1</v>
      </c>
      <c r="R5170" s="272"/>
      <c r="S5170" s="272"/>
    </row>
    <row r="5171" spans="9:19">
      <c r="I5171" s="213"/>
      <c r="J5171" s="213"/>
      <c r="L5171" s="272">
        <f t="shared" si="395"/>
        <v>1900</v>
      </c>
      <c r="M5171" s="272">
        <f t="shared" si="396"/>
        <v>1</v>
      </c>
      <c r="O5171" s="61">
        <f t="shared" si="397"/>
        <v>1900</v>
      </c>
      <c r="P5171" s="61">
        <f t="shared" si="398"/>
        <v>1</v>
      </c>
      <c r="R5171" s="272"/>
      <c r="S5171" s="272"/>
    </row>
    <row r="5172" spans="9:19">
      <c r="I5172" s="213"/>
      <c r="J5172" s="213"/>
      <c r="L5172" s="272">
        <f t="shared" si="395"/>
        <v>1900</v>
      </c>
      <c r="M5172" s="272">
        <f t="shared" si="396"/>
        <v>1</v>
      </c>
      <c r="O5172" s="61">
        <f t="shared" si="397"/>
        <v>1900</v>
      </c>
      <c r="P5172" s="61">
        <f t="shared" si="398"/>
        <v>1</v>
      </c>
      <c r="R5172" s="272"/>
      <c r="S5172" s="272"/>
    </row>
    <row r="5173" spans="9:19">
      <c r="I5173" s="213"/>
      <c r="J5173" s="213"/>
      <c r="L5173" s="272">
        <f t="shared" si="395"/>
        <v>1900</v>
      </c>
      <c r="M5173" s="272">
        <f t="shared" si="396"/>
        <v>1</v>
      </c>
      <c r="O5173" s="61">
        <f t="shared" si="397"/>
        <v>1900</v>
      </c>
      <c r="P5173" s="61">
        <f t="shared" si="398"/>
        <v>1</v>
      </c>
      <c r="R5173" s="272"/>
      <c r="S5173" s="272"/>
    </row>
    <row r="5174" spans="9:19">
      <c r="I5174" s="213"/>
      <c r="J5174" s="213"/>
      <c r="L5174" s="272">
        <f t="shared" si="395"/>
        <v>1900</v>
      </c>
      <c r="M5174" s="272">
        <f t="shared" si="396"/>
        <v>1</v>
      </c>
      <c r="O5174" s="61">
        <f t="shared" si="397"/>
        <v>1900</v>
      </c>
      <c r="P5174" s="61">
        <f t="shared" si="398"/>
        <v>1</v>
      </c>
      <c r="R5174" s="272"/>
      <c r="S5174" s="272"/>
    </row>
    <row r="5175" spans="9:19">
      <c r="I5175" s="213"/>
      <c r="J5175" s="213"/>
      <c r="L5175" s="272">
        <f t="shared" si="395"/>
        <v>1900</v>
      </c>
      <c r="M5175" s="272">
        <f t="shared" si="396"/>
        <v>1</v>
      </c>
      <c r="O5175" s="61">
        <f t="shared" si="397"/>
        <v>1900</v>
      </c>
      <c r="P5175" s="61">
        <f t="shared" si="398"/>
        <v>1</v>
      </c>
      <c r="R5175" s="272"/>
      <c r="S5175" s="272"/>
    </row>
    <row r="5176" spans="9:19">
      <c r="I5176" s="213"/>
      <c r="J5176" s="213"/>
      <c r="L5176" s="272">
        <f t="shared" si="395"/>
        <v>1900</v>
      </c>
      <c r="M5176" s="272">
        <f t="shared" si="396"/>
        <v>1</v>
      </c>
      <c r="O5176" s="61">
        <f t="shared" si="397"/>
        <v>1900</v>
      </c>
      <c r="P5176" s="61">
        <f t="shared" si="398"/>
        <v>1</v>
      </c>
      <c r="R5176" s="272"/>
      <c r="S5176" s="272"/>
    </row>
    <row r="5177" spans="9:19">
      <c r="I5177" s="213"/>
      <c r="J5177" s="213"/>
      <c r="L5177" s="272">
        <f t="shared" si="395"/>
        <v>1900</v>
      </c>
      <c r="M5177" s="272">
        <f t="shared" si="396"/>
        <v>1</v>
      </c>
      <c r="O5177" s="61">
        <f t="shared" si="397"/>
        <v>1900</v>
      </c>
      <c r="P5177" s="61">
        <f t="shared" si="398"/>
        <v>1</v>
      </c>
      <c r="R5177" s="272"/>
      <c r="S5177" s="272"/>
    </row>
    <row r="5178" spans="9:19">
      <c r="I5178" s="213"/>
      <c r="J5178" s="213"/>
      <c r="L5178" s="272">
        <f t="shared" si="395"/>
        <v>1900</v>
      </c>
      <c r="M5178" s="272">
        <f t="shared" si="396"/>
        <v>1</v>
      </c>
      <c r="O5178" s="61">
        <f t="shared" si="397"/>
        <v>1900</v>
      </c>
      <c r="P5178" s="61">
        <f t="shared" si="398"/>
        <v>1</v>
      </c>
      <c r="R5178" s="272"/>
      <c r="S5178" s="272"/>
    </row>
    <row r="5179" spans="9:19">
      <c r="I5179" s="213"/>
      <c r="J5179" s="213"/>
      <c r="L5179" s="272">
        <f t="shared" si="395"/>
        <v>1900</v>
      </c>
      <c r="M5179" s="272">
        <f t="shared" si="396"/>
        <v>1</v>
      </c>
      <c r="O5179" s="61">
        <f t="shared" si="397"/>
        <v>1900</v>
      </c>
      <c r="P5179" s="61">
        <f t="shared" si="398"/>
        <v>1</v>
      </c>
      <c r="R5179" s="272"/>
      <c r="S5179" s="272"/>
    </row>
    <row r="5180" spans="9:19">
      <c r="I5180" s="213"/>
      <c r="J5180" s="213"/>
      <c r="L5180" s="272">
        <f t="shared" si="395"/>
        <v>1900</v>
      </c>
      <c r="M5180" s="272">
        <f t="shared" si="396"/>
        <v>1</v>
      </c>
      <c r="O5180" s="61">
        <f t="shared" si="397"/>
        <v>1900</v>
      </c>
      <c r="P5180" s="61">
        <f t="shared" si="398"/>
        <v>1</v>
      </c>
      <c r="R5180" s="272"/>
      <c r="S5180" s="272"/>
    </row>
    <row r="5181" spans="9:19">
      <c r="I5181" s="213"/>
      <c r="J5181" s="213"/>
      <c r="L5181" s="272">
        <f t="shared" si="395"/>
        <v>1900</v>
      </c>
      <c r="M5181" s="272">
        <f t="shared" si="396"/>
        <v>1</v>
      </c>
      <c r="O5181" s="61">
        <f t="shared" si="397"/>
        <v>1900</v>
      </c>
      <c r="P5181" s="61">
        <f t="shared" si="398"/>
        <v>1</v>
      </c>
      <c r="R5181" s="272"/>
      <c r="S5181" s="272"/>
    </row>
    <row r="5182" spans="9:19">
      <c r="I5182" s="213"/>
      <c r="J5182" s="213"/>
      <c r="L5182" s="272">
        <f t="shared" si="395"/>
        <v>1900</v>
      </c>
      <c r="M5182" s="272">
        <f t="shared" si="396"/>
        <v>1</v>
      </c>
      <c r="O5182" s="61">
        <f t="shared" si="397"/>
        <v>1900</v>
      </c>
      <c r="P5182" s="61">
        <f t="shared" si="398"/>
        <v>1</v>
      </c>
      <c r="R5182" s="272"/>
      <c r="S5182" s="272"/>
    </row>
    <row r="5183" spans="9:19">
      <c r="I5183" s="213"/>
      <c r="J5183" s="213"/>
      <c r="L5183" s="272">
        <f t="shared" si="395"/>
        <v>1900</v>
      </c>
      <c r="M5183" s="272">
        <f t="shared" si="396"/>
        <v>1</v>
      </c>
      <c r="O5183" s="61">
        <f t="shared" si="397"/>
        <v>1900</v>
      </c>
      <c r="P5183" s="61">
        <f t="shared" si="398"/>
        <v>1</v>
      </c>
      <c r="R5183" s="272"/>
      <c r="S5183" s="272"/>
    </row>
    <row r="5184" spans="9:19">
      <c r="I5184" s="213"/>
      <c r="J5184" s="213"/>
      <c r="L5184" s="272">
        <f t="shared" si="395"/>
        <v>1900</v>
      </c>
      <c r="M5184" s="272">
        <f t="shared" si="396"/>
        <v>1</v>
      </c>
      <c r="O5184" s="61">
        <f t="shared" si="397"/>
        <v>1900</v>
      </c>
      <c r="P5184" s="61">
        <f t="shared" si="398"/>
        <v>1</v>
      </c>
      <c r="R5184" s="272"/>
      <c r="S5184" s="272"/>
    </row>
    <row r="5185" spans="9:19">
      <c r="I5185" s="213"/>
      <c r="J5185" s="213"/>
      <c r="L5185" s="272">
        <f t="shared" si="395"/>
        <v>1900</v>
      </c>
      <c r="M5185" s="272">
        <f t="shared" si="396"/>
        <v>1</v>
      </c>
      <c r="O5185" s="61">
        <f t="shared" si="397"/>
        <v>1900</v>
      </c>
      <c r="P5185" s="61">
        <f t="shared" si="398"/>
        <v>1</v>
      </c>
      <c r="R5185" s="272"/>
      <c r="S5185" s="272"/>
    </row>
    <row r="5186" spans="9:19">
      <c r="I5186" s="213"/>
      <c r="J5186" s="213"/>
      <c r="L5186" s="272">
        <f t="shared" si="395"/>
        <v>1900</v>
      </c>
      <c r="M5186" s="272">
        <f t="shared" si="396"/>
        <v>1</v>
      </c>
      <c r="O5186" s="61">
        <f t="shared" si="397"/>
        <v>1900</v>
      </c>
      <c r="P5186" s="61">
        <f t="shared" si="398"/>
        <v>1</v>
      </c>
      <c r="R5186" s="272"/>
      <c r="S5186" s="272"/>
    </row>
    <row r="5187" spans="9:19">
      <c r="I5187" s="213"/>
      <c r="J5187" s="213"/>
      <c r="L5187" s="272">
        <f t="shared" si="395"/>
        <v>1900</v>
      </c>
      <c r="M5187" s="272">
        <f t="shared" si="396"/>
        <v>1</v>
      </c>
      <c r="O5187" s="61">
        <f t="shared" si="397"/>
        <v>1900</v>
      </c>
      <c r="P5187" s="61">
        <f t="shared" si="398"/>
        <v>1</v>
      </c>
      <c r="R5187" s="272"/>
      <c r="S5187" s="272"/>
    </row>
    <row r="5188" spans="9:19">
      <c r="I5188" s="213"/>
      <c r="J5188" s="213"/>
      <c r="L5188" s="272">
        <f t="shared" si="395"/>
        <v>1900</v>
      </c>
      <c r="M5188" s="272">
        <f t="shared" si="396"/>
        <v>1</v>
      </c>
      <c r="O5188" s="61">
        <f t="shared" si="397"/>
        <v>1900</v>
      </c>
      <c r="P5188" s="61">
        <f t="shared" si="398"/>
        <v>1</v>
      </c>
      <c r="R5188" s="272"/>
      <c r="S5188" s="272"/>
    </row>
    <row r="5189" spans="9:19">
      <c r="I5189" s="213"/>
      <c r="J5189" s="213"/>
      <c r="L5189" s="272">
        <f t="shared" si="395"/>
        <v>1900</v>
      </c>
      <c r="M5189" s="272">
        <f t="shared" si="396"/>
        <v>1</v>
      </c>
      <c r="O5189" s="61">
        <f t="shared" si="397"/>
        <v>1900</v>
      </c>
      <c r="P5189" s="61">
        <f t="shared" si="398"/>
        <v>1</v>
      </c>
      <c r="R5189" s="272"/>
      <c r="S5189" s="272"/>
    </row>
    <row r="5190" spans="9:19">
      <c r="I5190" s="213"/>
      <c r="J5190" s="213"/>
      <c r="L5190" s="272">
        <f t="shared" si="395"/>
        <v>1900</v>
      </c>
      <c r="M5190" s="272">
        <f t="shared" si="396"/>
        <v>1</v>
      </c>
      <c r="O5190" s="61">
        <f t="shared" si="397"/>
        <v>1900</v>
      </c>
      <c r="P5190" s="61">
        <f t="shared" si="398"/>
        <v>1</v>
      </c>
      <c r="R5190" s="272"/>
      <c r="S5190" s="272"/>
    </row>
    <row r="5191" spans="9:19">
      <c r="I5191" s="213"/>
      <c r="J5191" s="213"/>
      <c r="L5191" s="272">
        <f t="shared" si="395"/>
        <v>1900</v>
      </c>
      <c r="M5191" s="272">
        <f t="shared" si="396"/>
        <v>1</v>
      </c>
      <c r="O5191" s="61">
        <f t="shared" si="397"/>
        <v>1900</v>
      </c>
      <c r="P5191" s="61">
        <f t="shared" si="398"/>
        <v>1</v>
      </c>
      <c r="R5191" s="272"/>
      <c r="S5191" s="272"/>
    </row>
    <row r="5192" spans="9:19">
      <c r="I5192" s="213"/>
      <c r="J5192" s="213"/>
      <c r="L5192" s="272">
        <f t="shared" si="395"/>
        <v>1900</v>
      </c>
      <c r="M5192" s="272">
        <f t="shared" si="396"/>
        <v>1</v>
      </c>
      <c r="O5192" s="61">
        <f t="shared" si="397"/>
        <v>1900</v>
      </c>
      <c r="P5192" s="61">
        <f t="shared" si="398"/>
        <v>1</v>
      </c>
      <c r="R5192" s="272"/>
      <c r="S5192" s="272"/>
    </row>
    <row r="5193" spans="9:19">
      <c r="I5193" s="213"/>
      <c r="J5193" s="213"/>
      <c r="L5193" s="272">
        <f t="shared" si="395"/>
        <v>1900</v>
      </c>
      <c r="M5193" s="272">
        <f t="shared" si="396"/>
        <v>1</v>
      </c>
      <c r="O5193" s="61">
        <f t="shared" si="397"/>
        <v>1900</v>
      </c>
      <c r="P5193" s="61">
        <f t="shared" si="398"/>
        <v>1</v>
      </c>
      <c r="R5193" s="272"/>
      <c r="S5193" s="272"/>
    </row>
    <row r="5194" spans="9:19">
      <c r="I5194" s="213"/>
      <c r="J5194" s="213"/>
      <c r="L5194" s="272">
        <f t="shared" si="395"/>
        <v>1900</v>
      </c>
      <c r="M5194" s="272">
        <f t="shared" si="396"/>
        <v>1</v>
      </c>
      <c r="O5194" s="61">
        <f t="shared" si="397"/>
        <v>1900</v>
      </c>
      <c r="P5194" s="61">
        <f t="shared" si="398"/>
        <v>1</v>
      </c>
      <c r="R5194" s="272"/>
      <c r="S5194" s="272"/>
    </row>
    <row r="5195" spans="9:19">
      <c r="I5195" s="213"/>
      <c r="J5195" s="213"/>
      <c r="L5195" s="272">
        <f t="shared" si="395"/>
        <v>1900</v>
      </c>
      <c r="M5195" s="272">
        <f t="shared" si="396"/>
        <v>1</v>
      </c>
      <c r="O5195" s="61">
        <f t="shared" si="397"/>
        <v>1900</v>
      </c>
      <c r="P5195" s="61">
        <f t="shared" si="398"/>
        <v>1</v>
      </c>
      <c r="R5195" s="272"/>
      <c r="S5195" s="272"/>
    </row>
    <row r="5196" spans="9:19">
      <c r="I5196" s="213"/>
      <c r="J5196" s="213"/>
      <c r="L5196" s="272">
        <f t="shared" si="395"/>
        <v>1900</v>
      </c>
      <c r="M5196" s="272">
        <f t="shared" si="396"/>
        <v>1</v>
      </c>
      <c r="O5196" s="61">
        <f t="shared" si="397"/>
        <v>1900</v>
      </c>
      <c r="P5196" s="61">
        <f t="shared" si="398"/>
        <v>1</v>
      </c>
      <c r="R5196" s="272"/>
      <c r="S5196" s="272"/>
    </row>
    <row r="5197" spans="9:19">
      <c r="I5197" s="213"/>
      <c r="J5197" s="213"/>
      <c r="L5197" s="272">
        <f t="shared" si="395"/>
        <v>1900</v>
      </c>
      <c r="M5197" s="272">
        <f t="shared" si="396"/>
        <v>1</v>
      </c>
      <c r="O5197" s="61">
        <f t="shared" si="397"/>
        <v>1900</v>
      </c>
      <c r="P5197" s="61">
        <f t="shared" si="398"/>
        <v>1</v>
      </c>
      <c r="R5197" s="272"/>
      <c r="S5197" s="272"/>
    </row>
    <row r="5198" spans="9:19">
      <c r="I5198" s="213"/>
      <c r="J5198" s="213"/>
      <c r="L5198" s="272">
        <f t="shared" si="395"/>
        <v>1900</v>
      </c>
      <c r="M5198" s="272">
        <f t="shared" si="396"/>
        <v>1</v>
      </c>
      <c r="O5198" s="61">
        <f t="shared" si="397"/>
        <v>1900</v>
      </c>
      <c r="P5198" s="61">
        <f t="shared" si="398"/>
        <v>1</v>
      </c>
      <c r="R5198" s="272"/>
      <c r="S5198" s="272"/>
    </row>
    <row r="5199" spans="9:19">
      <c r="I5199" s="213"/>
      <c r="J5199" s="213"/>
      <c r="L5199" s="272">
        <f t="shared" si="395"/>
        <v>1900</v>
      </c>
      <c r="M5199" s="272">
        <f t="shared" si="396"/>
        <v>1</v>
      </c>
      <c r="O5199" s="61">
        <f t="shared" si="397"/>
        <v>1900</v>
      </c>
      <c r="P5199" s="61">
        <f t="shared" si="398"/>
        <v>1</v>
      </c>
      <c r="R5199" s="272"/>
      <c r="S5199" s="272"/>
    </row>
    <row r="5200" spans="9:19">
      <c r="I5200" s="213"/>
      <c r="J5200" s="213"/>
      <c r="L5200" s="272">
        <f t="shared" ref="L5200:L5263" si="399">YEAR(B5200)</f>
        <v>1900</v>
      </c>
      <c r="M5200" s="272">
        <f t="shared" ref="M5200:M5263" si="400">MONTH(B5200)</f>
        <v>1</v>
      </c>
      <c r="O5200" s="61">
        <f t="shared" ref="O5200:O5263" si="401">YEAR(B5200)</f>
        <v>1900</v>
      </c>
      <c r="P5200" s="61">
        <f t="shared" ref="P5200:P5263" si="402">MONTH(B5200)</f>
        <v>1</v>
      </c>
      <c r="R5200" s="272"/>
      <c r="S5200" s="272"/>
    </row>
    <row r="5201" spans="9:19">
      <c r="I5201" s="213"/>
      <c r="J5201" s="213"/>
      <c r="L5201" s="272">
        <f t="shared" si="399"/>
        <v>1900</v>
      </c>
      <c r="M5201" s="272">
        <f t="shared" si="400"/>
        <v>1</v>
      </c>
      <c r="O5201" s="61">
        <f t="shared" si="401"/>
        <v>1900</v>
      </c>
      <c r="P5201" s="61">
        <f t="shared" si="402"/>
        <v>1</v>
      </c>
      <c r="R5201" s="272"/>
      <c r="S5201" s="272"/>
    </row>
    <row r="5202" spans="9:19">
      <c r="I5202" s="213"/>
      <c r="J5202" s="213"/>
      <c r="L5202" s="272">
        <f t="shared" si="399"/>
        <v>1900</v>
      </c>
      <c r="M5202" s="272">
        <f t="shared" si="400"/>
        <v>1</v>
      </c>
      <c r="O5202" s="61">
        <f t="shared" si="401"/>
        <v>1900</v>
      </c>
      <c r="P5202" s="61">
        <f t="shared" si="402"/>
        <v>1</v>
      </c>
      <c r="R5202" s="272"/>
      <c r="S5202" s="272"/>
    </row>
    <row r="5203" spans="9:19">
      <c r="I5203" s="213"/>
      <c r="J5203" s="213"/>
      <c r="L5203" s="272">
        <f t="shared" si="399"/>
        <v>1900</v>
      </c>
      <c r="M5203" s="272">
        <f t="shared" si="400"/>
        <v>1</v>
      </c>
      <c r="O5203" s="61">
        <f t="shared" si="401"/>
        <v>1900</v>
      </c>
      <c r="P5203" s="61">
        <f t="shared" si="402"/>
        <v>1</v>
      </c>
      <c r="R5203" s="272"/>
      <c r="S5203" s="272"/>
    </row>
    <row r="5204" spans="9:19">
      <c r="I5204" s="213"/>
      <c r="J5204" s="213"/>
      <c r="L5204" s="272">
        <f t="shared" si="399"/>
        <v>1900</v>
      </c>
      <c r="M5204" s="272">
        <f t="shared" si="400"/>
        <v>1</v>
      </c>
      <c r="O5204" s="61">
        <f t="shared" si="401"/>
        <v>1900</v>
      </c>
      <c r="P5204" s="61">
        <f t="shared" si="402"/>
        <v>1</v>
      </c>
      <c r="R5204" s="272"/>
      <c r="S5204" s="272"/>
    </row>
    <row r="5205" spans="9:19">
      <c r="I5205" s="213"/>
      <c r="J5205" s="213"/>
      <c r="L5205" s="272">
        <f t="shared" si="399"/>
        <v>1900</v>
      </c>
      <c r="M5205" s="272">
        <f t="shared" si="400"/>
        <v>1</v>
      </c>
      <c r="O5205" s="61">
        <f t="shared" si="401"/>
        <v>1900</v>
      </c>
      <c r="P5205" s="61">
        <f t="shared" si="402"/>
        <v>1</v>
      </c>
      <c r="R5205" s="272"/>
      <c r="S5205" s="272"/>
    </row>
    <row r="5206" spans="9:19">
      <c r="I5206" s="213"/>
      <c r="J5206" s="213"/>
      <c r="L5206" s="272">
        <f t="shared" si="399"/>
        <v>1900</v>
      </c>
      <c r="M5206" s="272">
        <f t="shared" si="400"/>
        <v>1</v>
      </c>
      <c r="O5206" s="61">
        <f t="shared" si="401"/>
        <v>1900</v>
      </c>
      <c r="P5206" s="61">
        <f t="shared" si="402"/>
        <v>1</v>
      </c>
      <c r="R5206" s="272"/>
      <c r="S5206" s="272"/>
    </row>
    <row r="5207" spans="9:19">
      <c r="I5207" s="213"/>
      <c r="J5207" s="213"/>
      <c r="L5207" s="272">
        <f t="shared" si="399"/>
        <v>1900</v>
      </c>
      <c r="M5207" s="272">
        <f t="shared" si="400"/>
        <v>1</v>
      </c>
      <c r="O5207" s="61">
        <f t="shared" si="401"/>
        <v>1900</v>
      </c>
      <c r="P5207" s="61">
        <f t="shared" si="402"/>
        <v>1</v>
      </c>
      <c r="R5207" s="272"/>
      <c r="S5207" s="272"/>
    </row>
    <row r="5208" spans="9:19">
      <c r="I5208" s="213"/>
      <c r="J5208" s="213"/>
      <c r="L5208" s="272">
        <f t="shared" si="399"/>
        <v>1900</v>
      </c>
      <c r="M5208" s="272">
        <f t="shared" si="400"/>
        <v>1</v>
      </c>
      <c r="O5208" s="61">
        <f t="shared" si="401"/>
        <v>1900</v>
      </c>
      <c r="P5208" s="61">
        <f t="shared" si="402"/>
        <v>1</v>
      </c>
      <c r="R5208" s="272"/>
      <c r="S5208" s="272"/>
    </row>
    <row r="5209" spans="9:19">
      <c r="I5209" s="213"/>
      <c r="J5209" s="213"/>
      <c r="L5209" s="272">
        <f t="shared" si="399"/>
        <v>1900</v>
      </c>
      <c r="M5209" s="272">
        <f t="shared" si="400"/>
        <v>1</v>
      </c>
      <c r="O5209" s="61">
        <f t="shared" si="401"/>
        <v>1900</v>
      </c>
      <c r="P5209" s="61">
        <f t="shared" si="402"/>
        <v>1</v>
      </c>
      <c r="R5209" s="272"/>
      <c r="S5209" s="272"/>
    </row>
    <row r="5210" spans="9:19">
      <c r="I5210" s="213"/>
      <c r="J5210" s="213"/>
      <c r="L5210" s="272">
        <f t="shared" si="399"/>
        <v>1900</v>
      </c>
      <c r="M5210" s="272">
        <f t="shared" si="400"/>
        <v>1</v>
      </c>
      <c r="O5210" s="61">
        <f t="shared" si="401"/>
        <v>1900</v>
      </c>
      <c r="P5210" s="61">
        <f t="shared" si="402"/>
        <v>1</v>
      </c>
      <c r="R5210" s="272"/>
      <c r="S5210" s="272"/>
    </row>
    <row r="5211" spans="9:19">
      <c r="I5211" s="213"/>
      <c r="J5211" s="213"/>
      <c r="L5211" s="272">
        <f t="shared" si="399"/>
        <v>1900</v>
      </c>
      <c r="M5211" s="272">
        <f t="shared" si="400"/>
        <v>1</v>
      </c>
      <c r="O5211" s="61">
        <f t="shared" si="401"/>
        <v>1900</v>
      </c>
      <c r="P5211" s="61">
        <f t="shared" si="402"/>
        <v>1</v>
      </c>
      <c r="R5211" s="272"/>
      <c r="S5211" s="272"/>
    </row>
    <row r="5212" spans="9:19">
      <c r="I5212" s="213"/>
      <c r="J5212" s="213"/>
      <c r="L5212" s="272">
        <f t="shared" si="399"/>
        <v>1900</v>
      </c>
      <c r="M5212" s="272">
        <f t="shared" si="400"/>
        <v>1</v>
      </c>
      <c r="O5212" s="61">
        <f t="shared" si="401"/>
        <v>1900</v>
      </c>
      <c r="P5212" s="61">
        <f t="shared" si="402"/>
        <v>1</v>
      </c>
      <c r="R5212" s="272"/>
      <c r="S5212" s="272"/>
    </row>
    <row r="5213" spans="9:19">
      <c r="I5213" s="213"/>
      <c r="J5213" s="213"/>
      <c r="L5213" s="272">
        <f t="shared" si="399"/>
        <v>1900</v>
      </c>
      <c r="M5213" s="272">
        <f t="shared" si="400"/>
        <v>1</v>
      </c>
      <c r="O5213" s="61">
        <f t="shared" si="401"/>
        <v>1900</v>
      </c>
      <c r="P5213" s="61">
        <f t="shared" si="402"/>
        <v>1</v>
      </c>
      <c r="R5213" s="272"/>
      <c r="S5213" s="272"/>
    </row>
    <row r="5214" spans="9:19">
      <c r="I5214" s="213"/>
      <c r="J5214" s="213"/>
      <c r="L5214" s="272">
        <f t="shared" si="399"/>
        <v>1900</v>
      </c>
      <c r="M5214" s="272">
        <f t="shared" si="400"/>
        <v>1</v>
      </c>
      <c r="O5214" s="61">
        <f t="shared" si="401"/>
        <v>1900</v>
      </c>
      <c r="P5214" s="61">
        <f t="shared" si="402"/>
        <v>1</v>
      </c>
      <c r="R5214" s="272"/>
      <c r="S5214" s="272"/>
    </row>
    <row r="5215" spans="9:19">
      <c r="I5215" s="213"/>
      <c r="J5215" s="213"/>
      <c r="L5215" s="272">
        <f t="shared" si="399"/>
        <v>1900</v>
      </c>
      <c r="M5215" s="272">
        <f t="shared" si="400"/>
        <v>1</v>
      </c>
      <c r="O5215" s="61">
        <f t="shared" si="401"/>
        <v>1900</v>
      </c>
      <c r="P5215" s="61">
        <f t="shared" si="402"/>
        <v>1</v>
      </c>
      <c r="R5215" s="272"/>
      <c r="S5215" s="272"/>
    </row>
    <row r="5216" spans="9:19">
      <c r="I5216" s="213"/>
      <c r="J5216" s="213"/>
      <c r="L5216" s="272">
        <f t="shared" si="399"/>
        <v>1900</v>
      </c>
      <c r="M5216" s="272">
        <f t="shared" si="400"/>
        <v>1</v>
      </c>
      <c r="O5216" s="61">
        <f t="shared" si="401"/>
        <v>1900</v>
      </c>
      <c r="P5216" s="61">
        <f t="shared" si="402"/>
        <v>1</v>
      </c>
      <c r="R5216" s="272"/>
      <c r="S5216" s="272"/>
    </row>
    <row r="5217" spans="9:19">
      <c r="I5217" s="213"/>
      <c r="J5217" s="213"/>
      <c r="L5217" s="272">
        <f t="shared" si="399"/>
        <v>1900</v>
      </c>
      <c r="M5217" s="272">
        <f t="shared" si="400"/>
        <v>1</v>
      </c>
      <c r="O5217" s="61">
        <f t="shared" si="401"/>
        <v>1900</v>
      </c>
      <c r="P5217" s="61">
        <f t="shared" si="402"/>
        <v>1</v>
      </c>
      <c r="R5217" s="272"/>
      <c r="S5217" s="272"/>
    </row>
    <row r="5218" spans="9:19">
      <c r="I5218" s="213"/>
      <c r="J5218" s="213"/>
      <c r="L5218" s="272">
        <f t="shared" si="399"/>
        <v>1900</v>
      </c>
      <c r="M5218" s="272">
        <f t="shared" si="400"/>
        <v>1</v>
      </c>
      <c r="O5218" s="61">
        <f t="shared" si="401"/>
        <v>1900</v>
      </c>
      <c r="P5218" s="61">
        <f t="shared" si="402"/>
        <v>1</v>
      </c>
      <c r="R5218" s="272"/>
      <c r="S5218" s="272"/>
    </row>
    <row r="5219" spans="9:19">
      <c r="I5219" s="213"/>
      <c r="J5219" s="213"/>
      <c r="L5219" s="272">
        <f t="shared" si="399"/>
        <v>1900</v>
      </c>
      <c r="M5219" s="272">
        <f t="shared" si="400"/>
        <v>1</v>
      </c>
      <c r="O5219" s="61">
        <f t="shared" si="401"/>
        <v>1900</v>
      </c>
      <c r="P5219" s="61">
        <f t="shared" si="402"/>
        <v>1</v>
      </c>
      <c r="R5219" s="272"/>
      <c r="S5219" s="272"/>
    </row>
    <row r="5220" spans="9:19">
      <c r="I5220" s="213"/>
      <c r="J5220" s="213"/>
      <c r="L5220" s="272">
        <f t="shared" si="399"/>
        <v>1900</v>
      </c>
      <c r="M5220" s="272">
        <f t="shared" si="400"/>
        <v>1</v>
      </c>
      <c r="O5220" s="61">
        <f t="shared" si="401"/>
        <v>1900</v>
      </c>
      <c r="P5220" s="61">
        <f t="shared" si="402"/>
        <v>1</v>
      </c>
      <c r="R5220" s="272"/>
      <c r="S5220" s="272"/>
    </row>
    <row r="5221" spans="9:19">
      <c r="I5221" s="213"/>
      <c r="J5221" s="213"/>
      <c r="L5221" s="272">
        <f t="shared" si="399"/>
        <v>1900</v>
      </c>
      <c r="M5221" s="272">
        <f t="shared" si="400"/>
        <v>1</v>
      </c>
      <c r="O5221" s="61">
        <f t="shared" si="401"/>
        <v>1900</v>
      </c>
      <c r="P5221" s="61">
        <f t="shared" si="402"/>
        <v>1</v>
      </c>
      <c r="R5221" s="272"/>
      <c r="S5221" s="272"/>
    </row>
    <row r="5222" spans="9:19">
      <c r="I5222" s="213"/>
      <c r="J5222" s="213"/>
      <c r="L5222" s="272">
        <f t="shared" si="399"/>
        <v>1900</v>
      </c>
      <c r="M5222" s="272">
        <f t="shared" si="400"/>
        <v>1</v>
      </c>
      <c r="O5222" s="61">
        <f t="shared" si="401"/>
        <v>1900</v>
      </c>
      <c r="P5222" s="61">
        <f t="shared" si="402"/>
        <v>1</v>
      </c>
      <c r="R5222" s="272"/>
      <c r="S5222" s="272"/>
    </row>
    <row r="5223" spans="9:19">
      <c r="I5223" s="213"/>
      <c r="J5223" s="213"/>
      <c r="L5223" s="272">
        <f t="shared" si="399"/>
        <v>1900</v>
      </c>
      <c r="M5223" s="272">
        <f t="shared" si="400"/>
        <v>1</v>
      </c>
      <c r="O5223" s="61">
        <f t="shared" si="401"/>
        <v>1900</v>
      </c>
      <c r="P5223" s="61">
        <f t="shared" si="402"/>
        <v>1</v>
      </c>
      <c r="R5223" s="272"/>
      <c r="S5223" s="272"/>
    </row>
    <row r="5224" spans="9:19">
      <c r="I5224" s="213"/>
      <c r="J5224" s="213"/>
      <c r="L5224" s="272">
        <f t="shared" si="399"/>
        <v>1900</v>
      </c>
      <c r="M5224" s="272">
        <f t="shared" si="400"/>
        <v>1</v>
      </c>
      <c r="O5224" s="61">
        <f t="shared" si="401"/>
        <v>1900</v>
      </c>
      <c r="P5224" s="61">
        <f t="shared" si="402"/>
        <v>1</v>
      </c>
      <c r="R5224" s="272"/>
      <c r="S5224" s="272"/>
    </row>
    <row r="5225" spans="9:19">
      <c r="I5225" s="213"/>
      <c r="J5225" s="213"/>
      <c r="L5225" s="272">
        <f t="shared" si="399"/>
        <v>1900</v>
      </c>
      <c r="M5225" s="272">
        <f t="shared" si="400"/>
        <v>1</v>
      </c>
      <c r="O5225" s="61">
        <f t="shared" si="401"/>
        <v>1900</v>
      </c>
      <c r="P5225" s="61">
        <f t="shared" si="402"/>
        <v>1</v>
      </c>
      <c r="R5225" s="272"/>
      <c r="S5225" s="272"/>
    </row>
    <row r="5226" spans="9:19">
      <c r="I5226" s="213"/>
      <c r="J5226" s="213"/>
      <c r="L5226" s="272">
        <f t="shared" si="399"/>
        <v>1900</v>
      </c>
      <c r="M5226" s="272">
        <f t="shared" si="400"/>
        <v>1</v>
      </c>
      <c r="O5226" s="61">
        <f t="shared" si="401"/>
        <v>1900</v>
      </c>
      <c r="P5226" s="61">
        <f t="shared" si="402"/>
        <v>1</v>
      </c>
      <c r="R5226" s="272"/>
      <c r="S5226" s="272"/>
    </row>
    <row r="5227" spans="9:19">
      <c r="I5227" s="213"/>
      <c r="J5227" s="213"/>
      <c r="L5227" s="272">
        <f t="shared" si="399"/>
        <v>1900</v>
      </c>
      <c r="M5227" s="272">
        <f t="shared" si="400"/>
        <v>1</v>
      </c>
      <c r="O5227" s="61">
        <f t="shared" si="401"/>
        <v>1900</v>
      </c>
      <c r="P5227" s="61">
        <f t="shared" si="402"/>
        <v>1</v>
      </c>
      <c r="R5227" s="272"/>
      <c r="S5227" s="272"/>
    </row>
    <row r="5228" spans="9:19">
      <c r="I5228" s="213"/>
      <c r="J5228" s="213"/>
      <c r="L5228" s="272">
        <f t="shared" si="399"/>
        <v>1900</v>
      </c>
      <c r="M5228" s="272">
        <f t="shared" si="400"/>
        <v>1</v>
      </c>
      <c r="O5228" s="61">
        <f t="shared" si="401"/>
        <v>1900</v>
      </c>
      <c r="P5228" s="61">
        <f t="shared" si="402"/>
        <v>1</v>
      </c>
      <c r="R5228" s="272"/>
      <c r="S5228" s="272"/>
    </row>
    <row r="5229" spans="9:19">
      <c r="I5229" s="213"/>
      <c r="J5229" s="213"/>
      <c r="L5229" s="272">
        <f t="shared" si="399"/>
        <v>1900</v>
      </c>
      <c r="M5229" s="272">
        <f t="shared" si="400"/>
        <v>1</v>
      </c>
      <c r="O5229" s="61">
        <f t="shared" si="401"/>
        <v>1900</v>
      </c>
      <c r="P5229" s="61">
        <f t="shared" si="402"/>
        <v>1</v>
      </c>
      <c r="R5229" s="272"/>
      <c r="S5229" s="272"/>
    </row>
    <row r="5230" spans="9:19">
      <c r="I5230" s="213"/>
      <c r="J5230" s="213"/>
      <c r="L5230" s="272">
        <f t="shared" si="399"/>
        <v>1900</v>
      </c>
      <c r="M5230" s="272">
        <f t="shared" si="400"/>
        <v>1</v>
      </c>
      <c r="O5230" s="61">
        <f t="shared" si="401"/>
        <v>1900</v>
      </c>
      <c r="P5230" s="61">
        <f t="shared" si="402"/>
        <v>1</v>
      </c>
      <c r="R5230" s="272"/>
      <c r="S5230" s="272"/>
    </row>
    <row r="5231" spans="9:19">
      <c r="I5231" s="213"/>
      <c r="J5231" s="213"/>
      <c r="L5231" s="272">
        <f t="shared" si="399"/>
        <v>1900</v>
      </c>
      <c r="M5231" s="272">
        <f t="shared" si="400"/>
        <v>1</v>
      </c>
      <c r="O5231" s="61">
        <f t="shared" si="401"/>
        <v>1900</v>
      </c>
      <c r="P5231" s="61">
        <f t="shared" si="402"/>
        <v>1</v>
      </c>
      <c r="R5231" s="272"/>
      <c r="S5231" s="272"/>
    </row>
    <row r="5232" spans="9:19">
      <c r="I5232" s="213"/>
      <c r="J5232" s="213"/>
      <c r="L5232" s="272">
        <f t="shared" si="399"/>
        <v>1900</v>
      </c>
      <c r="M5232" s="272">
        <f t="shared" si="400"/>
        <v>1</v>
      </c>
      <c r="O5232" s="61">
        <f t="shared" si="401"/>
        <v>1900</v>
      </c>
      <c r="P5232" s="61">
        <f t="shared" si="402"/>
        <v>1</v>
      </c>
      <c r="R5232" s="272"/>
      <c r="S5232" s="272"/>
    </row>
    <row r="5233" spans="9:19">
      <c r="I5233" s="213"/>
      <c r="J5233" s="213"/>
      <c r="L5233" s="272">
        <f t="shared" si="399"/>
        <v>1900</v>
      </c>
      <c r="M5233" s="272">
        <f t="shared" si="400"/>
        <v>1</v>
      </c>
      <c r="O5233" s="61">
        <f t="shared" si="401"/>
        <v>1900</v>
      </c>
      <c r="P5233" s="61">
        <f t="shared" si="402"/>
        <v>1</v>
      </c>
      <c r="R5233" s="272"/>
      <c r="S5233" s="272"/>
    </row>
    <row r="5234" spans="9:19">
      <c r="I5234" s="213"/>
      <c r="J5234" s="213"/>
      <c r="L5234" s="272">
        <f t="shared" si="399"/>
        <v>1900</v>
      </c>
      <c r="M5234" s="272">
        <f t="shared" si="400"/>
        <v>1</v>
      </c>
      <c r="O5234" s="61">
        <f t="shared" si="401"/>
        <v>1900</v>
      </c>
      <c r="P5234" s="61">
        <f t="shared" si="402"/>
        <v>1</v>
      </c>
      <c r="R5234" s="272"/>
      <c r="S5234" s="272"/>
    </row>
    <row r="5235" spans="9:19">
      <c r="I5235" s="213"/>
      <c r="J5235" s="213"/>
      <c r="L5235" s="272">
        <f t="shared" si="399"/>
        <v>1900</v>
      </c>
      <c r="M5235" s="272">
        <f t="shared" si="400"/>
        <v>1</v>
      </c>
      <c r="O5235" s="61">
        <f t="shared" si="401"/>
        <v>1900</v>
      </c>
      <c r="P5235" s="61">
        <f t="shared" si="402"/>
        <v>1</v>
      </c>
      <c r="R5235" s="272"/>
      <c r="S5235" s="272"/>
    </row>
    <row r="5236" spans="9:19">
      <c r="I5236" s="213"/>
      <c r="J5236" s="213"/>
      <c r="L5236" s="272">
        <f t="shared" si="399"/>
        <v>1900</v>
      </c>
      <c r="M5236" s="272">
        <f t="shared" si="400"/>
        <v>1</v>
      </c>
      <c r="O5236" s="61">
        <f t="shared" si="401"/>
        <v>1900</v>
      </c>
      <c r="P5236" s="61">
        <f t="shared" si="402"/>
        <v>1</v>
      </c>
      <c r="R5236" s="272"/>
      <c r="S5236" s="272"/>
    </row>
    <row r="5237" spans="9:19">
      <c r="I5237" s="213"/>
      <c r="J5237" s="213"/>
      <c r="L5237" s="272">
        <f t="shared" si="399"/>
        <v>1900</v>
      </c>
      <c r="M5237" s="272">
        <f t="shared" si="400"/>
        <v>1</v>
      </c>
      <c r="O5237" s="61">
        <f t="shared" si="401"/>
        <v>1900</v>
      </c>
      <c r="P5237" s="61">
        <f t="shared" si="402"/>
        <v>1</v>
      </c>
      <c r="R5237" s="272"/>
      <c r="S5237" s="272"/>
    </row>
    <row r="5238" spans="9:19">
      <c r="I5238" s="213"/>
      <c r="J5238" s="213"/>
      <c r="L5238" s="272">
        <f t="shared" si="399"/>
        <v>1900</v>
      </c>
      <c r="M5238" s="272">
        <f t="shared" si="400"/>
        <v>1</v>
      </c>
      <c r="O5238" s="61">
        <f t="shared" si="401"/>
        <v>1900</v>
      </c>
      <c r="P5238" s="61">
        <f t="shared" si="402"/>
        <v>1</v>
      </c>
      <c r="R5238" s="272"/>
      <c r="S5238" s="272"/>
    </row>
    <row r="5239" spans="9:19">
      <c r="I5239" s="213"/>
      <c r="J5239" s="213"/>
      <c r="L5239" s="272">
        <f t="shared" si="399"/>
        <v>1900</v>
      </c>
      <c r="M5239" s="272">
        <f t="shared" si="400"/>
        <v>1</v>
      </c>
      <c r="O5239" s="61">
        <f t="shared" si="401"/>
        <v>1900</v>
      </c>
      <c r="P5239" s="61">
        <f t="shared" si="402"/>
        <v>1</v>
      </c>
      <c r="R5239" s="272"/>
      <c r="S5239" s="272"/>
    </row>
    <row r="5240" spans="9:19">
      <c r="I5240" s="213"/>
      <c r="J5240" s="213"/>
      <c r="L5240" s="272">
        <f t="shared" si="399"/>
        <v>1900</v>
      </c>
      <c r="M5240" s="272">
        <f t="shared" si="400"/>
        <v>1</v>
      </c>
      <c r="O5240" s="61">
        <f t="shared" si="401"/>
        <v>1900</v>
      </c>
      <c r="P5240" s="61">
        <f t="shared" si="402"/>
        <v>1</v>
      </c>
      <c r="R5240" s="272"/>
      <c r="S5240" s="272"/>
    </row>
    <row r="5241" spans="9:19">
      <c r="I5241" s="213"/>
      <c r="J5241" s="213"/>
      <c r="L5241" s="272">
        <f t="shared" si="399"/>
        <v>1900</v>
      </c>
      <c r="M5241" s="272">
        <f t="shared" si="400"/>
        <v>1</v>
      </c>
      <c r="O5241" s="61">
        <f t="shared" si="401"/>
        <v>1900</v>
      </c>
      <c r="P5241" s="61">
        <f t="shared" si="402"/>
        <v>1</v>
      </c>
      <c r="R5241" s="272"/>
      <c r="S5241" s="272"/>
    </row>
    <row r="5242" spans="9:19">
      <c r="I5242" s="213"/>
      <c r="J5242" s="213"/>
      <c r="L5242" s="272">
        <f t="shared" si="399"/>
        <v>1900</v>
      </c>
      <c r="M5242" s="272">
        <f t="shared" si="400"/>
        <v>1</v>
      </c>
      <c r="O5242" s="61">
        <f t="shared" si="401"/>
        <v>1900</v>
      </c>
      <c r="P5242" s="61">
        <f t="shared" si="402"/>
        <v>1</v>
      </c>
      <c r="R5242" s="272"/>
      <c r="S5242" s="272"/>
    </row>
    <row r="5243" spans="9:19">
      <c r="I5243" s="213"/>
      <c r="J5243" s="213"/>
      <c r="L5243" s="272">
        <f t="shared" si="399"/>
        <v>1900</v>
      </c>
      <c r="M5243" s="272">
        <f t="shared" si="400"/>
        <v>1</v>
      </c>
      <c r="O5243" s="61">
        <f t="shared" si="401"/>
        <v>1900</v>
      </c>
      <c r="P5243" s="61">
        <f t="shared" si="402"/>
        <v>1</v>
      </c>
      <c r="R5243" s="272"/>
      <c r="S5243" s="272"/>
    </row>
    <row r="5244" spans="9:19">
      <c r="I5244" s="213"/>
      <c r="J5244" s="213"/>
      <c r="L5244" s="272">
        <f t="shared" si="399"/>
        <v>1900</v>
      </c>
      <c r="M5244" s="272">
        <f t="shared" si="400"/>
        <v>1</v>
      </c>
      <c r="O5244" s="61">
        <f t="shared" si="401"/>
        <v>1900</v>
      </c>
      <c r="P5244" s="61">
        <f t="shared" si="402"/>
        <v>1</v>
      </c>
      <c r="R5244" s="272"/>
      <c r="S5244" s="272"/>
    </row>
    <row r="5245" spans="9:19">
      <c r="I5245" s="213"/>
      <c r="J5245" s="213"/>
      <c r="L5245" s="272">
        <f t="shared" si="399"/>
        <v>1900</v>
      </c>
      <c r="M5245" s="272">
        <f t="shared" si="400"/>
        <v>1</v>
      </c>
      <c r="O5245" s="61">
        <f t="shared" si="401"/>
        <v>1900</v>
      </c>
      <c r="P5245" s="61">
        <f t="shared" si="402"/>
        <v>1</v>
      </c>
      <c r="R5245" s="272"/>
      <c r="S5245" s="272"/>
    </row>
    <row r="5246" spans="9:19">
      <c r="I5246" s="213"/>
      <c r="J5246" s="213"/>
      <c r="L5246" s="272">
        <f t="shared" si="399"/>
        <v>1900</v>
      </c>
      <c r="M5246" s="272">
        <f t="shared" si="400"/>
        <v>1</v>
      </c>
      <c r="O5246" s="61">
        <f t="shared" si="401"/>
        <v>1900</v>
      </c>
      <c r="P5246" s="61">
        <f t="shared" si="402"/>
        <v>1</v>
      </c>
      <c r="R5246" s="272"/>
      <c r="S5246" s="272"/>
    </row>
    <row r="5247" spans="9:19">
      <c r="I5247" s="213"/>
      <c r="J5247" s="213"/>
      <c r="L5247" s="272">
        <f t="shared" si="399"/>
        <v>1900</v>
      </c>
      <c r="M5247" s="272">
        <f t="shared" si="400"/>
        <v>1</v>
      </c>
      <c r="O5247" s="61">
        <f t="shared" si="401"/>
        <v>1900</v>
      </c>
      <c r="P5247" s="61">
        <f t="shared" si="402"/>
        <v>1</v>
      </c>
      <c r="R5247" s="272"/>
      <c r="S5247" s="272"/>
    </row>
    <row r="5248" spans="9:19">
      <c r="I5248" s="213"/>
      <c r="J5248" s="213"/>
      <c r="L5248" s="272">
        <f t="shared" si="399"/>
        <v>1900</v>
      </c>
      <c r="M5248" s="272">
        <f t="shared" si="400"/>
        <v>1</v>
      </c>
      <c r="O5248" s="61">
        <f t="shared" si="401"/>
        <v>1900</v>
      </c>
      <c r="P5248" s="61">
        <f t="shared" si="402"/>
        <v>1</v>
      </c>
      <c r="R5248" s="272"/>
      <c r="S5248" s="272"/>
    </row>
    <row r="5249" spans="9:19">
      <c r="I5249" s="213"/>
      <c r="J5249" s="213"/>
      <c r="L5249" s="272">
        <f t="shared" si="399"/>
        <v>1900</v>
      </c>
      <c r="M5249" s="272">
        <f t="shared" si="400"/>
        <v>1</v>
      </c>
      <c r="O5249" s="61">
        <f t="shared" si="401"/>
        <v>1900</v>
      </c>
      <c r="P5249" s="61">
        <f t="shared" si="402"/>
        <v>1</v>
      </c>
      <c r="R5249" s="272"/>
      <c r="S5249" s="272"/>
    </row>
    <row r="5250" spans="9:19">
      <c r="I5250" s="213"/>
      <c r="J5250" s="213"/>
      <c r="L5250" s="272">
        <f t="shared" si="399"/>
        <v>1900</v>
      </c>
      <c r="M5250" s="272">
        <f t="shared" si="400"/>
        <v>1</v>
      </c>
      <c r="O5250" s="61">
        <f t="shared" si="401"/>
        <v>1900</v>
      </c>
      <c r="P5250" s="61">
        <f t="shared" si="402"/>
        <v>1</v>
      </c>
      <c r="R5250" s="272"/>
      <c r="S5250" s="272"/>
    </row>
    <row r="5251" spans="9:19">
      <c r="I5251" s="213"/>
      <c r="J5251" s="213"/>
      <c r="L5251" s="272">
        <f t="shared" si="399"/>
        <v>1900</v>
      </c>
      <c r="M5251" s="272">
        <f t="shared" si="400"/>
        <v>1</v>
      </c>
      <c r="O5251" s="61">
        <f t="shared" si="401"/>
        <v>1900</v>
      </c>
      <c r="P5251" s="61">
        <f t="shared" si="402"/>
        <v>1</v>
      </c>
      <c r="R5251" s="272"/>
      <c r="S5251" s="272"/>
    </row>
    <row r="5252" spans="9:19">
      <c r="I5252" s="213"/>
      <c r="J5252" s="213"/>
      <c r="L5252" s="272">
        <f t="shared" si="399"/>
        <v>1900</v>
      </c>
      <c r="M5252" s="272">
        <f t="shared" si="400"/>
        <v>1</v>
      </c>
      <c r="O5252" s="61">
        <f t="shared" si="401"/>
        <v>1900</v>
      </c>
      <c r="P5252" s="61">
        <f t="shared" si="402"/>
        <v>1</v>
      </c>
      <c r="R5252" s="272"/>
      <c r="S5252" s="272"/>
    </row>
    <row r="5253" spans="9:19">
      <c r="I5253" s="213"/>
      <c r="J5253" s="213"/>
      <c r="L5253" s="272">
        <f t="shared" si="399"/>
        <v>1900</v>
      </c>
      <c r="M5253" s="272">
        <f t="shared" si="400"/>
        <v>1</v>
      </c>
      <c r="O5253" s="61">
        <f t="shared" si="401"/>
        <v>1900</v>
      </c>
      <c r="P5253" s="61">
        <f t="shared" si="402"/>
        <v>1</v>
      </c>
      <c r="R5253" s="272"/>
      <c r="S5253" s="272"/>
    </row>
    <row r="5254" spans="9:19">
      <c r="I5254" s="213"/>
      <c r="J5254" s="213"/>
      <c r="L5254" s="272">
        <f t="shared" si="399"/>
        <v>1900</v>
      </c>
      <c r="M5254" s="272">
        <f t="shared" si="400"/>
        <v>1</v>
      </c>
      <c r="O5254" s="61">
        <f t="shared" si="401"/>
        <v>1900</v>
      </c>
      <c r="P5254" s="61">
        <f t="shared" si="402"/>
        <v>1</v>
      </c>
      <c r="R5254" s="272"/>
      <c r="S5254" s="272"/>
    </row>
    <row r="5255" spans="9:19">
      <c r="I5255" s="213"/>
      <c r="J5255" s="213"/>
      <c r="L5255" s="272">
        <f t="shared" si="399"/>
        <v>1900</v>
      </c>
      <c r="M5255" s="272">
        <f t="shared" si="400"/>
        <v>1</v>
      </c>
      <c r="O5255" s="61">
        <f t="shared" si="401"/>
        <v>1900</v>
      </c>
      <c r="P5255" s="61">
        <f t="shared" si="402"/>
        <v>1</v>
      </c>
      <c r="R5255" s="272"/>
      <c r="S5255" s="272"/>
    </row>
    <row r="5256" spans="9:19">
      <c r="I5256" s="213"/>
      <c r="J5256" s="213"/>
      <c r="L5256" s="272">
        <f t="shared" si="399"/>
        <v>1900</v>
      </c>
      <c r="M5256" s="272">
        <f t="shared" si="400"/>
        <v>1</v>
      </c>
      <c r="O5256" s="61">
        <f t="shared" si="401"/>
        <v>1900</v>
      </c>
      <c r="P5256" s="61">
        <f t="shared" si="402"/>
        <v>1</v>
      </c>
      <c r="R5256" s="272"/>
      <c r="S5256" s="272"/>
    </row>
    <row r="5257" spans="9:19">
      <c r="I5257" s="213"/>
      <c r="J5257" s="213"/>
      <c r="L5257" s="272">
        <f t="shared" si="399"/>
        <v>1900</v>
      </c>
      <c r="M5257" s="272">
        <f t="shared" si="400"/>
        <v>1</v>
      </c>
      <c r="O5257" s="61">
        <f t="shared" si="401"/>
        <v>1900</v>
      </c>
      <c r="P5257" s="61">
        <f t="shared" si="402"/>
        <v>1</v>
      </c>
      <c r="R5257" s="272"/>
      <c r="S5257" s="272"/>
    </row>
    <row r="5258" spans="9:19">
      <c r="I5258" s="213"/>
      <c r="J5258" s="213"/>
      <c r="L5258" s="272">
        <f t="shared" si="399"/>
        <v>1900</v>
      </c>
      <c r="M5258" s="272">
        <f t="shared" si="400"/>
        <v>1</v>
      </c>
      <c r="O5258" s="61">
        <f t="shared" si="401"/>
        <v>1900</v>
      </c>
      <c r="P5258" s="61">
        <f t="shared" si="402"/>
        <v>1</v>
      </c>
      <c r="R5258" s="272"/>
      <c r="S5258" s="272"/>
    </row>
    <row r="5259" spans="9:19">
      <c r="I5259" s="213"/>
      <c r="J5259" s="213"/>
      <c r="L5259" s="272">
        <f t="shared" si="399"/>
        <v>1900</v>
      </c>
      <c r="M5259" s="272">
        <f t="shared" si="400"/>
        <v>1</v>
      </c>
      <c r="O5259" s="61">
        <f t="shared" si="401"/>
        <v>1900</v>
      </c>
      <c r="P5259" s="61">
        <f t="shared" si="402"/>
        <v>1</v>
      </c>
      <c r="R5259" s="272"/>
      <c r="S5259" s="272"/>
    </row>
    <row r="5260" spans="9:19">
      <c r="I5260" s="213"/>
      <c r="J5260" s="213"/>
      <c r="L5260" s="272">
        <f t="shared" si="399"/>
        <v>1900</v>
      </c>
      <c r="M5260" s="272">
        <f t="shared" si="400"/>
        <v>1</v>
      </c>
      <c r="O5260" s="61">
        <f t="shared" si="401"/>
        <v>1900</v>
      </c>
      <c r="P5260" s="61">
        <f t="shared" si="402"/>
        <v>1</v>
      </c>
      <c r="R5260" s="272"/>
      <c r="S5260" s="272"/>
    </row>
    <row r="5261" spans="9:19">
      <c r="I5261" s="213"/>
      <c r="J5261" s="213"/>
      <c r="L5261" s="272">
        <f t="shared" si="399"/>
        <v>1900</v>
      </c>
      <c r="M5261" s="272">
        <f t="shared" si="400"/>
        <v>1</v>
      </c>
      <c r="O5261" s="61">
        <f t="shared" si="401"/>
        <v>1900</v>
      </c>
      <c r="P5261" s="61">
        <f t="shared" si="402"/>
        <v>1</v>
      </c>
      <c r="R5261" s="272"/>
      <c r="S5261" s="272"/>
    </row>
    <row r="5262" spans="9:19">
      <c r="I5262" s="213"/>
      <c r="J5262" s="213"/>
      <c r="L5262" s="272">
        <f t="shared" si="399"/>
        <v>1900</v>
      </c>
      <c r="M5262" s="272">
        <f t="shared" si="400"/>
        <v>1</v>
      </c>
      <c r="O5262" s="61">
        <f t="shared" si="401"/>
        <v>1900</v>
      </c>
      <c r="P5262" s="61">
        <f t="shared" si="402"/>
        <v>1</v>
      </c>
      <c r="R5262" s="272"/>
      <c r="S5262" s="272"/>
    </row>
    <row r="5263" spans="9:19">
      <c r="I5263" s="213"/>
      <c r="J5263" s="213"/>
      <c r="L5263" s="272">
        <f t="shared" si="399"/>
        <v>1900</v>
      </c>
      <c r="M5263" s="272">
        <f t="shared" si="400"/>
        <v>1</v>
      </c>
      <c r="O5263" s="61">
        <f t="shared" si="401"/>
        <v>1900</v>
      </c>
      <c r="P5263" s="61">
        <f t="shared" si="402"/>
        <v>1</v>
      </c>
      <c r="R5263" s="272"/>
      <c r="S5263" s="272"/>
    </row>
    <row r="5264" spans="9:19">
      <c r="I5264" s="213"/>
      <c r="J5264" s="213"/>
      <c r="L5264" s="272">
        <f t="shared" ref="L5264:L5327" si="403">YEAR(B5264)</f>
        <v>1900</v>
      </c>
      <c r="M5264" s="272">
        <f t="shared" ref="M5264:M5327" si="404">MONTH(B5264)</f>
        <v>1</v>
      </c>
      <c r="O5264" s="61">
        <f t="shared" ref="O5264:O5327" si="405">YEAR(B5264)</f>
        <v>1900</v>
      </c>
      <c r="P5264" s="61">
        <f t="shared" ref="P5264:P5327" si="406">MONTH(B5264)</f>
        <v>1</v>
      </c>
      <c r="R5264" s="272"/>
      <c r="S5264" s="272"/>
    </row>
    <row r="5265" spans="9:19">
      <c r="I5265" s="213"/>
      <c r="J5265" s="213"/>
      <c r="L5265" s="272">
        <f t="shared" si="403"/>
        <v>1900</v>
      </c>
      <c r="M5265" s="272">
        <f t="shared" si="404"/>
        <v>1</v>
      </c>
      <c r="O5265" s="61">
        <f t="shared" si="405"/>
        <v>1900</v>
      </c>
      <c r="P5265" s="61">
        <f t="shared" si="406"/>
        <v>1</v>
      </c>
      <c r="R5265" s="272"/>
      <c r="S5265" s="272"/>
    </row>
    <row r="5266" spans="9:19">
      <c r="I5266" s="213"/>
      <c r="J5266" s="213"/>
      <c r="L5266" s="272">
        <f t="shared" si="403"/>
        <v>1900</v>
      </c>
      <c r="M5266" s="272">
        <f t="shared" si="404"/>
        <v>1</v>
      </c>
      <c r="O5266" s="61">
        <f t="shared" si="405"/>
        <v>1900</v>
      </c>
      <c r="P5266" s="61">
        <f t="shared" si="406"/>
        <v>1</v>
      </c>
      <c r="R5266" s="272"/>
      <c r="S5266" s="272"/>
    </row>
    <row r="5267" spans="9:19">
      <c r="I5267" s="213"/>
      <c r="J5267" s="213"/>
      <c r="L5267" s="272">
        <f t="shared" si="403"/>
        <v>1900</v>
      </c>
      <c r="M5267" s="272">
        <f t="shared" si="404"/>
        <v>1</v>
      </c>
      <c r="O5267" s="61">
        <f t="shared" si="405"/>
        <v>1900</v>
      </c>
      <c r="P5267" s="61">
        <f t="shared" si="406"/>
        <v>1</v>
      </c>
      <c r="R5267" s="272"/>
      <c r="S5267" s="272"/>
    </row>
    <row r="5268" spans="9:19">
      <c r="I5268" s="213"/>
      <c r="J5268" s="213"/>
      <c r="L5268" s="272">
        <f t="shared" si="403"/>
        <v>1900</v>
      </c>
      <c r="M5268" s="272">
        <f t="shared" si="404"/>
        <v>1</v>
      </c>
      <c r="O5268" s="61">
        <f t="shared" si="405"/>
        <v>1900</v>
      </c>
      <c r="P5268" s="61">
        <f t="shared" si="406"/>
        <v>1</v>
      </c>
      <c r="R5268" s="272"/>
      <c r="S5268" s="272"/>
    </row>
    <row r="5269" spans="9:19">
      <c r="I5269" s="213"/>
      <c r="J5269" s="213"/>
      <c r="L5269" s="272">
        <f t="shared" si="403"/>
        <v>1900</v>
      </c>
      <c r="M5269" s="272">
        <f t="shared" si="404"/>
        <v>1</v>
      </c>
      <c r="O5269" s="61">
        <f t="shared" si="405"/>
        <v>1900</v>
      </c>
      <c r="P5269" s="61">
        <f t="shared" si="406"/>
        <v>1</v>
      </c>
      <c r="R5269" s="272"/>
      <c r="S5269" s="272"/>
    </row>
    <row r="5270" spans="9:19">
      <c r="I5270" s="213"/>
      <c r="J5270" s="213"/>
      <c r="L5270" s="272">
        <f t="shared" si="403"/>
        <v>1900</v>
      </c>
      <c r="M5270" s="272">
        <f t="shared" si="404"/>
        <v>1</v>
      </c>
      <c r="O5270" s="61">
        <f t="shared" si="405"/>
        <v>1900</v>
      </c>
      <c r="P5270" s="61">
        <f t="shared" si="406"/>
        <v>1</v>
      </c>
      <c r="R5270" s="272"/>
      <c r="S5270" s="272"/>
    </row>
    <row r="5271" spans="9:19">
      <c r="I5271" s="213"/>
      <c r="J5271" s="213"/>
      <c r="L5271" s="272">
        <f t="shared" si="403"/>
        <v>1900</v>
      </c>
      <c r="M5271" s="272">
        <f t="shared" si="404"/>
        <v>1</v>
      </c>
      <c r="O5271" s="61">
        <f t="shared" si="405"/>
        <v>1900</v>
      </c>
      <c r="P5271" s="61">
        <f t="shared" si="406"/>
        <v>1</v>
      </c>
      <c r="R5271" s="272"/>
      <c r="S5271" s="272"/>
    </row>
    <row r="5272" spans="9:19">
      <c r="I5272" s="213"/>
      <c r="J5272" s="213"/>
      <c r="L5272" s="272">
        <f t="shared" si="403"/>
        <v>1900</v>
      </c>
      <c r="M5272" s="272">
        <f t="shared" si="404"/>
        <v>1</v>
      </c>
      <c r="O5272" s="61">
        <f t="shared" si="405"/>
        <v>1900</v>
      </c>
      <c r="P5272" s="61">
        <f t="shared" si="406"/>
        <v>1</v>
      </c>
      <c r="R5272" s="272"/>
      <c r="S5272" s="272"/>
    </row>
    <row r="5273" spans="9:19">
      <c r="I5273" s="213"/>
      <c r="J5273" s="213"/>
      <c r="L5273" s="272">
        <f t="shared" si="403"/>
        <v>1900</v>
      </c>
      <c r="M5273" s="272">
        <f t="shared" si="404"/>
        <v>1</v>
      </c>
      <c r="O5273" s="61">
        <f t="shared" si="405"/>
        <v>1900</v>
      </c>
      <c r="P5273" s="61">
        <f t="shared" si="406"/>
        <v>1</v>
      </c>
      <c r="R5273" s="272"/>
      <c r="S5273" s="272"/>
    </row>
    <row r="5274" spans="9:19">
      <c r="I5274" s="213"/>
      <c r="J5274" s="213"/>
      <c r="L5274" s="272">
        <f t="shared" si="403"/>
        <v>1900</v>
      </c>
      <c r="M5274" s="272">
        <f t="shared" si="404"/>
        <v>1</v>
      </c>
      <c r="O5274" s="61">
        <f t="shared" si="405"/>
        <v>1900</v>
      </c>
      <c r="P5274" s="61">
        <f t="shared" si="406"/>
        <v>1</v>
      </c>
      <c r="R5274" s="272"/>
      <c r="S5274" s="272"/>
    </row>
    <row r="5275" spans="9:19">
      <c r="I5275" s="213"/>
      <c r="J5275" s="213"/>
      <c r="L5275" s="272">
        <f t="shared" si="403"/>
        <v>1900</v>
      </c>
      <c r="M5275" s="272">
        <f t="shared" si="404"/>
        <v>1</v>
      </c>
      <c r="O5275" s="61">
        <f t="shared" si="405"/>
        <v>1900</v>
      </c>
      <c r="P5275" s="61">
        <f t="shared" si="406"/>
        <v>1</v>
      </c>
      <c r="R5275" s="272"/>
      <c r="S5275" s="272"/>
    </row>
    <row r="5276" spans="9:19">
      <c r="I5276" s="213"/>
      <c r="J5276" s="213"/>
      <c r="L5276" s="272">
        <f t="shared" si="403"/>
        <v>1900</v>
      </c>
      <c r="M5276" s="272">
        <f t="shared" si="404"/>
        <v>1</v>
      </c>
      <c r="O5276" s="61">
        <f t="shared" si="405"/>
        <v>1900</v>
      </c>
      <c r="P5276" s="61">
        <f t="shared" si="406"/>
        <v>1</v>
      </c>
      <c r="R5276" s="272"/>
      <c r="S5276" s="272"/>
    </row>
    <row r="5277" spans="9:19">
      <c r="I5277" s="213"/>
      <c r="J5277" s="213"/>
      <c r="L5277" s="272">
        <f t="shared" si="403"/>
        <v>1900</v>
      </c>
      <c r="M5277" s="272">
        <f t="shared" si="404"/>
        <v>1</v>
      </c>
      <c r="O5277" s="61">
        <f t="shared" si="405"/>
        <v>1900</v>
      </c>
      <c r="P5277" s="61">
        <f t="shared" si="406"/>
        <v>1</v>
      </c>
      <c r="R5277" s="272"/>
      <c r="S5277" s="272"/>
    </row>
    <row r="5278" spans="9:19">
      <c r="I5278" s="213"/>
      <c r="J5278" s="213"/>
      <c r="L5278" s="272">
        <f t="shared" si="403"/>
        <v>1900</v>
      </c>
      <c r="M5278" s="272">
        <f t="shared" si="404"/>
        <v>1</v>
      </c>
      <c r="O5278" s="61">
        <f t="shared" si="405"/>
        <v>1900</v>
      </c>
      <c r="P5278" s="61">
        <f t="shared" si="406"/>
        <v>1</v>
      </c>
      <c r="R5278" s="272"/>
      <c r="S5278" s="272"/>
    </row>
    <row r="5279" spans="9:19">
      <c r="I5279" s="213"/>
      <c r="J5279" s="213"/>
      <c r="L5279" s="272">
        <f t="shared" si="403"/>
        <v>1900</v>
      </c>
      <c r="M5279" s="272">
        <f t="shared" si="404"/>
        <v>1</v>
      </c>
      <c r="O5279" s="61">
        <f t="shared" si="405"/>
        <v>1900</v>
      </c>
      <c r="P5279" s="61">
        <f t="shared" si="406"/>
        <v>1</v>
      </c>
      <c r="R5279" s="272"/>
      <c r="S5279" s="272"/>
    </row>
    <row r="5280" spans="9:19">
      <c r="I5280" s="213"/>
      <c r="J5280" s="213"/>
      <c r="L5280" s="272">
        <f t="shared" si="403"/>
        <v>1900</v>
      </c>
      <c r="M5280" s="272">
        <f t="shared" si="404"/>
        <v>1</v>
      </c>
      <c r="O5280" s="61">
        <f t="shared" si="405"/>
        <v>1900</v>
      </c>
      <c r="P5280" s="61">
        <f t="shared" si="406"/>
        <v>1</v>
      </c>
      <c r="R5280" s="272"/>
      <c r="S5280" s="272"/>
    </row>
    <row r="5281" spans="9:19">
      <c r="I5281" s="213"/>
      <c r="J5281" s="213"/>
      <c r="L5281" s="272">
        <f t="shared" si="403"/>
        <v>1900</v>
      </c>
      <c r="M5281" s="272">
        <f t="shared" si="404"/>
        <v>1</v>
      </c>
      <c r="O5281" s="61">
        <f t="shared" si="405"/>
        <v>1900</v>
      </c>
      <c r="P5281" s="61">
        <f t="shared" si="406"/>
        <v>1</v>
      </c>
      <c r="R5281" s="272"/>
      <c r="S5281" s="272"/>
    </row>
    <row r="5282" spans="9:19">
      <c r="I5282" s="213"/>
      <c r="J5282" s="213"/>
      <c r="L5282" s="272">
        <f t="shared" si="403"/>
        <v>1900</v>
      </c>
      <c r="M5282" s="272">
        <f t="shared" si="404"/>
        <v>1</v>
      </c>
      <c r="O5282" s="61">
        <f t="shared" si="405"/>
        <v>1900</v>
      </c>
      <c r="P5282" s="61">
        <f t="shared" si="406"/>
        <v>1</v>
      </c>
      <c r="R5282" s="272"/>
      <c r="S5282" s="272"/>
    </row>
    <row r="5283" spans="9:19">
      <c r="I5283" s="213"/>
      <c r="J5283" s="213"/>
      <c r="L5283" s="272">
        <f t="shared" si="403"/>
        <v>1900</v>
      </c>
      <c r="M5283" s="272">
        <f t="shared" si="404"/>
        <v>1</v>
      </c>
      <c r="O5283" s="61">
        <f t="shared" si="405"/>
        <v>1900</v>
      </c>
      <c r="P5283" s="61">
        <f t="shared" si="406"/>
        <v>1</v>
      </c>
      <c r="R5283" s="272"/>
      <c r="S5283" s="272"/>
    </row>
    <row r="5284" spans="9:19">
      <c r="I5284" s="213"/>
      <c r="J5284" s="213"/>
      <c r="L5284" s="272">
        <f t="shared" si="403"/>
        <v>1900</v>
      </c>
      <c r="M5284" s="272">
        <f t="shared" si="404"/>
        <v>1</v>
      </c>
      <c r="O5284" s="61">
        <f t="shared" si="405"/>
        <v>1900</v>
      </c>
      <c r="P5284" s="61">
        <f t="shared" si="406"/>
        <v>1</v>
      </c>
      <c r="R5284" s="272"/>
      <c r="S5284" s="272"/>
    </row>
    <row r="5285" spans="9:19">
      <c r="I5285" s="213"/>
      <c r="J5285" s="213"/>
      <c r="L5285" s="272">
        <f t="shared" si="403"/>
        <v>1900</v>
      </c>
      <c r="M5285" s="272">
        <f t="shared" si="404"/>
        <v>1</v>
      </c>
      <c r="O5285" s="61">
        <f t="shared" si="405"/>
        <v>1900</v>
      </c>
      <c r="P5285" s="61">
        <f t="shared" si="406"/>
        <v>1</v>
      </c>
      <c r="R5285" s="272"/>
      <c r="S5285" s="272"/>
    </row>
    <row r="5286" spans="9:19">
      <c r="I5286" s="213"/>
      <c r="J5286" s="213"/>
      <c r="L5286" s="272">
        <f t="shared" si="403"/>
        <v>1900</v>
      </c>
      <c r="M5286" s="272">
        <f t="shared" si="404"/>
        <v>1</v>
      </c>
      <c r="O5286" s="61">
        <f t="shared" si="405"/>
        <v>1900</v>
      </c>
      <c r="P5286" s="61">
        <f t="shared" si="406"/>
        <v>1</v>
      </c>
      <c r="R5286" s="272"/>
      <c r="S5286" s="272"/>
    </row>
    <row r="5287" spans="9:19">
      <c r="I5287" s="213"/>
      <c r="J5287" s="213"/>
      <c r="L5287" s="272">
        <f t="shared" si="403"/>
        <v>1900</v>
      </c>
      <c r="M5287" s="272">
        <f t="shared" si="404"/>
        <v>1</v>
      </c>
      <c r="O5287" s="61">
        <f t="shared" si="405"/>
        <v>1900</v>
      </c>
      <c r="P5287" s="61">
        <f t="shared" si="406"/>
        <v>1</v>
      </c>
      <c r="R5287" s="272"/>
      <c r="S5287" s="272"/>
    </row>
    <row r="5288" spans="9:19">
      <c r="I5288" s="213"/>
      <c r="J5288" s="213"/>
      <c r="L5288" s="272">
        <f t="shared" si="403"/>
        <v>1900</v>
      </c>
      <c r="M5288" s="272">
        <f t="shared" si="404"/>
        <v>1</v>
      </c>
      <c r="O5288" s="61">
        <f t="shared" si="405"/>
        <v>1900</v>
      </c>
      <c r="P5288" s="61">
        <f t="shared" si="406"/>
        <v>1</v>
      </c>
      <c r="R5288" s="272"/>
      <c r="S5288" s="272"/>
    </row>
    <row r="5289" spans="9:19">
      <c r="I5289" s="213"/>
      <c r="J5289" s="213"/>
      <c r="L5289" s="272">
        <f t="shared" si="403"/>
        <v>1900</v>
      </c>
      <c r="M5289" s="272">
        <f t="shared" si="404"/>
        <v>1</v>
      </c>
      <c r="O5289" s="61">
        <f t="shared" si="405"/>
        <v>1900</v>
      </c>
      <c r="P5289" s="61">
        <f t="shared" si="406"/>
        <v>1</v>
      </c>
      <c r="R5289" s="272"/>
      <c r="S5289" s="272"/>
    </row>
    <row r="5290" spans="9:19">
      <c r="I5290" s="213"/>
      <c r="J5290" s="213"/>
      <c r="L5290" s="272">
        <f t="shared" si="403"/>
        <v>1900</v>
      </c>
      <c r="M5290" s="272">
        <f t="shared" si="404"/>
        <v>1</v>
      </c>
      <c r="O5290" s="61">
        <f t="shared" si="405"/>
        <v>1900</v>
      </c>
      <c r="P5290" s="61">
        <f t="shared" si="406"/>
        <v>1</v>
      </c>
      <c r="R5290" s="272"/>
      <c r="S5290" s="272"/>
    </row>
    <row r="5291" spans="9:19">
      <c r="I5291" s="213"/>
      <c r="J5291" s="213"/>
      <c r="L5291" s="272">
        <f t="shared" si="403"/>
        <v>1900</v>
      </c>
      <c r="M5291" s="272">
        <f t="shared" si="404"/>
        <v>1</v>
      </c>
      <c r="O5291" s="61">
        <f t="shared" si="405"/>
        <v>1900</v>
      </c>
      <c r="P5291" s="61">
        <f t="shared" si="406"/>
        <v>1</v>
      </c>
      <c r="R5291" s="272"/>
      <c r="S5291" s="272"/>
    </row>
    <row r="5292" spans="9:19">
      <c r="I5292" s="213"/>
      <c r="J5292" s="213"/>
      <c r="L5292" s="272">
        <f t="shared" si="403"/>
        <v>1900</v>
      </c>
      <c r="M5292" s="272">
        <f t="shared" si="404"/>
        <v>1</v>
      </c>
      <c r="O5292" s="61">
        <f t="shared" si="405"/>
        <v>1900</v>
      </c>
      <c r="P5292" s="61">
        <f t="shared" si="406"/>
        <v>1</v>
      </c>
      <c r="R5292" s="272"/>
      <c r="S5292" s="272"/>
    </row>
    <row r="5293" spans="9:19">
      <c r="I5293" s="213"/>
      <c r="J5293" s="213"/>
      <c r="L5293" s="272">
        <f t="shared" si="403"/>
        <v>1900</v>
      </c>
      <c r="M5293" s="272">
        <f t="shared" si="404"/>
        <v>1</v>
      </c>
      <c r="O5293" s="61">
        <f t="shared" si="405"/>
        <v>1900</v>
      </c>
      <c r="P5293" s="61">
        <f t="shared" si="406"/>
        <v>1</v>
      </c>
      <c r="R5293" s="272"/>
      <c r="S5293" s="272"/>
    </row>
    <row r="5294" spans="9:19">
      <c r="I5294" s="213"/>
      <c r="J5294" s="213"/>
      <c r="L5294" s="272">
        <f t="shared" si="403"/>
        <v>1900</v>
      </c>
      <c r="M5294" s="272">
        <f t="shared" si="404"/>
        <v>1</v>
      </c>
      <c r="O5294" s="61">
        <f t="shared" si="405"/>
        <v>1900</v>
      </c>
      <c r="P5294" s="61">
        <f t="shared" si="406"/>
        <v>1</v>
      </c>
      <c r="R5294" s="272"/>
      <c r="S5294" s="272"/>
    </row>
    <row r="5295" spans="9:19">
      <c r="I5295" s="213"/>
      <c r="J5295" s="213"/>
      <c r="L5295" s="272">
        <f t="shared" si="403"/>
        <v>1900</v>
      </c>
      <c r="M5295" s="272">
        <f t="shared" si="404"/>
        <v>1</v>
      </c>
      <c r="O5295" s="61">
        <f t="shared" si="405"/>
        <v>1900</v>
      </c>
      <c r="P5295" s="61">
        <f t="shared" si="406"/>
        <v>1</v>
      </c>
      <c r="R5295" s="272"/>
      <c r="S5295" s="272"/>
    </row>
    <row r="5296" spans="9:19">
      <c r="I5296" s="213"/>
      <c r="J5296" s="213"/>
      <c r="L5296" s="272">
        <f t="shared" si="403"/>
        <v>1900</v>
      </c>
      <c r="M5296" s="272">
        <f t="shared" si="404"/>
        <v>1</v>
      </c>
      <c r="O5296" s="61">
        <f t="shared" si="405"/>
        <v>1900</v>
      </c>
      <c r="P5296" s="61">
        <f t="shared" si="406"/>
        <v>1</v>
      </c>
      <c r="R5296" s="272"/>
      <c r="S5296" s="272"/>
    </row>
    <row r="5297" spans="9:19">
      <c r="I5297" s="213"/>
      <c r="J5297" s="213"/>
      <c r="L5297" s="272">
        <f t="shared" si="403"/>
        <v>1900</v>
      </c>
      <c r="M5297" s="272">
        <f t="shared" si="404"/>
        <v>1</v>
      </c>
      <c r="O5297" s="61">
        <f t="shared" si="405"/>
        <v>1900</v>
      </c>
      <c r="P5297" s="61">
        <f t="shared" si="406"/>
        <v>1</v>
      </c>
      <c r="R5297" s="272"/>
      <c r="S5297" s="272"/>
    </row>
    <row r="5298" spans="9:19">
      <c r="I5298" s="213"/>
      <c r="J5298" s="213"/>
      <c r="L5298" s="272">
        <f t="shared" si="403"/>
        <v>1900</v>
      </c>
      <c r="M5298" s="272">
        <f t="shared" si="404"/>
        <v>1</v>
      </c>
      <c r="O5298" s="61">
        <f t="shared" si="405"/>
        <v>1900</v>
      </c>
      <c r="P5298" s="61">
        <f t="shared" si="406"/>
        <v>1</v>
      </c>
      <c r="R5298" s="272"/>
      <c r="S5298" s="272"/>
    </row>
    <row r="5299" spans="9:19">
      <c r="I5299" s="213"/>
      <c r="J5299" s="213"/>
      <c r="L5299" s="272">
        <f t="shared" si="403"/>
        <v>1900</v>
      </c>
      <c r="M5299" s="272">
        <f t="shared" si="404"/>
        <v>1</v>
      </c>
      <c r="O5299" s="61">
        <f t="shared" si="405"/>
        <v>1900</v>
      </c>
      <c r="P5299" s="61">
        <f t="shared" si="406"/>
        <v>1</v>
      </c>
      <c r="R5299" s="272"/>
      <c r="S5299" s="272"/>
    </row>
    <row r="5300" spans="9:19">
      <c r="I5300" s="213"/>
      <c r="J5300" s="213"/>
      <c r="L5300" s="272">
        <f t="shared" si="403"/>
        <v>1900</v>
      </c>
      <c r="M5300" s="272">
        <f t="shared" si="404"/>
        <v>1</v>
      </c>
      <c r="O5300" s="61">
        <f t="shared" si="405"/>
        <v>1900</v>
      </c>
      <c r="P5300" s="61">
        <f t="shared" si="406"/>
        <v>1</v>
      </c>
      <c r="R5300" s="272"/>
      <c r="S5300" s="272"/>
    </row>
    <row r="5301" spans="9:19">
      <c r="I5301" s="213"/>
      <c r="J5301" s="213"/>
      <c r="L5301" s="272">
        <f t="shared" si="403"/>
        <v>1900</v>
      </c>
      <c r="M5301" s="272">
        <f t="shared" si="404"/>
        <v>1</v>
      </c>
      <c r="O5301" s="61">
        <f t="shared" si="405"/>
        <v>1900</v>
      </c>
      <c r="P5301" s="61">
        <f t="shared" si="406"/>
        <v>1</v>
      </c>
      <c r="R5301" s="272"/>
      <c r="S5301" s="272"/>
    </row>
    <row r="5302" spans="9:19">
      <c r="I5302" s="213"/>
      <c r="J5302" s="213"/>
      <c r="L5302" s="272">
        <f t="shared" si="403"/>
        <v>1900</v>
      </c>
      <c r="M5302" s="272">
        <f t="shared" si="404"/>
        <v>1</v>
      </c>
      <c r="O5302" s="61">
        <f t="shared" si="405"/>
        <v>1900</v>
      </c>
      <c r="P5302" s="61">
        <f t="shared" si="406"/>
        <v>1</v>
      </c>
      <c r="R5302" s="272"/>
      <c r="S5302" s="272"/>
    </row>
    <row r="5303" spans="9:19">
      <c r="I5303" s="213"/>
      <c r="J5303" s="213"/>
      <c r="L5303" s="272">
        <f t="shared" si="403"/>
        <v>1900</v>
      </c>
      <c r="M5303" s="272">
        <f t="shared" si="404"/>
        <v>1</v>
      </c>
      <c r="O5303" s="61">
        <f t="shared" si="405"/>
        <v>1900</v>
      </c>
      <c r="P5303" s="61">
        <f t="shared" si="406"/>
        <v>1</v>
      </c>
      <c r="R5303" s="272"/>
      <c r="S5303" s="272"/>
    </row>
    <row r="5304" spans="9:19">
      <c r="I5304" s="213"/>
      <c r="J5304" s="213"/>
      <c r="L5304" s="272">
        <f t="shared" si="403"/>
        <v>1900</v>
      </c>
      <c r="M5304" s="272">
        <f t="shared" si="404"/>
        <v>1</v>
      </c>
      <c r="O5304" s="61">
        <f t="shared" si="405"/>
        <v>1900</v>
      </c>
      <c r="P5304" s="61">
        <f t="shared" si="406"/>
        <v>1</v>
      </c>
      <c r="R5304" s="272"/>
      <c r="S5304" s="272"/>
    </row>
    <row r="5305" spans="9:19">
      <c r="I5305" s="213"/>
      <c r="J5305" s="213"/>
      <c r="L5305" s="272">
        <f t="shared" si="403"/>
        <v>1900</v>
      </c>
      <c r="M5305" s="272">
        <f t="shared" si="404"/>
        <v>1</v>
      </c>
      <c r="O5305" s="61">
        <f t="shared" si="405"/>
        <v>1900</v>
      </c>
      <c r="P5305" s="61">
        <f t="shared" si="406"/>
        <v>1</v>
      </c>
      <c r="R5305" s="272"/>
      <c r="S5305" s="272"/>
    </row>
    <row r="5306" spans="9:19">
      <c r="I5306" s="213"/>
      <c r="J5306" s="213"/>
      <c r="L5306" s="272">
        <f t="shared" si="403"/>
        <v>1900</v>
      </c>
      <c r="M5306" s="272">
        <f t="shared" si="404"/>
        <v>1</v>
      </c>
      <c r="O5306" s="61">
        <f t="shared" si="405"/>
        <v>1900</v>
      </c>
      <c r="P5306" s="61">
        <f t="shared" si="406"/>
        <v>1</v>
      </c>
      <c r="R5306" s="272"/>
      <c r="S5306" s="272"/>
    </row>
    <row r="5307" spans="9:19">
      <c r="I5307" s="213"/>
      <c r="J5307" s="213"/>
      <c r="L5307" s="272">
        <f t="shared" si="403"/>
        <v>1900</v>
      </c>
      <c r="M5307" s="272">
        <f t="shared" si="404"/>
        <v>1</v>
      </c>
      <c r="O5307" s="61">
        <f t="shared" si="405"/>
        <v>1900</v>
      </c>
      <c r="P5307" s="61">
        <f t="shared" si="406"/>
        <v>1</v>
      </c>
      <c r="R5307" s="272"/>
      <c r="S5307" s="272"/>
    </row>
    <row r="5308" spans="9:19">
      <c r="I5308" s="213"/>
      <c r="J5308" s="213"/>
      <c r="L5308" s="272">
        <f t="shared" si="403"/>
        <v>1900</v>
      </c>
      <c r="M5308" s="272">
        <f t="shared" si="404"/>
        <v>1</v>
      </c>
      <c r="O5308" s="61">
        <f t="shared" si="405"/>
        <v>1900</v>
      </c>
      <c r="P5308" s="61">
        <f t="shared" si="406"/>
        <v>1</v>
      </c>
      <c r="R5308" s="272"/>
      <c r="S5308" s="272"/>
    </row>
    <row r="5309" spans="9:19">
      <c r="I5309" s="213"/>
      <c r="J5309" s="213"/>
      <c r="L5309" s="272">
        <f t="shared" si="403"/>
        <v>1900</v>
      </c>
      <c r="M5309" s="272">
        <f t="shared" si="404"/>
        <v>1</v>
      </c>
      <c r="O5309" s="61">
        <f t="shared" si="405"/>
        <v>1900</v>
      </c>
      <c r="P5309" s="61">
        <f t="shared" si="406"/>
        <v>1</v>
      </c>
      <c r="R5309" s="272"/>
      <c r="S5309" s="272"/>
    </row>
    <row r="5310" spans="9:19">
      <c r="I5310" s="213"/>
      <c r="J5310" s="213"/>
      <c r="L5310" s="272">
        <f t="shared" si="403"/>
        <v>1900</v>
      </c>
      <c r="M5310" s="272">
        <f t="shared" si="404"/>
        <v>1</v>
      </c>
      <c r="O5310" s="61">
        <f t="shared" si="405"/>
        <v>1900</v>
      </c>
      <c r="P5310" s="61">
        <f t="shared" si="406"/>
        <v>1</v>
      </c>
      <c r="R5310" s="272"/>
      <c r="S5310" s="272"/>
    </row>
    <row r="5311" spans="9:19">
      <c r="I5311" s="213"/>
      <c r="J5311" s="213"/>
      <c r="L5311" s="272">
        <f t="shared" si="403"/>
        <v>1900</v>
      </c>
      <c r="M5311" s="272">
        <f t="shared" si="404"/>
        <v>1</v>
      </c>
      <c r="O5311" s="61">
        <f t="shared" si="405"/>
        <v>1900</v>
      </c>
      <c r="P5311" s="61">
        <f t="shared" si="406"/>
        <v>1</v>
      </c>
      <c r="R5311" s="272"/>
      <c r="S5311" s="272"/>
    </row>
    <row r="5312" spans="9:19">
      <c r="I5312" s="213"/>
      <c r="J5312" s="213"/>
      <c r="L5312" s="272">
        <f t="shared" si="403"/>
        <v>1900</v>
      </c>
      <c r="M5312" s="272">
        <f t="shared" si="404"/>
        <v>1</v>
      </c>
      <c r="O5312" s="61">
        <f t="shared" si="405"/>
        <v>1900</v>
      </c>
      <c r="P5312" s="61">
        <f t="shared" si="406"/>
        <v>1</v>
      </c>
      <c r="R5312" s="272"/>
      <c r="S5312" s="272"/>
    </row>
    <row r="5313" spans="9:19">
      <c r="I5313" s="213"/>
      <c r="J5313" s="213"/>
      <c r="L5313" s="272">
        <f t="shared" si="403"/>
        <v>1900</v>
      </c>
      <c r="M5313" s="272">
        <f t="shared" si="404"/>
        <v>1</v>
      </c>
      <c r="O5313" s="61">
        <f t="shared" si="405"/>
        <v>1900</v>
      </c>
      <c r="P5313" s="61">
        <f t="shared" si="406"/>
        <v>1</v>
      </c>
      <c r="R5313" s="272"/>
      <c r="S5313" s="272"/>
    </row>
    <row r="5314" spans="9:19">
      <c r="I5314" s="213"/>
      <c r="J5314" s="213"/>
      <c r="L5314" s="272">
        <f t="shared" si="403"/>
        <v>1900</v>
      </c>
      <c r="M5314" s="272">
        <f t="shared" si="404"/>
        <v>1</v>
      </c>
      <c r="O5314" s="61">
        <f t="shared" si="405"/>
        <v>1900</v>
      </c>
      <c r="P5314" s="61">
        <f t="shared" si="406"/>
        <v>1</v>
      </c>
      <c r="R5314" s="272"/>
      <c r="S5314" s="272"/>
    </row>
    <row r="5315" spans="9:19">
      <c r="I5315" s="213"/>
      <c r="J5315" s="213"/>
      <c r="L5315" s="272">
        <f t="shared" si="403"/>
        <v>1900</v>
      </c>
      <c r="M5315" s="272">
        <f t="shared" si="404"/>
        <v>1</v>
      </c>
      <c r="O5315" s="61">
        <f t="shared" si="405"/>
        <v>1900</v>
      </c>
      <c r="P5315" s="61">
        <f t="shared" si="406"/>
        <v>1</v>
      </c>
      <c r="R5315" s="272"/>
      <c r="S5315" s="272"/>
    </row>
    <row r="5316" spans="9:19">
      <c r="I5316" s="213"/>
      <c r="J5316" s="213"/>
      <c r="L5316" s="272">
        <f t="shared" si="403"/>
        <v>1900</v>
      </c>
      <c r="M5316" s="272">
        <f t="shared" si="404"/>
        <v>1</v>
      </c>
      <c r="O5316" s="61">
        <f t="shared" si="405"/>
        <v>1900</v>
      </c>
      <c r="P5316" s="61">
        <f t="shared" si="406"/>
        <v>1</v>
      </c>
      <c r="R5316" s="272"/>
      <c r="S5316" s="272"/>
    </row>
    <row r="5317" spans="9:19">
      <c r="I5317" s="213"/>
      <c r="J5317" s="213"/>
      <c r="L5317" s="272">
        <f t="shared" si="403"/>
        <v>1900</v>
      </c>
      <c r="M5317" s="272">
        <f t="shared" si="404"/>
        <v>1</v>
      </c>
      <c r="O5317" s="61">
        <f t="shared" si="405"/>
        <v>1900</v>
      </c>
      <c r="P5317" s="61">
        <f t="shared" si="406"/>
        <v>1</v>
      </c>
      <c r="R5317" s="272"/>
      <c r="S5317" s="272"/>
    </row>
    <row r="5318" spans="9:19">
      <c r="I5318" s="213"/>
      <c r="J5318" s="213"/>
      <c r="L5318" s="272">
        <f t="shared" si="403"/>
        <v>1900</v>
      </c>
      <c r="M5318" s="272">
        <f t="shared" si="404"/>
        <v>1</v>
      </c>
      <c r="O5318" s="61">
        <f t="shared" si="405"/>
        <v>1900</v>
      </c>
      <c r="P5318" s="61">
        <f t="shared" si="406"/>
        <v>1</v>
      </c>
      <c r="R5318" s="272"/>
      <c r="S5318" s="272"/>
    </row>
    <row r="5319" spans="9:19">
      <c r="I5319" s="213"/>
      <c r="J5319" s="213"/>
      <c r="L5319" s="272">
        <f t="shared" si="403"/>
        <v>1900</v>
      </c>
      <c r="M5319" s="272">
        <f t="shared" si="404"/>
        <v>1</v>
      </c>
      <c r="O5319" s="61">
        <f t="shared" si="405"/>
        <v>1900</v>
      </c>
      <c r="P5319" s="61">
        <f t="shared" si="406"/>
        <v>1</v>
      </c>
      <c r="R5319" s="272"/>
      <c r="S5319" s="272"/>
    </row>
    <row r="5320" spans="9:19">
      <c r="I5320" s="213"/>
      <c r="J5320" s="213"/>
      <c r="L5320" s="272">
        <f t="shared" si="403"/>
        <v>1900</v>
      </c>
      <c r="M5320" s="272">
        <f t="shared" si="404"/>
        <v>1</v>
      </c>
      <c r="O5320" s="61">
        <f t="shared" si="405"/>
        <v>1900</v>
      </c>
      <c r="P5320" s="61">
        <f t="shared" si="406"/>
        <v>1</v>
      </c>
      <c r="R5320" s="272"/>
      <c r="S5320" s="272"/>
    </row>
    <row r="5321" spans="9:19">
      <c r="I5321" s="213"/>
      <c r="J5321" s="213"/>
      <c r="L5321" s="272">
        <f t="shared" si="403"/>
        <v>1900</v>
      </c>
      <c r="M5321" s="272">
        <f t="shared" si="404"/>
        <v>1</v>
      </c>
      <c r="O5321" s="61">
        <f t="shared" si="405"/>
        <v>1900</v>
      </c>
      <c r="P5321" s="61">
        <f t="shared" si="406"/>
        <v>1</v>
      </c>
      <c r="R5321" s="272"/>
      <c r="S5321" s="272"/>
    </row>
    <row r="5322" spans="9:19">
      <c r="I5322" s="213"/>
      <c r="J5322" s="213"/>
      <c r="L5322" s="272">
        <f t="shared" si="403"/>
        <v>1900</v>
      </c>
      <c r="M5322" s="272">
        <f t="shared" si="404"/>
        <v>1</v>
      </c>
      <c r="O5322" s="61">
        <f t="shared" si="405"/>
        <v>1900</v>
      </c>
      <c r="P5322" s="61">
        <f t="shared" si="406"/>
        <v>1</v>
      </c>
      <c r="R5322" s="272"/>
      <c r="S5322" s="272"/>
    </row>
    <row r="5323" spans="9:19">
      <c r="I5323" s="213"/>
      <c r="J5323" s="213"/>
      <c r="L5323" s="272">
        <f t="shared" si="403"/>
        <v>1900</v>
      </c>
      <c r="M5323" s="272">
        <f t="shared" si="404"/>
        <v>1</v>
      </c>
      <c r="O5323" s="61">
        <f t="shared" si="405"/>
        <v>1900</v>
      </c>
      <c r="P5323" s="61">
        <f t="shared" si="406"/>
        <v>1</v>
      </c>
      <c r="R5323" s="272"/>
      <c r="S5323" s="272"/>
    </row>
    <row r="5324" spans="9:19">
      <c r="I5324" s="213"/>
      <c r="J5324" s="213"/>
      <c r="L5324" s="272">
        <f t="shared" si="403"/>
        <v>1900</v>
      </c>
      <c r="M5324" s="272">
        <f t="shared" si="404"/>
        <v>1</v>
      </c>
      <c r="O5324" s="61">
        <f t="shared" si="405"/>
        <v>1900</v>
      </c>
      <c r="P5324" s="61">
        <f t="shared" si="406"/>
        <v>1</v>
      </c>
      <c r="R5324" s="272"/>
      <c r="S5324" s="272"/>
    </row>
    <row r="5325" spans="9:19">
      <c r="I5325" s="213"/>
      <c r="J5325" s="213"/>
      <c r="L5325" s="272">
        <f t="shared" si="403"/>
        <v>1900</v>
      </c>
      <c r="M5325" s="272">
        <f t="shared" si="404"/>
        <v>1</v>
      </c>
      <c r="O5325" s="61">
        <f t="shared" si="405"/>
        <v>1900</v>
      </c>
      <c r="P5325" s="61">
        <f t="shared" si="406"/>
        <v>1</v>
      </c>
      <c r="R5325" s="272"/>
      <c r="S5325" s="272"/>
    </row>
    <row r="5326" spans="9:19">
      <c r="I5326" s="213"/>
      <c r="J5326" s="213"/>
      <c r="L5326" s="272">
        <f t="shared" si="403"/>
        <v>1900</v>
      </c>
      <c r="M5326" s="272">
        <f t="shared" si="404"/>
        <v>1</v>
      </c>
      <c r="O5326" s="61">
        <f t="shared" si="405"/>
        <v>1900</v>
      </c>
      <c r="P5326" s="61">
        <f t="shared" si="406"/>
        <v>1</v>
      </c>
      <c r="R5326" s="272"/>
      <c r="S5326" s="272"/>
    </row>
    <row r="5327" spans="9:19">
      <c r="I5327" s="213"/>
      <c r="J5327" s="213"/>
      <c r="L5327" s="272">
        <f t="shared" si="403"/>
        <v>1900</v>
      </c>
      <c r="M5327" s="272">
        <f t="shared" si="404"/>
        <v>1</v>
      </c>
      <c r="O5327" s="61">
        <f t="shared" si="405"/>
        <v>1900</v>
      </c>
      <c r="P5327" s="61">
        <f t="shared" si="406"/>
        <v>1</v>
      </c>
      <c r="R5327" s="272"/>
      <c r="S5327" s="272"/>
    </row>
    <row r="5328" spans="9:19">
      <c r="I5328" s="213"/>
      <c r="J5328" s="213"/>
      <c r="L5328" s="272">
        <f t="shared" ref="L5328:L5391" si="407">YEAR(B5328)</f>
        <v>1900</v>
      </c>
      <c r="M5328" s="272">
        <f t="shared" ref="M5328:M5391" si="408">MONTH(B5328)</f>
        <v>1</v>
      </c>
      <c r="O5328" s="61">
        <f t="shared" ref="O5328:O5391" si="409">YEAR(B5328)</f>
        <v>1900</v>
      </c>
      <c r="P5328" s="61">
        <f t="shared" ref="P5328:P5391" si="410">MONTH(B5328)</f>
        <v>1</v>
      </c>
      <c r="R5328" s="272"/>
      <c r="S5328" s="272"/>
    </row>
    <row r="5329" spans="9:19">
      <c r="I5329" s="213"/>
      <c r="J5329" s="213"/>
      <c r="L5329" s="272">
        <f t="shared" si="407"/>
        <v>1900</v>
      </c>
      <c r="M5329" s="272">
        <f t="shared" si="408"/>
        <v>1</v>
      </c>
      <c r="O5329" s="61">
        <f t="shared" si="409"/>
        <v>1900</v>
      </c>
      <c r="P5329" s="61">
        <f t="shared" si="410"/>
        <v>1</v>
      </c>
      <c r="R5329" s="272"/>
      <c r="S5329" s="272"/>
    </row>
    <row r="5330" spans="9:19">
      <c r="I5330" s="213"/>
      <c r="J5330" s="213"/>
      <c r="L5330" s="272">
        <f t="shared" si="407"/>
        <v>1900</v>
      </c>
      <c r="M5330" s="272">
        <f t="shared" si="408"/>
        <v>1</v>
      </c>
      <c r="O5330" s="61">
        <f t="shared" si="409"/>
        <v>1900</v>
      </c>
      <c r="P5330" s="61">
        <f t="shared" si="410"/>
        <v>1</v>
      </c>
      <c r="R5330" s="272"/>
      <c r="S5330" s="272"/>
    </row>
    <row r="5331" spans="9:19">
      <c r="I5331" s="213"/>
      <c r="J5331" s="213"/>
      <c r="L5331" s="272">
        <f t="shared" si="407"/>
        <v>1900</v>
      </c>
      <c r="M5331" s="272">
        <f t="shared" si="408"/>
        <v>1</v>
      </c>
      <c r="O5331" s="61">
        <f t="shared" si="409"/>
        <v>1900</v>
      </c>
      <c r="P5331" s="61">
        <f t="shared" si="410"/>
        <v>1</v>
      </c>
      <c r="R5331" s="272"/>
      <c r="S5331" s="272"/>
    </row>
    <row r="5332" spans="9:19">
      <c r="I5332" s="213"/>
      <c r="J5332" s="213"/>
      <c r="L5332" s="272">
        <f t="shared" si="407"/>
        <v>1900</v>
      </c>
      <c r="M5332" s="272">
        <f t="shared" si="408"/>
        <v>1</v>
      </c>
      <c r="O5332" s="61">
        <f t="shared" si="409"/>
        <v>1900</v>
      </c>
      <c r="P5332" s="61">
        <f t="shared" si="410"/>
        <v>1</v>
      </c>
      <c r="R5332" s="272"/>
      <c r="S5332" s="272"/>
    </row>
    <row r="5333" spans="9:19">
      <c r="I5333" s="213"/>
      <c r="J5333" s="213"/>
      <c r="L5333" s="272">
        <f t="shared" si="407"/>
        <v>1900</v>
      </c>
      <c r="M5333" s="272">
        <f t="shared" si="408"/>
        <v>1</v>
      </c>
      <c r="O5333" s="61">
        <f t="shared" si="409"/>
        <v>1900</v>
      </c>
      <c r="P5333" s="61">
        <f t="shared" si="410"/>
        <v>1</v>
      </c>
      <c r="R5333" s="272"/>
      <c r="S5333" s="272"/>
    </row>
    <row r="5334" spans="9:19">
      <c r="I5334" s="213"/>
      <c r="J5334" s="213"/>
      <c r="L5334" s="272">
        <f t="shared" si="407"/>
        <v>1900</v>
      </c>
      <c r="M5334" s="272">
        <f t="shared" si="408"/>
        <v>1</v>
      </c>
      <c r="O5334" s="61">
        <f t="shared" si="409"/>
        <v>1900</v>
      </c>
      <c r="P5334" s="61">
        <f t="shared" si="410"/>
        <v>1</v>
      </c>
      <c r="R5334" s="272"/>
      <c r="S5334" s="272"/>
    </row>
    <row r="5335" spans="9:19">
      <c r="I5335" s="213"/>
      <c r="J5335" s="213"/>
      <c r="L5335" s="272">
        <f t="shared" si="407"/>
        <v>1900</v>
      </c>
      <c r="M5335" s="272">
        <f t="shared" si="408"/>
        <v>1</v>
      </c>
      <c r="O5335" s="61">
        <f t="shared" si="409"/>
        <v>1900</v>
      </c>
      <c r="P5335" s="61">
        <f t="shared" si="410"/>
        <v>1</v>
      </c>
      <c r="R5335" s="272"/>
      <c r="S5335" s="272"/>
    </row>
    <row r="5336" spans="9:19">
      <c r="I5336" s="213"/>
      <c r="J5336" s="213"/>
      <c r="L5336" s="272">
        <f t="shared" si="407"/>
        <v>1900</v>
      </c>
      <c r="M5336" s="272">
        <f t="shared" si="408"/>
        <v>1</v>
      </c>
      <c r="O5336" s="61">
        <f t="shared" si="409"/>
        <v>1900</v>
      </c>
      <c r="P5336" s="61">
        <f t="shared" si="410"/>
        <v>1</v>
      </c>
      <c r="R5336" s="272"/>
      <c r="S5336" s="272"/>
    </row>
    <row r="5337" spans="9:19">
      <c r="I5337" s="213"/>
      <c r="J5337" s="213"/>
      <c r="L5337" s="272">
        <f t="shared" si="407"/>
        <v>1900</v>
      </c>
      <c r="M5337" s="272">
        <f t="shared" si="408"/>
        <v>1</v>
      </c>
      <c r="O5337" s="61">
        <f t="shared" si="409"/>
        <v>1900</v>
      </c>
      <c r="P5337" s="61">
        <f t="shared" si="410"/>
        <v>1</v>
      </c>
      <c r="R5337" s="272"/>
      <c r="S5337" s="272"/>
    </row>
    <row r="5338" spans="9:19">
      <c r="I5338" s="213"/>
      <c r="J5338" s="213"/>
      <c r="L5338" s="272">
        <f t="shared" si="407"/>
        <v>1900</v>
      </c>
      <c r="M5338" s="272">
        <f t="shared" si="408"/>
        <v>1</v>
      </c>
      <c r="O5338" s="61">
        <f t="shared" si="409"/>
        <v>1900</v>
      </c>
      <c r="P5338" s="61">
        <f t="shared" si="410"/>
        <v>1</v>
      </c>
      <c r="R5338" s="272"/>
      <c r="S5338" s="272"/>
    </row>
    <row r="5339" spans="9:19">
      <c r="I5339" s="213"/>
      <c r="J5339" s="213"/>
      <c r="L5339" s="272">
        <f t="shared" si="407"/>
        <v>1900</v>
      </c>
      <c r="M5339" s="272">
        <f t="shared" si="408"/>
        <v>1</v>
      </c>
      <c r="O5339" s="61">
        <f t="shared" si="409"/>
        <v>1900</v>
      </c>
      <c r="P5339" s="61">
        <f t="shared" si="410"/>
        <v>1</v>
      </c>
      <c r="R5339" s="272"/>
      <c r="S5339" s="272"/>
    </row>
    <row r="5340" spans="9:19">
      <c r="I5340" s="213"/>
      <c r="J5340" s="213"/>
      <c r="L5340" s="272">
        <f t="shared" si="407"/>
        <v>1900</v>
      </c>
      <c r="M5340" s="272">
        <f t="shared" si="408"/>
        <v>1</v>
      </c>
      <c r="O5340" s="61">
        <f t="shared" si="409"/>
        <v>1900</v>
      </c>
      <c r="P5340" s="61">
        <f t="shared" si="410"/>
        <v>1</v>
      </c>
      <c r="R5340" s="272"/>
      <c r="S5340" s="272"/>
    </row>
    <row r="5341" spans="9:19">
      <c r="I5341" s="213"/>
      <c r="J5341" s="213"/>
      <c r="L5341" s="272">
        <f t="shared" si="407"/>
        <v>1900</v>
      </c>
      <c r="M5341" s="272">
        <f t="shared" si="408"/>
        <v>1</v>
      </c>
      <c r="O5341" s="61">
        <f t="shared" si="409"/>
        <v>1900</v>
      </c>
      <c r="P5341" s="61">
        <f t="shared" si="410"/>
        <v>1</v>
      </c>
      <c r="R5341" s="272"/>
      <c r="S5341" s="272"/>
    </row>
    <row r="5342" spans="9:19">
      <c r="I5342" s="213"/>
      <c r="J5342" s="213"/>
      <c r="L5342" s="272">
        <f t="shared" si="407"/>
        <v>1900</v>
      </c>
      <c r="M5342" s="272">
        <f t="shared" si="408"/>
        <v>1</v>
      </c>
      <c r="O5342" s="61">
        <f t="shared" si="409"/>
        <v>1900</v>
      </c>
      <c r="P5342" s="61">
        <f t="shared" si="410"/>
        <v>1</v>
      </c>
      <c r="R5342" s="272"/>
      <c r="S5342" s="272"/>
    </row>
    <row r="5343" spans="9:19">
      <c r="I5343" s="213"/>
      <c r="J5343" s="213"/>
      <c r="L5343" s="272">
        <f t="shared" si="407"/>
        <v>1900</v>
      </c>
      <c r="M5343" s="272">
        <f t="shared" si="408"/>
        <v>1</v>
      </c>
      <c r="O5343" s="61">
        <f t="shared" si="409"/>
        <v>1900</v>
      </c>
      <c r="P5343" s="61">
        <f t="shared" si="410"/>
        <v>1</v>
      </c>
      <c r="R5343" s="272"/>
      <c r="S5343" s="272"/>
    </row>
    <row r="5344" spans="9:19">
      <c r="I5344" s="213"/>
      <c r="J5344" s="213"/>
      <c r="L5344" s="272">
        <f t="shared" si="407"/>
        <v>1900</v>
      </c>
      <c r="M5344" s="272">
        <f t="shared" si="408"/>
        <v>1</v>
      </c>
      <c r="O5344" s="61">
        <f t="shared" si="409"/>
        <v>1900</v>
      </c>
      <c r="P5344" s="61">
        <f t="shared" si="410"/>
        <v>1</v>
      </c>
      <c r="R5344" s="272"/>
      <c r="S5344" s="272"/>
    </row>
    <row r="5345" spans="9:19">
      <c r="I5345" s="213"/>
      <c r="J5345" s="213"/>
      <c r="L5345" s="272">
        <f t="shared" si="407"/>
        <v>1900</v>
      </c>
      <c r="M5345" s="272">
        <f t="shared" si="408"/>
        <v>1</v>
      </c>
      <c r="O5345" s="61">
        <f t="shared" si="409"/>
        <v>1900</v>
      </c>
      <c r="P5345" s="61">
        <f t="shared" si="410"/>
        <v>1</v>
      </c>
      <c r="R5345" s="272"/>
      <c r="S5345" s="272"/>
    </row>
    <row r="5346" spans="9:19">
      <c r="I5346" s="213"/>
      <c r="J5346" s="213"/>
      <c r="L5346" s="272">
        <f t="shared" si="407"/>
        <v>1900</v>
      </c>
      <c r="M5346" s="272">
        <f t="shared" si="408"/>
        <v>1</v>
      </c>
      <c r="O5346" s="61">
        <f t="shared" si="409"/>
        <v>1900</v>
      </c>
      <c r="P5346" s="61">
        <f t="shared" si="410"/>
        <v>1</v>
      </c>
      <c r="R5346" s="272"/>
      <c r="S5346" s="272"/>
    </row>
    <row r="5347" spans="9:19">
      <c r="I5347" s="213"/>
      <c r="J5347" s="213"/>
      <c r="L5347" s="272">
        <f t="shared" si="407"/>
        <v>1900</v>
      </c>
      <c r="M5347" s="272">
        <f t="shared" si="408"/>
        <v>1</v>
      </c>
      <c r="O5347" s="61">
        <f t="shared" si="409"/>
        <v>1900</v>
      </c>
      <c r="P5347" s="61">
        <f t="shared" si="410"/>
        <v>1</v>
      </c>
      <c r="R5347" s="272"/>
      <c r="S5347" s="272"/>
    </row>
    <row r="5348" spans="9:19">
      <c r="I5348" s="213"/>
      <c r="J5348" s="213"/>
      <c r="L5348" s="272">
        <f t="shared" si="407"/>
        <v>1900</v>
      </c>
      <c r="M5348" s="272">
        <f t="shared" si="408"/>
        <v>1</v>
      </c>
      <c r="O5348" s="61">
        <f t="shared" si="409"/>
        <v>1900</v>
      </c>
      <c r="P5348" s="61">
        <f t="shared" si="410"/>
        <v>1</v>
      </c>
      <c r="R5348" s="272"/>
      <c r="S5348" s="272"/>
    </row>
    <row r="5349" spans="9:19">
      <c r="I5349" s="213"/>
      <c r="J5349" s="213"/>
      <c r="L5349" s="272">
        <f t="shared" si="407"/>
        <v>1900</v>
      </c>
      <c r="M5349" s="272">
        <f t="shared" si="408"/>
        <v>1</v>
      </c>
      <c r="O5349" s="61">
        <f t="shared" si="409"/>
        <v>1900</v>
      </c>
      <c r="P5349" s="61">
        <f t="shared" si="410"/>
        <v>1</v>
      </c>
      <c r="R5349" s="272"/>
      <c r="S5349" s="272"/>
    </row>
    <row r="5350" spans="9:19">
      <c r="I5350" s="213"/>
      <c r="J5350" s="213"/>
      <c r="L5350" s="272">
        <f t="shared" si="407"/>
        <v>1900</v>
      </c>
      <c r="M5350" s="272">
        <f t="shared" si="408"/>
        <v>1</v>
      </c>
      <c r="O5350" s="61">
        <f t="shared" si="409"/>
        <v>1900</v>
      </c>
      <c r="P5350" s="61">
        <f t="shared" si="410"/>
        <v>1</v>
      </c>
      <c r="R5350" s="272"/>
      <c r="S5350" s="272"/>
    </row>
    <row r="5351" spans="9:19">
      <c r="I5351" s="213"/>
      <c r="J5351" s="213"/>
      <c r="L5351" s="272">
        <f t="shared" si="407"/>
        <v>1900</v>
      </c>
      <c r="M5351" s="272">
        <f t="shared" si="408"/>
        <v>1</v>
      </c>
      <c r="O5351" s="61">
        <f t="shared" si="409"/>
        <v>1900</v>
      </c>
      <c r="P5351" s="61">
        <f t="shared" si="410"/>
        <v>1</v>
      </c>
      <c r="R5351" s="272"/>
      <c r="S5351" s="272"/>
    </row>
    <row r="5352" spans="9:19">
      <c r="I5352" s="213"/>
      <c r="J5352" s="213"/>
      <c r="L5352" s="272">
        <f t="shared" si="407"/>
        <v>1900</v>
      </c>
      <c r="M5352" s="272">
        <f t="shared" si="408"/>
        <v>1</v>
      </c>
      <c r="O5352" s="61">
        <f t="shared" si="409"/>
        <v>1900</v>
      </c>
      <c r="P5352" s="61">
        <f t="shared" si="410"/>
        <v>1</v>
      </c>
      <c r="R5352" s="272"/>
      <c r="S5352" s="272"/>
    </row>
    <row r="5353" spans="9:19">
      <c r="I5353" s="213"/>
      <c r="J5353" s="213"/>
      <c r="L5353" s="272">
        <f t="shared" si="407"/>
        <v>1900</v>
      </c>
      <c r="M5353" s="272">
        <f t="shared" si="408"/>
        <v>1</v>
      </c>
      <c r="O5353" s="61">
        <f t="shared" si="409"/>
        <v>1900</v>
      </c>
      <c r="P5353" s="61">
        <f t="shared" si="410"/>
        <v>1</v>
      </c>
      <c r="R5353" s="272"/>
      <c r="S5353" s="272"/>
    </row>
    <row r="5354" spans="9:19">
      <c r="I5354" s="213"/>
      <c r="J5354" s="213"/>
      <c r="L5354" s="272">
        <f t="shared" si="407"/>
        <v>1900</v>
      </c>
      <c r="M5354" s="272">
        <f t="shared" si="408"/>
        <v>1</v>
      </c>
      <c r="O5354" s="61">
        <f t="shared" si="409"/>
        <v>1900</v>
      </c>
      <c r="P5354" s="61">
        <f t="shared" si="410"/>
        <v>1</v>
      </c>
      <c r="R5354" s="272"/>
      <c r="S5354" s="272"/>
    </row>
    <row r="5355" spans="9:19">
      <c r="I5355" s="213"/>
      <c r="J5355" s="213"/>
      <c r="L5355" s="272">
        <f t="shared" si="407"/>
        <v>1900</v>
      </c>
      <c r="M5355" s="272">
        <f t="shared" si="408"/>
        <v>1</v>
      </c>
      <c r="O5355" s="61">
        <f t="shared" si="409"/>
        <v>1900</v>
      </c>
      <c r="P5355" s="61">
        <f t="shared" si="410"/>
        <v>1</v>
      </c>
      <c r="R5355" s="272"/>
      <c r="S5355" s="272"/>
    </row>
    <row r="5356" spans="9:19">
      <c r="I5356" s="213"/>
      <c r="J5356" s="213"/>
      <c r="L5356" s="272">
        <f t="shared" si="407"/>
        <v>1900</v>
      </c>
      <c r="M5356" s="272">
        <f t="shared" si="408"/>
        <v>1</v>
      </c>
      <c r="O5356" s="61">
        <f t="shared" si="409"/>
        <v>1900</v>
      </c>
      <c r="P5356" s="61">
        <f t="shared" si="410"/>
        <v>1</v>
      </c>
      <c r="R5356" s="272"/>
      <c r="S5356" s="272"/>
    </row>
    <row r="5357" spans="9:19">
      <c r="I5357" s="213"/>
      <c r="J5357" s="213"/>
      <c r="L5357" s="272">
        <f t="shared" si="407"/>
        <v>1900</v>
      </c>
      <c r="M5357" s="272">
        <f t="shared" si="408"/>
        <v>1</v>
      </c>
      <c r="O5357" s="61">
        <f t="shared" si="409"/>
        <v>1900</v>
      </c>
      <c r="P5357" s="61">
        <f t="shared" si="410"/>
        <v>1</v>
      </c>
      <c r="R5357" s="272"/>
      <c r="S5357" s="272"/>
    </row>
    <row r="5358" spans="9:19">
      <c r="I5358" s="213"/>
      <c r="J5358" s="213"/>
      <c r="L5358" s="272">
        <f t="shared" si="407"/>
        <v>1900</v>
      </c>
      <c r="M5358" s="272">
        <f t="shared" si="408"/>
        <v>1</v>
      </c>
      <c r="O5358" s="61">
        <f t="shared" si="409"/>
        <v>1900</v>
      </c>
      <c r="P5358" s="61">
        <f t="shared" si="410"/>
        <v>1</v>
      </c>
      <c r="R5358" s="272"/>
      <c r="S5358" s="272"/>
    </row>
    <row r="5359" spans="9:19">
      <c r="I5359" s="213"/>
      <c r="J5359" s="213"/>
      <c r="L5359" s="272">
        <f t="shared" si="407"/>
        <v>1900</v>
      </c>
      <c r="M5359" s="272">
        <f t="shared" si="408"/>
        <v>1</v>
      </c>
      <c r="O5359" s="61">
        <f t="shared" si="409"/>
        <v>1900</v>
      </c>
      <c r="P5359" s="61">
        <f t="shared" si="410"/>
        <v>1</v>
      </c>
      <c r="R5359" s="272"/>
      <c r="S5359" s="272"/>
    </row>
    <row r="5360" spans="9:19">
      <c r="I5360" s="213"/>
      <c r="J5360" s="213"/>
      <c r="L5360" s="272">
        <f t="shared" si="407"/>
        <v>1900</v>
      </c>
      <c r="M5360" s="272">
        <f t="shared" si="408"/>
        <v>1</v>
      </c>
      <c r="O5360" s="61">
        <f t="shared" si="409"/>
        <v>1900</v>
      </c>
      <c r="P5360" s="61">
        <f t="shared" si="410"/>
        <v>1</v>
      </c>
      <c r="R5360" s="272"/>
      <c r="S5360" s="272"/>
    </row>
    <row r="5361" spans="9:19">
      <c r="I5361" s="213"/>
      <c r="J5361" s="213"/>
      <c r="L5361" s="272">
        <f t="shared" si="407"/>
        <v>1900</v>
      </c>
      <c r="M5361" s="272">
        <f t="shared" si="408"/>
        <v>1</v>
      </c>
      <c r="O5361" s="61">
        <f t="shared" si="409"/>
        <v>1900</v>
      </c>
      <c r="P5361" s="61">
        <f t="shared" si="410"/>
        <v>1</v>
      </c>
      <c r="R5361" s="272"/>
      <c r="S5361" s="272"/>
    </row>
    <row r="5362" spans="9:19">
      <c r="I5362" s="213"/>
      <c r="J5362" s="213"/>
      <c r="L5362" s="272">
        <f t="shared" si="407"/>
        <v>1900</v>
      </c>
      <c r="M5362" s="272">
        <f t="shared" si="408"/>
        <v>1</v>
      </c>
      <c r="O5362" s="61">
        <f t="shared" si="409"/>
        <v>1900</v>
      </c>
      <c r="P5362" s="61">
        <f t="shared" si="410"/>
        <v>1</v>
      </c>
      <c r="R5362" s="272"/>
      <c r="S5362" s="272"/>
    </row>
    <row r="5363" spans="9:19">
      <c r="I5363" s="213"/>
      <c r="J5363" s="213"/>
      <c r="L5363" s="272">
        <f t="shared" si="407"/>
        <v>1900</v>
      </c>
      <c r="M5363" s="272">
        <f t="shared" si="408"/>
        <v>1</v>
      </c>
      <c r="O5363" s="61">
        <f t="shared" si="409"/>
        <v>1900</v>
      </c>
      <c r="P5363" s="61">
        <f t="shared" si="410"/>
        <v>1</v>
      </c>
      <c r="R5363" s="272"/>
      <c r="S5363" s="272"/>
    </row>
    <row r="5364" spans="9:19">
      <c r="I5364" s="213"/>
      <c r="J5364" s="213"/>
      <c r="L5364" s="272">
        <f t="shared" si="407"/>
        <v>1900</v>
      </c>
      <c r="M5364" s="272">
        <f t="shared" si="408"/>
        <v>1</v>
      </c>
      <c r="O5364" s="61">
        <f t="shared" si="409"/>
        <v>1900</v>
      </c>
      <c r="P5364" s="61">
        <f t="shared" si="410"/>
        <v>1</v>
      </c>
      <c r="R5364" s="272"/>
      <c r="S5364" s="272"/>
    </row>
    <row r="5365" spans="9:19">
      <c r="I5365" s="213"/>
      <c r="J5365" s="213"/>
      <c r="L5365" s="272">
        <f t="shared" si="407"/>
        <v>1900</v>
      </c>
      <c r="M5365" s="272">
        <f t="shared" si="408"/>
        <v>1</v>
      </c>
      <c r="O5365" s="61">
        <f t="shared" si="409"/>
        <v>1900</v>
      </c>
      <c r="P5365" s="61">
        <f t="shared" si="410"/>
        <v>1</v>
      </c>
      <c r="R5365" s="272"/>
      <c r="S5365" s="272"/>
    </row>
    <row r="5366" spans="9:19">
      <c r="I5366" s="213"/>
      <c r="J5366" s="213"/>
      <c r="L5366" s="272">
        <f t="shared" si="407"/>
        <v>1900</v>
      </c>
      <c r="M5366" s="272">
        <f t="shared" si="408"/>
        <v>1</v>
      </c>
      <c r="O5366" s="61">
        <f t="shared" si="409"/>
        <v>1900</v>
      </c>
      <c r="P5366" s="61">
        <f t="shared" si="410"/>
        <v>1</v>
      </c>
      <c r="R5366" s="272"/>
      <c r="S5366" s="272"/>
    </row>
    <row r="5367" spans="9:19">
      <c r="I5367" s="213"/>
      <c r="J5367" s="213"/>
      <c r="L5367" s="272">
        <f t="shared" si="407"/>
        <v>1900</v>
      </c>
      <c r="M5367" s="272">
        <f t="shared" si="408"/>
        <v>1</v>
      </c>
      <c r="O5367" s="61">
        <f t="shared" si="409"/>
        <v>1900</v>
      </c>
      <c r="P5367" s="61">
        <f t="shared" si="410"/>
        <v>1</v>
      </c>
      <c r="R5367" s="272"/>
      <c r="S5367" s="272"/>
    </row>
    <row r="5368" spans="9:19">
      <c r="I5368" s="213"/>
      <c r="J5368" s="213"/>
      <c r="L5368" s="272">
        <f t="shared" si="407"/>
        <v>1900</v>
      </c>
      <c r="M5368" s="272">
        <f t="shared" si="408"/>
        <v>1</v>
      </c>
      <c r="O5368" s="61">
        <f t="shared" si="409"/>
        <v>1900</v>
      </c>
      <c r="P5368" s="61">
        <f t="shared" si="410"/>
        <v>1</v>
      </c>
      <c r="R5368" s="272"/>
      <c r="S5368" s="272"/>
    </row>
    <row r="5369" spans="9:19">
      <c r="I5369" s="213"/>
      <c r="J5369" s="213"/>
      <c r="L5369" s="272">
        <f t="shared" si="407"/>
        <v>1900</v>
      </c>
      <c r="M5369" s="272">
        <f t="shared" si="408"/>
        <v>1</v>
      </c>
      <c r="O5369" s="61">
        <f t="shared" si="409"/>
        <v>1900</v>
      </c>
      <c r="P5369" s="61">
        <f t="shared" si="410"/>
        <v>1</v>
      </c>
      <c r="R5369" s="272"/>
      <c r="S5369" s="272"/>
    </row>
    <row r="5370" spans="9:19">
      <c r="I5370" s="213"/>
      <c r="J5370" s="213"/>
      <c r="L5370" s="272">
        <f t="shared" si="407"/>
        <v>1900</v>
      </c>
      <c r="M5370" s="272">
        <f t="shared" si="408"/>
        <v>1</v>
      </c>
      <c r="O5370" s="61">
        <f t="shared" si="409"/>
        <v>1900</v>
      </c>
      <c r="P5370" s="61">
        <f t="shared" si="410"/>
        <v>1</v>
      </c>
      <c r="R5370" s="272"/>
      <c r="S5370" s="272"/>
    </row>
    <row r="5371" spans="9:19">
      <c r="I5371" s="213"/>
      <c r="J5371" s="213"/>
      <c r="L5371" s="272">
        <f t="shared" si="407"/>
        <v>1900</v>
      </c>
      <c r="M5371" s="272">
        <f t="shared" si="408"/>
        <v>1</v>
      </c>
      <c r="O5371" s="61">
        <f t="shared" si="409"/>
        <v>1900</v>
      </c>
      <c r="P5371" s="61">
        <f t="shared" si="410"/>
        <v>1</v>
      </c>
      <c r="R5371" s="272"/>
      <c r="S5371" s="272"/>
    </row>
    <row r="5372" spans="9:19">
      <c r="I5372" s="213"/>
      <c r="J5372" s="213"/>
      <c r="L5372" s="272">
        <f t="shared" si="407"/>
        <v>1900</v>
      </c>
      <c r="M5372" s="272">
        <f t="shared" si="408"/>
        <v>1</v>
      </c>
      <c r="O5372" s="61">
        <f t="shared" si="409"/>
        <v>1900</v>
      </c>
      <c r="P5372" s="61">
        <f t="shared" si="410"/>
        <v>1</v>
      </c>
      <c r="R5372" s="272"/>
      <c r="S5372" s="272"/>
    </row>
    <row r="5373" spans="9:19">
      <c r="I5373" s="213"/>
      <c r="J5373" s="213"/>
      <c r="L5373" s="272">
        <f t="shared" si="407"/>
        <v>1900</v>
      </c>
      <c r="M5373" s="272">
        <f t="shared" si="408"/>
        <v>1</v>
      </c>
      <c r="O5373" s="61">
        <f t="shared" si="409"/>
        <v>1900</v>
      </c>
      <c r="P5373" s="61">
        <f t="shared" si="410"/>
        <v>1</v>
      </c>
      <c r="R5373" s="272"/>
      <c r="S5373" s="272"/>
    </row>
    <row r="5374" spans="9:19">
      <c r="I5374" s="213"/>
      <c r="J5374" s="213"/>
      <c r="L5374" s="272">
        <f t="shared" si="407"/>
        <v>1900</v>
      </c>
      <c r="M5374" s="272">
        <f t="shared" si="408"/>
        <v>1</v>
      </c>
      <c r="O5374" s="61">
        <f t="shared" si="409"/>
        <v>1900</v>
      </c>
      <c r="P5374" s="61">
        <f t="shared" si="410"/>
        <v>1</v>
      </c>
      <c r="R5374" s="272"/>
      <c r="S5374" s="272"/>
    </row>
    <row r="5375" spans="9:19">
      <c r="I5375" s="213"/>
      <c r="J5375" s="213"/>
      <c r="L5375" s="272">
        <f t="shared" si="407"/>
        <v>1900</v>
      </c>
      <c r="M5375" s="272">
        <f t="shared" si="408"/>
        <v>1</v>
      </c>
      <c r="O5375" s="61">
        <f t="shared" si="409"/>
        <v>1900</v>
      </c>
      <c r="P5375" s="61">
        <f t="shared" si="410"/>
        <v>1</v>
      </c>
      <c r="R5375" s="272"/>
      <c r="S5375" s="272"/>
    </row>
    <row r="5376" spans="9:19">
      <c r="I5376" s="213"/>
      <c r="J5376" s="213"/>
      <c r="L5376" s="272">
        <f t="shared" si="407"/>
        <v>1900</v>
      </c>
      <c r="M5376" s="272">
        <f t="shared" si="408"/>
        <v>1</v>
      </c>
      <c r="O5376" s="61">
        <f t="shared" si="409"/>
        <v>1900</v>
      </c>
      <c r="P5376" s="61">
        <f t="shared" si="410"/>
        <v>1</v>
      </c>
      <c r="R5376" s="272"/>
      <c r="S5376" s="272"/>
    </row>
    <row r="5377" spans="9:19">
      <c r="I5377" s="213"/>
      <c r="J5377" s="213"/>
      <c r="L5377" s="272">
        <f t="shared" si="407"/>
        <v>1900</v>
      </c>
      <c r="M5377" s="272">
        <f t="shared" si="408"/>
        <v>1</v>
      </c>
      <c r="O5377" s="61">
        <f t="shared" si="409"/>
        <v>1900</v>
      </c>
      <c r="P5377" s="61">
        <f t="shared" si="410"/>
        <v>1</v>
      </c>
      <c r="R5377" s="272"/>
      <c r="S5377" s="272"/>
    </row>
    <row r="5378" spans="9:19">
      <c r="I5378" s="213"/>
      <c r="J5378" s="213"/>
      <c r="L5378" s="272">
        <f t="shared" si="407"/>
        <v>1900</v>
      </c>
      <c r="M5378" s="272">
        <f t="shared" si="408"/>
        <v>1</v>
      </c>
      <c r="O5378" s="61">
        <f t="shared" si="409"/>
        <v>1900</v>
      </c>
      <c r="P5378" s="61">
        <f t="shared" si="410"/>
        <v>1</v>
      </c>
      <c r="R5378" s="272"/>
      <c r="S5378" s="272"/>
    </row>
    <row r="5379" spans="9:19">
      <c r="I5379" s="213"/>
      <c r="J5379" s="213"/>
      <c r="L5379" s="272">
        <f t="shared" si="407"/>
        <v>1900</v>
      </c>
      <c r="M5379" s="272">
        <f t="shared" si="408"/>
        <v>1</v>
      </c>
      <c r="O5379" s="61">
        <f t="shared" si="409"/>
        <v>1900</v>
      </c>
      <c r="P5379" s="61">
        <f t="shared" si="410"/>
        <v>1</v>
      </c>
      <c r="R5379" s="272"/>
      <c r="S5379" s="272"/>
    </row>
    <row r="5380" spans="9:19">
      <c r="I5380" s="213"/>
      <c r="J5380" s="213"/>
      <c r="L5380" s="272">
        <f t="shared" si="407"/>
        <v>1900</v>
      </c>
      <c r="M5380" s="272">
        <f t="shared" si="408"/>
        <v>1</v>
      </c>
      <c r="O5380" s="61">
        <f t="shared" si="409"/>
        <v>1900</v>
      </c>
      <c r="P5380" s="61">
        <f t="shared" si="410"/>
        <v>1</v>
      </c>
      <c r="R5380" s="272"/>
      <c r="S5380" s="272"/>
    </row>
    <row r="5381" spans="9:19">
      <c r="I5381" s="213"/>
      <c r="J5381" s="213"/>
      <c r="L5381" s="272">
        <f t="shared" si="407"/>
        <v>1900</v>
      </c>
      <c r="M5381" s="272">
        <f t="shared" si="408"/>
        <v>1</v>
      </c>
      <c r="O5381" s="61">
        <f t="shared" si="409"/>
        <v>1900</v>
      </c>
      <c r="P5381" s="61">
        <f t="shared" si="410"/>
        <v>1</v>
      </c>
      <c r="R5381" s="272"/>
      <c r="S5381" s="272"/>
    </row>
    <row r="5382" spans="9:19">
      <c r="I5382" s="213"/>
      <c r="J5382" s="213"/>
      <c r="L5382" s="272">
        <f t="shared" si="407"/>
        <v>1900</v>
      </c>
      <c r="M5382" s="272">
        <f t="shared" si="408"/>
        <v>1</v>
      </c>
      <c r="O5382" s="61">
        <f t="shared" si="409"/>
        <v>1900</v>
      </c>
      <c r="P5382" s="61">
        <f t="shared" si="410"/>
        <v>1</v>
      </c>
      <c r="R5382" s="272"/>
      <c r="S5382" s="272"/>
    </row>
    <row r="5383" spans="9:19">
      <c r="I5383" s="213"/>
      <c r="J5383" s="213"/>
      <c r="L5383" s="272">
        <f t="shared" si="407"/>
        <v>1900</v>
      </c>
      <c r="M5383" s="272">
        <f t="shared" si="408"/>
        <v>1</v>
      </c>
      <c r="O5383" s="61">
        <f t="shared" si="409"/>
        <v>1900</v>
      </c>
      <c r="P5383" s="61">
        <f t="shared" si="410"/>
        <v>1</v>
      </c>
      <c r="R5383" s="272"/>
      <c r="S5383" s="272"/>
    </row>
    <row r="5384" spans="9:19">
      <c r="I5384" s="213"/>
      <c r="J5384" s="213"/>
      <c r="L5384" s="272">
        <f t="shared" si="407"/>
        <v>1900</v>
      </c>
      <c r="M5384" s="272">
        <f t="shared" si="408"/>
        <v>1</v>
      </c>
      <c r="O5384" s="61">
        <f t="shared" si="409"/>
        <v>1900</v>
      </c>
      <c r="P5384" s="61">
        <f t="shared" si="410"/>
        <v>1</v>
      </c>
      <c r="R5384" s="272"/>
      <c r="S5384" s="272"/>
    </row>
    <row r="5385" spans="9:19">
      <c r="I5385" s="213"/>
      <c r="J5385" s="213"/>
      <c r="L5385" s="272">
        <f t="shared" si="407"/>
        <v>1900</v>
      </c>
      <c r="M5385" s="272">
        <f t="shared" si="408"/>
        <v>1</v>
      </c>
      <c r="O5385" s="61">
        <f t="shared" si="409"/>
        <v>1900</v>
      </c>
      <c r="P5385" s="61">
        <f t="shared" si="410"/>
        <v>1</v>
      </c>
      <c r="R5385" s="272"/>
      <c r="S5385" s="272"/>
    </row>
    <row r="5386" spans="9:19">
      <c r="I5386" s="213"/>
      <c r="J5386" s="213"/>
      <c r="L5386" s="272">
        <f t="shared" si="407"/>
        <v>1900</v>
      </c>
      <c r="M5386" s="272">
        <f t="shared" si="408"/>
        <v>1</v>
      </c>
      <c r="O5386" s="61">
        <f t="shared" si="409"/>
        <v>1900</v>
      </c>
      <c r="P5386" s="61">
        <f t="shared" si="410"/>
        <v>1</v>
      </c>
      <c r="R5386" s="272"/>
      <c r="S5386" s="272"/>
    </row>
    <row r="5387" spans="9:19">
      <c r="I5387" s="213"/>
      <c r="J5387" s="213"/>
      <c r="L5387" s="272">
        <f t="shared" si="407"/>
        <v>1900</v>
      </c>
      <c r="M5387" s="272">
        <f t="shared" si="408"/>
        <v>1</v>
      </c>
      <c r="O5387" s="61">
        <f t="shared" si="409"/>
        <v>1900</v>
      </c>
      <c r="P5387" s="61">
        <f t="shared" si="410"/>
        <v>1</v>
      </c>
      <c r="R5387" s="272"/>
      <c r="S5387" s="272"/>
    </row>
    <row r="5388" spans="9:19">
      <c r="I5388" s="213"/>
      <c r="J5388" s="213"/>
      <c r="L5388" s="272">
        <f t="shared" si="407"/>
        <v>1900</v>
      </c>
      <c r="M5388" s="272">
        <f t="shared" si="408"/>
        <v>1</v>
      </c>
      <c r="O5388" s="61">
        <f t="shared" si="409"/>
        <v>1900</v>
      </c>
      <c r="P5388" s="61">
        <f t="shared" si="410"/>
        <v>1</v>
      </c>
      <c r="R5388" s="272"/>
      <c r="S5388" s="272"/>
    </row>
    <row r="5389" spans="9:19">
      <c r="I5389" s="213"/>
      <c r="J5389" s="213"/>
      <c r="L5389" s="272">
        <f t="shared" si="407"/>
        <v>1900</v>
      </c>
      <c r="M5389" s="272">
        <f t="shared" si="408"/>
        <v>1</v>
      </c>
      <c r="O5389" s="61">
        <f t="shared" si="409"/>
        <v>1900</v>
      </c>
      <c r="P5389" s="61">
        <f t="shared" si="410"/>
        <v>1</v>
      </c>
      <c r="R5389" s="272"/>
      <c r="S5389" s="272"/>
    </row>
    <row r="5390" spans="9:19">
      <c r="I5390" s="213"/>
      <c r="J5390" s="213"/>
      <c r="L5390" s="272">
        <f t="shared" si="407"/>
        <v>1900</v>
      </c>
      <c r="M5390" s="272">
        <f t="shared" si="408"/>
        <v>1</v>
      </c>
      <c r="O5390" s="61">
        <f t="shared" si="409"/>
        <v>1900</v>
      </c>
      <c r="P5390" s="61">
        <f t="shared" si="410"/>
        <v>1</v>
      </c>
      <c r="R5390" s="272"/>
      <c r="S5390" s="272"/>
    </row>
    <row r="5391" spans="9:19">
      <c r="I5391" s="213"/>
      <c r="J5391" s="213"/>
      <c r="L5391" s="272">
        <f t="shared" si="407"/>
        <v>1900</v>
      </c>
      <c r="M5391" s="272">
        <f t="shared" si="408"/>
        <v>1</v>
      </c>
      <c r="O5391" s="61">
        <f t="shared" si="409"/>
        <v>1900</v>
      </c>
      <c r="P5391" s="61">
        <f t="shared" si="410"/>
        <v>1</v>
      </c>
      <c r="R5391" s="272"/>
      <c r="S5391" s="272"/>
    </row>
    <row r="5392" spans="9:19">
      <c r="I5392" s="213"/>
      <c r="J5392" s="213"/>
      <c r="L5392" s="272">
        <f t="shared" ref="L5392:L5455" si="411">YEAR(B5392)</f>
        <v>1900</v>
      </c>
      <c r="M5392" s="272">
        <f t="shared" ref="M5392:M5455" si="412">MONTH(B5392)</f>
        <v>1</v>
      </c>
      <c r="O5392" s="61">
        <f t="shared" ref="O5392:O5455" si="413">YEAR(B5392)</f>
        <v>1900</v>
      </c>
      <c r="P5392" s="61">
        <f t="shared" ref="P5392:P5455" si="414">MONTH(B5392)</f>
        <v>1</v>
      </c>
      <c r="R5392" s="272"/>
      <c r="S5392" s="272"/>
    </row>
    <row r="5393" spans="9:19">
      <c r="I5393" s="213"/>
      <c r="J5393" s="213"/>
      <c r="L5393" s="272">
        <f t="shared" si="411"/>
        <v>1900</v>
      </c>
      <c r="M5393" s="272">
        <f t="shared" si="412"/>
        <v>1</v>
      </c>
      <c r="O5393" s="61">
        <f t="shared" si="413"/>
        <v>1900</v>
      </c>
      <c r="P5393" s="61">
        <f t="shared" si="414"/>
        <v>1</v>
      </c>
      <c r="R5393" s="272"/>
      <c r="S5393" s="272"/>
    </row>
    <row r="5394" spans="9:19">
      <c r="I5394" s="213"/>
      <c r="J5394" s="213"/>
      <c r="L5394" s="272">
        <f t="shared" si="411"/>
        <v>1900</v>
      </c>
      <c r="M5394" s="272">
        <f t="shared" si="412"/>
        <v>1</v>
      </c>
      <c r="O5394" s="61">
        <f t="shared" si="413"/>
        <v>1900</v>
      </c>
      <c r="P5394" s="61">
        <f t="shared" si="414"/>
        <v>1</v>
      </c>
      <c r="R5394" s="272"/>
      <c r="S5394" s="272"/>
    </row>
    <row r="5395" spans="9:19">
      <c r="I5395" s="213"/>
      <c r="J5395" s="213"/>
      <c r="L5395" s="272">
        <f t="shared" si="411"/>
        <v>1900</v>
      </c>
      <c r="M5395" s="272">
        <f t="shared" si="412"/>
        <v>1</v>
      </c>
      <c r="O5395" s="61">
        <f t="shared" si="413"/>
        <v>1900</v>
      </c>
      <c r="P5395" s="61">
        <f t="shared" si="414"/>
        <v>1</v>
      </c>
      <c r="R5395" s="272"/>
      <c r="S5395" s="272"/>
    </row>
    <row r="5396" spans="9:19">
      <c r="I5396" s="213"/>
      <c r="J5396" s="213"/>
      <c r="L5396" s="272">
        <f t="shared" si="411"/>
        <v>1900</v>
      </c>
      <c r="M5396" s="272">
        <f t="shared" si="412"/>
        <v>1</v>
      </c>
      <c r="O5396" s="61">
        <f t="shared" si="413"/>
        <v>1900</v>
      </c>
      <c r="P5396" s="61">
        <f t="shared" si="414"/>
        <v>1</v>
      </c>
      <c r="R5396" s="272"/>
      <c r="S5396" s="272"/>
    </row>
    <row r="5397" spans="9:19">
      <c r="I5397" s="213"/>
      <c r="J5397" s="213"/>
      <c r="L5397" s="272">
        <f t="shared" si="411"/>
        <v>1900</v>
      </c>
      <c r="M5397" s="272">
        <f t="shared" si="412"/>
        <v>1</v>
      </c>
      <c r="O5397" s="61">
        <f t="shared" si="413"/>
        <v>1900</v>
      </c>
      <c r="P5397" s="61">
        <f t="shared" si="414"/>
        <v>1</v>
      </c>
      <c r="R5397" s="272"/>
      <c r="S5397" s="272"/>
    </row>
    <row r="5398" spans="9:19">
      <c r="I5398" s="213"/>
      <c r="J5398" s="213"/>
      <c r="L5398" s="272">
        <f t="shared" si="411"/>
        <v>1900</v>
      </c>
      <c r="M5398" s="272">
        <f t="shared" si="412"/>
        <v>1</v>
      </c>
      <c r="O5398" s="61">
        <f t="shared" si="413"/>
        <v>1900</v>
      </c>
      <c r="P5398" s="61">
        <f t="shared" si="414"/>
        <v>1</v>
      </c>
      <c r="R5398" s="272"/>
      <c r="S5398" s="272"/>
    </row>
    <row r="5399" spans="9:19">
      <c r="I5399" s="213"/>
      <c r="J5399" s="213"/>
      <c r="L5399" s="272">
        <f t="shared" si="411"/>
        <v>1900</v>
      </c>
      <c r="M5399" s="272">
        <f t="shared" si="412"/>
        <v>1</v>
      </c>
      <c r="O5399" s="61">
        <f t="shared" si="413"/>
        <v>1900</v>
      </c>
      <c r="P5399" s="61">
        <f t="shared" si="414"/>
        <v>1</v>
      </c>
      <c r="R5399" s="272"/>
      <c r="S5399" s="272"/>
    </row>
    <row r="5400" spans="9:19">
      <c r="I5400" s="213"/>
      <c r="J5400" s="213"/>
      <c r="L5400" s="272">
        <f t="shared" si="411"/>
        <v>1900</v>
      </c>
      <c r="M5400" s="272">
        <f t="shared" si="412"/>
        <v>1</v>
      </c>
      <c r="O5400" s="61">
        <f t="shared" si="413"/>
        <v>1900</v>
      </c>
      <c r="P5400" s="61">
        <f t="shared" si="414"/>
        <v>1</v>
      </c>
      <c r="R5400" s="272"/>
      <c r="S5400" s="272"/>
    </row>
    <row r="5401" spans="9:19">
      <c r="I5401" s="213"/>
      <c r="J5401" s="213"/>
      <c r="L5401" s="272">
        <f t="shared" si="411"/>
        <v>1900</v>
      </c>
      <c r="M5401" s="272">
        <f t="shared" si="412"/>
        <v>1</v>
      </c>
      <c r="O5401" s="61">
        <f t="shared" si="413"/>
        <v>1900</v>
      </c>
      <c r="P5401" s="61">
        <f t="shared" si="414"/>
        <v>1</v>
      </c>
      <c r="R5401" s="272"/>
      <c r="S5401" s="272"/>
    </row>
    <row r="5402" spans="9:19">
      <c r="I5402" s="213"/>
      <c r="J5402" s="213"/>
      <c r="L5402" s="272">
        <f t="shared" si="411"/>
        <v>1900</v>
      </c>
      <c r="M5402" s="272">
        <f t="shared" si="412"/>
        <v>1</v>
      </c>
      <c r="O5402" s="61">
        <f t="shared" si="413"/>
        <v>1900</v>
      </c>
      <c r="P5402" s="61">
        <f t="shared" si="414"/>
        <v>1</v>
      </c>
      <c r="R5402" s="272"/>
      <c r="S5402" s="272"/>
    </row>
    <row r="5403" spans="9:19">
      <c r="I5403" s="213"/>
      <c r="J5403" s="213"/>
      <c r="L5403" s="272">
        <f t="shared" si="411"/>
        <v>1900</v>
      </c>
      <c r="M5403" s="272">
        <f t="shared" si="412"/>
        <v>1</v>
      </c>
      <c r="O5403" s="61">
        <f t="shared" si="413"/>
        <v>1900</v>
      </c>
      <c r="P5403" s="61">
        <f t="shared" si="414"/>
        <v>1</v>
      </c>
      <c r="R5403" s="272"/>
      <c r="S5403" s="272"/>
    </row>
    <row r="5404" spans="9:19">
      <c r="I5404" s="213"/>
      <c r="J5404" s="213"/>
      <c r="L5404" s="272">
        <f t="shared" si="411"/>
        <v>1900</v>
      </c>
      <c r="M5404" s="272">
        <f t="shared" si="412"/>
        <v>1</v>
      </c>
      <c r="O5404" s="61">
        <f t="shared" si="413"/>
        <v>1900</v>
      </c>
      <c r="P5404" s="61">
        <f t="shared" si="414"/>
        <v>1</v>
      </c>
      <c r="R5404" s="272"/>
      <c r="S5404" s="272"/>
    </row>
    <row r="5405" spans="9:19">
      <c r="I5405" s="213"/>
      <c r="J5405" s="213"/>
      <c r="L5405" s="272">
        <f t="shared" si="411"/>
        <v>1900</v>
      </c>
      <c r="M5405" s="272">
        <f t="shared" si="412"/>
        <v>1</v>
      </c>
      <c r="O5405" s="61">
        <f t="shared" si="413"/>
        <v>1900</v>
      </c>
      <c r="P5405" s="61">
        <f t="shared" si="414"/>
        <v>1</v>
      </c>
      <c r="R5405" s="272"/>
      <c r="S5405" s="272"/>
    </row>
    <row r="5406" spans="9:19">
      <c r="I5406" s="213"/>
      <c r="J5406" s="213"/>
      <c r="L5406" s="272">
        <f t="shared" si="411"/>
        <v>1900</v>
      </c>
      <c r="M5406" s="272">
        <f t="shared" si="412"/>
        <v>1</v>
      </c>
      <c r="O5406" s="61">
        <f t="shared" si="413"/>
        <v>1900</v>
      </c>
      <c r="P5406" s="61">
        <f t="shared" si="414"/>
        <v>1</v>
      </c>
      <c r="R5406" s="272"/>
      <c r="S5406" s="272"/>
    </row>
    <row r="5407" spans="9:19">
      <c r="I5407" s="213"/>
      <c r="J5407" s="213"/>
      <c r="L5407" s="272">
        <f t="shared" si="411"/>
        <v>1900</v>
      </c>
      <c r="M5407" s="272">
        <f t="shared" si="412"/>
        <v>1</v>
      </c>
      <c r="O5407" s="61">
        <f t="shared" si="413"/>
        <v>1900</v>
      </c>
      <c r="P5407" s="61">
        <f t="shared" si="414"/>
        <v>1</v>
      </c>
      <c r="R5407" s="272"/>
      <c r="S5407" s="272"/>
    </row>
    <row r="5408" spans="9:19">
      <c r="I5408" s="213"/>
      <c r="J5408" s="213"/>
      <c r="L5408" s="272">
        <f t="shared" si="411"/>
        <v>1900</v>
      </c>
      <c r="M5408" s="272">
        <f t="shared" si="412"/>
        <v>1</v>
      </c>
      <c r="O5408" s="61">
        <f t="shared" si="413"/>
        <v>1900</v>
      </c>
      <c r="P5408" s="61">
        <f t="shared" si="414"/>
        <v>1</v>
      </c>
      <c r="R5408" s="272"/>
      <c r="S5408" s="272"/>
    </row>
    <row r="5409" spans="9:19">
      <c r="I5409" s="213"/>
      <c r="J5409" s="213"/>
      <c r="L5409" s="272">
        <f t="shared" si="411"/>
        <v>1900</v>
      </c>
      <c r="M5409" s="272">
        <f t="shared" si="412"/>
        <v>1</v>
      </c>
      <c r="O5409" s="61">
        <f t="shared" si="413"/>
        <v>1900</v>
      </c>
      <c r="P5409" s="61">
        <f t="shared" si="414"/>
        <v>1</v>
      </c>
      <c r="R5409" s="272"/>
      <c r="S5409" s="272"/>
    </row>
    <row r="5410" spans="9:19">
      <c r="I5410" s="213"/>
      <c r="J5410" s="213"/>
      <c r="L5410" s="272">
        <f t="shared" si="411"/>
        <v>1900</v>
      </c>
      <c r="M5410" s="272">
        <f t="shared" si="412"/>
        <v>1</v>
      </c>
      <c r="O5410" s="61">
        <f t="shared" si="413"/>
        <v>1900</v>
      </c>
      <c r="P5410" s="61">
        <f t="shared" si="414"/>
        <v>1</v>
      </c>
      <c r="R5410" s="272"/>
      <c r="S5410" s="272"/>
    </row>
    <row r="5411" spans="9:19">
      <c r="I5411" s="213"/>
      <c r="J5411" s="213"/>
      <c r="L5411" s="272">
        <f t="shared" si="411"/>
        <v>1900</v>
      </c>
      <c r="M5411" s="272">
        <f t="shared" si="412"/>
        <v>1</v>
      </c>
      <c r="O5411" s="61">
        <f t="shared" si="413"/>
        <v>1900</v>
      </c>
      <c r="P5411" s="61">
        <f t="shared" si="414"/>
        <v>1</v>
      </c>
      <c r="R5411" s="272"/>
      <c r="S5411" s="272"/>
    </row>
    <row r="5412" spans="9:19">
      <c r="I5412" s="213"/>
      <c r="J5412" s="213"/>
      <c r="L5412" s="272">
        <f t="shared" si="411"/>
        <v>1900</v>
      </c>
      <c r="M5412" s="272">
        <f t="shared" si="412"/>
        <v>1</v>
      </c>
      <c r="O5412" s="61">
        <f t="shared" si="413"/>
        <v>1900</v>
      </c>
      <c r="P5412" s="61">
        <f t="shared" si="414"/>
        <v>1</v>
      </c>
      <c r="R5412" s="272"/>
      <c r="S5412" s="272"/>
    </row>
    <row r="5413" spans="9:19">
      <c r="I5413" s="213"/>
      <c r="J5413" s="213"/>
      <c r="L5413" s="272">
        <f t="shared" si="411"/>
        <v>1900</v>
      </c>
      <c r="M5413" s="272">
        <f t="shared" si="412"/>
        <v>1</v>
      </c>
      <c r="O5413" s="61">
        <f t="shared" si="413"/>
        <v>1900</v>
      </c>
      <c r="P5413" s="61">
        <f t="shared" si="414"/>
        <v>1</v>
      </c>
      <c r="R5413" s="272"/>
      <c r="S5413" s="272"/>
    </row>
    <row r="5414" spans="9:19">
      <c r="I5414" s="213"/>
      <c r="J5414" s="213"/>
      <c r="L5414" s="272">
        <f t="shared" si="411"/>
        <v>1900</v>
      </c>
      <c r="M5414" s="272">
        <f t="shared" si="412"/>
        <v>1</v>
      </c>
      <c r="O5414" s="61">
        <f t="shared" si="413"/>
        <v>1900</v>
      </c>
      <c r="P5414" s="61">
        <f t="shared" si="414"/>
        <v>1</v>
      </c>
      <c r="R5414" s="272"/>
      <c r="S5414" s="272"/>
    </row>
    <row r="5415" spans="9:19">
      <c r="I5415" s="213"/>
      <c r="J5415" s="213"/>
      <c r="L5415" s="272">
        <f t="shared" si="411"/>
        <v>1900</v>
      </c>
      <c r="M5415" s="272">
        <f t="shared" si="412"/>
        <v>1</v>
      </c>
      <c r="O5415" s="61">
        <f t="shared" si="413"/>
        <v>1900</v>
      </c>
      <c r="P5415" s="61">
        <f t="shared" si="414"/>
        <v>1</v>
      </c>
      <c r="R5415" s="272"/>
      <c r="S5415" s="272"/>
    </row>
    <row r="5416" spans="9:19">
      <c r="I5416" s="213"/>
      <c r="J5416" s="213"/>
      <c r="L5416" s="272">
        <f t="shared" si="411"/>
        <v>1900</v>
      </c>
      <c r="M5416" s="272">
        <f t="shared" si="412"/>
        <v>1</v>
      </c>
      <c r="O5416" s="61">
        <f t="shared" si="413"/>
        <v>1900</v>
      </c>
      <c r="P5416" s="61">
        <f t="shared" si="414"/>
        <v>1</v>
      </c>
      <c r="R5416" s="272"/>
      <c r="S5416" s="272"/>
    </row>
    <row r="5417" spans="9:19">
      <c r="I5417" s="213"/>
      <c r="J5417" s="213"/>
      <c r="L5417" s="272">
        <f t="shared" si="411"/>
        <v>1900</v>
      </c>
      <c r="M5417" s="272">
        <f t="shared" si="412"/>
        <v>1</v>
      </c>
      <c r="O5417" s="61">
        <f t="shared" si="413"/>
        <v>1900</v>
      </c>
      <c r="P5417" s="61">
        <f t="shared" si="414"/>
        <v>1</v>
      </c>
      <c r="R5417" s="272"/>
      <c r="S5417" s="272"/>
    </row>
    <row r="5418" spans="9:19">
      <c r="I5418" s="213"/>
      <c r="J5418" s="213"/>
      <c r="L5418" s="272">
        <f t="shared" si="411"/>
        <v>1900</v>
      </c>
      <c r="M5418" s="272">
        <f t="shared" si="412"/>
        <v>1</v>
      </c>
      <c r="O5418" s="61">
        <f t="shared" si="413"/>
        <v>1900</v>
      </c>
      <c r="P5418" s="61">
        <f t="shared" si="414"/>
        <v>1</v>
      </c>
      <c r="R5418" s="272"/>
      <c r="S5418" s="272"/>
    </row>
    <row r="5419" spans="9:19">
      <c r="I5419" s="213"/>
      <c r="J5419" s="213"/>
      <c r="L5419" s="272">
        <f t="shared" si="411"/>
        <v>1900</v>
      </c>
      <c r="M5419" s="272">
        <f t="shared" si="412"/>
        <v>1</v>
      </c>
      <c r="O5419" s="61">
        <f t="shared" si="413"/>
        <v>1900</v>
      </c>
      <c r="P5419" s="61">
        <f t="shared" si="414"/>
        <v>1</v>
      </c>
      <c r="R5419" s="272"/>
      <c r="S5419" s="272"/>
    </row>
    <row r="5420" spans="9:19">
      <c r="I5420" s="213"/>
      <c r="J5420" s="213"/>
      <c r="L5420" s="272">
        <f t="shared" si="411"/>
        <v>1900</v>
      </c>
      <c r="M5420" s="272">
        <f t="shared" si="412"/>
        <v>1</v>
      </c>
      <c r="O5420" s="61">
        <f t="shared" si="413"/>
        <v>1900</v>
      </c>
      <c r="P5420" s="61">
        <f t="shared" si="414"/>
        <v>1</v>
      </c>
      <c r="R5420" s="272"/>
      <c r="S5420" s="272"/>
    </row>
    <row r="5421" spans="9:19">
      <c r="I5421" s="213"/>
      <c r="J5421" s="213"/>
      <c r="L5421" s="272">
        <f t="shared" si="411"/>
        <v>1900</v>
      </c>
      <c r="M5421" s="272">
        <f t="shared" si="412"/>
        <v>1</v>
      </c>
      <c r="O5421" s="61">
        <f t="shared" si="413"/>
        <v>1900</v>
      </c>
      <c r="P5421" s="61">
        <f t="shared" si="414"/>
        <v>1</v>
      </c>
      <c r="R5421" s="272"/>
      <c r="S5421" s="272"/>
    </row>
    <row r="5422" spans="9:19">
      <c r="I5422" s="213"/>
      <c r="J5422" s="213"/>
      <c r="L5422" s="272">
        <f t="shared" si="411"/>
        <v>1900</v>
      </c>
      <c r="M5422" s="272">
        <f t="shared" si="412"/>
        <v>1</v>
      </c>
      <c r="O5422" s="61">
        <f t="shared" si="413"/>
        <v>1900</v>
      </c>
      <c r="P5422" s="61">
        <f t="shared" si="414"/>
        <v>1</v>
      </c>
      <c r="R5422" s="272"/>
      <c r="S5422" s="272"/>
    </row>
    <row r="5423" spans="9:19">
      <c r="I5423" s="213"/>
      <c r="J5423" s="213"/>
      <c r="L5423" s="272">
        <f t="shared" si="411"/>
        <v>1900</v>
      </c>
      <c r="M5423" s="272">
        <f t="shared" si="412"/>
        <v>1</v>
      </c>
      <c r="O5423" s="61">
        <f t="shared" si="413"/>
        <v>1900</v>
      </c>
      <c r="P5423" s="61">
        <f t="shared" si="414"/>
        <v>1</v>
      </c>
      <c r="R5423" s="272"/>
      <c r="S5423" s="272"/>
    </row>
    <row r="5424" spans="9:19">
      <c r="I5424" s="213"/>
      <c r="J5424" s="213"/>
      <c r="L5424" s="272">
        <f t="shared" si="411"/>
        <v>1900</v>
      </c>
      <c r="M5424" s="272">
        <f t="shared" si="412"/>
        <v>1</v>
      </c>
      <c r="O5424" s="61">
        <f t="shared" si="413"/>
        <v>1900</v>
      </c>
      <c r="P5424" s="61">
        <f t="shared" si="414"/>
        <v>1</v>
      </c>
      <c r="R5424" s="272"/>
      <c r="S5424" s="272"/>
    </row>
    <row r="5425" spans="9:19">
      <c r="I5425" s="213"/>
      <c r="J5425" s="213"/>
      <c r="L5425" s="272">
        <f t="shared" si="411"/>
        <v>1900</v>
      </c>
      <c r="M5425" s="272">
        <f t="shared" si="412"/>
        <v>1</v>
      </c>
      <c r="O5425" s="61">
        <f t="shared" si="413"/>
        <v>1900</v>
      </c>
      <c r="P5425" s="61">
        <f t="shared" si="414"/>
        <v>1</v>
      </c>
      <c r="R5425" s="272"/>
      <c r="S5425" s="272"/>
    </row>
    <row r="5426" spans="9:19">
      <c r="I5426" s="213"/>
      <c r="J5426" s="213"/>
      <c r="L5426" s="272">
        <f t="shared" si="411"/>
        <v>1900</v>
      </c>
      <c r="M5426" s="272">
        <f t="shared" si="412"/>
        <v>1</v>
      </c>
      <c r="O5426" s="61">
        <f t="shared" si="413"/>
        <v>1900</v>
      </c>
      <c r="P5426" s="61">
        <f t="shared" si="414"/>
        <v>1</v>
      </c>
      <c r="R5426" s="272"/>
      <c r="S5426" s="272"/>
    </row>
    <row r="5427" spans="9:19">
      <c r="I5427" s="213"/>
      <c r="J5427" s="213"/>
      <c r="L5427" s="272">
        <f t="shared" si="411"/>
        <v>1900</v>
      </c>
      <c r="M5427" s="272">
        <f t="shared" si="412"/>
        <v>1</v>
      </c>
      <c r="O5427" s="61">
        <f t="shared" si="413"/>
        <v>1900</v>
      </c>
      <c r="P5427" s="61">
        <f t="shared" si="414"/>
        <v>1</v>
      </c>
      <c r="R5427" s="272"/>
      <c r="S5427" s="272"/>
    </row>
    <row r="5428" spans="9:19">
      <c r="I5428" s="213"/>
      <c r="J5428" s="213"/>
      <c r="L5428" s="272">
        <f t="shared" si="411"/>
        <v>1900</v>
      </c>
      <c r="M5428" s="272">
        <f t="shared" si="412"/>
        <v>1</v>
      </c>
      <c r="O5428" s="61">
        <f t="shared" si="413"/>
        <v>1900</v>
      </c>
      <c r="P5428" s="61">
        <f t="shared" si="414"/>
        <v>1</v>
      </c>
      <c r="R5428" s="272"/>
      <c r="S5428" s="272"/>
    </row>
    <row r="5429" spans="9:19">
      <c r="I5429" s="213"/>
      <c r="J5429" s="213"/>
      <c r="L5429" s="272">
        <f t="shared" si="411"/>
        <v>1900</v>
      </c>
      <c r="M5429" s="272">
        <f t="shared" si="412"/>
        <v>1</v>
      </c>
      <c r="O5429" s="61">
        <f t="shared" si="413"/>
        <v>1900</v>
      </c>
      <c r="P5429" s="61">
        <f t="shared" si="414"/>
        <v>1</v>
      </c>
      <c r="R5429" s="272"/>
      <c r="S5429" s="272"/>
    </row>
    <row r="5430" spans="9:19">
      <c r="I5430" s="213"/>
      <c r="J5430" s="213"/>
      <c r="L5430" s="272">
        <f t="shared" si="411"/>
        <v>1900</v>
      </c>
      <c r="M5430" s="272">
        <f t="shared" si="412"/>
        <v>1</v>
      </c>
      <c r="O5430" s="61">
        <f t="shared" si="413"/>
        <v>1900</v>
      </c>
      <c r="P5430" s="61">
        <f t="shared" si="414"/>
        <v>1</v>
      </c>
      <c r="R5430" s="272"/>
      <c r="S5430" s="272"/>
    </row>
    <row r="5431" spans="9:19">
      <c r="I5431" s="213"/>
      <c r="J5431" s="213"/>
      <c r="L5431" s="272">
        <f t="shared" si="411"/>
        <v>1900</v>
      </c>
      <c r="M5431" s="272">
        <f t="shared" si="412"/>
        <v>1</v>
      </c>
      <c r="O5431" s="61">
        <f t="shared" si="413"/>
        <v>1900</v>
      </c>
      <c r="P5431" s="61">
        <f t="shared" si="414"/>
        <v>1</v>
      </c>
      <c r="R5431" s="272"/>
      <c r="S5431" s="272"/>
    </row>
    <row r="5432" spans="9:19">
      <c r="I5432" s="213"/>
      <c r="J5432" s="213"/>
      <c r="L5432" s="272">
        <f t="shared" si="411"/>
        <v>1900</v>
      </c>
      <c r="M5432" s="272">
        <f t="shared" si="412"/>
        <v>1</v>
      </c>
      <c r="O5432" s="61">
        <f t="shared" si="413"/>
        <v>1900</v>
      </c>
      <c r="P5432" s="61">
        <f t="shared" si="414"/>
        <v>1</v>
      </c>
      <c r="R5432" s="272"/>
      <c r="S5432" s="272"/>
    </row>
    <row r="5433" spans="9:19">
      <c r="I5433" s="213"/>
      <c r="J5433" s="213"/>
      <c r="L5433" s="272">
        <f t="shared" si="411"/>
        <v>1900</v>
      </c>
      <c r="M5433" s="272">
        <f t="shared" si="412"/>
        <v>1</v>
      </c>
      <c r="O5433" s="61">
        <f t="shared" si="413"/>
        <v>1900</v>
      </c>
      <c r="P5433" s="61">
        <f t="shared" si="414"/>
        <v>1</v>
      </c>
      <c r="R5433" s="272"/>
      <c r="S5433" s="272"/>
    </row>
    <row r="5434" spans="9:19">
      <c r="I5434" s="213"/>
      <c r="J5434" s="213"/>
      <c r="L5434" s="272">
        <f t="shared" si="411"/>
        <v>1900</v>
      </c>
      <c r="M5434" s="272">
        <f t="shared" si="412"/>
        <v>1</v>
      </c>
      <c r="O5434" s="61">
        <f t="shared" si="413"/>
        <v>1900</v>
      </c>
      <c r="P5434" s="61">
        <f t="shared" si="414"/>
        <v>1</v>
      </c>
      <c r="R5434" s="272"/>
      <c r="S5434" s="272"/>
    </row>
    <row r="5435" spans="9:19">
      <c r="I5435" s="213"/>
      <c r="J5435" s="213"/>
      <c r="L5435" s="272">
        <f t="shared" si="411"/>
        <v>1900</v>
      </c>
      <c r="M5435" s="272">
        <f t="shared" si="412"/>
        <v>1</v>
      </c>
      <c r="O5435" s="61">
        <f t="shared" si="413"/>
        <v>1900</v>
      </c>
      <c r="P5435" s="61">
        <f t="shared" si="414"/>
        <v>1</v>
      </c>
      <c r="R5435" s="272"/>
      <c r="S5435" s="272"/>
    </row>
    <row r="5436" spans="9:19">
      <c r="I5436" s="213"/>
      <c r="J5436" s="213"/>
      <c r="L5436" s="272">
        <f t="shared" si="411"/>
        <v>1900</v>
      </c>
      <c r="M5436" s="272">
        <f t="shared" si="412"/>
        <v>1</v>
      </c>
      <c r="O5436" s="61">
        <f t="shared" si="413"/>
        <v>1900</v>
      </c>
      <c r="P5436" s="61">
        <f t="shared" si="414"/>
        <v>1</v>
      </c>
      <c r="R5436" s="272"/>
      <c r="S5436" s="272"/>
    </row>
    <row r="5437" spans="9:19">
      <c r="I5437" s="213"/>
      <c r="J5437" s="213"/>
      <c r="L5437" s="272">
        <f t="shared" si="411"/>
        <v>1900</v>
      </c>
      <c r="M5437" s="272">
        <f t="shared" si="412"/>
        <v>1</v>
      </c>
      <c r="O5437" s="61">
        <f t="shared" si="413"/>
        <v>1900</v>
      </c>
      <c r="P5437" s="61">
        <f t="shared" si="414"/>
        <v>1</v>
      </c>
      <c r="R5437" s="272"/>
      <c r="S5437" s="272"/>
    </row>
    <row r="5438" spans="9:19">
      <c r="I5438" s="213"/>
      <c r="J5438" s="213"/>
      <c r="L5438" s="272">
        <f t="shared" si="411"/>
        <v>1900</v>
      </c>
      <c r="M5438" s="272">
        <f t="shared" si="412"/>
        <v>1</v>
      </c>
      <c r="O5438" s="61">
        <f t="shared" si="413"/>
        <v>1900</v>
      </c>
      <c r="P5438" s="61">
        <f t="shared" si="414"/>
        <v>1</v>
      </c>
      <c r="R5438" s="272"/>
      <c r="S5438" s="272"/>
    </row>
    <row r="5439" spans="9:19">
      <c r="I5439" s="213"/>
      <c r="J5439" s="213"/>
      <c r="L5439" s="272">
        <f t="shared" si="411"/>
        <v>1900</v>
      </c>
      <c r="M5439" s="272">
        <f t="shared" si="412"/>
        <v>1</v>
      </c>
      <c r="O5439" s="61">
        <f t="shared" si="413"/>
        <v>1900</v>
      </c>
      <c r="P5439" s="61">
        <f t="shared" si="414"/>
        <v>1</v>
      </c>
      <c r="R5439" s="272"/>
      <c r="S5439" s="272"/>
    </row>
    <row r="5440" spans="9:19">
      <c r="I5440" s="213"/>
      <c r="J5440" s="213"/>
      <c r="L5440" s="272">
        <f t="shared" si="411"/>
        <v>1900</v>
      </c>
      <c r="M5440" s="272">
        <f t="shared" si="412"/>
        <v>1</v>
      </c>
      <c r="O5440" s="61">
        <f t="shared" si="413"/>
        <v>1900</v>
      </c>
      <c r="P5440" s="61">
        <f t="shared" si="414"/>
        <v>1</v>
      </c>
      <c r="R5440" s="272"/>
      <c r="S5440" s="272"/>
    </row>
    <row r="5441" spans="9:19">
      <c r="I5441" s="213"/>
      <c r="J5441" s="213"/>
      <c r="L5441" s="272">
        <f t="shared" si="411"/>
        <v>1900</v>
      </c>
      <c r="M5441" s="272">
        <f t="shared" si="412"/>
        <v>1</v>
      </c>
      <c r="O5441" s="61">
        <f t="shared" si="413"/>
        <v>1900</v>
      </c>
      <c r="P5441" s="61">
        <f t="shared" si="414"/>
        <v>1</v>
      </c>
      <c r="R5441" s="272"/>
      <c r="S5441" s="272"/>
    </row>
    <row r="5442" spans="9:19">
      <c r="I5442" s="213"/>
      <c r="J5442" s="213"/>
      <c r="L5442" s="272">
        <f t="shared" si="411"/>
        <v>1900</v>
      </c>
      <c r="M5442" s="272">
        <f t="shared" si="412"/>
        <v>1</v>
      </c>
      <c r="O5442" s="61">
        <f t="shared" si="413"/>
        <v>1900</v>
      </c>
      <c r="P5442" s="61">
        <f t="shared" si="414"/>
        <v>1</v>
      </c>
      <c r="R5442" s="272"/>
      <c r="S5442" s="272"/>
    </row>
    <row r="5443" spans="9:19">
      <c r="I5443" s="213"/>
      <c r="J5443" s="213"/>
      <c r="L5443" s="272">
        <f t="shared" si="411"/>
        <v>1900</v>
      </c>
      <c r="M5443" s="272">
        <f t="shared" si="412"/>
        <v>1</v>
      </c>
      <c r="O5443" s="61">
        <f t="shared" si="413"/>
        <v>1900</v>
      </c>
      <c r="P5443" s="61">
        <f t="shared" si="414"/>
        <v>1</v>
      </c>
      <c r="R5443" s="272"/>
      <c r="S5443" s="272"/>
    </row>
    <row r="5444" spans="9:19">
      <c r="I5444" s="213"/>
      <c r="J5444" s="213"/>
      <c r="L5444" s="272">
        <f t="shared" si="411"/>
        <v>1900</v>
      </c>
      <c r="M5444" s="272">
        <f t="shared" si="412"/>
        <v>1</v>
      </c>
      <c r="O5444" s="61">
        <f t="shared" si="413"/>
        <v>1900</v>
      </c>
      <c r="P5444" s="61">
        <f t="shared" si="414"/>
        <v>1</v>
      </c>
      <c r="R5444" s="272"/>
      <c r="S5444" s="272"/>
    </row>
    <row r="5445" spans="9:19">
      <c r="I5445" s="213"/>
      <c r="J5445" s="213"/>
      <c r="L5445" s="272">
        <f t="shared" si="411"/>
        <v>1900</v>
      </c>
      <c r="M5445" s="272">
        <f t="shared" si="412"/>
        <v>1</v>
      </c>
      <c r="O5445" s="61">
        <f t="shared" si="413"/>
        <v>1900</v>
      </c>
      <c r="P5445" s="61">
        <f t="shared" si="414"/>
        <v>1</v>
      </c>
      <c r="R5445" s="272"/>
      <c r="S5445" s="272"/>
    </row>
    <row r="5446" spans="9:19">
      <c r="I5446" s="213"/>
      <c r="J5446" s="213"/>
      <c r="L5446" s="272">
        <f t="shared" si="411"/>
        <v>1900</v>
      </c>
      <c r="M5446" s="272">
        <f t="shared" si="412"/>
        <v>1</v>
      </c>
      <c r="O5446" s="61">
        <f t="shared" si="413"/>
        <v>1900</v>
      </c>
      <c r="P5446" s="61">
        <f t="shared" si="414"/>
        <v>1</v>
      </c>
      <c r="R5446" s="272"/>
      <c r="S5446" s="272"/>
    </row>
    <row r="5447" spans="9:19">
      <c r="I5447" s="213"/>
      <c r="J5447" s="213"/>
      <c r="L5447" s="272">
        <f t="shared" si="411"/>
        <v>1900</v>
      </c>
      <c r="M5447" s="272">
        <f t="shared" si="412"/>
        <v>1</v>
      </c>
      <c r="O5447" s="61">
        <f t="shared" si="413"/>
        <v>1900</v>
      </c>
      <c r="P5447" s="61">
        <f t="shared" si="414"/>
        <v>1</v>
      </c>
      <c r="R5447" s="272"/>
      <c r="S5447" s="272"/>
    </row>
    <row r="5448" spans="9:19">
      <c r="I5448" s="213"/>
      <c r="J5448" s="213"/>
      <c r="L5448" s="272">
        <f t="shared" si="411"/>
        <v>1900</v>
      </c>
      <c r="M5448" s="272">
        <f t="shared" si="412"/>
        <v>1</v>
      </c>
      <c r="O5448" s="61">
        <f t="shared" si="413"/>
        <v>1900</v>
      </c>
      <c r="P5448" s="61">
        <f t="shared" si="414"/>
        <v>1</v>
      </c>
      <c r="R5448" s="272"/>
      <c r="S5448" s="272"/>
    </row>
    <row r="5449" spans="9:19">
      <c r="I5449" s="213"/>
      <c r="J5449" s="213"/>
      <c r="L5449" s="272">
        <f t="shared" si="411"/>
        <v>1900</v>
      </c>
      <c r="M5449" s="272">
        <f t="shared" si="412"/>
        <v>1</v>
      </c>
      <c r="O5449" s="61">
        <f t="shared" si="413"/>
        <v>1900</v>
      </c>
      <c r="P5449" s="61">
        <f t="shared" si="414"/>
        <v>1</v>
      </c>
      <c r="R5449" s="272"/>
      <c r="S5449" s="272"/>
    </row>
    <row r="5450" spans="9:19">
      <c r="I5450" s="213"/>
      <c r="J5450" s="213"/>
      <c r="L5450" s="272">
        <f t="shared" si="411"/>
        <v>1900</v>
      </c>
      <c r="M5450" s="272">
        <f t="shared" si="412"/>
        <v>1</v>
      </c>
      <c r="O5450" s="61">
        <f t="shared" si="413"/>
        <v>1900</v>
      </c>
      <c r="P5450" s="61">
        <f t="shared" si="414"/>
        <v>1</v>
      </c>
      <c r="R5450" s="272"/>
      <c r="S5450" s="272"/>
    </row>
    <row r="5451" spans="9:19">
      <c r="I5451" s="213"/>
      <c r="J5451" s="213"/>
      <c r="L5451" s="272">
        <f t="shared" si="411"/>
        <v>1900</v>
      </c>
      <c r="M5451" s="272">
        <f t="shared" si="412"/>
        <v>1</v>
      </c>
      <c r="O5451" s="61">
        <f t="shared" si="413"/>
        <v>1900</v>
      </c>
      <c r="P5451" s="61">
        <f t="shared" si="414"/>
        <v>1</v>
      </c>
      <c r="R5451" s="272"/>
      <c r="S5451" s="272"/>
    </row>
    <row r="5452" spans="9:19">
      <c r="I5452" s="213"/>
      <c r="J5452" s="213"/>
      <c r="L5452" s="272">
        <f t="shared" si="411"/>
        <v>1900</v>
      </c>
      <c r="M5452" s="272">
        <f t="shared" si="412"/>
        <v>1</v>
      </c>
      <c r="O5452" s="61">
        <f t="shared" si="413"/>
        <v>1900</v>
      </c>
      <c r="P5452" s="61">
        <f t="shared" si="414"/>
        <v>1</v>
      </c>
      <c r="R5452" s="272"/>
      <c r="S5452" s="272"/>
    </row>
    <row r="5453" spans="9:19">
      <c r="I5453" s="213"/>
      <c r="J5453" s="213"/>
      <c r="L5453" s="272">
        <f t="shared" si="411"/>
        <v>1900</v>
      </c>
      <c r="M5453" s="272">
        <f t="shared" si="412"/>
        <v>1</v>
      </c>
      <c r="O5453" s="61">
        <f t="shared" si="413"/>
        <v>1900</v>
      </c>
      <c r="P5453" s="61">
        <f t="shared" si="414"/>
        <v>1</v>
      </c>
      <c r="R5453" s="272"/>
      <c r="S5453" s="272"/>
    </row>
    <row r="5454" spans="9:19">
      <c r="I5454" s="213"/>
      <c r="J5454" s="213"/>
      <c r="L5454" s="272">
        <f t="shared" si="411"/>
        <v>1900</v>
      </c>
      <c r="M5454" s="272">
        <f t="shared" si="412"/>
        <v>1</v>
      </c>
      <c r="O5454" s="61">
        <f t="shared" si="413"/>
        <v>1900</v>
      </c>
      <c r="P5454" s="61">
        <f t="shared" si="414"/>
        <v>1</v>
      </c>
      <c r="R5454" s="272"/>
      <c r="S5454" s="272"/>
    </row>
    <row r="5455" spans="9:19">
      <c r="I5455" s="213"/>
      <c r="J5455" s="213"/>
      <c r="L5455" s="272">
        <f t="shared" si="411"/>
        <v>1900</v>
      </c>
      <c r="M5455" s="272">
        <f t="shared" si="412"/>
        <v>1</v>
      </c>
      <c r="O5455" s="61">
        <f t="shared" si="413"/>
        <v>1900</v>
      </c>
      <c r="P5455" s="61">
        <f t="shared" si="414"/>
        <v>1</v>
      </c>
      <c r="R5455" s="272"/>
      <c r="S5455" s="272"/>
    </row>
    <row r="5456" spans="9:19">
      <c r="I5456" s="213"/>
      <c r="J5456" s="213"/>
      <c r="L5456" s="272">
        <f t="shared" ref="L5456:L5519" si="415">YEAR(B5456)</f>
        <v>1900</v>
      </c>
      <c r="M5456" s="272">
        <f t="shared" ref="M5456:M5519" si="416">MONTH(B5456)</f>
        <v>1</v>
      </c>
      <c r="O5456" s="61">
        <f t="shared" ref="O5456:O5519" si="417">YEAR(B5456)</f>
        <v>1900</v>
      </c>
      <c r="P5456" s="61">
        <f t="shared" ref="P5456:P5519" si="418">MONTH(B5456)</f>
        <v>1</v>
      </c>
      <c r="R5456" s="272"/>
      <c r="S5456" s="272"/>
    </row>
    <row r="5457" spans="9:19">
      <c r="I5457" s="213"/>
      <c r="J5457" s="213"/>
      <c r="L5457" s="272">
        <f t="shared" si="415"/>
        <v>1900</v>
      </c>
      <c r="M5457" s="272">
        <f t="shared" si="416"/>
        <v>1</v>
      </c>
      <c r="O5457" s="61">
        <f t="shared" si="417"/>
        <v>1900</v>
      </c>
      <c r="P5457" s="61">
        <f t="shared" si="418"/>
        <v>1</v>
      </c>
      <c r="R5457" s="272"/>
      <c r="S5457" s="272"/>
    </row>
    <row r="5458" spans="9:19">
      <c r="I5458" s="213"/>
      <c r="J5458" s="213"/>
      <c r="L5458" s="272">
        <f t="shared" si="415"/>
        <v>1900</v>
      </c>
      <c r="M5458" s="272">
        <f t="shared" si="416"/>
        <v>1</v>
      </c>
      <c r="O5458" s="61">
        <f t="shared" si="417"/>
        <v>1900</v>
      </c>
      <c r="P5458" s="61">
        <f t="shared" si="418"/>
        <v>1</v>
      </c>
      <c r="R5458" s="272"/>
      <c r="S5458" s="272"/>
    </row>
    <row r="5459" spans="9:19">
      <c r="I5459" s="213"/>
      <c r="J5459" s="213"/>
      <c r="L5459" s="272">
        <f t="shared" si="415"/>
        <v>1900</v>
      </c>
      <c r="M5459" s="272">
        <f t="shared" si="416"/>
        <v>1</v>
      </c>
      <c r="O5459" s="61">
        <f t="shared" si="417"/>
        <v>1900</v>
      </c>
      <c r="P5459" s="61">
        <f t="shared" si="418"/>
        <v>1</v>
      </c>
      <c r="R5459" s="272"/>
      <c r="S5459" s="272"/>
    </row>
    <row r="5460" spans="9:19">
      <c r="I5460" s="213"/>
      <c r="J5460" s="213"/>
      <c r="L5460" s="272">
        <f t="shared" si="415"/>
        <v>1900</v>
      </c>
      <c r="M5460" s="272">
        <f t="shared" si="416"/>
        <v>1</v>
      </c>
      <c r="O5460" s="61">
        <f t="shared" si="417"/>
        <v>1900</v>
      </c>
      <c r="P5460" s="61">
        <f t="shared" si="418"/>
        <v>1</v>
      </c>
      <c r="R5460" s="272"/>
      <c r="S5460" s="272"/>
    </row>
    <row r="5461" spans="9:19">
      <c r="I5461" s="213"/>
      <c r="J5461" s="213"/>
      <c r="L5461" s="272">
        <f t="shared" si="415"/>
        <v>1900</v>
      </c>
      <c r="M5461" s="272">
        <f t="shared" si="416"/>
        <v>1</v>
      </c>
      <c r="O5461" s="61">
        <f t="shared" si="417"/>
        <v>1900</v>
      </c>
      <c r="P5461" s="61">
        <f t="shared" si="418"/>
        <v>1</v>
      </c>
      <c r="R5461" s="272"/>
      <c r="S5461" s="272"/>
    </row>
    <row r="5462" spans="9:19">
      <c r="I5462" s="213"/>
      <c r="J5462" s="213"/>
      <c r="L5462" s="272">
        <f t="shared" si="415"/>
        <v>1900</v>
      </c>
      <c r="M5462" s="272">
        <f t="shared" si="416"/>
        <v>1</v>
      </c>
      <c r="O5462" s="61">
        <f t="shared" si="417"/>
        <v>1900</v>
      </c>
      <c r="P5462" s="61">
        <f t="shared" si="418"/>
        <v>1</v>
      </c>
      <c r="R5462" s="272"/>
      <c r="S5462" s="272"/>
    </row>
    <row r="5463" spans="9:19">
      <c r="I5463" s="213"/>
      <c r="J5463" s="213"/>
      <c r="L5463" s="272">
        <f t="shared" si="415"/>
        <v>1900</v>
      </c>
      <c r="M5463" s="272">
        <f t="shared" si="416"/>
        <v>1</v>
      </c>
      <c r="O5463" s="61">
        <f t="shared" si="417"/>
        <v>1900</v>
      </c>
      <c r="P5463" s="61">
        <f t="shared" si="418"/>
        <v>1</v>
      </c>
      <c r="R5463" s="272"/>
      <c r="S5463" s="272"/>
    </row>
    <row r="5464" spans="9:19">
      <c r="I5464" s="213"/>
      <c r="J5464" s="213"/>
      <c r="L5464" s="272">
        <f t="shared" si="415"/>
        <v>1900</v>
      </c>
      <c r="M5464" s="272">
        <f t="shared" si="416"/>
        <v>1</v>
      </c>
      <c r="O5464" s="61">
        <f t="shared" si="417"/>
        <v>1900</v>
      </c>
      <c r="P5464" s="61">
        <f t="shared" si="418"/>
        <v>1</v>
      </c>
      <c r="R5464" s="272"/>
      <c r="S5464" s="272"/>
    </row>
    <row r="5465" spans="9:19">
      <c r="I5465" s="213"/>
      <c r="J5465" s="213"/>
      <c r="L5465" s="272">
        <f t="shared" si="415"/>
        <v>1900</v>
      </c>
      <c r="M5465" s="272">
        <f t="shared" si="416"/>
        <v>1</v>
      </c>
      <c r="O5465" s="61">
        <f t="shared" si="417"/>
        <v>1900</v>
      </c>
      <c r="P5465" s="61">
        <f t="shared" si="418"/>
        <v>1</v>
      </c>
      <c r="R5465" s="272"/>
      <c r="S5465" s="272"/>
    </row>
    <row r="5466" spans="9:19">
      <c r="I5466" s="213"/>
      <c r="J5466" s="213"/>
      <c r="L5466" s="272">
        <f t="shared" si="415"/>
        <v>1900</v>
      </c>
      <c r="M5466" s="272">
        <f t="shared" si="416"/>
        <v>1</v>
      </c>
      <c r="O5466" s="61">
        <f t="shared" si="417"/>
        <v>1900</v>
      </c>
      <c r="P5466" s="61">
        <f t="shared" si="418"/>
        <v>1</v>
      </c>
      <c r="R5466" s="272"/>
      <c r="S5466" s="272"/>
    </row>
    <row r="5467" spans="9:19">
      <c r="I5467" s="213"/>
      <c r="J5467" s="213"/>
      <c r="L5467" s="272">
        <f t="shared" si="415"/>
        <v>1900</v>
      </c>
      <c r="M5467" s="272">
        <f t="shared" si="416"/>
        <v>1</v>
      </c>
      <c r="O5467" s="61">
        <f t="shared" si="417"/>
        <v>1900</v>
      </c>
      <c r="P5467" s="61">
        <f t="shared" si="418"/>
        <v>1</v>
      </c>
      <c r="R5467" s="272"/>
      <c r="S5467" s="272"/>
    </row>
    <row r="5468" spans="9:19">
      <c r="I5468" s="213"/>
      <c r="J5468" s="213"/>
      <c r="L5468" s="272">
        <f t="shared" si="415"/>
        <v>1900</v>
      </c>
      <c r="M5468" s="272">
        <f t="shared" si="416"/>
        <v>1</v>
      </c>
      <c r="O5468" s="61">
        <f t="shared" si="417"/>
        <v>1900</v>
      </c>
      <c r="P5468" s="61">
        <f t="shared" si="418"/>
        <v>1</v>
      </c>
      <c r="R5468" s="272"/>
      <c r="S5468" s="272"/>
    </row>
    <row r="5469" spans="9:19">
      <c r="I5469" s="213"/>
      <c r="J5469" s="213"/>
      <c r="L5469" s="272">
        <f t="shared" si="415"/>
        <v>1900</v>
      </c>
      <c r="M5469" s="272">
        <f t="shared" si="416"/>
        <v>1</v>
      </c>
      <c r="O5469" s="61">
        <f t="shared" si="417"/>
        <v>1900</v>
      </c>
      <c r="P5469" s="61">
        <f t="shared" si="418"/>
        <v>1</v>
      </c>
      <c r="R5469" s="272"/>
      <c r="S5469" s="272"/>
    </row>
    <row r="5470" spans="9:19">
      <c r="I5470" s="213"/>
      <c r="J5470" s="213"/>
      <c r="L5470" s="272">
        <f t="shared" si="415"/>
        <v>1900</v>
      </c>
      <c r="M5470" s="272">
        <f t="shared" si="416"/>
        <v>1</v>
      </c>
      <c r="O5470" s="61">
        <f t="shared" si="417"/>
        <v>1900</v>
      </c>
      <c r="P5470" s="61">
        <f t="shared" si="418"/>
        <v>1</v>
      </c>
      <c r="R5470" s="272"/>
      <c r="S5470" s="272"/>
    </row>
    <row r="5471" spans="9:19">
      <c r="I5471" s="213"/>
      <c r="J5471" s="213"/>
      <c r="L5471" s="272">
        <f t="shared" si="415"/>
        <v>1900</v>
      </c>
      <c r="M5471" s="272">
        <f t="shared" si="416"/>
        <v>1</v>
      </c>
      <c r="O5471" s="61">
        <f t="shared" si="417"/>
        <v>1900</v>
      </c>
      <c r="P5471" s="61">
        <f t="shared" si="418"/>
        <v>1</v>
      </c>
      <c r="R5471" s="272"/>
      <c r="S5471" s="272"/>
    </row>
    <row r="5472" spans="9:19">
      <c r="I5472" s="213"/>
      <c r="J5472" s="213"/>
      <c r="L5472" s="272">
        <f t="shared" si="415"/>
        <v>1900</v>
      </c>
      <c r="M5472" s="272">
        <f t="shared" si="416"/>
        <v>1</v>
      </c>
      <c r="O5472" s="61">
        <f t="shared" si="417"/>
        <v>1900</v>
      </c>
      <c r="P5472" s="61">
        <f t="shared" si="418"/>
        <v>1</v>
      </c>
      <c r="R5472" s="272"/>
      <c r="S5472" s="272"/>
    </row>
    <row r="5473" spans="9:19">
      <c r="I5473" s="213"/>
      <c r="J5473" s="213"/>
      <c r="L5473" s="272">
        <f t="shared" si="415"/>
        <v>1900</v>
      </c>
      <c r="M5473" s="272">
        <f t="shared" si="416"/>
        <v>1</v>
      </c>
      <c r="O5473" s="61">
        <f t="shared" si="417"/>
        <v>1900</v>
      </c>
      <c r="P5473" s="61">
        <f t="shared" si="418"/>
        <v>1</v>
      </c>
      <c r="R5473" s="272"/>
      <c r="S5473" s="272"/>
    </row>
    <row r="5474" spans="9:19">
      <c r="I5474" s="213"/>
      <c r="J5474" s="213"/>
      <c r="L5474" s="272">
        <f t="shared" si="415"/>
        <v>1900</v>
      </c>
      <c r="M5474" s="272">
        <f t="shared" si="416"/>
        <v>1</v>
      </c>
      <c r="O5474" s="61">
        <f t="shared" si="417"/>
        <v>1900</v>
      </c>
      <c r="P5474" s="61">
        <f t="shared" si="418"/>
        <v>1</v>
      </c>
      <c r="R5474" s="272"/>
      <c r="S5474" s="272"/>
    </row>
    <row r="5475" spans="9:19">
      <c r="I5475" s="213"/>
      <c r="J5475" s="213"/>
      <c r="L5475" s="272">
        <f t="shared" si="415"/>
        <v>1900</v>
      </c>
      <c r="M5475" s="272">
        <f t="shared" si="416"/>
        <v>1</v>
      </c>
      <c r="O5475" s="61">
        <f t="shared" si="417"/>
        <v>1900</v>
      </c>
      <c r="P5475" s="61">
        <f t="shared" si="418"/>
        <v>1</v>
      </c>
      <c r="R5475" s="272"/>
      <c r="S5475" s="272"/>
    </row>
    <row r="5476" spans="9:19">
      <c r="I5476" s="213"/>
      <c r="J5476" s="213"/>
      <c r="L5476" s="272">
        <f t="shared" si="415"/>
        <v>1900</v>
      </c>
      <c r="M5476" s="272">
        <f t="shared" si="416"/>
        <v>1</v>
      </c>
      <c r="O5476" s="61">
        <f t="shared" si="417"/>
        <v>1900</v>
      </c>
      <c r="P5476" s="61">
        <f t="shared" si="418"/>
        <v>1</v>
      </c>
      <c r="R5476" s="272"/>
      <c r="S5476" s="272"/>
    </row>
    <row r="5477" spans="9:19">
      <c r="I5477" s="213"/>
      <c r="J5477" s="213"/>
      <c r="L5477" s="272">
        <f t="shared" si="415"/>
        <v>1900</v>
      </c>
      <c r="M5477" s="272">
        <f t="shared" si="416"/>
        <v>1</v>
      </c>
      <c r="O5477" s="61">
        <f t="shared" si="417"/>
        <v>1900</v>
      </c>
      <c r="P5477" s="61">
        <f t="shared" si="418"/>
        <v>1</v>
      </c>
      <c r="R5477" s="272"/>
      <c r="S5477" s="272"/>
    </row>
    <row r="5478" spans="9:19">
      <c r="I5478" s="213"/>
      <c r="J5478" s="213"/>
      <c r="L5478" s="272">
        <f t="shared" si="415"/>
        <v>1900</v>
      </c>
      <c r="M5478" s="272">
        <f t="shared" si="416"/>
        <v>1</v>
      </c>
      <c r="O5478" s="61">
        <f t="shared" si="417"/>
        <v>1900</v>
      </c>
      <c r="P5478" s="61">
        <f t="shared" si="418"/>
        <v>1</v>
      </c>
      <c r="R5478" s="272"/>
      <c r="S5478" s="272"/>
    </row>
    <row r="5479" spans="9:19">
      <c r="I5479" s="213"/>
      <c r="J5479" s="213"/>
      <c r="L5479" s="272">
        <f t="shared" si="415"/>
        <v>1900</v>
      </c>
      <c r="M5479" s="272">
        <f t="shared" si="416"/>
        <v>1</v>
      </c>
      <c r="O5479" s="61">
        <f t="shared" si="417"/>
        <v>1900</v>
      </c>
      <c r="P5479" s="61">
        <f t="shared" si="418"/>
        <v>1</v>
      </c>
      <c r="R5479" s="272"/>
      <c r="S5479" s="272"/>
    </row>
    <row r="5480" spans="9:19">
      <c r="I5480" s="213"/>
      <c r="J5480" s="213"/>
      <c r="L5480" s="272">
        <f t="shared" si="415"/>
        <v>1900</v>
      </c>
      <c r="M5480" s="272">
        <f t="shared" si="416"/>
        <v>1</v>
      </c>
      <c r="O5480" s="61">
        <f t="shared" si="417"/>
        <v>1900</v>
      </c>
      <c r="P5480" s="61">
        <f t="shared" si="418"/>
        <v>1</v>
      </c>
      <c r="R5480" s="272"/>
      <c r="S5480" s="272"/>
    </row>
    <row r="5481" spans="9:19">
      <c r="I5481" s="213"/>
      <c r="J5481" s="213"/>
      <c r="L5481" s="272">
        <f t="shared" si="415"/>
        <v>1900</v>
      </c>
      <c r="M5481" s="272">
        <f t="shared" si="416"/>
        <v>1</v>
      </c>
      <c r="O5481" s="61">
        <f t="shared" si="417"/>
        <v>1900</v>
      </c>
      <c r="P5481" s="61">
        <f t="shared" si="418"/>
        <v>1</v>
      </c>
      <c r="R5481" s="272"/>
      <c r="S5481" s="272"/>
    </row>
    <row r="5482" spans="9:19">
      <c r="I5482" s="213"/>
      <c r="J5482" s="213"/>
      <c r="L5482" s="272">
        <f t="shared" si="415"/>
        <v>1900</v>
      </c>
      <c r="M5482" s="272">
        <f t="shared" si="416"/>
        <v>1</v>
      </c>
      <c r="O5482" s="61">
        <f t="shared" si="417"/>
        <v>1900</v>
      </c>
      <c r="P5482" s="61">
        <f t="shared" si="418"/>
        <v>1</v>
      </c>
      <c r="R5482" s="272"/>
      <c r="S5482" s="272"/>
    </row>
    <row r="5483" spans="9:19">
      <c r="I5483" s="213"/>
      <c r="J5483" s="213"/>
      <c r="L5483" s="272">
        <f t="shared" si="415"/>
        <v>1900</v>
      </c>
      <c r="M5483" s="272">
        <f t="shared" si="416"/>
        <v>1</v>
      </c>
      <c r="O5483" s="61">
        <f t="shared" si="417"/>
        <v>1900</v>
      </c>
      <c r="P5483" s="61">
        <f t="shared" si="418"/>
        <v>1</v>
      </c>
      <c r="R5483" s="272"/>
      <c r="S5483" s="272"/>
    </row>
    <row r="5484" spans="9:19">
      <c r="I5484" s="213"/>
      <c r="J5484" s="213"/>
      <c r="L5484" s="272">
        <f t="shared" si="415"/>
        <v>1900</v>
      </c>
      <c r="M5484" s="272">
        <f t="shared" si="416"/>
        <v>1</v>
      </c>
      <c r="O5484" s="61">
        <f t="shared" si="417"/>
        <v>1900</v>
      </c>
      <c r="P5484" s="61">
        <f t="shared" si="418"/>
        <v>1</v>
      </c>
      <c r="R5484" s="272"/>
      <c r="S5484" s="272"/>
    </row>
    <row r="5485" spans="9:19">
      <c r="I5485" s="213"/>
      <c r="J5485" s="213"/>
      <c r="L5485" s="272">
        <f t="shared" si="415"/>
        <v>1900</v>
      </c>
      <c r="M5485" s="272">
        <f t="shared" si="416"/>
        <v>1</v>
      </c>
      <c r="O5485" s="61">
        <f t="shared" si="417"/>
        <v>1900</v>
      </c>
      <c r="P5485" s="61">
        <f t="shared" si="418"/>
        <v>1</v>
      </c>
      <c r="R5485" s="272"/>
      <c r="S5485" s="272"/>
    </row>
    <row r="5486" spans="9:19">
      <c r="I5486" s="213"/>
      <c r="J5486" s="213"/>
      <c r="L5486" s="272">
        <f t="shared" si="415"/>
        <v>1900</v>
      </c>
      <c r="M5486" s="272">
        <f t="shared" si="416"/>
        <v>1</v>
      </c>
      <c r="O5486" s="61">
        <f t="shared" si="417"/>
        <v>1900</v>
      </c>
      <c r="P5486" s="61">
        <f t="shared" si="418"/>
        <v>1</v>
      </c>
      <c r="R5486" s="272"/>
      <c r="S5486" s="272"/>
    </row>
    <row r="5487" spans="9:19">
      <c r="I5487" s="213"/>
      <c r="J5487" s="213"/>
      <c r="L5487" s="272">
        <f t="shared" si="415"/>
        <v>1900</v>
      </c>
      <c r="M5487" s="272">
        <f t="shared" si="416"/>
        <v>1</v>
      </c>
      <c r="O5487" s="61">
        <f t="shared" si="417"/>
        <v>1900</v>
      </c>
      <c r="P5487" s="61">
        <f t="shared" si="418"/>
        <v>1</v>
      </c>
      <c r="R5487" s="272"/>
      <c r="S5487" s="272"/>
    </row>
    <row r="5488" spans="9:19">
      <c r="I5488" s="213"/>
      <c r="J5488" s="213"/>
      <c r="L5488" s="272">
        <f t="shared" si="415"/>
        <v>1900</v>
      </c>
      <c r="M5488" s="272">
        <f t="shared" si="416"/>
        <v>1</v>
      </c>
      <c r="O5488" s="61">
        <f t="shared" si="417"/>
        <v>1900</v>
      </c>
      <c r="P5488" s="61">
        <f t="shared" si="418"/>
        <v>1</v>
      </c>
      <c r="R5488" s="272"/>
      <c r="S5488" s="272"/>
    </row>
    <row r="5489" spans="9:19">
      <c r="I5489" s="213"/>
      <c r="J5489" s="213"/>
      <c r="L5489" s="272">
        <f t="shared" si="415"/>
        <v>1900</v>
      </c>
      <c r="M5489" s="272">
        <f t="shared" si="416"/>
        <v>1</v>
      </c>
      <c r="O5489" s="61">
        <f t="shared" si="417"/>
        <v>1900</v>
      </c>
      <c r="P5489" s="61">
        <f t="shared" si="418"/>
        <v>1</v>
      </c>
      <c r="R5489" s="272"/>
      <c r="S5489" s="272"/>
    </row>
    <row r="5490" spans="9:19">
      <c r="I5490" s="213"/>
      <c r="J5490" s="213"/>
      <c r="L5490" s="272">
        <f t="shared" si="415"/>
        <v>1900</v>
      </c>
      <c r="M5490" s="272">
        <f t="shared" si="416"/>
        <v>1</v>
      </c>
      <c r="O5490" s="61">
        <f t="shared" si="417"/>
        <v>1900</v>
      </c>
      <c r="P5490" s="61">
        <f t="shared" si="418"/>
        <v>1</v>
      </c>
      <c r="R5490" s="272"/>
      <c r="S5490" s="272"/>
    </row>
    <row r="5491" spans="9:19">
      <c r="I5491" s="213"/>
      <c r="J5491" s="213"/>
      <c r="L5491" s="272">
        <f t="shared" si="415"/>
        <v>1900</v>
      </c>
      <c r="M5491" s="272">
        <f t="shared" si="416"/>
        <v>1</v>
      </c>
      <c r="O5491" s="61">
        <f t="shared" si="417"/>
        <v>1900</v>
      </c>
      <c r="P5491" s="61">
        <f t="shared" si="418"/>
        <v>1</v>
      </c>
      <c r="R5491" s="272"/>
      <c r="S5491" s="272"/>
    </row>
    <row r="5492" spans="9:19">
      <c r="I5492" s="213"/>
      <c r="J5492" s="213"/>
      <c r="L5492" s="272">
        <f t="shared" si="415"/>
        <v>1900</v>
      </c>
      <c r="M5492" s="272">
        <f t="shared" si="416"/>
        <v>1</v>
      </c>
      <c r="O5492" s="61">
        <f t="shared" si="417"/>
        <v>1900</v>
      </c>
      <c r="P5492" s="61">
        <f t="shared" si="418"/>
        <v>1</v>
      </c>
      <c r="R5492" s="272"/>
      <c r="S5492" s="272"/>
    </row>
    <row r="5493" spans="9:19">
      <c r="I5493" s="213"/>
      <c r="J5493" s="213"/>
      <c r="L5493" s="272">
        <f t="shared" si="415"/>
        <v>1900</v>
      </c>
      <c r="M5493" s="272">
        <f t="shared" si="416"/>
        <v>1</v>
      </c>
      <c r="O5493" s="61">
        <f t="shared" si="417"/>
        <v>1900</v>
      </c>
      <c r="P5493" s="61">
        <f t="shared" si="418"/>
        <v>1</v>
      </c>
      <c r="R5493" s="272"/>
      <c r="S5493" s="272"/>
    </row>
    <row r="5494" spans="9:19">
      <c r="I5494" s="213"/>
      <c r="J5494" s="213"/>
      <c r="L5494" s="272">
        <f t="shared" si="415"/>
        <v>1900</v>
      </c>
      <c r="M5494" s="272">
        <f t="shared" si="416"/>
        <v>1</v>
      </c>
      <c r="O5494" s="61">
        <f t="shared" si="417"/>
        <v>1900</v>
      </c>
      <c r="P5494" s="61">
        <f t="shared" si="418"/>
        <v>1</v>
      </c>
      <c r="R5494" s="272"/>
      <c r="S5494" s="272"/>
    </row>
    <row r="5495" spans="9:19">
      <c r="I5495" s="213"/>
      <c r="J5495" s="213"/>
      <c r="L5495" s="272">
        <f t="shared" si="415"/>
        <v>1900</v>
      </c>
      <c r="M5495" s="272">
        <f t="shared" si="416"/>
        <v>1</v>
      </c>
      <c r="O5495" s="61">
        <f t="shared" si="417"/>
        <v>1900</v>
      </c>
      <c r="P5495" s="61">
        <f t="shared" si="418"/>
        <v>1</v>
      </c>
      <c r="R5495" s="272"/>
      <c r="S5495" s="272"/>
    </row>
    <row r="5496" spans="9:19">
      <c r="I5496" s="213"/>
      <c r="J5496" s="213"/>
      <c r="L5496" s="272">
        <f t="shared" si="415"/>
        <v>1900</v>
      </c>
      <c r="M5496" s="272">
        <f t="shared" si="416"/>
        <v>1</v>
      </c>
      <c r="O5496" s="61">
        <f t="shared" si="417"/>
        <v>1900</v>
      </c>
      <c r="P5496" s="61">
        <f t="shared" si="418"/>
        <v>1</v>
      </c>
      <c r="R5496" s="272"/>
      <c r="S5496" s="272"/>
    </row>
    <row r="5497" spans="9:19">
      <c r="I5497" s="213"/>
      <c r="J5497" s="213"/>
      <c r="L5497" s="272">
        <f t="shared" si="415"/>
        <v>1900</v>
      </c>
      <c r="M5497" s="272">
        <f t="shared" si="416"/>
        <v>1</v>
      </c>
      <c r="O5497" s="61">
        <f t="shared" si="417"/>
        <v>1900</v>
      </c>
      <c r="P5497" s="61">
        <f t="shared" si="418"/>
        <v>1</v>
      </c>
      <c r="R5497" s="272"/>
      <c r="S5497" s="272"/>
    </row>
    <row r="5498" spans="9:19">
      <c r="I5498" s="213"/>
      <c r="J5498" s="213"/>
      <c r="L5498" s="272">
        <f t="shared" si="415"/>
        <v>1900</v>
      </c>
      <c r="M5498" s="272">
        <f t="shared" si="416"/>
        <v>1</v>
      </c>
      <c r="O5498" s="61">
        <f t="shared" si="417"/>
        <v>1900</v>
      </c>
      <c r="P5498" s="61">
        <f t="shared" si="418"/>
        <v>1</v>
      </c>
      <c r="R5498" s="272"/>
      <c r="S5498" s="272"/>
    </row>
    <row r="5499" spans="9:19">
      <c r="I5499" s="213"/>
      <c r="J5499" s="213"/>
      <c r="L5499" s="272">
        <f t="shared" si="415"/>
        <v>1900</v>
      </c>
      <c r="M5499" s="272">
        <f t="shared" si="416"/>
        <v>1</v>
      </c>
      <c r="O5499" s="61">
        <f t="shared" si="417"/>
        <v>1900</v>
      </c>
      <c r="P5499" s="61">
        <f t="shared" si="418"/>
        <v>1</v>
      </c>
      <c r="R5499" s="272"/>
      <c r="S5499" s="272"/>
    </row>
    <row r="5500" spans="9:19">
      <c r="I5500" s="213"/>
      <c r="J5500" s="213"/>
      <c r="L5500" s="272">
        <f t="shared" si="415"/>
        <v>1900</v>
      </c>
      <c r="M5500" s="272">
        <f t="shared" si="416"/>
        <v>1</v>
      </c>
      <c r="O5500" s="61">
        <f t="shared" si="417"/>
        <v>1900</v>
      </c>
      <c r="P5500" s="61">
        <f t="shared" si="418"/>
        <v>1</v>
      </c>
      <c r="R5500" s="272"/>
      <c r="S5500" s="272"/>
    </row>
    <row r="5501" spans="9:19">
      <c r="I5501" s="213"/>
      <c r="J5501" s="213"/>
      <c r="L5501" s="272">
        <f t="shared" si="415"/>
        <v>1900</v>
      </c>
      <c r="M5501" s="272">
        <f t="shared" si="416"/>
        <v>1</v>
      </c>
      <c r="O5501" s="61">
        <f t="shared" si="417"/>
        <v>1900</v>
      </c>
      <c r="P5501" s="61">
        <f t="shared" si="418"/>
        <v>1</v>
      </c>
      <c r="R5501" s="272"/>
      <c r="S5501" s="272"/>
    </row>
    <row r="5502" spans="9:19">
      <c r="I5502" s="213"/>
      <c r="J5502" s="213"/>
      <c r="L5502" s="272">
        <f t="shared" si="415"/>
        <v>1900</v>
      </c>
      <c r="M5502" s="272">
        <f t="shared" si="416"/>
        <v>1</v>
      </c>
      <c r="O5502" s="61">
        <f t="shared" si="417"/>
        <v>1900</v>
      </c>
      <c r="P5502" s="61">
        <f t="shared" si="418"/>
        <v>1</v>
      </c>
      <c r="R5502" s="272"/>
      <c r="S5502" s="272"/>
    </row>
    <row r="5503" spans="9:19">
      <c r="I5503" s="213"/>
      <c r="J5503" s="213"/>
      <c r="L5503" s="272">
        <f t="shared" si="415"/>
        <v>1900</v>
      </c>
      <c r="M5503" s="272">
        <f t="shared" si="416"/>
        <v>1</v>
      </c>
      <c r="O5503" s="61">
        <f t="shared" si="417"/>
        <v>1900</v>
      </c>
      <c r="P5503" s="61">
        <f t="shared" si="418"/>
        <v>1</v>
      </c>
      <c r="R5503" s="272"/>
      <c r="S5503" s="272"/>
    </row>
    <row r="5504" spans="9:19">
      <c r="I5504" s="213"/>
      <c r="J5504" s="213"/>
      <c r="L5504" s="272">
        <f t="shared" si="415"/>
        <v>1900</v>
      </c>
      <c r="M5504" s="272">
        <f t="shared" si="416"/>
        <v>1</v>
      </c>
      <c r="O5504" s="61">
        <f t="shared" si="417"/>
        <v>1900</v>
      </c>
      <c r="P5504" s="61">
        <f t="shared" si="418"/>
        <v>1</v>
      </c>
      <c r="R5504" s="272"/>
      <c r="S5504" s="272"/>
    </row>
    <row r="5505" spans="9:19">
      <c r="I5505" s="213"/>
      <c r="J5505" s="213"/>
      <c r="L5505" s="272">
        <f t="shared" si="415"/>
        <v>1900</v>
      </c>
      <c r="M5505" s="272">
        <f t="shared" si="416"/>
        <v>1</v>
      </c>
      <c r="O5505" s="61">
        <f t="shared" si="417"/>
        <v>1900</v>
      </c>
      <c r="P5505" s="61">
        <f t="shared" si="418"/>
        <v>1</v>
      </c>
      <c r="R5505" s="272"/>
      <c r="S5505" s="272"/>
    </row>
    <row r="5506" spans="9:19">
      <c r="I5506" s="213"/>
      <c r="J5506" s="213"/>
      <c r="L5506" s="272">
        <f t="shared" si="415"/>
        <v>1900</v>
      </c>
      <c r="M5506" s="272">
        <f t="shared" si="416"/>
        <v>1</v>
      </c>
      <c r="O5506" s="61">
        <f t="shared" si="417"/>
        <v>1900</v>
      </c>
      <c r="P5506" s="61">
        <f t="shared" si="418"/>
        <v>1</v>
      </c>
      <c r="R5506" s="272"/>
      <c r="S5506" s="272"/>
    </row>
    <row r="5507" spans="9:19">
      <c r="I5507" s="213"/>
      <c r="J5507" s="213"/>
      <c r="L5507" s="272">
        <f t="shared" si="415"/>
        <v>1900</v>
      </c>
      <c r="M5507" s="272">
        <f t="shared" si="416"/>
        <v>1</v>
      </c>
      <c r="O5507" s="61">
        <f t="shared" si="417"/>
        <v>1900</v>
      </c>
      <c r="P5507" s="61">
        <f t="shared" si="418"/>
        <v>1</v>
      </c>
      <c r="R5507" s="272"/>
      <c r="S5507" s="272"/>
    </row>
    <row r="5508" spans="9:19">
      <c r="I5508" s="213"/>
      <c r="J5508" s="213"/>
      <c r="L5508" s="272">
        <f t="shared" si="415"/>
        <v>1900</v>
      </c>
      <c r="M5508" s="272">
        <f t="shared" si="416"/>
        <v>1</v>
      </c>
      <c r="O5508" s="61">
        <f t="shared" si="417"/>
        <v>1900</v>
      </c>
      <c r="P5508" s="61">
        <f t="shared" si="418"/>
        <v>1</v>
      </c>
      <c r="R5508" s="272"/>
      <c r="S5508" s="272"/>
    </row>
    <row r="5509" spans="9:19">
      <c r="I5509" s="213"/>
      <c r="J5509" s="213"/>
      <c r="L5509" s="272">
        <f t="shared" si="415"/>
        <v>1900</v>
      </c>
      <c r="M5509" s="272">
        <f t="shared" si="416"/>
        <v>1</v>
      </c>
      <c r="O5509" s="61">
        <f t="shared" si="417"/>
        <v>1900</v>
      </c>
      <c r="P5509" s="61">
        <f t="shared" si="418"/>
        <v>1</v>
      </c>
      <c r="R5509" s="272"/>
      <c r="S5509" s="272"/>
    </row>
    <row r="5510" spans="9:19">
      <c r="I5510" s="213"/>
      <c r="J5510" s="213"/>
      <c r="L5510" s="272">
        <f t="shared" si="415"/>
        <v>1900</v>
      </c>
      <c r="M5510" s="272">
        <f t="shared" si="416"/>
        <v>1</v>
      </c>
      <c r="O5510" s="61">
        <f t="shared" si="417"/>
        <v>1900</v>
      </c>
      <c r="P5510" s="61">
        <f t="shared" si="418"/>
        <v>1</v>
      </c>
      <c r="R5510" s="272"/>
      <c r="S5510" s="272"/>
    </row>
    <row r="5511" spans="9:19">
      <c r="I5511" s="213"/>
      <c r="J5511" s="213"/>
      <c r="L5511" s="272">
        <f t="shared" si="415"/>
        <v>1900</v>
      </c>
      <c r="M5511" s="272">
        <f t="shared" si="416"/>
        <v>1</v>
      </c>
      <c r="O5511" s="61">
        <f t="shared" si="417"/>
        <v>1900</v>
      </c>
      <c r="P5511" s="61">
        <f t="shared" si="418"/>
        <v>1</v>
      </c>
      <c r="R5511" s="272"/>
      <c r="S5511" s="272"/>
    </row>
    <row r="5512" spans="9:19">
      <c r="I5512" s="213"/>
      <c r="J5512" s="213"/>
      <c r="L5512" s="272">
        <f t="shared" si="415"/>
        <v>1900</v>
      </c>
      <c r="M5512" s="272">
        <f t="shared" si="416"/>
        <v>1</v>
      </c>
      <c r="O5512" s="61">
        <f t="shared" si="417"/>
        <v>1900</v>
      </c>
      <c r="P5512" s="61">
        <f t="shared" si="418"/>
        <v>1</v>
      </c>
      <c r="R5512" s="272"/>
      <c r="S5512" s="272"/>
    </row>
    <row r="5513" spans="9:19">
      <c r="I5513" s="213"/>
      <c r="J5513" s="213"/>
      <c r="L5513" s="272">
        <f t="shared" si="415"/>
        <v>1900</v>
      </c>
      <c r="M5513" s="272">
        <f t="shared" si="416"/>
        <v>1</v>
      </c>
      <c r="O5513" s="61">
        <f t="shared" si="417"/>
        <v>1900</v>
      </c>
      <c r="P5513" s="61">
        <f t="shared" si="418"/>
        <v>1</v>
      </c>
      <c r="R5513" s="272"/>
      <c r="S5513" s="272"/>
    </row>
    <row r="5514" spans="9:19">
      <c r="I5514" s="213"/>
      <c r="J5514" s="213"/>
      <c r="L5514" s="272">
        <f t="shared" si="415"/>
        <v>1900</v>
      </c>
      <c r="M5514" s="272">
        <f t="shared" si="416"/>
        <v>1</v>
      </c>
      <c r="O5514" s="61">
        <f t="shared" si="417"/>
        <v>1900</v>
      </c>
      <c r="P5514" s="61">
        <f t="shared" si="418"/>
        <v>1</v>
      </c>
      <c r="R5514" s="272"/>
      <c r="S5514" s="272"/>
    </row>
    <row r="5515" spans="9:19">
      <c r="I5515" s="213"/>
      <c r="J5515" s="213"/>
      <c r="L5515" s="272">
        <f t="shared" si="415"/>
        <v>1900</v>
      </c>
      <c r="M5515" s="272">
        <f t="shared" si="416"/>
        <v>1</v>
      </c>
      <c r="O5515" s="61">
        <f t="shared" si="417"/>
        <v>1900</v>
      </c>
      <c r="P5515" s="61">
        <f t="shared" si="418"/>
        <v>1</v>
      </c>
      <c r="R5515" s="272"/>
      <c r="S5515" s="272"/>
    </row>
    <row r="5516" spans="9:19">
      <c r="I5516" s="213"/>
      <c r="J5516" s="213"/>
      <c r="L5516" s="272">
        <f t="shared" si="415"/>
        <v>1900</v>
      </c>
      <c r="M5516" s="272">
        <f t="shared" si="416"/>
        <v>1</v>
      </c>
      <c r="O5516" s="61">
        <f t="shared" si="417"/>
        <v>1900</v>
      </c>
      <c r="P5516" s="61">
        <f t="shared" si="418"/>
        <v>1</v>
      </c>
      <c r="R5516" s="272"/>
      <c r="S5516" s="272"/>
    </row>
    <row r="5517" spans="9:19">
      <c r="I5517" s="213"/>
      <c r="J5517" s="213"/>
      <c r="L5517" s="272">
        <f t="shared" si="415"/>
        <v>1900</v>
      </c>
      <c r="M5517" s="272">
        <f t="shared" si="416"/>
        <v>1</v>
      </c>
      <c r="O5517" s="61">
        <f t="shared" si="417"/>
        <v>1900</v>
      </c>
      <c r="P5517" s="61">
        <f t="shared" si="418"/>
        <v>1</v>
      </c>
      <c r="R5517" s="272"/>
      <c r="S5517" s="272"/>
    </row>
    <row r="5518" spans="9:19">
      <c r="I5518" s="213"/>
      <c r="J5518" s="213"/>
      <c r="L5518" s="272">
        <f t="shared" si="415"/>
        <v>1900</v>
      </c>
      <c r="M5518" s="272">
        <f t="shared" si="416"/>
        <v>1</v>
      </c>
      <c r="O5518" s="61">
        <f t="shared" si="417"/>
        <v>1900</v>
      </c>
      <c r="P5518" s="61">
        <f t="shared" si="418"/>
        <v>1</v>
      </c>
      <c r="R5518" s="272"/>
      <c r="S5518" s="272"/>
    </row>
    <row r="5519" spans="9:19">
      <c r="I5519" s="213"/>
      <c r="J5519" s="213"/>
      <c r="L5519" s="272">
        <f t="shared" si="415"/>
        <v>1900</v>
      </c>
      <c r="M5519" s="272">
        <f t="shared" si="416"/>
        <v>1</v>
      </c>
      <c r="O5519" s="61">
        <f t="shared" si="417"/>
        <v>1900</v>
      </c>
      <c r="P5519" s="61">
        <f t="shared" si="418"/>
        <v>1</v>
      </c>
      <c r="R5519" s="272"/>
      <c r="S5519" s="272"/>
    </row>
    <row r="5520" spans="9:19">
      <c r="I5520" s="213"/>
      <c r="J5520" s="213"/>
      <c r="L5520" s="272">
        <f t="shared" ref="L5520:L5583" si="419">YEAR(B5520)</f>
        <v>1900</v>
      </c>
      <c r="M5520" s="272">
        <f t="shared" ref="M5520:M5583" si="420">MONTH(B5520)</f>
        <v>1</v>
      </c>
      <c r="O5520" s="61">
        <f t="shared" ref="O5520:O5583" si="421">YEAR(B5520)</f>
        <v>1900</v>
      </c>
      <c r="P5520" s="61">
        <f t="shared" ref="P5520:P5583" si="422">MONTH(B5520)</f>
        <v>1</v>
      </c>
      <c r="R5520" s="272"/>
      <c r="S5520" s="272"/>
    </row>
    <row r="5521" spans="9:19">
      <c r="I5521" s="213"/>
      <c r="J5521" s="213"/>
      <c r="L5521" s="272">
        <f t="shared" si="419"/>
        <v>1900</v>
      </c>
      <c r="M5521" s="272">
        <f t="shared" si="420"/>
        <v>1</v>
      </c>
      <c r="O5521" s="61">
        <f t="shared" si="421"/>
        <v>1900</v>
      </c>
      <c r="P5521" s="61">
        <f t="shared" si="422"/>
        <v>1</v>
      </c>
      <c r="R5521" s="272"/>
      <c r="S5521" s="272"/>
    </row>
    <row r="5522" spans="9:19">
      <c r="I5522" s="213"/>
      <c r="J5522" s="213"/>
      <c r="L5522" s="272">
        <f t="shared" si="419"/>
        <v>1900</v>
      </c>
      <c r="M5522" s="272">
        <f t="shared" si="420"/>
        <v>1</v>
      </c>
      <c r="O5522" s="61">
        <f t="shared" si="421"/>
        <v>1900</v>
      </c>
      <c r="P5522" s="61">
        <f t="shared" si="422"/>
        <v>1</v>
      </c>
      <c r="R5522" s="272"/>
      <c r="S5522" s="272"/>
    </row>
    <row r="5523" spans="9:19">
      <c r="I5523" s="213"/>
      <c r="J5523" s="213"/>
      <c r="L5523" s="272">
        <f t="shared" si="419"/>
        <v>1900</v>
      </c>
      <c r="M5523" s="272">
        <f t="shared" si="420"/>
        <v>1</v>
      </c>
      <c r="O5523" s="61">
        <f t="shared" si="421"/>
        <v>1900</v>
      </c>
      <c r="P5523" s="61">
        <f t="shared" si="422"/>
        <v>1</v>
      </c>
      <c r="R5523" s="272"/>
      <c r="S5523" s="272"/>
    </row>
    <row r="5524" spans="9:19">
      <c r="I5524" s="213"/>
      <c r="J5524" s="213"/>
      <c r="L5524" s="272">
        <f t="shared" si="419"/>
        <v>1900</v>
      </c>
      <c r="M5524" s="272">
        <f t="shared" si="420"/>
        <v>1</v>
      </c>
      <c r="O5524" s="61">
        <f t="shared" si="421"/>
        <v>1900</v>
      </c>
      <c r="P5524" s="61">
        <f t="shared" si="422"/>
        <v>1</v>
      </c>
      <c r="R5524" s="272"/>
      <c r="S5524" s="272"/>
    </row>
    <row r="5525" spans="9:19">
      <c r="I5525" s="213"/>
      <c r="J5525" s="213"/>
      <c r="L5525" s="272">
        <f t="shared" si="419"/>
        <v>1900</v>
      </c>
      <c r="M5525" s="272">
        <f t="shared" si="420"/>
        <v>1</v>
      </c>
      <c r="O5525" s="61">
        <f t="shared" si="421"/>
        <v>1900</v>
      </c>
      <c r="P5525" s="61">
        <f t="shared" si="422"/>
        <v>1</v>
      </c>
      <c r="R5525" s="272"/>
      <c r="S5525" s="272"/>
    </row>
    <row r="5526" spans="9:19">
      <c r="I5526" s="213"/>
      <c r="J5526" s="213"/>
      <c r="L5526" s="272">
        <f t="shared" si="419"/>
        <v>1900</v>
      </c>
      <c r="M5526" s="272">
        <f t="shared" si="420"/>
        <v>1</v>
      </c>
      <c r="O5526" s="61">
        <f t="shared" si="421"/>
        <v>1900</v>
      </c>
      <c r="P5526" s="61">
        <f t="shared" si="422"/>
        <v>1</v>
      </c>
      <c r="R5526" s="272"/>
      <c r="S5526" s="272"/>
    </row>
    <row r="5527" spans="9:19">
      <c r="I5527" s="213"/>
      <c r="J5527" s="213"/>
      <c r="L5527" s="272">
        <f t="shared" si="419"/>
        <v>1900</v>
      </c>
      <c r="M5527" s="272">
        <f t="shared" si="420"/>
        <v>1</v>
      </c>
      <c r="O5527" s="61">
        <f t="shared" si="421"/>
        <v>1900</v>
      </c>
      <c r="P5527" s="61">
        <f t="shared" si="422"/>
        <v>1</v>
      </c>
      <c r="R5527" s="272"/>
      <c r="S5527" s="272"/>
    </row>
    <row r="5528" spans="9:19">
      <c r="I5528" s="213"/>
      <c r="J5528" s="213"/>
      <c r="L5528" s="272">
        <f t="shared" si="419"/>
        <v>1900</v>
      </c>
      <c r="M5528" s="272">
        <f t="shared" si="420"/>
        <v>1</v>
      </c>
      <c r="O5528" s="61">
        <f t="shared" si="421"/>
        <v>1900</v>
      </c>
      <c r="P5528" s="61">
        <f t="shared" si="422"/>
        <v>1</v>
      </c>
      <c r="R5528" s="272"/>
      <c r="S5528" s="272"/>
    </row>
    <row r="5529" spans="9:19">
      <c r="I5529" s="213"/>
      <c r="J5529" s="213"/>
      <c r="L5529" s="272">
        <f t="shared" si="419"/>
        <v>1900</v>
      </c>
      <c r="M5529" s="272">
        <f t="shared" si="420"/>
        <v>1</v>
      </c>
      <c r="O5529" s="61">
        <f t="shared" si="421"/>
        <v>1900</v>
      </c>
      <c r="P5529" s="61">
        <f t="shared" si="422"/>
        <v>1</v>
      </c>
      <c r="R5529" s="272"/>
      <c r="S5529" s="272"/>
    </row>
    <row r="5530" spans="9:19">
      <c r="I5530" s="213"/>
      <c r="J5530" s="213"/>
      <c r="L5530" s="272">
        <f t="shared" si="419"/>
        <v>1900</v>
      </c>
      <c r="M5530" s="272">
        <f t="shared" si="420"/>
        <v>1</v>
      </c>
      <c r="O5530" s="61">
        <f t="shared" si="421"/>
        <v>1900</v>
      </c>
      <c r="P5530" s="61">
        <f t="shared" si="422"/>
        <v>1</v>
      </c>
      <c r="R5530" s="272"/>
      <c r="S5530" s="272"/>
    </row>
    <row r="5531" spans="9:19">
      <c r="I5531" s="213"/>
      <c r="J5531" s="213"/>
      <c r="L5531" s="272">
        <f t="shared" si="419"/>
        <v>1900</v>
      </c>
      <c r="M5531" s="272">
        <f t="shared" si="420"/>
        <v>1</v>
      </c>
      <c r="O5531" s="61">
        <f t="shared" si="421"/>
        <v>1900</v>
      </c>
      <c r="P5531" s="61">
        <f t="shared" si="422"/>
        <v>1</v>
      </c>
      <c r="R5531" s="272"/>
      <c r="S5531" s="272"/>
    </row>
    <row r="5532" spans="9:19">
      <c r="I5532" s="213"/>
      <c r="J5532" s="213"/>
      <c r="L5532" s="272">
        <f t="shared" si="419"/>
        <v>1900</v>
      </c>
      <c r="M5532" s="272">
        <f t="shared" si="420"/>
        <v>1</v>
      </c>
      <c r="O5532" s="61">
        <f t="shared" si="421"/>
        <v>1900</v>
      </c>
      <c r="P5532" s="61">
        <f t="shared" si="422"/>
        <v>1</v>
      </c>
      <c r="R5532" s="272"/>
      <c r="S5532" s="272"/>
    </row>
    <row r="5533" spans="9:19">
      <c r="I5533" s="213"/>
      <c r="J5533" s="213"/>
      <c r="L5533" s="272">
        <f t="shared" si="419"/>
        <v>1900</v>
      </c>
      <c r="M5533" s="272">
        <f t="shared" si="420"/>
        <v>1</v>
      </c>
      <c r="O5533" s="61">
        <f t="shared" si="421"/>
        <v>1900</v>
      </c>
      <c r="P5533" s="61">
        <f t="shared" si="422"/>
        <v>1</v>
      </c>
      <c r="R5533" s="272"/>
      <c r="S5533" s="272"/>
    </row>
    <row r="5534" spans="9:19">
      <c r="I5534" s="213"/>
      <c r="J5534" s="213"/>
      <c r="L5534" s="272">
        <f t="shared" si="419"/>
        <v>1900</v>
      </c>
      <c r="M5534" s="272">
        <f t="shared" si="420"/>
        <v>1</v>
      </c>
      <c r="O5534" s="61">
        <f t="shared" si="421"/>
        <v>1900</v>
      </c>
      <c r="P5534" s="61">
        <f t="shared" si="422"/>
        <v>1</v>
      </c>
      <c r="R5534" s="272"/>
      <c r="S5534" s="272"/>
    </row>
    <row r="5535" spans="9:19">
      <c r="I5535" s="213"/>
      <c r="J5535" s="213"/>
      <c r="L5535" s="272">
        <f t="shared" si="419"/>
        <v>1900</v>
      </c>
      <c r="M5535" s="272">
        <f t="shared" si="420"/>
        <v>1</v>
      </c>
      <c r="O5535" s="61">
        <f t="shared" si="421"/>
        <v>1900</v>
      </c>
      <c r="P5535" s="61">
        <f t="shared" si="422"/>
        <v>1</v>
      </c>
      <c r="R5535" s="272"/>
      <c r="S5535" s="272"/>
    </row>
    <row r="5536" spans="9:19">
      <c r="I5536" s="213"/>
      <c r="J5536" s="213"/>
      <c r="L5536" s="272">
        <f t="shared" si="419"/>
        <v>1900</v>
      </c>
      <c r="M5536" s="272">
        <f t="shared" si="420"/>
        <v>1</v>
      </c>
      <c r="O5536" s="61">
        <f t="shared" si="421"/>
        <v>1900</v>
      </c>
      <c r="P5536" s="61">
        <f t="shared" si="422"/>
        <v>1</v>
      </c>
      <c r="R5536" s="272"/>
      <c r="S5536" s="272"/>
    </row>
    <row r="5537" spans="9:19">
      <c r="I5537" s="213"/>
      <c r="J5537" s="213"/>
      <c r="L5537" s="272">
        <f t="shared" si="419"/>
        <v>1900</v>
      </c>
      <c r="M5537" s="272">
        <f t="shared" si="420"/>
        <v>1</v>
      </c>
      <c r="O5537" s="61">
        <f t="shared" si="421"/>
        <v>1900</v>
      </c>
      <c r="P5537" s="61">
        <f t="shared" si="422"/>
        <v>1</v>
      </c>
      <c r="R5537" s="272"/>
      <c r="S5537" s="272"/>
    </row>
    <row r="5538" spans="9:19">
      <c r="I5538" s="213"/>
      <c r="J5538" s="213"/>
      <c r="L5538" s="272">
        <f t="shared" si="419"/>
        <v>1900</v>
      </c>
      <c r="M5538" s="272">
        <f t="shared" si="420"/>
        <v>1</v>
      </c>
      <c r="O5538" s="61">
        <f t="shared" si="421"/>
        <v>1900</v>
      </c>
      <c r="P5538" s="61">
        <f t="shared" si="422"/>
        <v>1</v>
      </c>
      <c r="R5538" s="272"/>
      <c r="S5538" s="272"/>
    </row>
    <row r="5539" spans="9:19">
      <c r="I5539" s="213"/>
      <c r="J5539" s="213"/>
      <c r="L5539" s="272">
        <f t="shared" si="419"/>
        <v>1900</v>
      </c>
      <c r="M5539" s="272">
        <f t="shared" si="420"/>
        <v>1</v>
      </c>
      <c r="O5539" s="61">
        <f t="shared" si="421"/>
        <v>1900</v>
      </c>
      <c r="P5539" s="61">
        <f t="shared" si="422"/>
        <v>1</v>
      </c>
      <c r="R5539" s="272"/>
      <c r="S5539" s="272"/>
    </row>
    <row r="5540" spans="9:19">
      <c r="I5540" s="213"/>
      <c r="J5540" s="213"/>
      <c r="L5540" s="272">
        <f t="shared" si="419"/>
        <v>1900</v>
      </c>
      <c r="M5540" s="272">
        <f t="shared" si="420"/>
        <v>1</v>
      </c>
      <c r="O5540" s="61">
        <f t="shared" si="421"/>
        <v>1900</v>
      </c>
      <c r="P5540" s="61">
        <f t="shared" si="422"/>
        <v>1</v>
      </c>
      <c r="R5540" s="272"/>
      <c r="S5540" s="272"/>
    </row>
    <row r="5541" spans="9:19">
      <c r="I5541" s="213"/>
      <c r="J5541" s="213"/>
      <c r="L5541" s="272">
        <f t="shared" si="419"/>
        <v>1900</v>
      </c>
      <c r="M5541" s="272">
        <f t="shared" si="420"/>
        <v>1</v>
      </c>
      <c r="O5541" s="61">
        <f t="shared" si="421"/>
        <v>1900</v>
      </c>
      <c r="P5541" s="61">
        <f t="shared" si="422"/>
        <v>1</v>
      </c>
      <c r="R5541" s="272"/>
      <c r="S5541" s="272"/>
    </row>
    <row r="5542" spans="9:19">
      <c r="I5542" s="213"/>
      <c r="J5542" s="213"/>
      <c r="L5542" s="272">
        <f t="shared" si="419"/>
        <v>1900</v>
      </c>
      <c r="M5542" s="272">
        <f t="shared" si="420"/>
        <v>1</v>
      </c>
      <c r="O5542" s="61">
        <f t="shared" si="421"/>
        <v>1900</v>
      </c>
      <c r="P5542" s="61">
        <f t="shared" si="422"/>
        <v>1</v>
      </c>
      <c r="R5542" s="272"/>
      <c r="S5542" s="272"/>
    </row>
    <row r="5543" spans="9:19">
      <c r="I5543" s="213"/>
      <c r="J5543" s="213"/>
      <c r="L5543" s="272">
        <f t="shared" si="419"/>
        <v>1900</v>
      </c>
      <c r="M5543" s="272">
        <f t="shared" si="420"/>
        <v>1</v>
      </c>
      <c r="O5543" s="61">
        <f t="shared" si="421"/>
        <v>1900</v>
      </c>
      <c r="P5543" s="61">
        <f t="shared" si="422"/>
        <v>1</v>
      </c>
      <c r="R5543" s="272"/>
      <c r="S5543" s="272"/>
    </row>
    <row r="5544" spans="9:19">
      <c r="I5544" s="213"/>
      <c r="J5544" s="213"/>
      <c r="L5544" s="272">
        <f t="shared" si="419"/>
        <v>1900</v>
      </c>
      <c r="M5544" s="272">
        <f t="shared" si="420"/>
        <v>1</v>
      </c>
      <c r="O5544" s="61">
        <f t="shared" si="421"/>
        <v>1900</v>
      </c>
      <c r="P5544" s="61">
        <f t="shared" si="422"/>
        <v>1</v>
      </c>
      <c r="R5544" s="272"/>
      <c r="S5544" s="272"/>
    </row>
    <row r="5545" spans="9:19">
      <c r="I5545" s="213"/>
      <c r="J5545" s="213"/>
      <c r="L5545" s="272">
        <f t="shared" si="419"/>
        <v>1900</v>
      </c>
      <c r="M5545" s="272">
        <f t="shared" si="420"/>
        <v>1</v>
      </c>
      <c r="O5545" s="61">
        <f t="shared" si="421"/>
        <v>1900</v>
      </c>
      <c r="P5545" s="61">
        <f t="shared" si="422"/>
        <v>1</v>
      </c>
      <c r="R5545" s="272"/>
      <c r="S5545" s="272"/>
    </row>
    <row r="5546" spans="9:19">
      <c r="I5546" s="213"/>
      <c r="J5546" s="213"/>
      <c r="L5546" s="272">
        <f t="shared" si="419"/>
        <v>1900</v>
      </c>
      <c r="M5546" s="272">
        <f t="shared" si="420"/>
        <v>1</v>
      </c>
      <c r="O5546" s="61">
        <f t="shared" si="421"/>
        <v>1900</v>
      </c>
      <c r="P5546" s="61">
        <f t="shared" si="422"/>
        <v>1</v>
      </c>
      <c r="R5546" s="272"/>
      <c r="S5546" s="272"/>
    </row>
    <row r="5547" spans="9:19">
      <c r="I5547" s="213"/>
      <c r="J5547" s="213"/>
      <c r="L5547" s="272">
        <f t="shared" si="419"/>
        <v>1900</v>
      </c>
      <c r="M5547" s="272">
        <f t="shared" si="420"/>
        <v>1</v>
      </c>
      <c r="O5547" s="61">
        <f t="shared" si="421"/>
        <v>1900</v>
      </c>
      <c r="P5547" s="61">
        <f t="shared" si="422"/>
        <v>1</v>
      </c>
      <c r="R5547" s="272"/>
      <c r="S5547" s="272"/>
    </row>
    <row r="5548" spans="9:19">
      <c r="I5548" s="213"/>
      <c r="J5548" s="213"/>
      <c r="L5548" s="272">
        <f t="shared" si="419"/>
        <v>1900</v>
      </c>
      <c r="M5548" s="272">
        <f t="shared" si="420"/>
        <v>1</v>
      </c>
      <c r="O5548" s="61">
        <f t="shared" si="421"/>
        <v>1900</v>
      </c>
      <c r="P5548" s="61">
        <f t="shared" si="422"/>
        <v>1</v>
      </c>
      <c r="R5548" s="272"/>
      <c r="S5548" s="272"/>
    </row>
    <row r="5549" spans="9:19">
      <c r="I5549" s="213"/>
      <c r="J5549" s="213"/>
      <c r="L5549" s="272">
        <f t="shared" si="419"/>
        <v>1900</v>
      </c>
      <c r="M5549" s="272">
        <f t="shared" si="420"/>
        <v>1</v>
      </c>
      <c r="O5549" s="61">
        <f t="shared" si="421"/>
        <v>1900</v>
      </c>
      <c r="P5549" s="61">
        <f t="shared" si="422"/>
        <v>1</v>
      </c>
      <c r="R5549" s="272"/>
      <c r="S5549" s="272"/>
    </row>
    <row r="5550" spans="9:19">
      <c r="I5550" s="213"/>
      <c r="J5550" s="213"/>
      <c r="L5550" s="272">
        <f t="shared" si="419"/>
        <v>1900</v>
      </c>
      <c r="M5550" s="272">
        <f t="shared" si="420"/>
        <v>1</v>
      </c>
      <c r="O5550" s="61">
        <f t="shared" si="421"/>
        <v>1900</v>
      </c>
      <c r="P5550" s="61">
        <f t="shared" si="422"/>
        <v>1</v>
      </c>
      <c r="R5550" s="272"/>
      <c r="S5550" s="272"/>
    </row>
    <row r="5551" spans="9:19">
      <c r="I5551" s="213"/>
      <c r="J5551" s="213"/>
      <c r="L5551" s="272">
        <f t="shared" si="419"/>
        <v>1900</v>
      </c>
      <c r="M5551" s="272">
        <f t="shared" si="420"/>
        <v>1</v>
      </c>
      <c r="O5551" s="61">
        <f t="shared" si="421"/>
        <v>1900</v>
      </c>
      <c r="P5551" s="61">
        <f t="shared" si="422"/>
        <v>1</v>
      </c>
      <c r="R5551" s="272"/>
      <c r="S5551" s="272"/>
    </row>
    <row r="5552" spans="9:19">
      <c r="I5552" s="213"/>
      <c r="J5552" s="213"/>
      <c r="L5552" s="272">
        <f t="shared" si="419"/>
        <v>1900</v>
      </c>
      <c r="M5552" s="272">
        <f t="shared" si="420"/>
        <v>1</v>
      </c>
      <c r="O5552" s="61">
        <f t="shared" si="421"/>
        <v>1900</v>
      </c>
      <c r="P5552" s="61">
        <f t="shared" si="422"/>
        <v>1</v>
      </c>
      <c r="R5552" s="272"/>
      <c r="S5552" s="272"/>
    </row>
    <row r="5553" spans="9:19">
      <c r="I5553" s="213"/>
      <c r="J5553" s="213"/>
      <c r="L5553" s="272">
        <f t="shared" si="419"/>
        <v>1900</v>
      </c>
      <c r="M5553" s="272">
        <f t="shared" si="420"/>
        <v>1</v>
      </c>
      <c r="O5553" s="61">
        <f t="shared" si="421"/>
        <v>1900</v>
      </c>
      <c r="P5553" s="61">
        <f t="shared" si="422"/>
        <v>1</v>
      </c>
      <c r="R5553" s="272"/>
      <c r="S5553" s="272"/>
    </row>
    <row r="5554" spans="9:19">
      <c r="I5554" s="213"/>
      <c r="J5554" s="213"/>
      <c r="L5554" s="272">
        <f t="shared" si="419"/>
        <v>1900</v>
      </c>
      <c r="M5554" s="272">
        <f t="shared" si="420"/>
        <v>1</v>
      </c>
      <c r="O5554" s="61">
        <f t="shared" si="421"/>
        <v>1900</v>
      </c>
      <c r="P5554" s="61">
        <f t="shared" si="422"/>
        <v>1</v>
      </c>
      <c r="R5554" s="272"/>
      <c r="S5554" s="272"/>
    </row>
    <row r="5555" spans="9:19">
      <c r="I5555" s="213"/>
      <c r="J5555" s="213"/>
      <c r="L5555" s="272">
        <f t="shared" si="419"/>
        <v>1900</v>
      </c>
      <c r="M5555" s="272">
        <f t="shared" si="420"/>
        <v>1</v>
      </c>
      <c r="O5555" s="61">
        <f t="shared" si="421"/>
        <v>1900</v>
      </c>
      <c r="P5555" s="61">
        <f t="shared" si="422"/>
        <v>1</v>
      </c>
      <c r="R5555" s="272"/>
      <c r="S5555" s="272"/>
    </row>
    <row r="5556" spans="9:19">
      <c r="I5556" s="213"/>
      <c r="J5556" s="213"/>
      <c r="L5556" s="272">
        <f t="shared" si="419"/>
        <v>1900</v>
      </c>
      <c r="M5556" s="272">
        <f t="shared" si="420"/>
        <v>1</v>
      </c>
      <c r="O5556" s="61">
        <f t="shared" si="421"/>
        <v>1900</v>
      </c>
      <c r="P5556" s="61">
        <f t="shared" si="422"/>
        <v>1</v>
      </c>
      <c r="R5556" s="272"/>
      <c r="S5556" s="272"/>
    </row>
    <row r="5557" spans="9:19">
      <c r="I5557" s="213"/>
      <c r="J5557" s="213"/>
      <c r="L5557" s="272">
        <f t="shared" si="419"/>
        <v>1900</v>
      </c>
      <c r="M5557" s="272">
        <f t="shared" si="420"/>
        <v>1</v>
      </c>
      <c r="O5557" s="61">
        <f t="shared" si="421"/>
        <v>1900</v>
      </c>
      <c r="P5557" s="61">
        <f t="shared" si="422"/>
        <v>1</v>
      </c>
      <c r="R5557" s="272"/>
      <c r="S5557" s="272"/>
    </row>
    <row r="5558" spans="9:19">
      <c r="I5558" s="213"/>
      <c r="J5558" s="213"/>
      <c r="L5558" s="272">
        <f t="shared" si="419"/>
        <v>1900</v>
      </c>
      <c r="M5558" s="272">
        <f t="shared" si="420"/>
        <v>1</v>
      </c>
      <c r="O5558" s="61">
        <f t="shared" si="421"/>
        <v>1900</v>
      </c>
      <c r="P5558" s="61">
        <f t="shared" si="422"/>
        <v>1</v>
      </c>
      <c r="R5558" s="272"/>
      <c r="S5558" s="272"/>
    </row>
    <row r="5559" spans="9:19">
      <c r="I5559" s="213"/>
      <c r="J5559" s="213"/>
      <c r="L5559" s="272">
        <f t="shared" si="419"/>
        <v>1900</v>
      </c>
      <c r="M5559" s="272">
        <f t="shared" si="420"/>
        <v>1</v>
      </c>
      <c r="O5559" s="61">
        <f t="shared" si="421"/>
        <v>1900</v>
      </c>
      <c r="P5559" s="61">
        <f t="shared" si="422"/>
        <v>1</v>
      </c>
      <c r="R5559" s="272"/>
      <c r="S5559" s="272"/>
    </row>
    <row r="5560" spans="9:19">
      <c r="I5560" s="213"/>
      <c r="J5560" s="213"/>
      <c r="L5560" s="272">
        <f t="shared" si="419"/>
        <v>1900</v>
      </c>
      <c r="M5560" s="272">
        <f t="shared" si="420"/>
        <v>1</v>
      </c>
      <c r="O5560" s="61">
        <f t="shared" si="421"/>
        <v>1900</v>
      </c>
      <c r="P5560" s="61">
        <f t="shared" si="422"/>
        <v>1</v>
      </c>
      <c r="R5560" s="272"/>
      <c r="S5560" s="272"/>
    </row>
    <row r="5561" spans="9:19">
      <c r="I5561" s="213"/>
      <c r="J5561" s="213"/>
      <c r="L5561" s="272">
        <f t="shared" si="419"/>
        <v>1900</v>
      </c>
      <c r="M5561" s="272">
        <f t="shared" si="420"/>
        <v>1</v>
      </c>
      <c r="O5561" s="61">
        <f t="shared" si="421"/>
        <v>1900</v>
      </c>
      <c r="P5561" s="61">
        <f t="shared" si="422"/>
        <v>1</v>
      </c>
      <c r="R5561" s="272"/>
      <c r="S5561" s="272"/>
    </row>
    <row r="5562" spans="9:19">
      <c r="I5562" s="213"/>
      <c r="J5562" s="213"/>
      <c r="L5562" s="272">
        <f t="shared" si="419"/>
        <v>1900</v>
      </c>
      <c r="M5562" s="272">
        <f t="shared" si="420"/>
        <v>1</v>
      </c>
      <c r="O5562" s="61">
        <f t="shared" si="421"/>
        <v>1900</v>
      </c>
      <c r="P5562" s="61">
        <f t="shared" si="422"/>
        <v>1</v>
      </c>
      <c r="R5562" s="272"/>
      <c r="S5562" s="272"/>
    </row>
    <row r="5563" spans="9:19">
      <c r="I5563" s="213"/>
      <c r="J5563" s="213"/>
      <c r="L5563" s="272">
        <f t="shared" si="419"/>
        <v>1900</v>
      </c>
      <c r="M5563" s="272">
        <f t="shared" si="420"/>
        <v>1</v>
      </c>
      <c r="O5563" s="61">
        <f t="shared" si="421"/>
        <v>1900</v>
      </c>
      <c r="P5563" s="61">
        <f t="shared" si="422"/>
        <v>1</v>
      </c>
      <c r="R5563" s="272"/>
      <c r="S5563" s="272"/>
    </row>
    <row r="5564" spans="9:19">
      <c r="I5564" s="213"/>
      <c r="J5564" s="213"/>
      <c r="L5564" s="272">
        <f t="shared" si="419"/>
        <v>1900</v>
      </c>
      <c r="M5564" s="272">
        <f t="shared" si="420"/>
        <v>1</v>
      </c>
      <c r="O5564" s="61">
        <f t="shared" si="421"/>
        <v>1900</v>
      </c>
      <c r="P5564" s="61">
        <f t="shared" si="422"/>
        <v>1</v>
      </c>
      <c r="R5564" s="272"/>
      <c r="S5564" s="272"/>
    </row>
    <row r="5565" spans="9:19">
      <c r="I5565" s="213"/>
      <c r="J5565" s="213"/>
      <c r="L5565" s="272">
        <f t="shared" si="419"/>
        <v>1900</v>
      </c>
      <c r="M5565" s="272">
        <f t="shared" si="420"/>
        <v>1</v>
      </c>
      <c r="O5565" s="61">
        <f t="shared" si="421"/>
        <v>1900</v>
      </c>
      <c r="P5565" s="61">
        <f t="shared" si="422"/>
        <v>1</v>
      </c>
      <c r="R5565" s="272"/>
      <c r="S5565" s="272"/>
    </row>
    <row r="5566" spans="9:19">
      <c r="I5566" s="213"/>
      <c r="J5566" s="213"/>
      <c r="L5566" s="272">
        <f t="shared" si="419"/>
        <v>1900</v>
      </c>
      <c r="M5566" s="272">
        <f t="shared" si="420"/>
        <v>1</v>
      </c>
      <c r="O5566" s="61">
        <f t="shared" si="421"/>
        <v>1900</v>
      </c>
      <c r="P5566" s="61">
        <f t="shared" si="422"/>
        <v>1</v>
      </c>
      <c r="R5566" s="272"/>
      <c r="S5566" s="272"/>
    </row>
    <row r="5567" spans="9:19">
      <c r="I5567" s="213"/>
      <c r="J5567" s="213"/>
      <c r="L5567" s="272">
        <f t="shared" si="419"/>
        <v>1900</v>
      </c>
      <c r="M5567" s="272">
        <f t="shared" si="420"/>
        <v>1</v>
      </c>
      <c r="O5567" s="61">
        <f t="shared" si="421"/>
        <v>1900</v>
      </c>
      <c r="P5567" s="61">
        <f t="shared" si="422"/>
        <v>1</v>
      </c>
      <c r="R5567" s="272"/>
      <c r="S5567" s="272"/>
    </row>
    <row r="5568" spans="9:19">
      <c r="I5568" s="213"/>
      <c r="J5568" s="213"/>
      <c r="L5568" s="272">
        <f t="shared" si="419"/>
        <v>1900</v>
      </c>
      <c r="M5568" s="272">
        <f t="shared" si="420"/>
        <v>1</v>
      </c>
      <c r="O5568" s="61">
        <f t="shared" si="421"/>
        <v>1900</v>
      </c>
      <c r="P5568" s="61">
        <f t="shared" si="422"/>
        <v>1</v>
      </c>
      <c r="R5568" s="272"/>
      <c r="S5568" s="272"/>
    </row>
    <row r="5569" spans="9:19">
      <c r="I5569" s="213"/>
      <c r="J5569" s="213"/>
      <c r="L5569" s="272">
        <f t="shared" si="419"/>
        <v>1900</v>
      </c>
      <c r="M5569" s="272">
        <f t="shared" si="420"/>
        <v>1</v>
      </c>
      <c r="O5569" s="61">
        <f t="shared" si="421"/>
        <v>1900</v>
      </c>
      <c r="P5569" s="61">
        <f t="shared" si="422"/>
        <v>1</v>
      </c>
      <c r="R5569" s="272"/>
      <c r="S5569" s="272"/>
    </row>
    <row r="5570" spans="9:19">
      <c r="I5570" s="213"/>
      <c r="J5570" s="213"/>
      <c r="L5570" s="272">
        <f t="shared" si="419"/>
        <v>1900</v>
      </c>
      <c r="M5570" s="272">
        <f t="shared" si="420"/>
        <v>1</v>
      </c>
      <c r="O5570" s="61">
        <f t="shared" si="421"/>
        <v>1900</v>
      </c>
      <c r="P5570" s="61">
        <f t="shared" si="422"/>
        <v>1</v>
      </c>
      <c r="R5570" s="272"/>
      <c r="S5570" s="272"/>
    </row>
    <row r="5571" spans="9:19">
      <c r="I5571" s="213"/>
      <c r="J5571" s="213"/>
      <c r="L5571" s="272">
        <f t="shared" si="419"/>
        <v>1900</v>
      </c>
      <c r="M5571" s="272">
        <f t="shared" si="420"/>
        <v>1</v>
      </c>
      <c r="O5571" s="61">
        <f t="shared" si="421"/>
        <v>1900</v>
      </c>
      <c r="P5571" s="61">
        <f t="shared" si="422"/>
        <v>1</v>
      </c>
      <c r="R5571" s="272"/>
      <c r="S5571" s="272"/>
    </row>
    <row r="5572" spans="9:19">
      <c r="I5572" s="213"/>
      <c r="J5572" s="213"/>
      <c r="L5572" s="272">
        <f t="shared" si="419"/>
        <v>1900</v>
      </c>
      <c r="M5572" s="272">
        <f t="shared" si="420"/>
        <v>1</v>
      </c>
      <c r="O5572" s="61">
        <f t="shared" si="421"/>
        <v>1900</v>
      </c>
      <c r="P5572" s="61">
        <f t="shared" si="422"/>
        <v>1</v>
      </c>
      <c r="R5572" s="272"/>
      <c r="S5572" s="272"/>
    </row>
    <row r="5573" spans="9:19">
      <c r="I5573" s="213"/>
      <c r="J5573" s="213"/>
      <c r="L5573" s="272">
        <f t="shared" si="419"/>
        <v>1900</v>
      </c>
      <c r="M5573" s="272">
        <f t="shared" si="420"/>
        <v>1</v>
      </c>
      <c r="O5573" s="61">
        <f t="shared" si="421"/>
        <v>1900</v>
      </c>
      <c r="P5573" s="61">
        <f t="shared" si="422"/>
        <v>1</v>
      </c>
      <c r="R5573" s="272"/>
      <c r="S5573" s="272"/>
    </row>
    <row r="5574" spans="9:19">
      <c r="I5574" s="213"/>
      <c r="J5574" s="213"/>
      <c r="L5574" s="272">
        <f t="shared" si="419"/>
        <v>1900</v>
      </c>
      <c r="M5574" s="272">
        <f t="shared" si="420"/>
        <v>1</v>
      </c>
      <c r="O5574" s="61">
        <f t="shared" si="421"/>
        <v>1900</v>
      </c>
      <c r="P5574" s="61">
        <f t="shared" si="422"/>
        <v>1</v>
      </c>
      <c r="R5574" s="272"/>
      <c r="S5574" s="272"/>
    </row>
    <row r="5575" spans="9:19">
      <c r="I5575" s="213"/>
      <c r="J5575" s="213"/>
      <c r="L5575" s="272">
        <f t="shared" si="419"/>
        <v>1900</v>
      </c>
      <c r="M5575" s="272">
        <f t="shared" si="420"/>
        <v>1</v>
      </c>
      <c r="O5575" s="61">
        <f t="shared" si="421"/>
        <v>1900</v>
      </c>
      <c r="P5575" s="61">
        <f t="shared" si="422"/>
        <v>1</v>
      </c>
      <c r="R5575" s="272"/>
      <c r="S5575" s="272"/>
    </row>
    <row r="5576" spans="9:19">
      <c r="I5576" s="213"/>
      <c r="J5576" s="213"/>
      <c r="L5576" s="272">
        <f t="shared" si="419"/>
        <v>1900</v>
      </c>
      <c r="M5576" s="272">
        <f t="shared" si="420"/>
        <v>1</v>
      </c>
      <c r="O5576" s="61">
        <f t="shared" si="421"/>
        <v>1900</v>
      </c>
      <c r="P5576" s="61">
        <f t="shared" si="422"/>
        <v>1</v>
      </c>
      <c r="R5576" s="272"/>
      <c r="S5576" s="272"/>
    </row>
    <row r="5577" spans="9:19">
      <c r="I5577" s="213"/>
      <c r="J5577" s="213"/>
      <c r="L5577" s="272">
        <f t="shared" si="419"/>
        <v>1900</v>
      </c>
      <c r="M5577" s="272">
        <f t="shared" si="420"/>
        <v>1</v>
      </c>
      <c r="O5577" s="61">
        <f t="shared" si="421"/>
        <v>1900</v>
      </c>
      <c r="P5577" s="61">
        <f t="shared" si="422"/>
        <v>1</v>
      </c>
      <c r="R5577" s="272"/>
      <c r="S5577" s="272"/>
    </row>
    <row r="5578" spans="9:19">
      <c r="I5578" s="213"/>
      <c r="J5578" s="213"/>
      <c r="L5578" s="272">
        <f t="shared" si="419"/>
        <v>1900</v>
      </c>
      <c r="M5578" s="272">
        <f t="shared" si="420"/>
        <v>1</v>
      </c>
      <c r="O5578" s="61">
        <f t="shared" si="421"/>
        <v>1900</v>
      </c>
      <c r="P5578" s="61">
        <f t="shared" si="422"/>
        <v>1</v>
      </c>
      <c r="R5578" s="272"/>
      <c r="S5578" s="272"/>
    </row>
    <row r="5579" spans="9:19">
      <c r="I5579" s="213"/>
      <c r="J5579" s="213"/>
      <c r="L5579" s="272">
        <f t="shared" si="419"/>
        <v>1900</v>
      </c>
      <c r="M5579" s="272">
        <f t="shared" si="420"/>
        <v>1</v>
      </c>
      <c r="O5579" s="61">
        <f t="shared" si="421"/>
        <v>1900</v>
      </c>
      <c r="P5579" s="61">
        <f t="shared" si="422"/>
        <v>1</v>
      </c>
      <c r="R5579" s="272"/>
      <c r="S5579" s="272"/>
    </row>
    <row r="5580" spans="9:19">
      <c r="I5580" s="213"/>
      <c r="J5580" s="213"/>
      <c r="L5580" s="272">
        <f t="shared" si="419"/>
        <v>1900</v>
      </c>
      <c r="M5580" s="272">
        <f t="shared" si="420"/>
        <v>1</v>
      </c>
      <c r="O5580" s="61">
        <f t="shared" si="421"/>
        <v>1900</v>
      </c>
      <c r="P5580" s="61">
        <f t="shared" si="422"/>
        <v>1</v>
      </c>
      <c r="R5580" s="272"/>
      <c r="S5580" s="272"/>
    </row>
    <row r="5581" spans="9:19">
      <c r="I5581" s="213"/>
      <c r="J5581" s="213"/>
      <c r="L5581" s="272">
        <f t="shared" si="419"/>
        <v>1900</v>
      </c>
      <c r="M5581" s="272">
        <f t="shared" si="420"/>
        <v>1</v>
      </c>
      <c r="O5581" s="61">
        <f t="shared" si="421"/>
        <v>1900</v>
      </c>
      <c r="P5581" s="61">
        <f t="shared" si="422"/>
        <v>1</v>
      </c>
      <c r="R5581" s="272"/>
      <c r="S5581" s="272"/>
    </row>
    <row r="5582" spans="9:19">
      <c r="I5582" s="213"/>
      <c r="J5582" s="213"/>
      <c r="L5582" s="272">
        <f t="shared" si="419"/>
        <v>1900</v>
      </c>
      <c r="M5582" s="272">
        <f t="shared" si="420"/>
        <v>1</v>
      </c>
      <c r="O5582" s="61">
        <f t="shared" si="421"/>
        <v>1900</v>
      </c>
      <c r="P5582" s="61">
        <f t="shared" si="422"/>
        <v>1</v>
      </c>
      <c r="R5582" s="272"/>
      <c r="S5582" s="272"/>
    </row>
    <row r="5583" spans="9:19">
      <c r="I5583" s="213"/>
      <c r="J5583" s="213"/>
      <c r="L5583" s="272">
        <f t="shared" si="419"/>
        <v>1900</v>
      </c>
      <c r="M5583" s="272">
        <f t="shared" si="420"/>
        <v>1</v>
      </c>
      <c r="O5583" s="61">
        <f t="shared" si="421"/>
        <v>1900</v>
      </c>
      <c r="P5583" s="61">
        <f t="shared" si="422"/>
        <v>1</v>
      </c>
      <c r="R5583" s="272"/>
      <c r="S5583" s="272"/>
    </row>
    <row r="5584" spans="9:19">
      <c r="I5584" s="213"/>
      <c r="J5584" s="213"/>
      <c r="L5584" s="272">
        <f t="shared" ref="L5584:L5647" si="423">YEAR(B5584)</f>
        <v>1900</v>
      </c>
      <c r="M5584" s="272">
        <f t="shared" ref="M5584:M5647" si="424">MONTH(B5584)</f>
        <v>1</v>
      </c>
      <c r="O5584" s="61">
        <f t="shared" ref="O5584:O5647" si="425">YEAR(B5584)</f>
        <v>1900</v>
      </c>
      <c r="P5584" s="61">
        <f t="shared" ref="P5584:P5647" si="426">MONTH(B5584)</f>
        <v>1</v>
      </c>
      <c r="R5584" s="272"/>
      <c r="S5584" s="272"/>
    </row>
    <row r="5585" spans="9:19">
      <c r="I5585" s="213"/>
      <c r="J5585" s="213"/>
      <c r="L5585" s="272">
        <f t="shared" si="423"/>
        <v>1900</v>
      </c>
      <c r="M5585" s="272">
        <f t="shared" si="424"/>
        <v>1</v>
      </c>
      <c r="O5585" s="61">
        <f t="shared" si="425"/>
        <v>1900</v>
      </c>
      <c r="P5585" s="61">
        <f t="shared" si="426"/>
        <v>1</v>
      </c>
      <c r="R5585" s="272"/>
      <c r="S5585" s="272"/>
    </row>
    <row r="5586" spans="9:19">
      <c r="I5586" s="213"/>
      <c r="J5586" s="213"/>
      <c r="L5586" s="272">
        <f t="shared" si="423"/>
        <v>1900</v>
      </c>
      <c r="M5586" s="272">
        <f t="shared" si="424"/>
        <v>1</v>
      </c>
      <c r="O5586" s="61">
        <f t="shared" si="425"/>
        <v>1900</v>
      </c>
      <c r="P5586" s="61">
        <f t="shared" si="426"/>
        <v>1</v>
      </c>
      <c r="R5586" s="272"/>
      <c r="S5586" s="272"/>
    </row>
    <row r="5587" spans="9:19">
      <c r="I5587" s="213"/>
      <c r="J5587" s="213"/>
      <c r="L5587" s="272">
        <f t="shared" si="423"/>
        <v>1900</v>
      </c>
      <c r="M5587" s="272">
        <f t="shared" si="424"/>
        <v>1</v>
      </c>
      <c r="O5587" s="61">
        <f t="shared" si="425"/>
        <v>1900</v>
      </c>
      <c r="P5587" s="61">
        <f t="shared" si="426"/>
        <v>1</v>
      </c>
      <c r="R5587" s="272"/>
      <c r="S5587" s="272"/>
    </row>
    <row r="5588" spans="9:19">
      <c r="I5588" s="213"/>
      <c r="J5588" s="213"/>
      <c r="L5588" s="272">
        <f t="shared" si="423"/>
        <v>1900</v>
      </c>
      <c r="M5588" s="272">
        <f t="shared" si="424"/>
        <v>1</v>
      </c>
      <c r="O5588" s="61">
        <f t="shared" si="425"/>
        <v>1900</v>
      </c>
      <c r="P5588" s="61">
        <f t="shared" si="426"/>
        <v>1</v>
      </c>
      <c r="R5588" s="272"/>
      <c r="S5588" s="272"/>
    </row>
    <row r="5589" spans="9:19">
      <c r="I5589" s="213"/>
      <c r="J5589" s="213"/>
      <c r="L5589" s="272">
        <f t="shared" si="423"/>
        <v>1900</v>
      </c>
      <c r="M5589" s="272">
        <f t="shared" si="424"/>
        <v>1</v>
      </c>
      <c r="O5589" s="61">
        <f t="shared" si="425"/>
        <v>1900</v>
      </c>
      <c r="P5589" s="61">
        <f t="shared" si="426"/>
        <v>1</v>
      </c>
      <c r="R5589" s="272"/>
      <c r="S5589" s="272"/>
    </row>
    <row r="5590" spans="9:19">
      <c r="I5590" s="213"/>
      <c r="J5590" s="213"/>
      <c r="L5590" s="272">
        <f t="shared" si="423"/>
        <v>1900</v>
      </c>
      <c r="M5590" s="272">
        <f t="shared" si="424"/>
        <v>1</v>
      </c>
      <c r="O5590" s="61">
        <f t="shared" si="425"/>
        <v>1900</v>
      </c>
      <c r="P5590" s="61">
        <f t="shared" si="426"/>
        <v>1</v>
      </c>
      <c r="R5590" s="272"/>
      <c r="S5590" s="272"/>
    </row>
    <row r="5591" spans="9:19">
      <c r="I5591" s="213"/>
      <c r="J5591" s="213"/>
      <c r="L5591" s="272">
        <f t="shared" si="423"/>
        <v>1900</v>
      </c>
      <c r="M5591" s="272">
        <f t="shared" si="424"/>
        <v>1</v>
      </c>
      <c r="O5591" s="61">
        <f t="shared" si="425"/>
        <v>1900</v>
      </c>
      <c r="P5591" s="61">
        <f t="shared" si="426"/>
        <v>1</v>
      </c>
      <c r="R5591" s="272"/>
      <c r="S5591" s="272"/>
    </row>
    <row r="5592" spans="9:19">
      <c r="I5592" s="213"/>
      <c r="J5592" s="213"/>
      <c r="L5592" s="272">
        <f t="shared" si="423"/>
        <v>1900</v>
      </c>
      <c r="M5592" s="272">
        <f t="shared" si="424"/>
        <v>1</v>
      </c>
      <c r="O5592" s="61">
        <f t="shared" si="425"/>
        <v>1900</v>
      </c>
      <c r="P5592" s="61">
        <f t="shared" si="426"/>
        <v>1</v>
      </c>
      <c r="R5592" s="272"/>
      <c r="S5592" s="272"/>
    </row>
    <row r="5593" spans="9:19">
      <c r="I5593" s="213"/>
      <c r="J5593" s="213"/>
      <c r="L5593" s="272">
        <f t="shared" si="423"/>
        <v>1900</v>
      </c>
      <c r="M5593" s="272">
        <f t="shared" si="424"/>
        <v>1</v>
      </c>
      <c r="O5593" s="61">
        <f t="shared" si="425"/>
        <v>1900</v>
      </c>
      <c r="P5593" s="61">
        <f t="shared" si="426"/>
        <v>1</v>
      </c>
      <c r="R5593" s="272"/>
      <c r="S5593" s="272"/>
    </row>
    <row r="5594" spans="9:19">
      <c r="I5594" s="213"/>
      <c r="J5594" s="213"/>
      <c r="L5594" s="272">
        <f t="shared" si="423"/>
        <v>1900</v>
      </c>
      <c r="M5594" s="272">
        <f t="shared" si="424"/>
        <v>1</v>
      </c>
      <c r="O5594" s="61">
        <f t="shared" si="425"/>
        <v>1900</v>
      </c>
      <c r="P5594" s="61">
        <f t="shared" si="426"/>
        <v>1</v>
      </c>
      <c r="R5594" s="272"/>
      <c r="S5594" s="272"/>
    </row>
    <row r="5595" spans="9:19">
      <c r="I5595" s="213"/>
      <c r="J5595" s="213"/>
      <c r="L5595" s="272">
        <f t="shared" si="423"/>
        <v>1900</v>
      </c>
      <c r="M5595" s="272">
        <f t="shared" si="424"/>
        <v>1</v>
      </c>
      <c r="O5595" s="61">
        <f t="shared" si="425"/>
        <v>1900</v>
      </c>
      <c r="P5595" s="61">
        <f t="shared" si="426"/>
        <v>1</v>
      </c>
      <c r="R5595" s="272"/>
      <c r="S5595" s="272"/>
    </row>
    <row r="5596" spans="9:19">
      <c r="I5596" s="213"/>
      <c r="J5596" s="213"/>
      <c r="L5596" s="272">
        <f t="shared" si="423"/>
        <v>1900</v>
      </c>
      <c r="M5596" s="272">
        <f t="shared" si="424"/>
        <v>1</v>
      </c>
      <c r="O5596" s="61">
        <f t="shared" si="425"/>
        <v>1900</v>
      </c>
      <c r="P5596" s="61">
        <f t="shared" si="426"/>
        <v>1</v>
      </c>
      <c r="R5596" s="272"/>
      <c r="S5596" s="272"/>
    </row>
    <row r="5597" spans="9:19">
      <c r="I5597" s="213"/>
      <c r="J5597" s="213"/>
      <c r="L5597" s="272">
        <f t="shared" si="423"/>
        <v>1900</v>
      </c>
      <c r="M5597" s="272">
        <f t="shared" si="424"/>
        <v>1</v>
      </c>
      <c r="O5597" s="61">
        <f t="shared" si="425"/>
        <v>1900</v>
      </c>
      <c r="P5597" s="61">
        <f t="shared" si="426"/>
        <v>1</v>
      </c>
      <c r="R5597" s="272"/>
      <c r="S5597" s="272"/>
    </row>
    <row r="5598" spans="9:19">
      <c r="I5598" s="213"/>
      <c r="J5598" s="213"/>
      <c r="L5598" s="272">
        <f t="shared" si="423"/>
        <v>1900</v>
      </c>
      <c r="M5598" s="272">
        <f t="shared" si="424"/>
        <v>1</v>
      </c>
      <c r="O5598" s="61">
        <f t="shared" si="425"/>
        <v>1900</v>
      </c>
      <c r="P5598" s="61">
        <f t="shared" si="426"/>
        <v>1</v>
      </c>
      <c r="R5598" s="272"/>
      <c r="S5598" s="272"/>
    </row>
    <row r="5599" spans="9:19">
      <c r="I5599" s="213"/>
      <c r="J5599" s="213"/>
      <c r="L5599" s="272">
        <f t="shared" si="423"/>
        <v>1900</v>
      </c>
      <c r="M5599" s="272">
        <f t="shared" si="424"/>
        <v>1</v>
      </c>
      <c r="O5599" s="61">
        <f t="shared" si="425"/>
        <v>1900</v>
      </c>
      <c r="P5599" s="61">
        <f t="shared" si="426"/>
        <v>1</v>
      </c>
      <c r="R5599" s="272"/>
      <c r="S5599" s="272"/>
    </row>
    <row r="5600" spans="9:19">
      <c r="I5600" s="213"/>
      <c r="J5600" s="213"/>
      <c r="L5600" s="272">
        <f t="shared" si="423"/>
        <v>1900</v>
      </c>
      <c r="M5600" s="272">
        <f t="shared" si="424"/>
        <v>1</v>
      </c>
      <c r="O5600" s="61">
        <f t="shared" si="425"/>
        <v>1900</v>
      </c>
      <c r="P5600" s="61">
        <f t="shared" si="426"/>
        <v>1</v>
      </c>
      <c r="R5600" s="272"/>
      <c r="S5600" s="272"/>
    </row>
    <row r="5601" spans="9:19">
      <c r="I5601" s="213"/>
      <c r="J5601" s="213"/>
      <c r="L5601" s="272">
        <f t="shared" si="423"/>
        <v>1900</v>
      </c>
      <c r="M5601" s="272">
        <f t="shared" si="424"/>
        <v>1</v>
      </c>
      <c r="O5601" s="61">
        <f t="shared" si="425"/>
        <v>1900</v>
      </c>
      <c r="P5601" s="61">
        <f t="shared" si="426"/>
        <v>1</v>
      </c>
      <c r="R5601" s="272"/>
      <c r="S5601" s="272"/>
    </row>
    <row r="5602" spans="9:19">
      <c r="I5602" s="213"/>
      <c r="J5602" s="213"/>
      <c r="L5602" s="272">
        <f t="shared" si="423"/>
        <v>1900</v>
      </c>
      <c r="M5602" s="272">
        <f t="shared" si="424"/>
        <v>1</v>
      </c>
      <c r="O5602" s="61">
        <f t="shared" si="425"/>
        <v>1900</v>
      </c>
      <c r="P5602" s="61">
        <f t="shared" si="426"/>
        <v>1</v>
      </c>
      <c r="R5602" s="272"/>
      <c r="S5602" s="272"/>
    </row>
    <row r="5603" spans="9:19">
      <c r="I5603" s="213"/>
      <c r="J5603" s="213"/>
      <c r="L5603" s="272">
        <f t="shared" si="423"/>
        <v>1900</v>
      </c>
      <c r="M5603" s="272">
        <f t="shared" si="424"/>
        <v>1</v>
      </c>
      <c r="O5603" s="61">
        <f t="shared" si="425"/>
        <v>1900</v>
      </c>
      <c r="P5603" s="61">
        <f t="shared" si="426"/>
        <v>1</v>
      </c>
      <c r="R5603" s="272"/>
      <c r="S5603" s="272"/>
    </row>
    <row r="5604" spans="9:19">
      <c r="I5604" s="213"/>
      <c r="J5604" s="213"/>
      <c r="L5604" s="272">
        <f t="shared" si="423"/>
        <v>1900</v>
      </c>
      <c r="M5604" s="272">
        <f t="shared" si="424"/>
        <v>1</v>
      </c>
      <c r="O5604" s="61">
        <f t="shared" si="425"/>
        <v>1900</v>
      </c>
      <c r="P5604" s="61">
        <f t="shared" si="426"/>
        <v>1</v>
      </c>
      <c r="R5604" s="272"/>
      <c r="S5604" s="272"/>
    </row>
    <row r="5605" spans="9:19">
      <c r="I5605" s="213"/>
      <c r="J5605" s="213"/>
      <c r="L5605" s="272">
        <f t="shared" si="423"/>
        <v>1900</v>
      </c>
      <c r="M5605" s="272">
        <f t="shared" si="424"/>
        <v>1</v>
      </c>
      <c r="O5605" s="61">
        <f t="shared" si="425"/>
        <v>1900</v>
      </c>
      <c r="P5605" s="61">
        <f t="shared" si="426"/>
        <v>1</v>
      </c>
      <c r="R5605" s="272"/>
      <c r="S5605" s="272"/>
    </row>
    <row r="5606" spans="9:19">
      <c r="I5606" s="213"/>
      <c r="J5606" s="213"/>
      <c r="L5606" s="272">
        <f t="shared" si="423"/>
        <v>1900</v>
      </c>
      <c r="M5606" s="272">
        <f t="shared" si="424"/>
        <v>1</v>
      </c>
      <c r="O5606" s="61">
        <f t="shared" si="425"/>
        <v>1900</v>
      </c>
      <c r="P5606" s="61">
        <f t="shared" si="426"/>
        <v>1</v>
      </c>
      <c r="R5606" s="272"/>
      <c r="S5606" s="272"/>
    </row>
    <row r="5607" spans="9:19">
      <c r="I5607" s="213"/>
      <c r="J5607" s="213"/>
      <c r="L5607" s="272">
        <f t="shared" si="423"/>
        <v>1900</v>
      </c>
      <c r="M5607" s="272">
        <f t="shared" si="424"/>
        <v>1</v>
      </c>
      <c r="O5607" s="61">
        <f t="shared" si="425"/>
        <v>1900</v>
      </c>
      <c r="P5607" s="61">
        <f t="shared" si="426"/>
        <v>1</v>
      </c>
      <c r="R5607" s="272"/>
      <c r="S5607" s="272"/>
    </row>
    <row r="5608" spans="9:19">
      <c r="I5608" s="213"/>
      <c r="J5608" s="213"/>
      <c r="L5608" s="272">
        <f t="shared" si="423"/>
        <v>1900</v>
      </c>
      <c r="M5608" s="272">
        <f t="shared" si="424"/>
        <v>1</v>
      </c>
      <c r="O5608" s="61">
        <f t="shared" si="425"/>
        <v>1900</v>
      </c>
      <c r="P5608" s="61">
        <f t="shared" si="426"/>
        <v>1</v>
      </c>
      <c r="R5608" s="272"/>
      <c r="S5608" s="272"/>
    </row>
    <row r="5609" spans="9:19">
      <c r="I5609" s="213"/>
      <c r="J5609" s="213"/>
      <c r="L5609" s="272">
        <f t="shared" si="423"/>
        <v>1900</v>
      </c>
      <c r="M5609" s="272">
        <f t="shared" si="424"/>
        <v>1</v>
      </c>
      <c r="O5609" s="61">
        <f t="shared" si="425"/>
        <v>1900</v>
      </c>
      <c r="P5609" s="61">
        <f t="shared" si="426"/>
        <v>1</v>
      </c>
      <c r="R5609" s="272"/>
      <c r="S5609" s="272"/>
    </row>
    <row r="5610" spans="9:19">
      <c r="I5610" s="213"/>
      <c r="J5610" s="213"/>
      <c r="L5610" s="272">
        <f t="shared" si="423"/>
        <v>1900</v>
      </c>
      <c r="M5610" s="272">
        <f t="shared" si="424"/>
        <v>1</v>
      </c>
      <c r="O5610" s="61">
        <f t="shared" si="425"/>
        <v>1900</v>
      </c>
      <c r="P5610" s="61">
        <f t="shared" si="426"/>
        <v>1</v>
      </c>
      <c r="R5610" s="272"/>
      <c r="S5610" s="272"/>
    </row>
    <row r="5611" spans="9:19">
      <c r="I5611" s="213"/>
      <c r="J5611" s="213"/>
      <c r="L5611" s="272">
        <f t="shared" si="423"/>
        <v>1900</v>
      </c>
      <c r="M5611" s="272">
        <f t="shared" si="424"/>
        <v>1</v>
      </c>
      <c r="O5611" s="61">
        <f t="shared" si="425"/>
        <v>1900</v>
      </c>
      <c r="P5611" s="61">
        <f t="shared" si="426"/>
        <v>1</v>
      </c>
      <c r="R5611" s="272"/>
      <c r="S5611" s="272"/>
    </row>
    <row r="5612" spans="9:19">
      <c r="I5612" s="213"/>
      <c r="J5612" s="213"/>
      <c r="L5612" s="272">
        <f t="shared" si="423"/>
        <v>1900</v>
      </c>
      <c r="M5612" s="272">
        <f t="shared" si="424"/>
        <v>1</v>
      </c>
      <c r="O5612" s="61">
        <f t="shared" si="425"/>
        <v>1900</v>
      </c>
      <c r="P5612" s="61">
        <f t="shared" si="426"/>
        <v>1</v>
      </c>
      <c r="R5612" s="272"/>
      <c r="S5612" s="272"/>
    </row>
    <row r="5613" spans="9:19">
      <c r="I5613" s="213"/>
      <c r="J5613" s="213"/>
      <c r="L5613" s="272">
        <f t="shared" si="423"/>
        <v>1900</v>
      </c>
      <c r="M5613" s="272">
        <f t="shared" si="424"/>
        <v>1</v>
      </c>
      <c r="O5613" s="61">
        <f t="shared" si="425"/>
        <v>1900</v>
      </c>
      <c r="P5613" s="61">
        <f t="shared" si="426"/>
        <v>1</v>
      </c>
      <c r="R5613" s="272"/>
      <c r="S5613" s="272"/>
    </row>
    <row r="5614" spans="9:19">
      <c r="I5614" s="213"/>
      <c r="J5614" s="213"/>
      <c r="L5614" s="272">
        <f t="shared" si="423"/>
        <v>1900</v>
      </c>
      <c r="M5614" s="272">
        <f t="shared" si="424"/>
        <v>1</v>
      </c>
      <c r="O5614" s="61">
        <f t="shared" si="425"/>
        <v>1900</v>
      </c>
      <c r="P5614" s="61">
        <f t="shared" si="426"/>
        <v>1</v>
      </c>
      <c r="R5614" s="272"/>
      <c r="S5614" s="272"/>
    </row>
    <row r="5615" spans="9:19">
      <c r="I5615" s="213"/>
      <c r="J5615" s="213"/>
      <c r="L5615" s="272">
        <f t="shared" si="423"/>
        <v>1900</v>
      </c>
      <c r="M5615" s="272">
        <f t="shared" si="424"/>
        <v>1</v>
      </c>
      <c r="O5615" s="61">
        <f t="shared" si="425"/>
        <v>1900</v>
      </c>
      <c r="P5615" s="61">
        <f t="shared" si="426"/>
        <v>1</v>
      </c>
      <c r="R5615" s="272"/>
      <c r="S5615" s="272"/>
    </row>
    <row r="5616" spans="9:19">
      <c r="I5616" s="213"/>
      <c r="J5616" s="213"/>
      <c r="L5616" s="272">
        <f t="shared" si="423"/>
        <v>1900</v>
      </c>
      <c r="M5616" s="272">
        <f t="shared" si="424"/>
        <v>1</v>
      </c>
      <c r="O5616" s="61">
        <f t="shared" si="425"/>
        <v>1900</v>
      </c>
      <c r="P5616" s="61">
        <f t="shared" si="426"/>
        <v>1</v>
      </c>
      <c r="R5616" s="272"/>
      <c r="S5616" s="272"/>
    </row>
    <row r="5617" spans="9:19">
      <c r="I5617" s="213"/>
      <c r="J5617" s="213"/>
      <c r="L5617" s="272">
        <f t="shared" si="423"/>
        <v>1900</v>
      </c>
      <c r="M5617" s="272">
        <f t="shared" si="424"/>
        <v>1</v>
      </c>
      <c r="O5617" s="61">
        <f t="shared" si="425"/>
        <v>1900</v>
      </c>
      <c r="P5617" s="61">
        <f t="shared" si="426"/>
        <v>1</v>
      </c>
      <c r="R5617" s="272"/>
      <c r="S5617" s="272"/>
    </row>
    <row r="5618" spans="9:19">
      <c r="I5618" s="213"/>
      <c r="J5618" s="213"/>
      <c r="L5618" s="272">
        <f t="shared" si="423"/>
        <v>1900</v>
      </c>
      <c r="M5618" s="272">
        <f t="shared" si="424"/>
        <v>1</v>
      </c>
      <c r="O5618" s="61">
        <f t="shared" si="425"/>
        <v>1900</v>
      </c>
      <c r="P5618" s="61">
        <f t="shared" si="426"/>
        <v>1</v>
      </c>
      <c r="R5618" s="272"/>
      <c r="S5618" s="272"/>
    </row>
    <row r="5619" spans="9:19">
      <c r="I5619" s="213"/>
      <c r="J5619" s="213"/>
      <c r="L5619" s="272">
        <f t="shared" si="423"/>
        <v>1900</v>
      </c>
      <c r="M5619" s="272">
        <f t="shared" si="424"/>
        <v>1</v>
      </c>
      <c r="O5619" s="61">
        <f t="shared" si="425"/>
        <v>1900</v>
      </c>
      <c r="P5619" s="61">
        <f t="shared" si="426"/>
        <v>1</v>
      </c>
      <c r="R5619" s="272"/>
      <c r="S5619" s="272"/>
    </row>
    <row r="5620" spans="9:19">
      <c r="I5620" s="213"/>
      <c r="J5620" s="213"/>
      <c r="L5620" s="272">
        <f t="shared" si="423"/>
        <v>1900</v>
      </c>
      <c r="M5620" s="272">
        <f t="shared" si="424"/>
        <v>1</v>
      </c>
      <c r="O5620" s="61">
        <f t="shared" si="425"/>
        <v>1900</v>
      </c>
      <c r="P5620" s="61">
        <f t="shared" si="426"/>
        <v>1</v>
      </c>
      <c r="R5620" s="272"/>
      <c r="S5620" s="272"/>
    </row>
    <row r="5621" spans="9:19">
      <c r="I5621" s="213"/>
      <c r="J5621" s="213"/>
      <c r="L5621" s="272">
        <f t="shared" si="423"/>
        <v>1900</v>
      </c>
      <c r="M5621" s="272">
        <f t="shared" si="424"/>
        <v>1</v>
      </c>
      <c r="O5621" s="61">
        <f t="shared" si="425"/>
        <v>1900</v>
      </c>
      <c r="P5621" s="61">
        <f t="shared" si="426"/>
        <v>1</v>
      </c>
      <c r="R5621" s="272"/>
      <c r="S5621" s="272"/>
    </row>
    <row r="5622" spans="9:19">
      <c r="I5622" s="213"/>
      <c r="J5622" s="213"/>
      <c r="L5622" s="272">
        <f t="shared" si="423"/>
        <v>1900</v>
      </c>
      <c r="M5622" s="272">
        <f t="shared" si="424"/>
        <v>1</v>
      </c>
      <c r="O5622" s="61">
        <f t="shared" si="425"/>
        <v>1900</v>
      </c>
      <c r="P5622" s="61">
        <f t="shared" si="426"/>
        <v>1</v>
      </c>
      <c r="R5622" s="272"/>
      <c r="S5622" s="272"/>
    </row>
    <row r="5623" spans="9:19">
      <c r="I5623" s="213"/>
      <c r="J5623" s="213"/>
      <c r="L5623" s="272">
        <f t="shared" si="423"/>
        <v>1900</v>
      </c>
      <c r="M5623" s="272">
        <f t="shared" si="424"/>
        <v>1</v>
      </c>
      <c r="O5623" s="61">
        <f t="shared" si="425"/>
        <v>1900</v>
      </c>
      <c r="P5623" s="61">
        <f t="shared" si="426"/>
        <v>1</v>
      </c>
      <c r="R5623" s="272"/>
      <c r="S5623" s="272"/>
    </row>
    <row r="5624" spans="9:19">
      <c r="I5624" s="213"/>
      <c r="J5624" s="213"/>
      <c r="L5624" s="272">
        <f t="shared" si="423"/>
        <v>1900</v>
      </c>
      <c r="M5624" s="272">
        <f t="shared" si="424"/>
        <v>1</v>
      </c>
      <c r="O5624" s="61">
        <f t="shared" si="425"/>
        <v>1900</v>
      </c>
      <c r="P5624" s="61">
        <f t="shared" si="426"/>
        <v>1</v>
      </c>
      <c r="R5624" s="272"/>
      <c r="S5624" s="272"/>
    </row>
    <row r="5625" spans="9:19">
      <c r="I5625" s="213"/>
      <c r="J5625" s="213"/>
      <c r="L5625" s="272">
        <f t="shared" si="423"/>
        <v>1900</v>
      </c>
      <c r="M5625" s="272">
        <f t="shared" si="424"/>
        <v>1</v>
      </c>
      <c r="O5625" s="61">
        <f t="shared" si="425"/>
        <v>1900</v>
      </c>
      <c r="P5625" s="61">
        <f t="shared" si="426"/>
        <v>1</v>
      </c>
      <c r="R5625" s="272"/>
      <c r="S5625" s="272"/>
    </row>
    <row r="5626" spans="9:19">
      <c r="I5626" s="213"/>
      <c r="J5626" s="213"/>
      <c r="L5626" s="272">
        <f t="shared" si="423"/>
        <v>1900</v>
      </c>
      <c r="M5626" s="272">
        <f t="shared" si="424"/>
        <v>1</v>
      </c>
      <c r="O5626" s="61">
        <f t="shared" si="425"/>
        <v>1900</v>
      </c>
      <c r="P5626" s="61">
        <f t="shared" si="426"/>
        <v>1</v>
      </c>
      <c r="R5626" s="272"/>
      <c r="S5626" s="272"/>
    </row>
    <row r="5627" spans="9:19">
      <c r="I5627" s="213"/>
      <c r="J5627" s="213"/>
      <c r="L5627" s="272">
        <f t="shared" si="423"/>
        <v>1900</v>
      </c>
      <c r="M5627" s="272">
        <f t="shared" si="424"/>
        <v>1</v>
      </c>
      <c r="O5627" s="61">
        <f t="shared" si="425"/>
        <v>1900</v>
      </c>
      <c r="P5627" s="61">
        <f t="shared" si="426"/>
        <v>1</v>
      </c>
      <c r="R5627" s="272"/>
      <c r="S5627" s="272"/>
    </row>
    <row r="5628" spans="9:19">
      <c r="I5628" s="213"/>
      <c r="J5628" s="213"/>
      <c r="L5628" s="272">
        <f t="shared" si="423"/>
        <v>1900</v>
      </c>
      <c r="M5628" s="272">
        <f t="shared" si="424"/>
        <v>1</v>
      </c>
      <c r="O5628" s="61">
        <f t="shared" si="425"/>
        <v>1900</v>
      </c>
      <c r="P5628" s="61">
        <f t="shared" si="426"/>
        <v>1</v>
      </c>
      <c r="R5628" s="272"/>
      <c r="S5628" s="272"/>
    </row>
    <row r="5629" spans="9:19">
      <c r="I5629" s="213"/>
      <c r="J5629" s="213"/>
      <c r="L5629" s="272">
        <f t="shared" si="423"/>
        <v>1900</v>
      </c>
      <c r="M5629" s="272">
        <f t="shared" si="424"/>
        <v>1</v>
      </c>
      <c r="O5629" s="61">
        <f t="shared" si="425"/>
        <v>1900</v>
      </c>
      <c r="P5629" s="61">
        <f t="shared" si="426"/>
        <v>1</v>
      </c>
      <c r="R5629" s="272"/>
      <c r="S5629" s="272"/>
    </row>
    <row r="5630" spans="9:19">
      <c r="I5630" s="213"/>
      <c r="J5630" s="213"/>
      <c r="L5630" s="272">
        <f t="shared" si="423"/>
        <v>1900</v>
      </c>
      <c r="M5630" s="272">
        <f t="shared" si="424"/>
        <v>1</v>
      </c>
      <c r="O5630" s="61">
        <f t="shared" si="425"/>
        <v>1900</v>
      </c>
      <c r="P5630" s="61">
        <f t="shared" si="426"/>
        <v>1</v>
      </c>
      <c r="R5630" s="272"/>
      <c r="S5630" s="272"/>
    </row>
    <row r="5631" spans="9:19">
      <c r="I5631" s="213"/>
      <c r="J5631" s="213"/>
      <c r="L5631" s="272">
        <f t="shared" si="423"/>
        <v>1900</v>
      </c>
      <c r="M5631" s="272">
        <f t="shared" si="424"/>
        <v>1</v>
      </c>
      <c r="O5631" s="61">
        <f t="shared" si="425"/>
        <v>1900</v>
      </c>
      <c r="P5631" s="61">
        <f t="shared" si="426"/>
        <v>1</v>
      </c>
      <c r="R5631" s="272"/>
      <c r="S5631" s="272"/>
    </row>
    <row r="5632" spans="9:19">
      <c r="I5632" s="213"/>
      <c r="J5632" s="213"/>
      <c r="L5632" s="272">
        <f t="shared" si="423"/>
        <v>1900</v>
      </c>
      <c r="M5632" s="272">
        <f t="shared" si="424"/>
        <v>1</v>
      </c>
      <c r="O5632" s="61">
        <f t="shared" si="425"/>
        <v>1900</v>
      </c>
      <c r="P5632" s="61">
        <f t="shared" si="426"/>
        <v>1</v>
      </c>
      <c r="R5632" s="272"/>
      <c r="S5632" s="272"/>
    </row>
    <row r="5633" spans="9:19">
      <c r="I5633" s="213"/>
      <c r="J5633" s="213"/>
      <c r="L5633" s="272">
        <f t="shared" si="423"/>
        <v>1900</v>
      </c>
      <c r="M5633" s="272">
        <f t="shared" si="424"/>
        <v>1</v>
      </c>
      <c r="O5633" s="61">
        <f t="shared" si="425"/>
        <v>1900</v>
      </c>
      <c r="P5633" s="61">
        <f t="shared" si="426"/>
        <v>1</v>
      </c>
      <c r="R5633" s="272"/>
      <c r="S5633" s="272"/>
    </row>
    <row r="5634" spans="9:19">
      <c r="I5634" s="213"/>
      <c r="J5634" s="213"/>
      <c r="L5634" s="272">
        <f t="shared" si="423"/>
        <v>1900</v>
      </c>
      <c r="M5634" s="272">
        <f t="shared" si="424"/>
        <v>1</v>
      </c>
      <c r="O5634" s="61">
        <f t="shared" si="425"/>
        <v>1900</v>
      </c>
      <c r="P5634" s="61">
        <f t="shared" si="426"/>
        <v>1</v>
      </c>
      <c r="R5634" s="272"/>
      <c r="S5634" s="272"/>
    </row>
    <row r="5635" spans="9:19">
      <c r="I5635" s="213"/>
      <c r="J5635" s="213"/>
      <c r="L5635" s="272">
        <f t="shared" si="423"/>
        <v>1900</v>
      </c>
      <c r="M5635" s="272">
        <f t="shared" si="424"/>
        <v>1</v>
      </c>
      <c r="O5635" s="61">
        <f t="shared" si="425"/>
        <v>1900</v>
      </c>
      <c r="P5635" s="61">
        <f t="shared" si="426"/>
        <v>1</v>
      </c>
      <c r="R5635" s="272"/>
      <c r="S5635" s="272"/>
    </row>
    <row r="5636" spans="9:19">
      <c r="I5636" s="213"/>
      <c r="J5636" s="213"/>
      <c r="L5636" s="272">
        <f t="shared" si="423"/>
        <v>1900</v>
      </c>
      <c r="M5636" s="272">
        <f t="shared" si="424"/>
        <v>1</v>
      </c>
      <c r="O5636" s="61">
        <f t="shared" si="425"/>
        <v>1900</v>
      </c>
      <c r="P5636" s="61">
        <f t="shared" si="426"/>
        <v>1</v>
      </c>
      <c r="R5636" s="272"/>
      <c r="S5636" s="272"/>
    </row>
    <row r="5637" spans="9:19">
      <c r="I5637" s="213"/>
      <c r="J5637" s="213"/>
      <c r="L5637" s="272">
        <f t="shared" si="423"/>
        <v>1900</v>
      </c>
      <c r="M5637" s="272">
        <f t="shared" si="424"/>
        <v>1</v>
      </c>
      <c r="O5637" s="61">
        <f t="shared" si="425"/>
        <v>1900</v>
      </c>
      <c r="P5637" s="61">
        <f t="shared" si="426"/>
        <v>1</v>
      </c>
      <c r="R5637" s="272"/>
      <c r="S5637" s="272"/>
    </row>
    <row r="5638" spans="9:19">
      <c r="I5638" s="213"/>
      <c r="J5638" s="213"/>
      <c r="L5638" s="272">
        <f t="shared" si="423"/>
        <v>1900</v>
      </c>
      <c r="M5638" s="272">
        <f t="shared" si="424"/>
        <v>1</v>
      </c>
      <c r="O5638" s="61">
        <f t="shared" si="425"/>
        <v>1900</v>
      </c>
      <c r="P5638" s="61">
        <f t="shared" si="426"/>
        <v>1</v>
      </c>
      <c r="R5638" s="272"/>
      <c r="S5638" s="272"/>
    </row>
    <row r="5639" spans="9:19">
      <c r="I5639" s="213"/>
      <c r="J5639" s="213"/>
      <c r="L5639" s="272">
        <f t="shared" si="423"/>
        <v>1900</v>
      </c>
      <c r="M5639" s="272">
        <f t="shared" si="424"/>
        <v>1</v>
      </c>
      <c r="O5639" s="61">
        <f t="shared" si="425"/>
        <v>1900</v>
      </c>
      <c r="P5639" s="61">
        <f t="shared" si="426"/>
        <v>1</v>
      </c>
      <c r="R5639" s="272"/>
      <c r="S5639" s="272"/>
    </row>
    <row r="5640" spans="9:19">
      <c r="I5640" s="213"/>
      <c r="J5640" s="213"/>
      <c r="L5640" s="272">
        <f t="shared" si="423"/>
        <v>1900</v>
      </c>
      <c r="M5640" s="272">
        <f t="shared" si="424"/>
        <v>1</v>
      </c>
      <c r="O5640" s="61">
        <f t="shared" si="425"/>
        <v>1900</v>
      </c>
      <c r="P5640" s="61">
        <f t="shared" si="426"/>
        <v>1</v>
      </c>
      <c r="R5640" s="272"/>
      <c r="S5640" s="272"/>
    </row>
    <row r="5641" spans="9:19">
      <c r="I5641" s="213"/>
      <c r="J5641" s="213"/>
      <c r="L5641" s="272">
        <f t="shared" si="423"/>
        <v>1900</v>
      </c>
      <c r="M5641" s="272">
        <f t="shared" si="424"/>
        <v>1</v>
      </c>
      <c r="O5641" s="61">
        <f t="shared" si="425"/>
        <v>1900</v>
      </c>
      <c r="P5641" s="61">
        <f t="shared" si="426"/>
        <v>1</v>
      </c>
      <c r="R5641" s="272"/>
      <c r="S5641" s="272"/>
    </row>
    <row r="5642" spans="9:19">
      <c r="I5642" s="213"/>
      <c r="J5642" s="213"/>
      <c r="L5642" s="272">
        <f t="shared" si="423"/>
        <v>1900</v>
      </c>
      <c r="M5642" s="272">
        <f t="shared" si="424"/>
        <v>1</v>
      </c>
      <c r="O5642" s="61">
        <f t="shared" si="425"/>
        <v>1900</v>
      </c>
      <c r="P5642" s="61">
        <f t="shared" si="426"/>
        <v>1</v>
      </c>
      <c r="R5642" s="272"/>
      <c r="S5642" s="272"/>
    </row>
    <row r="5643" spans="9:19">
      <c r="I5643" s="213"/>
      <c r="J5643" s="213"/>
      <c r="L5643" s="272">
        <f t="shared" si="423"/>
        <v>1900</v>
      </c>
      <c r="M5643" s="272">
        <f t="shared" si="424"/>
        <v>1</v>
      </c>
      <c r="O5643" s="61">
        <f t="shared" si="425"/>
        <v>1900</v>
      </c>
      <c r="P5643" s="61">
        <f t="shared" si="426"/>
        <v>1</v>
      </c>
      <c r="R5643" s="272"/>
      <c r="S5643" s="272"/>
    </row>
    <row r="5644" spans="9:19">
      <c r="I5644" s="213"/>
      <c r="J5644" s="213"/>
      <c r="L5644" s="272">
        <f t="shared" si="423"/>
        <v>1900</v>
      </c>
      <c r="M5644" s="272">
        <f t="shared" si="424"/>
        <v>1</v>
      </c>
      <c r="O5644" s="61">
        <f t="shared" si="425"/>
        <v>1900</v>
      </c>
      <c r="P5644" s="61">
        <f t="shared" si="426"/>
        <v>1</v>
      </c>
      <c r="R5644" s="272"/>
      <c r="S5644" s="272"/>
    </row>
    <row r="5645" spans="9:19">
      <c r="I5645" s="213"/>
      <c r="J5645" s="213"/>
      <c r="L5645" s="272">
        <f t="shared" si="423"/>
        <v>1900</v>
      </c>
      <c r="M5645" s="272">
        <f t="shared" si="424"/>
        <v>1</v>
      </c>
      <c r="O5645" s="61">
        <f t="shared" si="425"/>
        <v>1900</v>
      </c>
      <c r="P5645" s="61">
        <f t="shared" si="426"/>
        <v>1</v>
      </c>
      <c r="R5645" s="272"/>
      <c r="S5645" s="272"/>
    </row>
    <row r="5646" spans="9:19">
      <c r="I5646" s="213"/>
      <c r="J5646" s="213"/>
      <c r="L5646" s="272">
        <f t="shared" si="423"/>
        <v>1900</v>
      </c>
      <c r="M5646" s="272">
        <f t="shared" si="424"/>
        <v>1</v>
      </c>
      <c r="O5646" s="61">
        <f t="shared" si="425"/>
        <v>1900</v>
      </c>
      <c r="P5646" s="61">
        <f t="shared" si="426"/>
        <v>1</v>
      </c>
      <c r="R5646" s="272"/>
      <c r="S5646" s="272"/>
    </row>
    <row r="5647" spans="9:19">
      <c r="I5647" s="213"/>
      <c r="J5647" s="213"/>
      <c r="L5647" s="272">
        <f t="shared" si="423"/>
        <v>1900</v>
      </c>
      <c r="M5647" s="272">
        <f t="shared" si="424"/>
        <v>1</v>
      </c>
      <c r="O5647" s="61">
        <f t="shared" si="425"/>
        <v>1900</v>
      </c>
      <c r="P5647" s="61">
        <f t="shared" si="426"/>
        <v>1</v>
      </c>
      <c r="R5647" s="272"/>
      <c r="S5647" s="272"/>
    </row>
    <row r="5648" spans="9:19">
      <c r="I5648" s="213"/>
      <c r="J5648" s="213"/>
      <c r="L5648" s="272">
        <f t="shared" ref="L5648:L5711" si="427">YEAR(B5648)</f>
        <v>1900</v>
      </c>
      <c r="M5648" s="272">
        <f t="shared" ref="M5648:M5711" si="428">MONTH(B5648)</f>
        <v>1</v>
      </c>
      <c r="O5648" s="61">
        <f t="shared" ref="O5648:O5711" si="429">YEAR(B5648)</f>
        <v>1900</v>
      </c>
      <c r="P5648" s="61">
        <f t="shared" ref="P5648:P5711" si="430">MONTH(B5648)</f>
        <v>1</v>
      </c>
      <c r="R5648" s="272"/>
      <c r="S5648" s="272"/>
    </row>
    <row r="5649" spans="9:19">
      <c r="I5649" s="213"/>
      <c r="J5649" s="213"/>
      <c r="L5649" s="272">
        <f t="shared" si="427"/>
        <v>1900</v>
      </c>
      <c r="M5649" s="272">
        <f t="shared" si="428"/>
        <v>1</v>
      </c>
      <c r="O5649" s="61">
        <f t="shared" si="429"/>
        <v>1900</v>
      </c>
      <c r="P5649" s="61">
        <f t="shared" si="430"/>
        <v>1</v>
      </c>
      <c r="R5649" s="272"/>
      <c r="S5649" s="272"/>
    </row>
    <row r="5650" spans="9:19">
      <c r="I5650" s="213"/>
      <c r="J5650" s="213"/>
      <c r="L5650" s="272">
        <f t="shared" si="427"/>
        <v>1900</v>
      </c>
      <c r="M5650" s="272">
        <f t="shared" si="428"/>
        <v>1</v>
      </c>
      <c r="O5650" s="61">
        <f t="shared" si="429"/>
        <v>1900</v>
      </c>
      <c r="P5650" s="61">
        <f t="shared" si="430"/>
        <v>1</v>
      </c>
      <c r="R5650" s="272"/>
      <c r="S5650" s="272"/>
    </row>
    <row r="5651" spans="9:19">
      <c r="I5651" s="213"/>
      <c r="J5651" s="213"/>
      <c r="L5651" s="272">
        <f t="shared" si="427"/>
        <v>1900</v>
      </c>
      <c r="M5651" s="272">
        <f t="shared" si="428"/>
        <v>1</v>
      </c>
      <c r="O5651" s="61">
        <f t="shared" si="429"/>
        <v>1900</v>
      </c>
      <c r="P5651" s="61">
        <f t="shared" si="430"/>
        <v>1</v>
      </c>
      <c r="R5651" s="272"/>
      <c r="S5651" s="272"/>
    </row>
    <row r="5652" spans="9:19">
      <c r="I5652" s="213"/>
      <c r="J5652" s="213"/>
      <c r="L5652" s="272">
        <f t="shared" si="427"/>
        <v>1900</v>
      </c>
      <c r="M5652" s="272">
        <f t="shared" si="428"/>
        <v>1</v>
      </c>
      <c r="O5652" s="61">
        <f t="shared" si="429"/>
        <v>1900</v>
      </c>
      <c r="P5652" s="61">
        <f t="shared" si="430"/>
        <v>1</v>
      </c>
      <c r="R5652" s="272"/>
      <c r="S5652" s="272"/>
    </row>
    <row r="5653" spans="9:19">
      <c r="I5653" s="213"/>
      <c r="J5653" s="213"/>
      <c r="L5653" s="272">
        <f t="shared" si="427"/>
        <v>1900</v>
      </c>
      <c r="M5653" s="272">
        <f t="shared" si="428"/>
        <v>1</v>
      </c>
      <c r="O5653" s="61">
        <f t="shared" si="429"/>
        <v>1900</v>
      </c>
      <c r="P5653" s="61">
        <f t="shared" si="430"/>
        <v>1</v>
      </c>
      <c r="R5653" s="272"/>
      <c r="S5653" s="272"/>
    </row>
    <row r="5654" spans="9:19">
      <c r="I5654" s="213"/>
      <c r="J5654" s="213"/>
      <c r="L5654" s="272">
        <f t="shared" si="427"/>
        <v>1900</v>
      </c>
      <c r="M5654" s="272">
        <f t="shared" si="428"/>
        <v>1</v>
      </c>
      <c r="O5654" s="61">
        <f t="shared" si="429"/>
        <v>1900</v>
      </c>
      <c r="P5654" s="61">
        <f t="shared" si="430"/>
        <v>1</v>
      </c>
      <c r="R5654" s="272"/>
      <c r="S5654" s="272"/>
    </row>
    <row r="5655" spans="9:19">
      <c r="I5655" s="213"/>
      <c r="J5655" s="213"/>
      <c r="L5655" s="272">
        <f t="shared" si="427"/>
        <v>1900</v>
      </c>
      <c r="M5655" s="272">
        <f t="shared" si="428"/>
        <v>1</v>
      </c>
      <c r="O5655" s="61">
        <f t="shared" si="429"/>
        <v>1900</v>
      </c>
      <c r="P5655" s="61">
        <f t="shared" si="430"/>
        <v>1</v>
      </c>
      <c r="R5655" s="272"/>
      <c r="S5655" s="272"/>
    </row>
    <row r="5656" spans="9:19">
      <c r="I5656" s="213"/>
      <c r="J5656" s="213"/>
      <c r="L5656" s="272">
        <f t="shared" si="427"/>
        <v>1900</v>
      </c>
      <c r="M5656" s="272">
        <f t="shared" si="428"/>
        <v>1</v>
      </c>
      <c r="O5656" s="61">
        <f t="shared" si="429"/>
        <v>1900</v>
      </c>
      <c r="P5656" s="61">
        <f t="shared" si="430"/>
        <v>1</v>
      </c>
      <c r="R5656" s="272"/>
      <c r="S5656" s="272"/>
    </row>
    <row r="5657" spans="9:19">
      <c r="I5657" s="213"/>
      <c r="J5657" s="213"/>
      <c r="L5657" s="272">
        <f t="shared" si="427"/>
        <v>1900</v>
      </c>
      <c r="M5657" s="272">
        <f t="shared" si="428"/>
        <v>1</v>
      </c>
      <c r="O5657" s="61">
        <f t="shared" si="429"/>
        <v>1900</v>
      </c>
      <c r="P5657" s="61">
        <f t="shared" si="430"/>
        <v>1</v>
      </c>
      <c r="R5657" s="272"/>
      <c r="S5657" s="272"/>
    </row>
    <row r="5658" spans="9:19">
      <c r="I5658" s="213"/>
      <c r="J5658" s="213"/>
      <c r="L5658" s="272">
        <f t="shared" si="427"/>
        <v>1900</v>
      </c>
      <c r="M5658" s="272">
        <f t="shared" si="428"/>
        <v>1</v>
      </c>
      <c r="O5658" s="61">
        <f t="shared" si="429"/>
        <v>1900</v>
      </c>
      <c r="P5658" s="61">
        <f t="shared" si="430"/>
        <v>1</v>
      </c>
      <c r="R5658" s="272"/>
      <c r="S5658" s="272"/>
    </row>
    <row r="5659" spans="9:19">
      <c r="I5659" s="213"/>
      <c r="J5659" s="213"/>
      <c r="L5659" s="272">
        <f t="shared" si="427"/>
        <v>1900</v>
      </c>
      <c r="M5659" s="272">
        <f t="shared" si="428"/>
        <v>1</v>
      </c>
      <c r="O5659" s="61">
        <f t="shared" si="429"/>
        <v>1900</v>
      </c>
      <c r="P5659" s="61">
        <f t="shared" si="430"/>
        <v>1</v>
      </c>
      <c r="R5659" s="272"/>
      <c r="S5659" s="272"/>
    </row>
    <row r="5660" spans="9:19">
      <c r="I5660" s="213"/>
      <c r="J5660" s="213"/>
      <c r="L5660" s="272">
        <f t="shared" si="427"/>
        <v>1900</v>
      </c>
      <c r="M5660" s="272">
        <f t="shared" si="428"/>
        <v>1</v>
      </c>
      <c r="O5660" s="61">
        <f t="shared" si="429"/>
        <v>1900</v>
      </c>
      <c r="P5660" s="61">
        <f t="shared" si="430"/>
        <v>1</v>
      </c>
      <c r="R5660" s="272"/>
      <c r="S5660" s="272"/>
    </row>
    <row r="5661" spans="9:19">
      <c r="I5661" s="213"/>
      <c r="J5661" s="213"/>
      <c r="L5661" s="272">
        <f t="shared" si="427"/>
        <v>1900</v>
      </c>
      <c r="M5661" s="272">
        <f t="shared" si="428"/>
        <v>1</v>
      </c>
      <c r="O5661" s="61">
        <f t="shared" si="429"/>
        <v>1900</v>
      </c>
      <c r="P5661" s="61">
        <f t="shared" si="430"/>
        <v>1</v>
      </c>
      <c r="R5661" s="272"/>
      <c r="S5661" s="272"/>
    </row>
    <row r="5662" spans="9:19">
      <c r="I5662" s="213"/>
      <c r="J5662" s="213"/>
      <c r="L5662" s="272">
        <f t="shared" si="427"/>
        <v>1900</v>
      </c>
      <c r="M5662" s="272">
        <f t="shared" si="428"/>
        <v>1</v>
      </c>
      <c r="O5662" s="61">
        <f t="shared" si="429"/>
        <v>1900</v>
      </c>
      <c r="P5662" s="61">
        <f t="shared" si="430"/>
        <v>1</v>
      </c>
      <c r="R5662" s="272"/>
      <c r="S5662" s="272"/>
    </row>
    <row r="5663" spans="9:19">
      <c r="I5663" s="213"/>
      <c r="J5663" s="213"/>
      <c r="L5663" s="272">
        <f t="shared" si="427"/>
        <v>1900</v>
      </c>
      <c r="M5663" s="272">
        <f t="shared" si="428"/>
        <v>1</v>
      </c>
      <c r="O5663" s="61">
        <f t="shared" si="429"/>
        <v>1900</v>
      </c>
      <c r="P5663" s="61">
        <f t="shared" si="430"/>
        <v>1</v>
      </c>
      <c r="R5663" s="272"/>
      <c r="S5663" s="272"/>
    </row>
    <row r="5664" spans="9:19">
      <c r="I5664" s="213"/>
      <c r="J5664" s="213"/>
      <c r="L5664" s="272">
        <f t="shared" si="427"/>
        <v>1900</v>
      </c>
      <c r="M5664" s="272">
        <f t="shared" si="428"/>
        <v>1</v>
      </c>
      <c r="O5664" s="61">
        <f t="shared" si="429"/>
        <v>1900</v>
      </c>
      <c r="P5664" s="61">
        <f t="shared" si="430"/>
        <v>1</v>
      </c>
      <c r="R5664" s="272"/>
      <c r="S5664" s="272"/>
    </row>
    <row r="5665" spans="9:19">
      <c r="I5665" s="213"/>
      <c r="J5665" s="213"/>
      <c r="L5665" s="272">
        <f t="shared" si="427"/>
        <v>1900</v>
      </c>
      <c r="M5665" s="272">
        <f t="shared" si="428"/>
        <v>1</v>
      </c>
      <c r="O5665" s="61">
        <f t="shared" si="429"/>
        <v>1900</v>
      </c>
      <c r="P5665" s="61">
        <f t="shared" si="430"/>
        <v>1</v>
      </c>
      <c r="R5665" s="272"/>
      <c r="S5665" s="272"/>
    </row>
    <row r="5666" spans="9:19">
      <c r="I5666" s="213"/>
      <c r="J5666" s="213"/>
      <c r="L5666" s="272">
        <f t="shared" si="427"/>
        <v>1900</v>
      </c>
      <c r="M5666" s="272">
        <f t="shared" si="428"/>
        <v>1</v>
      </c>
      <c r="O5666" s="61">
        <f t="shared" si="429"/>
        <v>1900</v>
      </c>
      <c r="P5666" s="61">
        <f t="shared" si="430"/>
        <v>1</v>
      </c>
      <c r="R5666" s="272"/>
      <c r="S5666" s="272"/>
    </row>
    <row r="5667" spans="9:19">
      <c r="I5667" s="213"/>
      <c r="J5667" s="213"/>
      <c r="L5667" s="272">
        <f t="shared" si="427"/>
        <v>1900</v>
      </c>
      <c r="M5667" s="272">
        <f t="shared" si="428"/>
        <v>1</v>
      </c>
      <c r="O5667" s="61">
        <f t="shared" si="429"/>
        <v>1900</v>
      </c>
      <c r="P5667" s="61">
        <f t="shared" si="430"/>
        <v>1</v>
      </c>
      <c r="R5667" s="272"/>
      <c r="S5667" s="272"/>
    </row>
    <row r="5668" spans="9:19">
      <c r="I5668" s="213"/>
      <c r="J5668" s="213"/>
      <c r="L5668" s="272">
        <f t="shared" si="427"/>
        <v>1900</v>
      </c>
      <c r="M5668" s="272">
        <f t="shared" si="428"/>
        <v>1</v>
      </c>
      <c r="O5668" s="61">
        <f t="shared" si="429"/>
        <v>1900</v>
      </c>
      <c r="P5668" s="61">
        <f t="shared" si="430"/>
        <v>1</v>
      </c>
      <c r="R5668" s="272"/>
      <c r="S5668" s="272"/>
    </row>
    <row r="5669" spans="9:19">
      <c r="I5669" s="213"/>
      <c r="J5669" s="213"/>
      <c r="L5669" s="272">
        <f t="shared" si="427"/>
        <v>1900</v>
      </c>
      <c r="M5669" s="272">
        <f t="shared" si="428"/>
        <v>1</v>
      </c>
      <c r="O5669" s="61">
        <f t="shared" si="429"/>
        <v>1900</v>
      </c>
      <c r="P5669" s="61">
        <f t="shared" si="430"/>
        <v>1</v>
      </c>
      <c r="R5669" s="272"/>
      <c r="S5669" s="272"/>
    </row>
    <row r="5670" spans="9:19">
      <c r="I5670" s="213"/>
      <c r="J5670" s="213"/>
      <c r="L5670" s="272">
        <f t="shared" si="427"/>
        <v>1900</v>
      </c>
      <c r="M5670" s="272">
        <f t="shared" si="428"/>
        <v>1</v>
      </c>
      <c r="O5670" s="61">
        <f t="shared" si="429"/>
        <v>1900</v>
      </c>
      <c r="P5670" s="61">
        <f t="shared" si="430"/>
        <v>1</v>
      </c>
      <c r="R5670" s="272"/>
      <c r="S5670" s="272"/>
    </row>
    <row r="5671" spans="9:19">
      <c r="I5671" s="213"/>
      <c r="J5671" s="213"/>
      <c r="L5671" s="272">
        <f t="shared" si="427"/>
        <v>1900</v>
      </c>
      <c r="M5671" s="272">
        <f t="shared" si="428"/>
        <v>1</v>
      </c>
      <c r="O5671" s="61">
        <f t="shared" si="429"/>
        <v>1900</v>
      </c>
      <c r="P5671" s="61">
        <f t="shared" si="430"/>
        <v>1</v>
      </c>
      <c r="R5671" s="272"/>
      <c r="S5671" s="272"/>
    </row>
    <row r="5672" spans="9:19">
      <c r="I5672" s="213"/>
      <c r="J5672" s="213"/>
      <c r="L5672" s="272">
        <f t="shared" si="427"/>
        <v>1900</v>
      </c>
      <c r="M5672" s="272">
        <f t="shared" si="428"/>
        <v>1</v>
      </c>
      <c r="O5672" s="61">
        <f t="shared" si="429"/>
        <v>1900</v>
      </c>
      <c r="P5672" s="61">
        <f t="shared" si="430"/>
        <v>1</v>
      </c>
      <c r="R5672" s="272"/>
      <c r="S5672" s="272"/>
    </row>
    <row r="5673" spans="9:19">
      <c r="I5673" s="213"/>
      <c r="J5673" s="213"/>
      <c r="L5673" s="272">
        <f t="shared" si="427"/>
        <v>1900</v>
      </c>
      <c r="M5673" s="272">
        <f t="shared" si="428"/>
        <v>1</v>
      </c>
      <c r="O5673" s="61">
        <f t="shared" si="429"/>
        <v>1900</v>
      </c>
      <c r="P5673" s="61">
        <f t="shared" si="430"/>
        <v>1</v>
      </c>
      <c r="R5673" s="272"/>
      <c r="S5673" s="272"/>
    </row>
    <row r="5674" spans="9:19">
      <c r="I5674" s="213"/>
      <c r="J5674" s="213"/>
      <c r="L5674" s="272">
        <f t="shared" si="427"/>
        <v>1900</v>
      </c>
      <c r="M5674" s="272">
        <f t="shared" si="428"/>
        <v>1</v>
      </c>
      <c r="O5674" s="61">
        <f t="shared" si="429"/>
        <v>1900</v>
      </c>
      <c r="P5674" s="61">
        <f t="shared" si="430"/>
        <v>1</v>
      </c>
      <c r="R5674" s="272"/>
      <c r="S5674" s="272"/>
    </row>
    <row r="5675" spans="9:19">
      <c r="I5675" s="213"/>
      <c r="J5675" s="213"/>
      <c r="L5675" s="272">
        <f t="shared" si="427"/>
        <v>1900</v>
      </c>
      <c r="M5675" s="272">
        <f t="shared" si="428"/>
        <v>1</v>
      </c>
      <c r="O5675" s="61">
        <f t="shared" si="429"/>
        <v>1900</v>
      </c>
      <c r="P5675" s="61">
        <f t="shared" si="430"/>
        <v>1</v>
      </c>
      <c r="R5675" s="272"/>
      <c r="S5675" s="272"/>
    </row>
    <row r="5676" spans="9:19">
      <c r="I5676" s="213"/>
      <c r="J5676" s="213"/>
      <c r="L5676" s="272">
        <f t="shared" si="427"/>
        <v>1900</v>
      </c>
      <c r="M5676" s="272">
        <f t="shared" si="428"/>
        <v>1</v>
      </c>
      <c r="O5676" s="61">
        <f t="shared" si="429"/>
        <v>1900</v>
      </c>
      <c r="P5676" s="61">
        <f t="shared" si="430"/>
        <v>1</v>
      </c>
      <c r="R5676" s="272"/>
      <c r="S5676" s="272"/>
    </row>
    <row r="5677" spans="9:19">
      <c r="I5677" s="213"/>
      <c r="J5677" s="213"/>
      <c r="L5677" s="272">
        <f t="shared" si="427"/>
        <v>1900</v>
      </c>
      <c r="M5677" s="272">
        <f t="shared" si="428"/>
        <v>1</v>
      </c>
      <c r="O5677" s="61">
        <f t="shared" si="429"/>
        <v>1900</v>
      </c>
      <c r="P5677" s="61">
        <f t="shared" si="430"/>
        <v>1</v>
      </c>
      <c r="R5677" s="272"/>
      <c r="S5677" s="272"/>
    </row>
    <row r="5678" spans="9:19">
      <c r="I5678" s="213"/>
      <c r="J5678" s="213"/>
      <c r="L5678" s="272">
        <f t="shared" si="427"/>
        <v>1900</v>
      </c>
      <c r="M5678" s="272">
        <f t="shared" si="428"/>
        <v>1</v>
      </c>
      <c r="O5678" s="61">
        <f t="shared" si="429"/>
        <v>1900</v>
      </c>
      <c r="P5678" s="61">
        <f t="shared" si="430"/>
        <v>1</v>
      </c>
      <c r="R5678" s="272"/>
      <c r="S5678" s="272"/>
    </row>
    <row r="5679" spans="9:19">
      <c r="I5679" s="213"/>
      <c r="J5679" s="213"/>
      <c r="L5679" s="272">
        <f t="shared" si="427"/>
        <v>1900</v>
      </c>
      <c r="M5679" s="272">
        <f t="shared" si="428"/>
        <v>1</v>
      </c>
      <c r="O5679" s="61">
        <f t="shared" si="429"/>
        <v>1900</v>
      </c>
      <c r="P5679" s="61">
        <f t="shared" si="430"/>
        <v>1</v>
      </c>
      <c r="R5679" s="272"/>
      <c r="S5679" s="272"/>
    </row>
    <row r="5680" spans="9:19">
      <c r="I5680" s="213"/>
      <c r="J5680" s="213"/>
      <c r="L5680" s="272">
        <f t="shared" si="427"/>
        <v>1900</v>
      </c>
      <c r="M5680" s="272">
        <f t="shared" si="428"/>
        <v>1</v>
      </c>
      <c r="O5680" s="61">
        <f t="shared" si="429"/>
        <v>1900</v>
      </c>
      <c r="P5680" s="61">
        <f t="shared" si="430"/>
        <v>1</v>
      </c>
      <c r="R5680" s="272"/>
      <c r="S5680" s="272"/>
    </row>
    <row r="5681" spans="9:19">
      <c r="I5681" s="213"/>
      <c r="J5681" s="213"/>
      <c r="L5681" s="272">
        <f t="shared" si="427"/>
        <v>1900</v>
      </c>
      <c r="M5681" s="272">
        <f t="shared" si="428"/>
        <v>1</v>
      </c>
      <c r="O5681" s="61">
        <f t="shared" si="429"/>
        <v>1900</v>
      </c>
      <c r="P5681" s="61">
        <f t="shared" si="430"/>
        <v>1</v>
      </c>
      <c r="R5681" s="272"/>
      <c r="S5681" s="272"/>
    </row>
    <row r="5682" spans="9:19">
      <c r="I5682" s="213"/>
      <c r="J5682" s="213"/>
      <c r="L5682" s="272">
        <f t="shared" si="427"/>
        <v>1900</v>
      </c>
      <c r="M5682" s="272">
        <f t="shared" si="428"/>
        <v>1</v>
      </c>
      <c r="O5682" s="61">
        <f t="shared" si="429"/>
        <v>1900</v>
      </c>
      <c r="P5682" s="61">
        <f t="shared" si="430"/>
        <v>1</v>
      </c>
      <c r="R5682" s="272"/>
      <c r="S5682" s="272"/>
    </row>
    <row r="5683" spans="9:19">
      <c r="I5683" s="213"/>
      <c r="J5683" s="213"/>
      <c r="L5683" s="272">
        <f t="shared" si="427"/>
        <v>1900</v>
      </c>
      <c r="M5683" s="272">
        <f t="shared" si="428"/>
        <v>1</v>
      </c>
      <c r="O5683" s="61">
        <f t="shared" si="429"/>
        <v>1900</v>
      </c>
      <c r="P5683" s="61">
        <f t="shared" si="430"/>
        <v>1</v>
      </c>
      <c r="R5683" s="272"/>
      <c r="S5683" s="272"/>
    </row>
    <row r="5684" spans="9:19">
      <c r="I5684" s="213"/>
      <c r="J5684" s="213"/>
      <c r="L5684" s="272">
        <f t="shared" si="427"/>
        <v>1900</v>
      </c>
      <c r="M5684" s="272">
        <f t="shared" si="428"/>
        <v>1</v>
      </c>
      <c r="O5684" s="61">
        <f t="shared" si="429"/>
        <v>1900</v>
      </c>
      <c r="P5684" s="61">
        <f t="shared" si="430"/>
        <v>1</v>
      </c>
      <c r="R5684" s="272"/>
      <c r="S5684" s="272"/>
    </row>
    <row r="5685" spans="9:19">
      <c r="I5685" s="213"/>
      <c r="J5685" s="213"/>
      <c r="L5685" s="272">
        <f t="shared" si="427"/>
        <v>1900</v>
      </c>
      <c r="M5685" s="272">
        <f t="shared" si="428"/>
        <v>1</v>
      </c>
      <c r="O5685" s="61">
        <f t="shared" si="429"/>
        <v>1900</v>
      </c>
      <c r="P5685" s="61">
        <f t="shared" si="430"/>
        <v>1</v>
      </c>
      <c r="R5685" s="272"/>
      <c r="S5685" s="272"/>
    </row>
    <row r="5686" spans="9:19">
      <c r="I5686" s="213"/>
      <c r="J5686" s="213"/>
      <c r="L5686" s="272">
        <f t="shared" si="427"/>
        <v>1900</v>
      </c>
      <c r="M5686" s="272">
        <f t="shared" si="428"/>
        <v>1</v>
      </c>
      <c r="O5686" s="61">
        <f t="shared" si="429"/>
        <v>1900</v>
      </c>
      <c r="P5686" s="61">
        <f t="shared" si="430"/>
        <v>1</v>
      </c>
      <c r="R5686" s="272"/>
      <c r="S5686" s="272"/>
    </row>
    <row r="5687" spans="9:19">
      <c r="I5687" s="213"/>
      <c r="J5687" s="213"/>
      <c r="L5687" s="272">
        <f t="shared" si="427"/>
        <v>1900</v>
      </c>
      <c r="M5687" s="272">
        <f t="shared" si="428"/>
        <v>1</v>
      </c>
      <c r="O5687" s="61">
        <f t="shared" si="429"/>
        <v>1900</v>
      </c>
      <c r="P5687" s="61">
        <f t="shared" si="430"/>
        <v>1</v>
      </c>
      <c r="R5687" s="272"/>
      <c r="S5687" s="272"/>
    </row>
    <row r="5688" spans="9:19">
      <c r="I5688" s="213"/>
      <c r="J5688" s="213"/>
      <c r="L5688" s="272">
        <f t="shared" si="427"/>
        <v>1900</v>
      </c>
      <c r="M5688" s="272">
        <f t="shared" si="428"/>
        <v>1</v>
      </c>
      <c r="O5688" s="61">
        <f t="shared" si="429"/>
        <v>1900</v>
      </c>
      <c r="P5688" s="61">
        <f t="shared" si="430"/>
        <v>1</v>
      </c>
      <c r="R5688" s="272"/>
      <c r="S5688" s="272"/>
    </row>
    <row r="5689" spans="9:19">
      <c r="I5689" s="213"/>
      <c r="J5689" s="213"/>
      <c r="L5689" s="272">
        <f t="shared" si="427"/>
        <v>1900</v>
      </c>
      <c r="M5689" s="272">
        <f t="shared" si="428"/>
        <v>1</v>
      </c>
      <c r="O5689" s="61">
        <f t="shared" si="429"/>
        <v>1900</v>
      </c>
      <c r="P5689" s="61">
        <f t="shared" si="430"/>
        <v>1</v>
      </c>
      <c r="R5689" s="272"/>
      <c r="S5689" s="272"/>
    </row>
    <row r="5690" spans="9:19">
      <c r="I5690" s="213"/>
      <c r="J5690" s="213"/>
      <c r="L5690" s="272">
        <f t="shared" si="427"/>
        <v>1900</v>
      </c>
      <c r="M5690" s="272">
        <f t="shared" si="428"/>
        <v>1</v>
      </c>
      <c r="O5690" s="61">
        <f t="shared" si="429"/>
        <v>1900</v>
      </c>
      <c r="P5690" s="61">
        <f t="shared" si="430"/>
        <v>1</v>
      </c>
      <c r="R5690" s="272"/>
      <c r="S5690" s="272"/>
    </row>
    <row r="5691" spans="9:19">
      <c r="I5691" s="213"/>
      <c r="J5691" s="213"/>
      <c r="L5691" s="272">
        <f t="shared" si="427"/>
        <v>1900</v>
      </c>
      <c r="M5691" s="272">
        <f t="shared" si="428"/>
        <v>1</v>
      </c>
      <c r="O5691" s="61">
        <f t="shared" si="429"/>
        <v>1900</v>
      </c>
      <c r="P5691" s="61">
        <f t="shared" si="430"/>
        <v>1</v>
      </c>
      <c r="R5691" s="272"/>
      <c r="S5691" s="272"/>
    </row>
    <row r="5692" spans="9:19">
      <c r="I5692" s="213"/>
      <c r="J5692" s="213"/>
      <c r="L5692" s="272">
        <f t="shared" si="427"/>
        <v>1900</v>
      </c>
      <c r="M5692" s="272">
        <f t="shared" si="428"/>
        <v>1</v>
      </c>
      <c r="O5692" s="61">
        <f t="shared" si="429"/>
        <v>1900</v>
      </c>
      <c r="P5692" s="61">
        <f t="shared" si="430"/>
        <v>1</v>
      </c>
      <c r="R5692" s="272"/>
      <c r="S5692" s="272"/>
    </row>
    <row r="5693" spans="9:19">
      <c r="I5693" s="213"/>
      <c r="J5693" s="213"/>
      <c r="L5693" s="272">
        <f t="shared" si="427"/>
        <v>1900</v>
      </c>
      <c r="M5693" s="272">
        <f t="shared" si="428"/>
        <v>1</v>
      </c>
      <c r="O5693" s="61">
        <f t="shared" si="429"/>
        <v>1900</v>
      </c>
      <c r="P5693" s="61">
        <f t="shared" si="430"/>
        <v>1</v>
      </c>
      <c r="R5693" s="272"/>
      <c r="S5693" s="272"/>
    </row>
    <row r="5694" spans="9:19">
      <c r="I5694" s="213"/>
      <c r="J5694" s="213"/>
      <c r="L5694" s="272">
        <f t="shared" si="427"/>
        <v>1900</v>
      </c>
      <c r="M5694" s="272">
        <f t="shared" si="428"/>
        <v>1</v>
      </c>
      <c r="O5694" s="61">
        <f t="shared" si="429"/>
        <v>1900</v>
      </c>
      <c r="P5694" s="61">
        <f t="shared" si="430"/>
        <v>1</v>
      </c>
      <c r="R5694" s="272"/>
      <c r="S5694" s="272"/>
    </row>
    <row r="5695" spans="9:19">
      <c r="I5695" s="213"/>
      <c r="J5695" s="213"/>
      <c r="L5695" s="272">
        <f t="shared" si="427"/>
        <v>1900</v>
      </c>
      <c r="M5695" s="272">
        <f t="shared" si="428"/>
        <v>1</v>
      </c>
      <c r="O5695" s="61">
        <f t="shared" si="429"/>
        <v>1900</v>
      </c>
      <c r="P5695" s="61">
        <f t="shared" si="430"/>
        <v>1</v>
      </c>
      <c r="R5695" s="272"/>
      <c r="S5695" s="272"/>
    </row>
    <row r="5696" spans="9:19">
      <c r="I5696" s="213"/>
      <c r="J5696" s="213"/>
      <c r="L5696" s="272">
        <f t="shared" si="427"/>
        <v>1900</v>
      </c>
      <c r="M5696" s="272">
        <f t="shared" si="428"/>
        <v>1</v>
      </c>
      <c r="O5696" s="61">
        <f t="shared" si="429"/>
        <v>1900</v>
      </c>
      <c r="P5696" s="61">
        <f t="shared" si="430"/>
        <v>1</v>
      </c>
      <c r="R5696" s="272"/>
      <c r="S5696" s="272"/>
    </row>
    <row r="5697" spans="9:19">
      <c r="I5697" s="213"/>
      <c r="J5697" s="213"/>
      <c r="L5697" s="272">
        <f t="shared" si="427"/>
        <v>1900</v>
      </c>
      <c r="M5697" s="272">
        <f t="shared" si="428"/>
        <v>1</v>
      </c>
      <c r="O5697" s="61">
        <f t="shared" si="429"/>
        <v>1900</v>
      </c>
      <c r="P5697" s="61">
        <f t="shared" si="430"/>
        <v>1</v>
      </c>
      <c r="R5697" s="272"/>
      <c r="S5697" s="272"/>
    </row>
    <row r="5698" spans="9:19">
      <c r="I5698" s="213"/>
      <c r="J5698" s="213"/>
      <c r="L5698" s="272">
        <f t="shared" si="427"/>
        <v>1900</v>
      </c>
      <c r="M5698" s="272">
        <f t="shared" si="428"/>
        <v>1</v>
      </c>
      <c r="O5698" s="61">
        <f t="shared" si="429"/>
        <v>1900</v>
      </c>
      <c r="P5698" s="61">
        <f t="shared" si="430"/>
        <v>1</v>
      </c>
      <c r="R5698" s="272"/>
      <c r="S5698" s="272"/>
    </row>
    <row r="5699" spans="9:19">
      <c r="I5699" s="213"/>
      <c r="J5699" s="213"/>
      <c r="L5699" s="272">
        <f t="shared" si="427"/>
        <v>1900</v>
      </c>
      <c r="M5699" s="272">
        <f t="shared" si="428"/>
        <v>1</v>
      </c>
      <c r="O5699" s="61">
        <f t="shared" si="429"/>
        <v>1900</v>
      </c>
      <c r="P5699" s="61">
        <f t="shared" si="430"/>
        <v>1</v>
      </c>
      <c r="R5699" s="272"/>
      <c r="S5699" s="272"/>
    </row>
    <row r="5700" spans="9:19">
      <c r="I5700" s="213"/>
      <c r="J5700" s="213"/>
      <c r="L5700" s="272">
        <f t="shared" si="427"/>
        <v>1900</v>
      </c>
      <c r="M5700" s="272">
        <f t="shared" si="428"/>
        <v>1</v>
      </c>
      <c r="O5700" s="61">
        <f t="shared" si="429"/>
        <v>1900</v>
      </c>
      <c r="P5700" s="61">
        <f t="shared" si="430"/>
        <v>1</v>
      </c>
      <c r="R5700" s="272"/>
      <c r="S5700" s="272"/>
    </row>
    <row r="5701" spans="9:19">
      <c r="I5701" s="213"/>
      <c r="J5701" s="213"/>
      <c r="L5701" s="272">
        <f t="shared" si="427"/>
        <v>1900</v>
      </c>
      <c r="M5701" s="272">
        <f t="shared" si="428"/>
        <v>1</v>
      </c>
      <c r="O5701" s="61">
        <f t="shared" si="429"/>
        <v>1900</v>
      </c>
      <c r="P5701" s="61">
        <f t="shared" si="430"/>
        <v>1</v>
      </c>
      <c r="R5701" s="272"/>
      <c r="S5701" s="272"/>
    </row>
    <row r="5702" spans="9:19">
      <c r="I5702" s="213"/>
      <c r="J5702" s="213"/>
      <c r="L5702" s="272">
        <f t="shared" si="427"/>
        <v>1900</v>
      </c>
      <c r="M5702" s="272">
        <f t="shared" si="428"/>
        <v>1</v>
      </c>
      <c r="O5702" s="61">
        <f t="shared" si="429"/>
        <v>1900</v>
      </c>
      <c r="P5702" s="61">
        <f t="shared" si="430"/>
        <v>1</v>
      </c>
      <c r="R5702" s="272"/>
      <c r="S5702" s="272"/>
    </row>
    <row r="5703" spans="9:19">
      <c r="I5703" s="213"/>
      <c r="J5703" s="213"/>
      <c r="L5703" s="272">
        <f t="shared" si="427"/>
        <v>1900</v>
      </c>
      <c r="M5703" s="272">
        <f t="shared" si="428"/>
        <v>1</v>
      </c>
      <c r="O5703" s="61">
        <f t="shared" si="429"/>
        <v>1900</v>
      </c>
      <c r="P5703" s="61">
        <f t="shared" si="430"/>
        <v>1</v>
      </c>
      <c r="R5703" s="272"/>
      <c r="S5703" s="272"/>
    </row>
    <row r="5704" spans="9:19">
      <c r="I5704" s="213"/>
      <c r="J5704" s="213"/>
      <c r="L5704" s="272">
        <f t="shared" si="427"/>
        <v>1900</v>
      </c>
      <c r="M5704" s="272">
        <f t="shared" si="428"/>
        <v>1</v>
      </c>
      <c r="O5704" s="61">
        <f t="shared" si="429"/>
        <v>1900</v>
      </c>
      <c r="P5704" s="61">
        <f t="shared" si="430"/>
        <v>1</v>
      </c>
      <c r="R5704" s="272"/>
      <c r="S5704" s="272"/>
    </row>
    <row r="5705" spans="9:19">
      <c r="I5705" s="213"/>
      <c r="J5705" s="213"/>
      <c r="L5705" s="272">
        <f t="shared" si="427"/>
        <v>1900</v>
      </c>
      <c r="M5705" s="272">
        <f t="shared" si="428"/>
        <v>1</v>
      </c>
      <c r="O5705" s="61">
        <f t="shared" si="429"/>
        <v>1900</v>
      </c>
      <c r="P5705" s="61">
        <f t="shared" si="430"/>
        <v>1</v>
      </c>
      <c r="R5705" s="272"/>
      <c r="S5705" s="272"/>
    </row>
    <row r="5706" spans="9:19">
      <c r="I5706" s="213"/>
      <c r="J5706" s="213"/>
      <c r="L5706" s="272">
        <f t="shared" si="427"/>
        <v>1900</v>
      </c>
      <c r="M5706" s="272">
        <f t="shared" si="428"/>
        <v>1</v>
      </c>
      <c r="O5706" s="61">
        <f t="shared" si="429"/>
        <v>1900</v>
      </c>
      <c r="P5706" s="61">
        <f t="shared" si="430"/>
        <v>1</v>
      </c>
      <c r="R5706" s="272"/>
      <c r="S5706" s="272"/>
    </row>
    <row r="5707" spans="9:19">
      <c r="I5707" s="213"/>
      <c r="J5707" s="213"/>
      <c r="L5707" s="272">
        <f t="shared" si="427"/>
        <v>1900</v>
      </c>
      <c r="M5707" s="272">
        <f t="shared" si="428"/>
        <v>1</v>
      </c>
      <c r="O5707" s="61">
        <f t="shared" si="429"/>
        <v>1900</v>
      </c>
      <c r="P5707" s="61">
        <f t="shared" si="430"/>
        <v>1</v>
      </c>
      <c r="R5707" s="272"/>
      <c r="S5707" s="272"/>
    </row>
    <row r="5708" spans="9:19">
      <c r="I5708" s="213"/>
      <c r="J5708" s="213"/>
      <c r="L5708" s="272">
        <f t="shared" si="427"/>
        <v>1900</v>
      </c>
      <c r="M5708" s="272">
        <f t="shared" si="428"/>
        <v>1</v>
      </c>
      <c r="O5708" s="61">
        <f t="shared" si="429"/>
        <v>1900</v>
      </c>
      <c r="P5708" s="61">
        <f t="shared" si="430"/>
        <v>1</v>
      </c>
      <c r="R5708" s="272"/>
      <c r="S5708" s="272"/>
    </row>
    <row r="5709" spans="9:19">
      <c r="I5709" s="213"/>
      <c r="J5709" s="213"/>
      <c r="L5709" s="272">
        <f t="shared" si="427"/>
        <v>1900</v>
      </c>
      <c r="M5709" s="272">
        <f t="shared" si="428"/>
        <v>1</v>
      </c>
      <c r="O5709" s="61">
        <f t="shared" si="429"/>
        <v>1900</v>
      </c>
      <c r="P5709" s="61">
        <f t="shared" si="430"/>
        <v>1</v>
      </c>
      <c r="R5709" s="272"/>
      <c r="S5709" s="272"/>
    </row>
    <row r="5710" spans="9:19">
      <c r="I5710" s="213"/>
      <c r="J5710" s="213"/>
      <c r="L5710" s="272">
        <f t="shared" si="427"/>
        <v>1900</v>
      </c>
      <c r="M5710" s="272">
        <f t="shared" si="428"/>
        <v>1</v>
      </c>
      <c r="O5710" s="61">
        <f t="shared" si="429"/>
        <v>1900</v>
      </c>
      <c r="P5710" s="61">
        <f t="shared" si="430"/>
        <v>1</v>
      </c>
      <c r="R5710" s="272"/>
      <c r="S5710" s="272"/>
    </row>
    <row r="5711" spans="9:19">
      <c r="I5711" s="213"/>
      <c r="J5711" s="213"/>
      <c r="L5711" s="272">
        <f t="shared" si="427"/>
        <v>1900</v>
      </c>
      <c r="M5711" s="272">
        <f t="shared" si="428"/>
        <v>1</v>
      </c>
      <c r="O5711" s="61">
        <f t="shared" si="429"/>
        <v>1900</v>
      </c>
      <c r="P5711" s="61">
        <f t="shared" si="430"/>
        <v>1</v>
      </c>
      <c r="R5711" s="272"/>
      <c r="S5711" s="272"/>
    </row>
    <row r="5712" spans="9:19">
      <c r="I5712" s="213"/>
      <c r="J5712" s="213"/>
      <c r="L5712" s="272">
        <f t="shared" ref="L5712:L5775" si="431">YEAR(B5712)</f>
        <v>1900</v>
      </c>
      <c r="M5712" s="272">
        <f t="shared" ref="M5712:M5775" si="432">MONTH(B5712)</f>
        <v>1</v>
      </c>
      <c r="O5712" s="61">
        <f t="shared" ref="O5712:O5775" si="433">YEAR(B5712)</f>
        <v>1900</v>
      </c>
      <c r="P5712" s="61">
        <f t="shared" ref="P5712:P5775" si="434">MONTH(B5712)</f>
        <v>1</v>
      </c>
      <c r="R5712" s="272"/>
      <c r="S5712" s="272"/>
    </row>
    <row r="5713" spans="9:19">
      <c r="I5713" s="213"/>
      <c r="J5713" s="213"/>
      <c r="L5713" s="272">
        <f t="shared" si="431"/>
        <v>1900</v>
      </c>
      <c r="M5713" s="272">
        <f t="shared" si="432"/>
        <v>1</v>
      </c>
      <c r="O5713" s="61">
        <f t="shared" si="433"/>
        <v>1900</v>
      </c>
      <c r="P5713" s="61">
        <f t="shared" si="434"/>
        <v>1</v>
      </c>
      <c r="R5713" s="272"/>
      <c r="S5713" s="272"/>
    </row>
    <row r="5714" spans="9:19">
      <c r="I5714" s="213"/>
      <c r="J5714" s="213"/>
      <c r="L5714" s="272">
        <f t="shared" si="431"/>
        <v>1900</v>
      </c>
      <c r="M5714" s="272">
        <f t="shared" si="432"/>
        <v>1</v>
      </c>
      <c r="O5714" s="61">
        <f t="shared" si="433"/>
        <v>1900</v>
      </c>
      <c r="P5714" s="61">
        <f t="shared" si="434"/>
        <v>1</v>
      </c>
      <c r="R5714" s="272"/>
      <c r="S5714" s="272"/>
    </row>
    <row r="5715" spans="9:19">
      <c r="I5715" s="213"/>
      <c r="J5715" s="213"/>
      <c r="L5715" s="272">
        <f t="shared" si="431"/>
        <v>1900</v>
      </c>
      <c r="M5715" s="272">
        <f t="shared" si="432"/>
        <v>1</v>
      </c>
      <c r="O5715" s="61">
        <f t="shared" si="433"/>
        <v>1900</v>
      </c>
      <c r="P5715" s="61">
        <f t="shared" si="434"/>
        <v>1</v>
      </c>
      <c r="R5715" s="272"/>
      <c r="S5715" s="272"/>
    </row>
    <row r="5716" spans="9:19">
      <c r="I5716" s="213"/>
      <c r="J5716" s="213"/>
      <c r="L5716" s="272">
        <f t="shared" si="431"/>
        <v>1900</v>
      </c>
      <c r="M5716" s="272">
        <f t="shared" si="432"/>
        <v>1</v>
      </c>
      <c r="O5716" s="61">
        <f t="shared" si="433"/>
        <v>1900</v>
      </c>
      <c r="P5716" s="61">
        <f t="shared" si="434"/>
        <v>1</v>
      </c>
      <c r="R5716" s="272"/>
      <c r="S5716" s="272"/>
    </row>
    <row r="5717" spans="9:19">
      <c r="I5717" s="213"/>
      <c r="J5717" s="213"/>
      <c r="L5717" s="272">
        <f t="shared" si="431"/>
        <v>1900</v>
      </c>
      <c r="M5717" s="272">
        <f t="shared" si="432"/>
        <v>1</v>
      </c>
      <c r="O5717" s="61">
        <f t="shared" si="433"/>
        <v>1900</v>
      </c>
      <c r="P5717" s="61">
        <f t="shared" si="434"/>
        <v>1</v>
      </c>
      <c r="R5717" s="272"/>
      <c r="S5717" s="272"/>
    </row>
    <row r="5718" spans="9:19">
      <c r="I5718" s="213"/>
      <c r="J5718" s="213"/>
      <c r="L5718" s="272">
        <f t="shared" si="431"/>
        <v>1900</v>
      </c>
      <c r="M5718" s="272">
        <f t="shared" si="432"/>
        <v>1</v>
      </c>
      <c r="O5718" s="61">
        <f t="shared" si="433"/>
        <v>1900</v>
      </c>
      <c r="P5718" s="61">
        <f t="shared" si="434"/>
        <v>1</v>
      </c>
      <c r="R5718" s="272"/>
      <c r="S5718" s="272"/>
    </row>
    <row r="5719" spans="9:19">
      <c r="I5719" s="213"/>
      <c r="J5719" s="213"/>
      <c r="L5719" s="272">
        <f t="shared" si="431"/>
        <v>1900</v>
      </c>
      <c r="M5719" s="272">
        <f t="shared" si="432"/>
        <v>1</v>
      </c>
      <c r="O5719" s="61">
        <f t="shared" si="433"/>
        <v>1900</v>
      </c>
      <c r="P5719" s="61">
        <f t="shared" si="434"/>
        <v>1</v>
      </c>
      <c r="R5719" s="272"/>
      <c r="S5719" s="272"/>
    </row>
    <row r="5720" spans="9:19">
      <c r="I5720" s="213"/>
      <c r="J5720" s="213"/>
      <c r="L5720" s="272">
        <f t="shared" si="431"/>
        <v>1900</v>
      </c>
      <c r="M5720" s="272">
        <f t="shared" si="432"/>
        <v>1</v>
      </c>
      <c r="O5720" s="61">
        <f t="shared" si="433"/>
        <v>1900</v>
      </c>
      <c r="P5720" s="61">
        <f t="shared" si="434"/>
        <v>1</v>
      </c>
      <c r="R5720" s="272"/>
      <c r="S5720" s="272"/>
    </row>
    <row r="5721" spans="9:19">
      <c r="I5721" s="213"/>
      <c r="J5721" s="213"/>
      <c r="L5721" s="272">
        <f t="shared" si="431"/>
        <v>1900</v>
      </c>
      <c r="M5721" s="272">
        <f t="shared" si="432"/>
        <v>1</v>
      </c>
      <c r="O5721" s="61">
        <f t="shared" si="433"/>
        <v>1900</v>
      </c>
      <c r="P5721" s="61">
        <f t="shared" si="434"/>
        <v>1</v>
      </c>
      <c r="R5721" s="272"/>
      <c r="S5721" s="272"/>
    </row>
    <row r="5722" spans="9:19">
      <c r="I5722" s="213"/>
      <c r="J5722" s="213"/>
      <c r="L5722" s="272">
        <f t="shared" si="431"/>
        <v>1900</v>
      </c>
      <c r="M5722" s="272">
        <f t="shared" si="432"/>
        <v>1</v>
      </c>
      <c r="O5722" s="61">
        <f t="shared" si="433"/>
        <v>1900</v>
      </c>
      <c r="P5722" s="61">
        <f t="shared" si="434"/>
        <v>1</v>
      </c>
      <c r="R5722" s="272"/>
      <c r="S5722" s="272"/>
    </row>
    <row r="5723" spans="9:19">
      <c r="I5723" s="213"/>
      <c r="J5723" s="213"/>
      <c r="L5723" s="272">
        <f t="shared" si="431"/>
        <v>1900</v>
      </c>
      <c r="M5723" s="272">
        <f t="shared" si="432"/>
        <v>1</v>
      </c>
      <c r="O5723" s="61">
        <f t="shared" si="433"/>
        <v>1900</v>
      </c>
      <c r="P5723" s="61">
        <f t="shared" si="434"/>
        <v>1</v>
      </c>
      <c r="R5723" s="272"/>
      <c r="S5723" s="272"/>
    </row>
    <row r="5724" spans="9:19">
      <c r="I5724" s="213"/>
      <c r="J5724" s="213"/>
      <c r="L5724" s="272">
        <f t="shared" si="431"/>
        <v>1900</v>
      </c>
      <c r="M5724" s="272">
        <f t="shared" si="432"/>
        <v>1</v>
      </c>
      <c r="O5724" s="61">
        <f t="shared" si="433"/>
        <v>1900</v>
      </c>
      <c r="P5724" s="61">
        <f t="shared" si="434"/>
        <v>1</v>
      </c>
      <c r="R5724" s="272"/>
      <c r="S5724" s="272"/>
    </row>
    <row r="5725" spans="9:19">
      <c r="I5725" s="213"/>
      <c r="J5725" s="213"/>
      <c r="L5725" s="272">
        <f t="shared" si="431"/>
        <v>1900</v>
      </c>
      <c r="M5725" s="272">
        <f t="shared" si="432"/>
        <v>1</v>
      </c>
      <c r="O5725" s="61">
        <f t="shared" si="433"/>
        <v>1900</v>
      </c>
      <c r="P5725" s="61">
        <f t="shared" si="434"/>
        <v>1</v>
      </c>
      <c r="R5725" s="272"/>
      <c r="S5725" s="272"/>
    </row>
    <row r="5726" spans="9:19">
      <c r="I5726" s="213"/>
      <c r="J5726" s="213"/>
      <c r="L5726" s="272">
        <f t="shared" si="431"/>
        <v>1900</v>
      </c>
      <c r="M5726" s="272">
        <f t="shared" si="432"/>
        <v>1</v>
      </c>
      <c r="O5726" s="61">
        <f t="shared" si="433"/>
        <v>1900</v>
      </c>
      <c r="P5726" s="61">
        <f t="shared" si="434"/>
        <v>1</v>
      </c>
      <c r="R5726" s="272"/>
      <c r="S5726" s="272"/>
    </row>
    <row r="5727" spans="9:19">
      <c r="I5727" s="213"/>
      <c r="J5727" s="213"/>
      <c r="L5727" s="272">
        <f t="shared" si="431"/>
        <v>1900</v>
      </c>
      <c r="M5727" s="272">
        <f t="shared" si="432"/>
        <v>1</v>
      </c>
      <c r="O5727" s="61">
        <f t="shared" si="433"/>
        <v>1900</v>
      </c>
      <c r="P5727" s="61">
        <f t="shared" si="434"/>
        <v>1</v>
      </c>
      <c r="R5727" s="272"/>
      <c r="S5727" s="272"/>
    </row>
    <row r="5728" spans="9:19">
      <c r="I5728" s="213"/>
      <c r="J5728" s="213"/>
      <c r="L5728" s="272">
        <f t="shared" si="431"/>
        <v>1900</v>
      </c>
      <c r="M5728" s="272">
        <f t="shared" si="432"/>
        <v>1</v>
      </c>
      <c r="O5728" s="61">
        <f t="shared" si="433"/>
        <v>1900</v>
      </c>
      <c r="P5728" s="61">
        <f t="shared" si="434"/>
        <v>1</v>
      </c>
      <c r="R5728" s="272"/>
      <c r="S5728" s="272"/>
    </row>
    <row r="5729" spans="9:19">
      <c r="I5729" s="213"/>
      <c r="J5729" s="213"/>
      <c r="L5729" s="272">
        <f t="shared" si="431"/>
        <v>1900</v>
      </c>
      <c r="M5729" s="272">
        <f t="shared" si="432"/>
        <v>1</v>
      </c>
      <c r="O5729" s="61">
        <f t="shared" si="433"/>
        <v>1900</v>
      </c>
      <c r="P5729" s="61">
        <f t="shared" si="434"/>
        <v>1</v>
      </c>
      <c r="R5729" s="272"/>
      <c r="S5729" s="272"/>
    </row>
    <row r="5730" spans="9:19">
      <c r="I5730" s="213"/>
      <c r="J5730" s="213"/>
      <c r="L5730" s="272">
        <f t="shared" si="431"/>
        <v>1900</v>
      </c>
      <c r="M5730" s="272">
        <f t="shared" si="432"/>
        <v>1</v>
      </c>
      <c r="O5730" s="61">
        <f t="shared" si="433"/>
        <v>1900</v>
      </c>
      <c r="P5730" s="61">
        <f t="shared" si="434"/>
        <v>1</v>
      </c>
      <c r="R5730" s="272"/>
      <c r="S5730" s="272"/>
    </row>
    <row r="5731" spans="9:19">
      <c r="I5731" s="213"/>
      <c r="J5731" s="213"/>
      <c r="L5731" s="272">
        <f t="shared" si="431"/>
        <v>1900</v>
      </c>
      <c r="M5731" s="272">
        <f t="shared" si="432"/>
        <v>1</v>
      </c>
      <c r="O5731" s="61">
        <f t="shared" si="433"/>
        <v>1900</v>
      </c>
      <c r="P5731" s="61">
        <f t="shared" si="434"/>
        <v>1</v>
      </c>
      <c r="R5731" s="272"/>
      <c r="S5731" s="272"/>
    </row>
    <row r="5732" spans="9:19">
      <c r="I5732" s="213"/>
      <c r="J5732" s="213"/>
      <c r="L5732" s="272">
        <f t="shared" si="431"/>
        <v>1900</v>
      </c>
      <c r="M5732" s="272">
        <f t="shared" si="432"/>
        <v>1</v>
      </c>
      <c r="O5732" s="61">
        <f t="shared" si="433"/>
        <v>1900</v>
      </c>
      <c r="P5732" s="61">
        <f t="shared" si="434"/>
        <v>1</v>
      </c>
      <c r="R5732" s="272"/>
      <c r="S5732" s="272"/>
    </row>
    <row r="5733" spans="9:19">
      <c r="I5733" s="213"/>
      <c r="J5733" s="213"/>
      <c r="L5733" s="272">
        <f t="shared" si="431"/>
        <v>1900</v>
      </c>
      <c r="M5733" s="272">
        <f t="shared" si="432"/>
        <v>1</v>
      </c>
      <c r="O5733" s="61">
        <f t="shared" si="433"/>
        <v>1900</v>
      </c>
      <c r="P5733" s="61">
        <f t="shared" si="434"/>
        <v>1</v>
      </c>
      <c r="R5733" s="272"/>
      <c r="S5733" s="272"/>
    </row>
    <row r="5734" spans="9:19">
      <c r="I5734" s="213"/>
      <c r="J5734" s="213"/>
      <c r="L5734" s="272">
        <f t="shared" si="431"/>
        <v>1900</v>
      </c>
      <c r="M5734" s="272">
        <f t="shared" si="432"/>
        <v>1</v>
      </c>
      <c r="O5734" s="61">
        <f t="shared" si="433"/>
        <v>1900</v>
      </c>
      <c r="P5734" s="61">
        <f t="shared" si="434"/>
        <v>1</v>
      </c>
      <c r="R5734" s="272"/>
      <c r="S5734" s="272"/>
    </row>
    <row r="5735" spans="9:19">
      <c r="I5735" s="213"/>
      <c r="J5735" s="213"/>
      <c r="L5735" s="272">
        <f t="shared" si="431"/>
        <v>1900</v>
      </c>
      <c r="M5735" s="272">
        <f t="shared" si="432"/>
        <v>1</v>
      </c>
      <c r="O5735" s="61">
        <f t="shared" si="433"/>
        <v>1900</v>
      </c>
      <c r="P5735" s="61">
        <f t="shared" si="434"/>
        <v>1</v>
      </c>
      <c r="R5735" s="272"/>
      <c r="S5735" s="272"/>
    </row>
    <row r="5736" spans="9:19">
      <c r="I5736" s="213"/>
      <c r="J5736" s="213"/>
      <c r="L5736" s="272">
        <f t="shared" si="431"/>
        <v>1900</v>
      </c>
      <c r="M5736" s="272">
        <f t="shared" si="432"/>
        <v>1</v>
      </c>
      <c r="O5736" s="61">
        <f t="shared" si="433"/>
        <v>1900</v>
      </c>
      <c r="P5736" s="61">
        <f t="shared" si="434"/>
        <v>1</v>
      </c>
      <c r="R5736" s="272"/>
      <c r="S5736" s="272"/>
    </row>
    <row r="5737" spans="9:19">
      <c r="I5737" s="213"/>
      <c r="J5737" s="213"/>
      <c r="L5737" s="272">
        <f t="shared" si="431"/>
        <v>1900</v>
      </c>
      <c r="M5737" s="272">
        <f t="shared" si="432"/>
        <v>1</v>
      </c>
      <c r="O5737" s="61">
        <f t="shared" si="433"/>
        <v>1900</v>
      </c>
      <c r="P5737" s="61">
        <f t="shared" si="434"/>
        <v>1</v>
      </c>
      <c r="R5737" s="272"/>
      <c r="S5737" s="272"/>
    </row>
    <row r="5738" spans="9:19">
      <c r="I5738" s="213"/>
      <c r="J5738" s="213"/>
      <c r="L5738" s="272">
        <f t="shared" si="431"/>
        <v>1900</v>
      </c>
      <c r="M5738" s="272">
        <f t="shared" si="432"/>
        <v>1</v>
      </c>
      <c r="O5738" s="61">
        <f t="shared" si="433"/>
        <v>1900</v>
      </c>
      <c r="P5738" s="61">
        <f t="shared" si="434"/>
        <v>1</v>
      </c>
      <c r="R5738" s="272"/>
      <c r="S5738" s="272"/>
    </row>
    <row r="5739" spans="9:19">
      <c r="I5739" s="213"/>
      <c r="J5739" s="213"/>
      <c r="L5739" s="272">
        <f t="shared" si="431"/>
        <v>1900</v>
      </c>
      <c r="M5739" s="272">
        <f t="shared" si="432"/>
        <v>1</v>
      </c>
      <c r="O5739" s="61">
        <f t="shared" si="433"/>
        <v>1900</v>
      </c>
      <c r="P5739" s="61">
        <f t="shared" si="434"/>
        <v>1</v>
      </c>
      <c r="R5739" s="272"/>
      <c r="S5739" s="272"/>
    </row>
    <row r="5740" spans="9:19">
      <c r="I5740" s="213"/>
      <c r="J5740" s="213"/>
      <c r="L5740" s="272">
        <f t="shared" si="431"/>
        <v>1900</v>
      </c>
      <c r="M5740" s="272">
        <f t="shared" si="432"/>
        <v>1</v>
      </c>
      <c r="O5740" s="61">
        <f t="shared" si="433"/>
        <v>1900</v>
      </c>
      <c r="P5740" s="61">
        <f t="shared" si="434"/>
        <v>1</v>
      </c>
      <c r="R5740" s="272"/>
      <c r="S5740" s="272"/>
    </row>
    <row r="5741" spans="9:19">
      <c r="I5741" s="213"/>
      <c r="J5741" s="213"/>
      <c r="L5741" s="272">
        <f t="shared" si="431"/>
        <v>1900</v>
      </c>
      <c r="M5741" s="272">
        <f t="shared" si="432"/>
        <v>1</v>
      </c>
      <c r="O5741" s="61">
        <f t="shared" si="433"/>
        <v>1900</v>
      </c>
      <c r="P5741" s="61">
        <f t="shared" si="434"/>
        <v>1</v>
      </c>
      <c r="R5741" s="272"/>
      <c r="S5741" s="272"/>
    </row>
    <row r="5742" spans="9:19">
      <c r="I5742" s="213"/>
      <c r="J5742" s="213"/>
      <c r="L5742" s="272">
        <f t="shared" si="431"/>
        <v>1900</v>
      </c>
      <c r="M5742" s="272">
        <f t="shared" si="432"/>
        <v>1</v>
      </c>
      <c r="O5742" s="61">
        <f t="shared" si="433"/>
        <v>1900</v>
      </c>
      <c r="P5742" s="61">
        <f t="shared" si="434"/>
        <v>1</v>
      </c>
      <c r="R5742" s="272"/>
      <c r="S5742" s="272"/>
    </row>
    <row r="5743" spans="9:19">
      <c r="I5743" s="213"/>
      <c r="J5743" s="213"/>
      <c r="L5743" s="272">
        <f t="shared" si="431"/>
        <v>1900</v>
      </c>
      <c r="M5743" s="272">
        <f t="shared" si="432"/>
        <v>1</v>
      </c>
      <c r="O5743" s="61">
        <f t="shared" si="433"/>
        <v>1900</v>
      </c>
      <c r="P5743" s="61">
        <f t="shared" si="434"/>
        <v>1</v>
      </c>
      <c r="R5743" s="272"/>
      <c r="S5743" s="272"/>
    </row>
    <row r="5744" spans="9:19">
      <c r="I5744" s="213"/>
      <c r="J5744" s="213"/>
      <c r="L5744" s="272">
        <f t="shared" si="431"/>
        <v>1900</v>
      </c>
      <c r="M5744" s="272">
        <f t="shared" si="432"/>
        <v>1</v>
      </c>
      <c r="O5744" s="61">
        <f t="shared" si="433"/>
        <v>1900</v>
      </c>
      <c r="P5744" s="61">
        <f t="shared" si="434"/>
        <v>1</v>
      </c>
      <c r="R5744" s="272"/>
      <c r="S5744" s="272"/>
    </row>
    <row r="5745" spans="9:19">
      <c r="I5745" s="213"/>
      <c r="J5745" s="213"/>
      <c r="L5745" s="272">
        <f t="shared" si="431"/>
        <v>1900</v>
      </c>
      <c r="M5745" s="272">
        <f t="shared" si="432"/>
        <v>1</v>
      </c>
      <c r="O5745" s="61">
        <f t="shared" si="433"/>
        <v>1900</v>
      </c>
      <c r="P5745" s="61">
        <f t="shared" si="434"/>
        <v>1</v>
      </c>
      <c r="R5745" s="272"/>
      <c r="S5745" s="272"/>
    </row>
    <row r="5746" spans="9:19">
      <c r="I5746" s="213"/>
      <c r="J5746" s="213"/>
      <c r="L5746" s="272">
        <f t="shared" si="431"/>
        <v>1900</v>
      </c>
      <c r="M5746" s="272">
        <f t="shared" si="432"/>
        <v>1</v>
      </c>
      <c r="O5746" s="61">
        <f t="shared" si="433"/>
        <v>1900</v>
      </c>
      <c r="P5746" s="61">
        <f t="shared" si="434"/>
        <v>1</v>
      </c>
      <c r="R5746" s="272"/>
      <c r="S5746" s="272"/>
    </row>
    <row r="5747" spans="9:19">
      <c r="I5747" s="213"/>
      <c r="J5747" s="213"/>
      <c r="L5747" s="272">
        <f t="shared" si="431"/>
        <v>1900</v>
      </c>
      <c r="M5747" s="272">
        <f t="shared" si="432"/>
        <v>1</v>
      </c>
      <c r="O5747" s="61">
        <f t="shared" si="433"/>
        <v>1900</v>
      </c>
      <c r="P5747" s="61">
        <f t="shared" si="434"/>
        <v>1</v>
      </c>
      <c r="R5747" s="272"/>
      <c r="S5747" s="272"/>
    </row>
    <row r="5748" spans="9:19">
      <c r="I5748" s="213"/>
      <c r="J5748" s="213"/>
      <c r="L5748" s="272">
        <f t="shared" si="431"/>
        <v>1900</v>
      </c>
      <c r="M5748" s="272">
        <f t="shared" si="432"/>
        <v>1</v>
      </c>
      <c r="O5748" s="61">
        <f t="shared" si="433"/>
        <v>1900</v>
      </c>
      <c r="P5748" s="61">
        <f t="shared" si="434"/>
        <v>1</v>
      </c>
      <c r="R5748" s="272"/>
      <c r="S5748" s="272"/>
    </row>
    <row r="5749" spans="9:19">
      <c r="I5749" s="213"/>
      <c r="J5749" s="213"/>
      <c r="L5749" s="272">
        <f t="shared" si="431"/>
        <v>1900</v>
      </c>
      <c r="M5749" s="272">
        <f t="shared" si="432"/>
        <v>1</v>
      </c>
      <c r="O5749" s="61">
        <f t="shared" si="433"/>
        <v>1900</v>
      </c>
      <c r="P5749" s="61">
        <f t="shared" si="434"/>
        <v>1</v>
      </c>
      <c r="R5749" s="272"/>
      <c r="S5749" s="272"/>
    </row>
    <row r="5750" spans="9:19">
      <c r="I5750" s="213"/>
      <c r="J5750" s="213"/>
      <c r="L5750" s="272">
        <f t="shared" si="431"/>
        <v>1900</v>
      </c>
      <c r="M5750" s="272">
        <f t="shared" si="432"/>
        <v>1</v>
      </c>
      <c r="O5750" s="61">
        <f t="shared" si="433"/>
        <v>1900</v>
      </c>
      <c r="P5750" s="61">
        <f t="shared" si="434"/>
        <v>1</v>
      </c>
      <c r="R5750" s="272"/>
      <c r="S5750" s="272"/>
    </row>
    <row r="5751" spans="9:19">
      <c r="I5751" s="213"/>
      <c r="J5751" s="213"/>
      <c r="L5751" s="272">
        <f t="shared" si="431"/>
        <v>1900</v>
      </c>
      <c r="M5751" s="272">
        <f t="shared" si="432"/>
        <v>1</v>
      </c>
      <c r="O5751" s="61">
        <f t="shared" si="433"/>
        <v>1900</v>
      </c>
      <c r="P5751" s="61">
        <f t="shared" si="434"/>
        <v>1</v>
      </c>
      <c r="R5751" s="272"/>
      <c r="S5751" s="272"/>
    </row>
    <row r="5752" spans="9:19">
      <c r="I5752" s="213"/>
      <c r="J5752" s="213"/>
      <c r="L5752" s="272">
        <f t="shared" si="431"/>
        <v>1900</v>
      </c>
      <c r="M5752" s="272">
        <f t="shared" si="432"/>
        <v>1</v>
      </c>
      <c r="O5752" s="61">
        <f t="shared" si="433"/>
        <v>1900</v>
      </c>
      <c r="P5752" s="61">
        <f t="shared" si="434"/>
        <v>1</v>
      </c>
      <c r="R5752" s="272"/>
      <c r="S5752" s="272"/>
    </row>
    <row r="5753" spans="9:19">
      <c r="I5753" s="213"/>
      <c r="J5753" s="213"/>
      <c r="L5753" s="272">
        <f t="shared" si="431"/>
        <v>1900</v>
      </c>
      <c r="M5753" s="272">
        <f t="shared" si="432"/>
        <v>1</v>
      </c>
      <c r="O5753" s="61">
        <f t="shared" si="433"/>
        <v>1900</v>
      </c>
      <c r="P5753" s="61">
        <f t="shared" si="434"/>
        <v>1</v>
      </c>
      <c r="R5753" s="272"/>
      <c r="S5753" s="272"/>
    </row>
    <row r="5754" spans="9:19">
      <c r="I5754" s="213"/>
      <c r="J5754" s="213"/>
      <c r="L5754" s="272">
        <f t="shared" si="431"/>
        <v>1900</v>
      </c>
      <c r="M5754" s="272">
        <f t="shared" si="432"/>
        <v>1</v>
      </c>
      <c r="O5754" s="61">
        <f t="shared" si="433"/>
        <v>1900</v>
      </c>
      <c r="P5754" s="61">
        <f t="shared" si="434"/>
        <v>1</v>
      </c>
      <c r="R5754" s="272"/>
      <c r="S5754" s="272"/>
    </row>
    <row r="5755" spans="9:19">
      <c r="I5755" s="213"/>
      <c r="J5755" s="213"/>
      <c r="L5755" s="272">
        <f t="shared" si="431"/>
        <v>1900</v>
      </c>
      <c r="M5755" s="272">
        <f t="shared" si="432"/>
        <v>1</v>
      </c>
      <c r="O5755" s="61">
        <f t="shared" si="433"/>
        <v>1900</v>
      </c>
      <c r="P5755" s="61">
        <f t="shared" si="434"/>
        <v>1</v>
      </c>
      <c r="R5755" s="272"/>
      <c r="S5755" s="272"/>
    </row>
    <row r="5756" spans="9:19">
      <c r="I5756" s="213"/>
      <c r="J5756" s="213"/>
      <c r="L5756" s="272">
        <f t="shared" si="431"/>
        <v>1900</v>
      </c>
      <c r="M5756" s="272">
        <f t="shared" si="432"/>
        <v>1</v>
      </c>
      <c r="O5756" s="61">
        <f t="shared" si="433"/>
        <v>1900</v>
      </c>
      <c r="P5756" s="61">
        <f t="shared" si="434"/>
        <v>1</v>
      </c>
      <c r="R5756" s="272"/>
      <c r="S5756" s="272"/>
    </row>
    <row r="5757" spans="9:19">
      <c r="I5757" s="213"/>
      <c r="J5757" s="213"/>
      <c r="L5757" s="272">
        <f t="shared" si="431"/>
        <v>1900</v>
      </c>
      <c r="M5757" s="272">
        <f t="shared" si="432"/>
        <v>1</v>
      </c>
      <c r="O5757" s="61">
        <f t="shared" si="433"/>
        <v>1900</v>
      </c>
      <c r="P5757" s="61">
        <f t="shared" si="434"/>
        <v>1</v>
      </c>
      <c r="R5757" s="272"/>
      <c r="S5757" s="272"/>
    </row>
    <row r="5758" spans="9:19">
      <c r="I5758" s="213"/>
      <c r="J5758" s="213"/>
      <c r="L5758" s="272">
        <f t="shared" si="431"/>
        <v>1900</v>
      </c>
      <c r="M5758" s="272">
        <f t="shared" si="432"/>
        <v>1</v>
      </c>
      <c r="O5758" s="61">
        <f t="shared" si="433"/>
        <v>1900</v>
      </c>
      <c r="P5758" s="61">
        <f t="shared" si="434"/>
        <v>1</v>
      </c>
      <c r="R5758" s="272"/>
      <c r="S5758" s="272"/>
    </row>
    <row r="5759" spans="9:19">
      <c r="I5759" s="213"/>
      <c r="J5759" s="213"/>
      <c r="L5759" s="272">
        <f t="shared" si="431"/>
        <v>1900</v>
      </c>
      <c r="M5759" s="272">
        <f t="shared" si="432"/>
        <v>1</v>
      </c>
      <c r="O5759" s="61">
        <f t="shared" si="433"/>
        <v>1900</v>
      </c>
      <c r="P5759" s="61">
        <f t="shared" si="434"/>
        <v>1</v>
      </c>
      <c r="R5759" s="272"/>
      <c r="S5759" s="272"/>
    </row>
    <row r="5760" spans="9:19">
      <c r="I5760" s="213"/>
      <c r="J5760" s="213"/>
      <c r="L5760" s="272">
        <f t="shared" si="431"/>
        <v>1900</v>
      </c>
      <c r="M5760" s="272">
        <f t="shared" si="432"/>
        <v>1</v>
      </c>
      <c r="O5760" s="61">
        <f t="shared" si="433"/>
        <v>1900</v>
      </c>
      <c r="P5760" s="61">
        <f t="shared" si="434"/>
        <v>1</v>
      </c>
      <c r="R5760" s="272"/>
      <c r="S5760" s="272"/>
    </row>
    <row r="5761" spans="9:19">
      <c r="I5761" s="213"/>
      <c r="J5761" s="213"/>
      <c r="L5761" s="272">
        <f t="shared" si="431"/>
        <v>1900</v>
      </c>
      <c r="M5761" s="272">
        <f t="shared" si="432"/>
        <v>1</v>
      </c>
      <c r="O5761" s="61">
        <f t="shared" si="433"/>
        <v>1900</v>
      </c>
      <c r="P5761" s="61">
        <f t="shared" si="434"/>
        <v>1</v>
      </c>
      <c r="R5761" s="272"/>
      <c r="S5761" s="272"/>
    </row>
    <row r="5762" spans="9:19">
      <c r="I5762" s="213"/>
      <c r="J5762" s="213"/>
      <c r="L5762" s="272">
        <f t="shared" si="431"/>
        <v>1900</v>
      </c>
      <c r="M5762" s="272">
        <f t="shared" si="432"/>
        <v>1</v>
      </c>
      <c r="O5762" s="61">
        <f t="shared" si="433"/>
        <v>1900</v>
      </c>
      <c r="P5762" s="61">
        <f t="shared" si="434"/>
        <v>1</v>
      </c>
      <c r="R5762" s="272"/>
      <c r="S5762" s="272"/>
    </row>
    <row r="5763" spans="9:19">
      <c r="I5763" s="213"/>
      <c r="J5763" s="213"/>
      <c r="L5763" s="272">
        <f t="shared" si="431"/>
        <v>1900</v>
      </c>
      <c r="M5763" s="272">
        <f t="shared" si="432"/>
        <v>1</v>
      </c>
      <c r="O5763" s="61">
        <f t="shared" si="433"/>
        <v>1900</v>
      </c>
      <c r="P5763" s="61">
        <f t="shared" si="434"/>
        <v>1</v>
      </c>
      <c r="R5763" s="272"/>
      <c r="S5763" s="272"/>
    </row>
    <row r="5764" spans="9:19">
      <c r="I5764" s="213"/>
      <c r="J5764" s="213"/>
      <c r="L5764" s="272">
        <f t="shared" si="431"/>
        <v>1900</v>
      </c>
      <c r="M5764" s="272">
        <f t="shared" si="432"/>
        <v>1</v>
      </c>
      <c r="O5764" s="61">
        <f t="shared" si="433"/>
        <v>1900</v>
      </c>
      <c r="P5764" s="61">
        <f t="shared" si="434"/>
        <v>1</v>
      </c>
      <c r="R5764" s="272"/>
      <c r="S5764" s="272"/>
    </row>
    <row r="5765" spans="9:19">
      <c r="I5765" s="213"/>
      <c r="J5765" s="213"/>
      <c r="L5765" s="272">
        <f t="shared" si="431"/>
        <v>1900</v>
      </c>
      <c r="M5765" s="272">
        <f t="shared" si="432"/>
        <v>1</v>
      </c>
      <c r="O5765" s="61">
        <f t="shared" si="433"/>
        <v>1900</v>
      </c>
      <c r="P5765" s="61">
        <f t="shared" si="434"/>
        <v>1</v>
      </c>
      <c r="R5765" s="272"/>
      <c r="S5765" s="272"/>
    </row>
    <row r="5766" spans="9:19">
      <c r="I5766" s="213"/>
      <c r="J5766" s="213"/>
      <c r="L5766" s="272">
        <f t="shared" si="431"/>
        <v>1900</v>
      </c>
      <c r="M5766" s="272">
        <f t="shared" si="432"/>
        <v>1</v>
      </c>
      <c r="O5766" s="61">
        <f t="shared" si="433"/>
        <v>1900</v>
      </c>
      <c r="P5766" s="61">
        <f t="shared" si="434"/>
        <v>1</v>
      </c>
      <c r="R5766" s="272"/>
      <c r="S5766" s="272"/>
    </row>
    <row r="5767" spans="9:19">
      <c r="I5767" s="213"/>
      <c r="J5767" s="213"/>
      <c r="L5767" s="272">
        <f t="shared" si="431"/>
        <v>1900</v>
      </c>
      <c r="M5767" s="272">
        <f t="shared" si="432"/>
        <v>1</v>
      </c>
      <c r="O5767" s="61">
        <f t="shared" si="433"/>
        <v>1900</v>
      </c>
      <c r="P5767" s="61">
        <f t="shared" si="434"/>
        <v>1</v>
      </c>
      <c r="R5767" s="272"/>
      <c r="S5767" s="272"/>
    </row>
    <row r="5768" spans="9:19">
      <c r="I5768" s="213"/>
      <c r="J5768" s="213"/>
      <c r="L5768" s="272">
        <f t="shared" si="431"/>
        <v>1900</v>
      </c>
      <c r="M5768" s="272">
        <f t="shared" si="432"/>
        <v>1</v>
      </c>
      <c r="O5768" s="61">
        <f t="shared" si="433"/>
        <v>1900</v>
      </c>
      <c r="P5768" s="61">
        <f t="shared" si="434"/>
        <v>1</v>
      </c>
      <c r="R5768" s="272"/>
      <c r="S5768" s="272"/>
    </row>
    <row r="5769" spans="9:19">
      <c r="I5769" s="213"/>
      <c r="J5769" s="213"/>
      <c r="L5769" s="272">
        <f t="shared" si="431"/>
        <v>1900</v>
      </c>
      <c r="M5769" s="272">
        <f t="shared" si="432"/>
        <v>1</v>
      </c>
      <c r="O5769" s="61">
        <f t="shared" si="433"/>
        <v>1900</v>
      </c>
      <c r="P5769" s="61">
        <f t="shared" si="434"/>
        <v>1</v>
      </c>
      <c r="R5769" s="272"/>
      <c r="S5769" s="272"/>
    </row>
    <row r="5770" spans="9:19">
      <c r="I5770" s="213"/>
      <c r="J5770" s="213"/>
      <c r="L5770" s="272">
        <f t="shared" si="431"/>
        <v>1900</v>
      </c>
      <c r="M5770" s="272">
        <f t="shared" si="432"/>
        <v>1</v>
      </c>
      <c r="O5770" s="61">
        <f t="shared" si="433"/>
        <v>1900</v>
      </c>
      <c r="P5770" s="61">
        <f t="shared" si="434"/>
        <v>1</v>
      </c>
      <c r="R5770" s="272"/>
      <c r="S5770" s="272"/>
    </row>
    <row r="5771" spans="9:19">
      <c r="I5771" s="213"/>
      <c r="J5771" s="213"/>
      <c r="L5771" s="272">
        <f t="shared" si="431"/>
        <v>1900</v>
      </c>
      <c r="M5771" s="272">
        <f t="shared" si="432"/>
        <v>1</v>
      </c>
      <c r="O5771" s="61">
        <f t="shared" si="433"/>
        <v>1900</v>
      </c>
      <c r="P5771" s="61">
        <f t="shared" si="434"/>
        <v>1</v>
      </c>
      <c r="R5771" s="272"/>
      <c r="S5771" s="272"/>
    </row>
    <row r="5772" spans="9:19">
      <c r="I5772" s="213"/>
      <c r="J5772" s="213"/>
      <c r="L5772" s="272">
        <f t="shared" si="431"/>
        <v>1900</v>
      </c>
      <c r="M5772" s="272">
        <f t="shared" si="432"/>
        <v>1</v>
      </c>
      <c r="O5772" s="61">
        <f t="shared" si="433"/>
        <v>1900</v>
      </c>
      <c r="P5772" s="61">
        <f t="shared" si="434"/>
        <v>1</v>
      </c>
      <c r="R5772" s="272"/>
      <c r="S5772" s="272"/>
    </row>
    <row r="5773" spans="9:19">
      <c r="I5773" s="213"/>
      <c r="J5773" s="213"/>
      <c r="L5773" s="272">
        <f t="shared" si="431"/>
        <v>1900</v>
      </c>
      <c r="M5773" s="272">
        <f t="shared" si="432"/>
        <v>1</v>
      </c>
      <c r="O5773" s="61">
        <f t="shared" si="433"/>
        <v>1900</v>
      </c>
      <c r="P5773" s="61">
        <f t="shared" si="434"/>
        <v>1</v>
      </c>
      <c r="R5773" s="272"/>
      <c r="S5773" s="272"/>
    </row>
    <row r="5774" spans="9:19">
      <c r="I5774" s="213"/>
      <c r="J5774" s="213"/>
      <c r="L5774" s="272">
        <f t="shared" si="431"/>
        <v>1900</v>
      </c>
      <c r="M5774" s="272">
        <f t="shared" si="432"/>
        <v>1</v>
      </c>
      <c r="O5774" s="61">
        <f t="shared" si="433"/>
        <v>1900</v>
      </c>
      <c r="P5774" s="61">
        <f t="shared" si="434"/>
        <v>1</v>
      </c>
      <c r="R5774" s="272"/>
      <c r="S5774" s="272"/>
    </row>
    <row r="5775" spans="9:19">
      <c r="I5775" s="213"/>
      <c r="J5775" s="213"/>
      <c r="L5775" s="272">
        <f t="shared" si="431"/>
        <v>1900</v>
      </c>
      <c r="M5775" s="272">
        <f t="shared" si="432"/>
        <v>1</v>
      </c>
      <c r="O5775" s="61">
        <f t="shared" si="433"/>
        <v>1900</v>
      </c>
      <c r="P5775" s="61">
        <f t="shared" si="434"/>
        <v>1</v>
      </c>
      <c r="R5775" s="272"/>
      <c r="S5775" s="272"/>
    </row>
    <row r="5776" spans="9:19">
      <c r="I5776" s="213"/>
      <c r="J5776" s="213"/>
      <c r="L5776" s="272">
        <f t="shared" ref="L5776:L5839" si="435">YEAR(B5776)</f>
        <v>1900</v>
      </c>
      <c r="M5776" s="272">
        <f t="shared" ref="M5776:M5839" si="436">MONTH(B5776)</f>
        <v>1</v>
      </c>
      <c r="O5776" s="61">
        <f t="shared" ref="O5776:O5839" si="437">YEAR(B5776)</f>
        <v>1900</v>
      </c>
      <c r="P5776" s="61">
        <f t="shared" ref="P5776:P5839" si="438">MONTH(B5776)</f>
        <v>1</v>
      </c>
      <c r="R5776" s="272"/>
      <c r="S5776" s="272"/>
    </row>
    <row r="5777" spans="9:19">
      <c r="I5777" s="213"/>
      <c r="J5777" s="213"/>
      <c r="L5777" s="272">
        <f t="shared" si="435"/>
        <v>1900</v>
      </c>
      <c r="M5777" s="272">
        <f t="shared" si="436"/>
        <v>1</v>
      </c>
      <c r="O5777" s="61">
        <f t="shared" si="437"/>
        <v>1900</v>
      </c>
      <c r="P5777" s="61">
        <f t="shared" si="438"/>
        <v>1</v>
      </c>
      <c r="R5777" s="272"/>
      <c r="S5777" s="272"/>
    </row>
    <row r="5778" spans="9:19">
      <c r="I5778" s="213"/>
      <c r="J5778" s="213"/>
      <c r="L5778" s="272">
        <f t="shared" si="435"/>
        <v>1900</v>
      </c>
      <c r="M5778" s="272">
        <f t="shared" si="436"/>
        <v>1</v>
      </c>
      <c r="O5778" s="61">
        <f t="shared" si="437"/>
        <v>1900</v>
      </c>
      <c r="P5778" s="61">
        <f t="shared" si="438"/>
        <v>1</v>
      </c>
      <c r="R5778" s="272"/>
      <c r="S5778" s="272"/>
    </row>
    <row r="5779" spans="9:19">
      <c r="I5779" s="213"/>
      <c r="J5779" s="213"/>
      <c r="L5779" s="272">
        <f t="shared" si="435"/>
        <v>1900</v>
      </c>
      <c r="M5779" s="272">
        <f t="shared" si="436"/>
        <v>1</v>
      </c>
      <c r="O5779" s="61">
        <f t="shared" si="437"/>
        <v>1900</v>
      </c>
      <c r="P5779" s="61">
        <f t="shared" si="438"/>
        <v>1</v>
      </c>
      <c r="R5779" s="272"/>
      <c r="S5779" s="272"/>
    </row>
    <row r="5780" spans="9:19">
      <c r="I5780" s="213"/>
      <c r="J5780" s="213"/>
      <c r="L5780" s="272">
        <f t="shared" si="435"/>
        <v>1900</v>
      </c>
      <c r="M5780" s="272">
        <f t="shared" si="436"/>
        <v>1</v>
      </c>
      <c r="O5780" s="61">
        <f t="shared" si="437"/>
        <v>1900</v>
      </c>
      <c r="P5780" s="61">
        <f t="shared" si="438"/>
        <v>1</v>
      </c>
      <c r="R5780" s="272"/>
      <c r="S5780" s="272"/>
    </row>
    <row r="5781" spans="9:19">
      <c r="I5781" s="213"/>
      <c r="J5781" s="213"/>
      <c r="L5781" s="272">
        <f t="shared" si="435"/>
        <v>1900</v>
      </c>
      <c r="M5781" s="272">
        <f t="shared" si="436"/>
        <v>1</v>
      </c>
      <c r="O5781" s="61">
        <f t="shared" si="437"/>
        <v>1900</v>
      </c>
      <c r="P5781" s="61">
        <f t="shared" si="438"/>
        <v>1</v>
      </c>
      <c r="R5781" s="272"/>
      <c r="S5781" s="272"/>
    </row>
    <row r="5782" spans="9:19">
      <c r="I5782" s="213"/>
      <c r="J5782" s="213"/>
      <c r="L5782" s="272">
        <f t="shared" si="435"/>
        <v>1900</v>
      </c>
      <c r="M5782" s="272">
        <f t="shared" si="436"/>
        <v>1</v>
      </c>
      <c r="O5782" s="61">
        <f t="shared" si="437"/>
        <v>1900</v>
      </c>
      <c r="P5782" s="61">
        <f t="shared" si="438"/>
        <v>1</v>
      </c>
      <c r="R5782" s="272"/>
      <c r="S5782" s="272"/>
    </row>
    <row r="5783" spans="9:19">
      <c r="I5783" s="213"/>
      <c r="J5783" s="213"/>
      <c r="L5783" s="272">
        <f t="shared" si="435"/>
        <v>1900</v>
      </c>
      <c r="M5783" s="272">
        <f t="shared" si="436"/>
        <v>1</v>
      </c>
      <c r="O5783" s="61">
        <f t="shared" si="437"/>
        <v>1900</v>
      </c>
      <c r="P5783" s="61">
        <f t="shared" si="438"/>
        <v>1</v>
      </c>
      <c r="R5783" s="272"/>
      <c r="S5783" s="272"/>
    </row>
    <row r="5784" spans="9:19">
      <c r="I5784" s="213"/>
      <c r="J5784" s="213"/>
      <c r="L5784" s="272">
        <f t="shared" si="435"/>
        <v>1900</v>
      </c>
      <c r="M5784" s="272">
        <f t="shared" si="436"/>
        <v>1</v>
      </c>
      <c r="O5784" s="61">
        <f t="shared" si="437"/>
        <v>1900</v>
      </c>
      <c r="P5784" s="61">
        <f t="shared" si="438"/>
        <v>1</v>
      </c>
      <c r="R5784" s="272"/>
      <c r="S5784" s="272"/>
    </row>
    <row r="5785" spans="9:19">
      <c r="I5785" s="213"/>
      <c r="J5785" s="213"/>
      <c r="L5785" s="272">
        <f t="shared" si="435"/>
        <v>1900</v>
      </c>
      <c r="M5785" s="272">
        <f t="shared" si="436"/>
        <v>1</v>
      </c>
      <c r="O5785" s="61">
        <f t="shared" si="437"/>
        <v>1900</v>
      </c>
      <c r="P5785" s="61">
        <f t="shared" si="438"/>
        <v>1</v>
      </c>
      <c r="R5785" s="272"/>
      <c r="S5785" s="272"/>
    </row>
    <row r="5786" spans="9:19">
      <c r="I5786" s="213"/>
      <c r="J5786" s="213"/>
      <c r="L5786" s="272">
        <f t="shared" si="435"/>
        <v>1900</v>
      </c>
      <c r="M5786" s="272">
        <f t="shared" si="436"/>
        <v>1</v>
      </c>
      <c r="O5786" s="61">
        <f t="shared" si="437"/>
        <v>1900</v>
      </c>
      <c r="P5786" s="61">
        <f t="shared" si="438"/>
        <v>1</v>
      </c>
      <c r="R5786" s="272"/>
      <c r="S5786" s="272"/>
    </row>
    <row r="5787" spans="9:19">
      <c r="I5787" s="213"/>
      <c r="J5787" s="213"/>
      <c r="L5787" s="272">
        <f t="shared" si="435"/>
        <v>1900</v>
      </c>
      <c r="M5787" s="272">
        <f t="shared" si="436"/>
        <v>1</v>
      </c>
      <c r="O5787" s="61">
        <f t="shared" si="437"/>
        <v>1900</v>
      </c>
      <c r="P5787" s="61">
        <f t="shared" si="438"/>
        <v>1</v>
      </c>
      <c r="R5787" s="272"/>
      <c r="S5787" s="272"/>
    </row>
    <row r="5788" spans="9:19">
      <c r="I5788" s="213"/>
      <c r="J5788" s="213"/>
      <c r="L5788" s="272">
        <f t="shared" si="435"/>
        <v>1900</v>
      </c>
      <c r="M5788" s="272">
        <f t="shared" si="436"/>
        <v>1</v>
      </c>
      <c r="O5788" s="61">
        <f t="shared" si="437"/>
        <v>1900</v>
      </c>
      <c r="P5788" s="61">
        <f t="shared" si="438"/>
        <v>1</v>
      </c>
      <c r="R5788" s="272"/>
      <c r="S5788" s="272"/>
    </row>
    <row r="5789" spans="9:19">
      <c r="I5789" s="213"/>
      <c r="J5789" s="213"/>
      <c r="L5789" s="272">
        <f t="shared" si="435"/>
        <v>1900</v>
      </c>
      <c r="M5789" s="272">
        <f t="shared" si="436"/>
        <v>1</v>
      </c>
      <c r="O5789" s="61">
        <f t="shared" si="437"/>
        <v>1900</v>
      </c>
      <c r="P5789" s="61">
        <f t="shared" si="438"/>
        <v>1</v>
      </c>
      <c r="R5789" s="272"/>
      <c r="S5789" s="272"/>
    </row>
    <row r="5790" spans="9:19">
      <c r="I5790" s="213"/>
      <c r="J5790" s="213"/>
      <c r="L5790" s="272">
        <f t="shared" si="435"/>
        <v>1900</v>
      </c>
      <c r="M5790" s="272">
        <f t="shared" si="436"/>
        <v>1</v>
      </c>
      <c r="O5790" s="61">
        <f t="shared" si="437"/>
        <v>1900</v>
      </c>
      <c r="P5790" s="61">
        <f t="shared" si="438"/>
        <v>1</v>
      </c>
      <c r="R5790" s="272"/>
      <c r="S5790" s="272"/>
    </row>
    <row r="5791" spans="9:19">
      <c r="I5791" s="213"/>
      <c r="J5791" s="213"/>
      <c r="L5791" s="272">
        <f t="shared" si="435"/>
        <v>1900</v>
      </c>
      <c r="M5791" s="272">
        <f t="shared" si="436"/>
        <v>1</v>
      </c>
      <c r="O5791" s="61">
        <f t="shared" si="437"/>
        <v>1900</v>
      </c>
      <c r="P5791" s="61">
        <f t="shared" si="438"/>
        <v>1</v>
      </c>
      <c r="R5791" s="272"/>
      <c r="S5791" s="272"/>
    </row>
    <row r="5792" spans="9:19">
      <c r="I5792" s="213"/>
      <c r="J5792" s="213"/>
      <c r="L5792" s="272">
        <f t="shared" si="435"/>
        <v>1900</v>
      </c>
      <c r="M5792" s="272">
        <f t="shared" si="436"/>
        <v>1</v>
      </c>
      <c r="O5792" s="61">
        <f t="shared" si="437"/>
        <v>1900</v>
      </c>
      <c r="P5792" s="61">
        <f t="shared" si="438"/>
        <v>1</v>
      </c>
      <c r="R5792" s="272"/>
      <c r="S5792" s="272"/>
    </row>
    <row r="5793" spans="9:19">
      <c r="I5793" s="213"/>
      <c r="J5793" s="213"/>
      <c r="L5793" s="272">
        <f t="shared" si="435"/>
        <v>1900</v>
      </c>
      <c r="M5793" s="272">
        <f t="shared" si="436"/>
        <v>1</v>
      </c>
      <c r="O5793" s="61">
        <f t="shared" si="437"/>
        <v>1900</v>
      </c>
      <c r="P5793" s="61">
        <f t="shared" si="438"/>
        <v>1</v>
      </c>
      <c r="R5793" s="272"/>
      <c r="S5793" s="272"/>
    </row>
    <row r="5794" spans="9:19">
      <c r="I5794" s="213"/>
      <c r="J5794" s="213"/>
      <c r="L5794" s="272">
        <f t="shared" si="435"/>
        <v>1900</v>
      </c>
      <c r="M5794" s="272">
        <f t="shared" si="436"/>
        <v>1</v>
      </c>
      <c r="O5794" s="61">
        <f t="shared" si="437"/>
        <v>1900</v>
      </c>
      <c r="P5794" s="61">
        <f t="shared" si="438"/>
        <v>1</v>
      </c>
      <c r="R5794" s="272"/>
      <c r="S5794" s="272"/>
    </row>
    <row r="5795" spans="9:19">
      <c r="I5795" s="213"/>
      <c r="J5795" s="213"/>
      <c r="L5795" s="272">
        <f t="shared" si="435"/>
        <v>1900</v>
      </c>
      <c r="M5795" s="272">
        <f t="shared" si="436"/>
        <v>1</v>
      </c>
      <c r="O5795" s="61">
        <f t="shared" si="437"/>
        <v>1900</v>
      </c>
      <c r="P5795" s="61">
        <f t="shared" si="438"/>
        <v>1</v>
      </c>
      <c r="R5795" s="272"/>
      <c r="S5795" s="272"/>
    </row>
    <row r="5796" spans="9:19">
      <c r="I5796" s="213"/>
      <c r="J5796" s="213"/>
      <c r="L5796" s="272">
        <f t="shared" si="435"/>
        <v>1900</v>
      </c>
      <c r="M5796" s="272">
        <f t="shared" si="436"/>
        <v>1</v>
      </c>
      <c r="O5796" s="61">
        <f t="shared" si="437"/>
        <v>1900</v>
      </c>
      <c r="P5796" s="61">
        <f t="shared" si="438"/>
        <v>1</v>
      </c>
      <c r="R5796" s="272"/>
      <c r="S5796" s="272"/>
    </row>
    <row r="5797" spans="9:19">
      <c r="I5797" s="213"/>
      <c r="J5797" s="213"/>
      <c r="L5797" s="272">
        <f t="shared" si="435"/>
        <v>1900</v>
      </c>
      <c r="M5797" s="272">
        <f t="shared" si="436"/>
        <v>1</v>
      </c>
      <c r="O5797" s="61">
        <f t="shared" si="437"/>
        <v>1900</v>
      </c>
      <c r="P5797" s="61">
        <f t="shared" si="438"/>
        <v>1</v>
      </c>
      <c r="R5797" s="272"/>
      <c r="S5797" s="272"/>
    </row>
    <row r="5798" spans="9:19">
      <c r="I5798" s="213"/>
      <c r="J5798" s="213"/>
      <c r="L5798" s="272">
        <f t="shared" si="435"/>
        <v>1900</v>
      </c>
      <c r="M5798" s="272">
        <f t="shared" si="436"/>
        <v>1</v>
      </c>
      <c r="O5798" s="61">
        <f t="shared" si="437"/>
        <v>1900</v>
      </c>
      <c r="P5798" s="61">
        <f t="shared" si="438"/>
        <v>1</v>
      </c>
      <c r="R5798" s="272"/>
      <c r="S5798" s="272"/>
    </row>
    <row r="5799" spans="9:19">
      <c r="I5799" s="213"/>
      <c r="J5799" s="213"/>
      <c r="L5799" s="272">
        <f t="shared" si="435"/>
        <v>1900</v>
      </c>
      <c r="M5799" s="272">
        <f t="shared" si="436"/>
        <v>1</v>
      </c>
      <c r="O5799" s="61">
        <f t="shared" si="437"/>
        <v>1900</v>
      </c>
      <c r="P5799" s="61">
        <f t="shared" si="438"/>
        <v>1</v>
      </c>
      <c r="R5799" s="272"/>
      <c r="S5799" s="272"/>
    </row>
    <row r="5800" spans="9:19">
      <c r="I5800" s="213"/>
      <c r="J5800" s="213"/>
      <c r="L5800" s="272">
        <f t="shared" si="435"/>
        <v>1900</v>
      </c>
      <c r="M5800" s="272">
        <f t="shared" si="436"/>
        <v>1</v>
      </c>
      <c r="O5800" s="61">
        <f t="shared" si="437"/>
        <v>1900</v>
      </c>
      <c r="P5800" s="61">
        <f t="shared" si="438"/>
        <v>1</v>
      </c>
      <c r="R5800" s="272"/>
      <c r="S5800" s="272"/>
    </row>
    <row r="5801" spans="9:19">
      <c r="I5801" s="213"/>
      <c r="J5801" s="213"/>
      <c r="L5801" s="272">
        <f t="shared" si="435"/>
        <v>1900</v>
      </c>
      <c r="M5801" s="272">
        <f t="shared" si="436"/>
        <v>1</v>
      </c>
      <c r="O5801" s="61">
        <f t="shared" si="437"/>
        <v>1900</v>
      </c>
      <c r="P5801" s="61">
        <f t="shared" si="438"/>
        <v>1</v>
      </c>
      <c r="R5801" s="272"/>
      <c r="S5801" s="272"/>
    </row>
    <row r="5802" spans="9:19">
      <c r="I5802" s="213"/>
      <c r="J5802" s="213"/>
      <c r="L5802" s="272">
        <f t="shared" si="435"/>
        <v>1900</v>
      </c>
      <c r="M5802" s="272">
        <f t="shared" si="436"/>
        <v>1</v>
      </c>
      <c r="O5802" s="61">
        <f t="shared" si="437"/>
        <v>1900</v>
      </c>
      <c r="P5802" s="61">
        <f t="shared" si="438"/>
        <v>1</v>
      </c>
      <c r="R5802" s="272"/>
      <c r="S5802" s="272"/>
    </row>
    <row r="5803" spans="9:19">
      <c r="I5803" s="213"/>
      <c r="J5803" s="213"/>
      <c r="L5803" s="272">
        <f t="shared" si="435"/>
        <v>1900</v>
      </c>
      <c r="M5803" s="272">
        <f t="shared" si="436"/>
        <v>1</v>
      </c>
      <c r="O5803" s="61">
        <f t="shared" si="437"/>
        <v>1900</v>
      </c>
      <c r="P5803" s="61">
        <f t="shared" si="438"/>
        <v>1</v>
      </c>
      <c r="R5803" s="272"/>
      <c r="S5803" s="272"/>
    </row>
    <row r="5804" spans="9:19">
      <c r="I5804" s="213"/>
      <c r="J5804" s="213"/>
      <c r="L5804" s="272">
        <f t="shared" si="435"/>
        <v>1900</v>
      </c>
      <c r="M5804" s="272">
        <f t="shared" si="436"/>
        <v>1</v>
      </c>
      <c r="O5804" s="61">
        <f t="shared" si="437"/>
        <v>1900</v>
      </c>
      <c r="P5804" s="61">
        <f t="shared" si="438"/>
        <v>1</v>
      </c>
      <c r="R5804" s="272"/>
      <c r="S5804" s="272"/>
    </row>
    <row r="5805" spans="9:19">
      <c r="I5805" s="213"/>
      <c r="J5805" s="213"/>
      <c r="L5805" s="272">
        <f t="shared" si="435"/>
        <v>1900</v>
      </c>
      <c r="M5805" s="272">
        <f t="shared" si="436"/>
        <v>1</v>
      </c>
      <c r="O5805" s="61">
        <f t="shared" si="437"/>
        <v>1900</v>
      </c>
      <c r="P5805" s="61">
        <f t="shared" si="438"/>
        <v>1</v>
      </c>
      <c r="R5805" s="272"/>
      <c r="S5805" s="272"/>
    </row>
    <row r="5806" spans="9:19">
      <c r="I5806" s="213"/>
      <c r="J5806" s="213"/>
      <c r="L5806" s="272">
        <f t="shared" si="435"/>
        <v>1900</v>
      </c>
      <c r="M5806" s="272">
        <f t="shared" si="436"/>
        <v>1</v>
      </c>
      <c r="O5806" s="61">
        <f t="shared" si="437"/>
        <v>1900</v>
      </c>
      <c r="P5806" s="61">
        <f t="shared" si="438"/>
        <v>1</v>
      </c>
      <c r="R5806" s="272"/>
      <c r="S5806" s="272"/>
    </row>
    <row r="5807" spans="9:19">
      <c r="I5807" s="213"/>
      <c r="J5807" s="213"/>
      <c r="L5807" s="272">
        <f t="shared" si="435"/>
        <v>1900</v>
      </c>
      <c r="M5807" s="272">
        <f t="shared" si="436"/>
        <v>1</v>
      </c>
      <c r="O5807" s="61">
        <f t="shared" si="437"/>
        <v>1900</v>
      </c>
      <c r="P5807" s="61">
        <f t="shared" si="438"/>
        <v>1</v>
      </c>
      <c r="R5807" s="272"/>
      <c r="S5807" s="272"/>
    </row>
    <row r="5808" spans="9:19">
      <c r="I5808" s="213"/>
      <c r="J5808" s="213"/>
      <c r="L5808" s="272">
        <f t="shared" si="435"/>
        <v>1900</v>
      </c>
      <c r="M5808" s="272">
        <f t="shared" si="436"/>
        <v>1</v>
      </c>
      <c r="O5808" s="61">
        <f t="shared" si="437"/>
        <v>1900</v>
      </c>
      <c r="P5808" s="61">
        <f t="shared" si="438"/>
        <v>1</v>
      </c>
      <c r="R5808" s="272"/>
      <c r="S5808" s="272"/>
    </row>
    <row r="5809" spans="9:19">
      <c r="I5809" s="213"/>
      <c r="J5809" s="213"/>
      <c r="L5809" s="272">
        <f t="shared" si="435"/>
        <v>1900</v>
      </c>
      <c r="M5809" s="272">
        <f t="shared" si="436"/>
        <v>1</v>
      </c>
      <c r="O5809" s="61">
        <f t="shared" si="437"/>
        <v>1900</v>
      </c>
      <c r="P5809" s="61">
        <f t="shared" si="438"/>
        <v>1</v>
      </c>
      <c r="R5809" s="272"/>
      <c r="S5809" s="272"/>
    </row>
    <row r="5810" spans="9:19">
      <c r="I5810" s="213"/>
      <c r="J5810" s="213"/>
      <c r="L5810" s="272">
        <f t="shared" si="435"/>
        <v>1900</v>
      </c>
      <c r="M5810" s="272">
        <f t="shared" si="436"/>
        <v>1</v>
      </c>
      <c r="O5810" s="61">
        <f t="shared" si="437"/>
        <v>1900</v>
      </c>
      <c r="P5810" s="61">
        <f t="shared" si="438"/>
        <v>1</v>
      </c>
      <c r="R5810" s="272"/>
      <c r="S5810" s="272"/>
    </row>
    <row r="5811" spans="9:19">
      <c r="I5811" s="213"/>
      <c r="J5811" s="213"/>
      <c r="L5811" s="272">
        <f t="shared" si="435"/>
        <v>1900</v>
      </c>
      <c r="M5811" s="272">
        <f t="shared" si="436"/>
        <v>1</v>
      </c>
      <c r="O5811" s="61">
        <f t="shared" si="437"/>
        <v>1900</v>
      </c>
      <c r="P5811" s="61">
        <f t="shared" si="438"/>
        <v>1</v>
      </c>
      <c r="R5811" s="272"/>
      <c r="S5811" s="272"/>
    </row>
    <row r="5812" spans="9:19">
      <c r="I5812" s="213"/>
      <c r="J5812" s="213"/>
      <c r="L5812" s="272">
        <f t="shared" si="435"/>
        <v>1900</v>
      </c>
      <c r="M5812" s="272">
        <f t="shared" si="436"/>
        <v>1</v>
      </c>
      <c r="O5812" s="61">
        <f t="shared" si="437"/>
        <v>1900</v>
      </c>
      <c r="P5812" s="61">
        <f t="shared" si="438"/>
        <v>1</v>
      </c>
      <c r="R5812" s="272"/>
      <c r="S5812" s="272"/>
    </row>
    <row r="5813" spans="9:19">
      <c r="I5813" s="213"/>
      <c r="J5813" s="213"/>
      <c r="L5813" s="272">
        <f t="shared" si="435"/>
        <v>1900</v>
      </c>
      <c r="M5813" s="272">
        <f t="shared" si="436"/>
        <v>1</v>
      </c>
      <c r="O5813" s="61">
        <f t="shared" si="437"/>
        <v>1900</v>
      </c>
      <c r="P5813" s="61">
        <f t="shared" si="438"/>
        <v>1</v>
      </c>
      <c r="R5813" s="272"/>
      <c r="S5813" s="272"/>
    </row>
    <row r="5814" spans="9:19">
      <c r="I5814" s="213"/>
      <c r="J5814" s="213"/>
      <c r="L5814" s="272">
        <f t="shared" si="435"/>
        <v>1900</v>
      </c>
      <c r="M5814" s="272">
        <f t="shared" si="436"/>
        <v>1</v>
      </c>
      <c r="O5814" s="61">
        <f t="shared" si="437"/>
        <v>1900</v>
      </c>
      <c r="P5814" s="61">
        <f t="shared" si="438"/>
        <v>1</v>
      </c>
      <c r="R5814" s="272"/>
      <c r="S5814" s="272"/>
    </row>
    <row r="5815" spans="9:19">
      <c r="I5815" s="213"/>
      <c r="J5815" s="213"/>
      <c r="L5815" s="272">
        <f t="shared" si="435"/>
        <v>1900</v>
      </c>
      <c r="M5815" s="272">
        <f t="shared" si="436"/>
        <v>1</v>
      </c>
      <c r="O5815" s="61">
        <f t="shared" si="437"/>
        <v>1900</v>
      </c>
      <c r="P5815" s="61">
        <f t="shared" si="438"/>
        <v>1</v>
      </c>
      <c r="R5815" s="272"/>
      <c r="S5815" s="272"/>
    </row>
    <row r="5816" spans="9:19">
      <c r="I5816" s="213"/>
      <c r="J5816" s="213"/>
      <c r="L5816" s="272">
        <f t="shared" si="435"/>
        <v>1900</v>
      </c>
      <c r="M5816" s="272">
        <f t="shared" si="436"/>
        <v>1</v>
      </c>
      <c r="O5816" s="61">
        <f t="shared" si="437"/>
        <v>1900</v>
      </c>
      <c r="P5816" s="61">
        <f t="shared" si="438"/>
        <v>1</v>
      </c>
      <c r="R5816" s="272"/>
      <c r="S5816" s="272"/>
    </row>
    <row r="5817" spans="9:19">
      <c r="I5817" s="213"/>
      <c r="J5817" s="213"/>
      <c r="L5817" s="272">
        <f t="shared" si="435"/>
        <v>1900</v>
      </c>
      <c r="M5817" s="272">
        <f t="shared" si="436"/>
        <v>1</v>
      </c>
      <c r="O5817" s="61">
        <f t="shared" si="437"/>
        <v>1900</v>
      </c>
      <c r="P5817" s="61">
        <f t="shared" si="438"/>
        <v>1</v>
      </c>
      <c r="R5817" s="272"/>
      <c r="S5817" s="272"/>
    </row>
    <row r="5818" spans="9:19">
      <c r="I5818" s="213"/>
      <c r="J5818" s="213"/>
      <c r="L5818" s="272">
        <f t="shared" si="435"/>
        <v>1900</v>
      </c>
      <c r="M5818" s="272">
        <f t="shared" si="436"/>
        <v>1</v>
      </c>
      <c r="O5818" s="61">
        <f t="shared" si="437"/>
        <v>1900</v>
      </c>
      <c r="P5818" s="61">
        <f t="shared" si="438"/>
        <v>1</v>
      </c>
      <c r="R5818" s="272"/>
      <c r="S5818" s="272"/>
    </row>
    <row r="5819" spans="9:19">
      <c r="I5819" s="213"/>
      <c r="J5819" s="213"/>
      <c r="L5819" s="272">
        <f t="shared" si="435"/>
        <v>1900</v>
      </c>
      <c r="M5819" s="272">
        <f t="shared" si="436"/>
        <v>1</v>
      </c>
      <c r="O5819" s="61">
        <f t="shared" si="437"/>
        <v>1900</v>
      </c>
      <c r="P5819" s="61">
        <f t="shared" si="438"/>
        <v>1</v>
      </c>
      <c r="R5819" s="272"/>
      <c r="S5819" s="272"/>
    </row>
    <row r="5820" spans="9:19">
      <c r="I5820" s="213"/>
      <c r="J5820" s="213"/>
      <c r="L5820" s="272">
        <f t="shared" si="435"/>
        <v>1900</v>
      </c>
      <c r="M5820" s="272">
        <f t="shared" si="436"/>
        <v>1</v>
      </c>
      <c r="O5820" s="61">
        <f t="shared" si="437"/>
        <v>1900</v>
      </c>
      <c r="P5820" s="61">
        <f t="shared" si="438"/>
        <v>1</v>
      </c>
      <c r="R5820" s="272"/>
      <c r="S5820" s="272"/>
    </row>
    <row r="5821" spans="9:19">
      <c r="I5821" s="213"/>
      <c r="J5821" s="213"/>
      <c r="L5821" s="272">
        <f t="shared" si="435"/>
        <v>1900</v>
      </c>
      <c r="M5821" s="272">
        <f t="shared" si="436"/>
        <v>1</v>
      </c>
      <c r="O5821" s="61">
        <f t="shared" si="437"/>
        <v>1900</v>
      </c>
      <c r="P5821" s="61">
        <f t="shared" si="438"/>
        <v>1</v>
      </c>
      <c r="R5821" s="272"/>
      <c r="S5821" s="272"/>
    </row>
    <row r="5822" spans="9:19">
      <c r="I5822" s="213"/>
      <c r="J5822" s="213"/>
      <c r="L5822" s="272">
        <f t="shared" si="435"/>
        <v>1900</v>
      </c>
      <c r="M5822" s="272">
        <f t="shared" si="436"/>
        <v>1</v>
      </c>
      <c r="O5822" s="61">
        <f t="shared" si="437"/>
        <v>1900</v>
      </c>
      <c r="P5822" s="61">
        <f t="shared" si="438"/>
        <v>1</v>
      </c>
      <c r="R5822" s="272"/>
      <c r="S5822" s="272"/>
    </row>
    <row r="5823" spans="9:19">
      <c r="I5823" s="213"/>
      <c r="J5823" s="213"/>
      <c r="L5823" s="272">
        <f t="shared" si="435"/>
        <v>1900</v>
      </c>
      <c r="M5823" s="272">
        <f t="shared" si="436"/>
        <v>1</v>
      </c>
      <c r="O5823" s="61">
        <f t="shared" si="437"/>
        <v>1900</v>
      </c>
      <c r="P5823" s="61">
        <f t="shared" si="438"/>
        <v>1</v>
      </c>
      <c r="R5823" s="272"/>
      <c r="S5823" s="272"/>
    </row>
    <row r="5824" spans="9:19">
      <c r="I5824" s="213"/>
      <c r="J5824" s="213"/>
      <c r="L5824" s="272">
        <f t="shared" si="435"/>
        <v>1900</v>
      </c>
      <c r="M5824" s="272">
        <f t="shared" si="436"/>
        <v>1</v>
      </c>
      <c r="O5824" s="61">
        <f t="shared" si="437"/>
        <v>1900</v>
      </c>
      <c r="P5824" s="61">
        <f t="shared" si="438"/>
        <v>1</v>
      </c>
      <c r="R5824" s="272"/>
      <c r="S5824" s="272"/>
    </row>
    <row r="5825" spans="9:19">
      <c r="I5825" s="213"/>
      <c r="J5825" s="213"/>
      <c r="L5825" s="272">
        <f t="shared" si="435"/>
        <v>1900</v>
      </c>
      <c r="M5825" s="272">
        <f t="shared" si="436"/>
        <v>1</v>
      </c>
      <c r="O5825" s="61">
        <f t="shared" si="437"/>
        <v>1900</v>
      </c>
      <c r="P5825" s="61">
        <f t="shared" si="438"/>
        <v>1</v>
      </c>
      <c r="R5825" s="272"/>
      <c r="S5825" s="272"/>
    </row>
    <row r="5826" spans="9:19">
      <c r="I5826" s="213"/>
      <c r="J5826" s="213"/>
      <c r="L5826" s="272">
        <f t="shared" si="435"/>
        <v>1900</v>
      </c>
      <c r="M5826" s="272">
        <f t="shared" si="436"/>
        <v>1</v>
      </c>
      <c r="O5826" s="61">
        <f t="shared" si="437"/>
        <v>1900</v>
      </c>
      <c r="P5826" s="61">
        <f t="shared" si="438"/>
        <v>1</v>
      </c>
      <c r="R5826" s="272"/>
      <c r="S5826" s="272"/>
    </row>
    <row r="5827" spans="9:19">
      <c r="I5827" s="213"/>
      <c r="J5827" s="213"/>
      <c r="L5827" s="272">
        <f t="shared" si="435"/>
        <v>1900</v>
      </c>
      <c r="M5827" s="272">
        <f t="shared" si="436"/>
        <v>1</v>
      </c>
      <c r="O5827" s="61">
        <f t="shared" si="437"/>
        <v>1900</v>
      </c>
      <c r="P5827" s="61">
        <f t="shared" si="438"/>
        <v>1</v>
      </c>
      <c r="R5827" s="272"/>
      <c r="S5827" s="272"/>
    </row>
    <row r="5828" spans="9:19">
      <c r="I5828" s="213"/>
      <c r="J5828" s="213"/>
      <c r="L5828" s="272">
        <f t="shared" si="435"/>
        <v>1900</v>
      </c>
      <c r="M5828" s="272">
        <f t="shared" si="436"/>
        <v>1</v>
      </c>
      <c r="O5828" s="61">
        <f t="shared" si="437"/>
        <v>1900</v>
      </c>
      <c r="P5828" s="61">
        <f t="shared" si="438"/>
        <v>1</v>
      </c>
      <c r="R5828" s="272"/>
      <c r="S5828" s="272"/>
    </row>
    <row r="5829" spans="9:19">
      <c r="I5829" s="213"/>
      <c r="J5829" s="213"/>
      <c r="L5829" s="272">
        <f t="shared" si="435"/>
        <v>1900</v>
      </c>
      <c r="M5829" s="272">
        <f t="shared" si="436"/>
        <v>1</v>
      </c>
      <c r="O5829" s="61">
        <f t="shared" si="437"/>
        <v>1900</v>
      </c>
      <c r="P5829" s="61">
        <f t="shared" si="438"/>
        <v>1</v>
      </c>
      <c r="R5829" s="272"/>
      <c r="S5829" s="272"/>
    </row>
    <row r="5830" spans="9:19">
      <c r="I5830" s="213"/>
      <c r="J5830" s="213"/>
      <c r="L5830" s="272">
        <f t="shared" si="435"/>
        <v>1900</v>
      </c>
      <c r="M5830" s="272">
        <f t="shared" si="436"/>
        <v>1</v>
      </c>
      <c r="O5830" s="61">
        <f t="shared" si="437"/>
        <v>1900</v>
      </c>
      <c r="P5830" s="61">
        <f t="shared" si="438"/>
        <v>1</v>
      </c>
      <c r="R5830" s="272"/>
      <c r="S5830" s="272"/>
    </row>
    <row r="5831" spans="9:19">
      <c r="I5831" s="213"/>
      <c r="J5831" s="213"/>
      <c r="L5831" s="272">
        <f t="shared" si="435"/>
        <v>1900</v>
      </c>
      <c r="M5831" s="272">
        <f t="shared" si="436"/>
        <v>1</v>
      </c>
      <c r="O5831" s="61">
        <f t="shared" si="437"/>
        <v>1900</v>
      </c>
      <c r="P5831" s="61">
        <f t="shared" si="438"/>
        <v>1</v>
      </c>
      <c r="R5831" s="272"/>
      <c r="S5831" s="272"/>
    </row>
    <row r="5832" spans="9:19">
      <c r="I5832" s="213"/>
      <c r="J5832" s="213"/>
      <c r="L5832" s="272">
        <f t="shared" si="435"/>
        <v>1900</v>
      </c>
      <c r="M5832" s="272">
        <f t="shared" si="436"/>
        <v>1</v>
      </c>
      <c r="O5832" s="61">
        <f t="shared" si="437"/>
        <v>1900</v>
      </c>
      <c r="P5832" s="61">
        <f t="shared" si="438"/>
        <v>1</v>
      </c>
      <c r="R5832" s="272"/>
      <c r="S5832" s="272"/>
    </row>
    <row r="5833" spans="9:19">
      <c r="I5833" s="213"/>
      <c r="J5833" s="213"/>
      <c r="L5833" s="272">
        <f t="shared" si="435"/>
        <v>1900</v>
      </c>
      <c r="M5833" s="272">
        <f t="shared" si="436"/>
        <v>1</v>
      </c>
      <c r="O5833" s="61">
        <f t="shared" si="437"/>
        <v>1900</v>
      </c>
      <c r="P5833" s="61">
        <f t="shared" si="438"/>
        <v>1</v>
      </c>
      <c r="R5833" s="272"/>
      <c r="S5833" s="272"/>
    </row>
    <row r="5834" spans="9:19">
      <c r="I5834" s="213"/>
      <c r="J5834" s="213"/>
      <c r="L5834" s="272">
        <f t="shared" si="435"/>
        <v>1900</v>
      </c>
      <c r="M5834" s="272">
        <f t="shared" si="436"/>
        <v>1</v>
      </c>
      <c r="O5834" s="61">
        <f t="shared" si="437"/>
        <v>1900</v>
      </c>
      <c r="P5834" s="61">
        <f t="shared" si="438"/>
        <v>1</v>
      </c>
      <c r="R5834" s="272"/>
      <c r="S5834" s="272"/>
    </row>
    <row r="5835" spans="9:19">
      <c r="I5835" s="213"/>
      <c r="J5835" s="213"/>
      <c r="L5835" s="272">
        <f t="shared" si="435"/>
        <v>1900</v>
      </c>
      <c r="M5835" s="272">
        <f t="shared" si="436"/>
        <v>1</v>
      </c>
      <c r="O5835" s="61">
        <f t="shared" si="437"/>
        <v>1900</v>
      </c>
      <c r="P5835" s="61">
        <f t="shared" si="438"/>
        <v>1</v>
      </c>
      <c r="R5835" s="272"/>
      <c r="S5835" s="272"/>
    </row>
    <row r="5836" spans="9:19">
      <c r="I5836" s="213"/>
      <c r="J5836" s="213"/>
      <c r="L5836" s="272">
        <f t="shared" si="435"/>
        <v>1900</v>
      </c>
      <c r="M5836" s="272">
        <f t="shared" si="436"/>
        <v>1</v>
      </c>
      <c r="O5836" s="61">
        <f t="shared" si="437"/>
        <v>1900</v>
      </c>
      <c r="P5836" s="61">
        <f t="shared" si="438"/>
        <v>1</v>
      </c>
      <c r="R5836" s="272"/>
      <c r="S5836" s="272"/>
    </row>
    <row r="5837" spans="9:19">
      <c r="I5837" s="213"/>
      <c r="J5837" s="213"/>
      <c r="L5837" s="272">
        <f t="shared" si="435"/>
        <v>1900</v>
      </c>
      <c r="M5837" s="272">
        <f t="shared" si="436"/>
        <v>1</v>
      </c>
      <c r="O5837" s="61">
        <f t="shared" si="437"/>
        <v>1900</v>
      </c>
      <c r="P5837" s="61">
        <f t="shared" si="438"/>
        <v>1</v>
      </c>
      <c r="R5837" s="272"/>
      <c r="S5837" s="272"/>
    </row>
    <row r="5838" spans="9:19">
      <c r="I5838" s="213"/>
      <c r="J5838" s="213"/>
      <c r="L5838" s="272">
        <f t="shared" si="435"/>
        <v>1900</v>
      </c>
      <c r="M5838" s="272">
        <f t="shared" si="436"/>
        <v>1</v>
      </c>
      <c r="O5838" s="61">
        <f t="shared" si="437"/>
        <v>1900</v>
      </c>
      <c r="P5838" s="61">
        <f t="shared" si="438"/>
        <v>1</v>
      </c>
      <c r="R5838" s="272"/>
      <c r="S5838" s="272"/>
    </row>
    <row r="5839" spans="9:19">
      <c r="I5839" s="213"/>
      <c r="J5839" s="213"/>
      <c r="L5839" s="272">
        <f t="shared" si="435"/>
        <v>1900</v>
      </c>
      <c r="M5839" s="272">
        <f t="shared" si="436"/>
        <v>1</v>
      </c>
      <c r="O5839" s="61">
        <f t="shared" si="437"/>
        <v>1900</v>
      </c>
      <c r="P5839" s="61">
        <f t="shared" si="438"/>
        <v>1</v>
      </c>
      <c r="R5839" s="272"/>
      <c r="S5839" s="272"/>
    </row>
    <row r="5840" spans="9:19">
      <c r="I5840" s="213"/>
      <c r="J5840" s="213"/>
      <c r="L5840" s="272">
        <f t="shared" ref="L5840:L5903" si="439">YEAR(B5840)</f>
        <v>1900</v>
      </c>
      <c r="M5840" s="272">
        <f t="shared" ref="M5840:M5903" si="440">MONTH(B5840)</f>
        <v>1</v>
      </c>
      <c r="O5840" s="61">
        <f t="shared" ref="O5840:O5903" si="441">YEAR(B5840)</f>
        <v>1900</v>
      </c>
      <c r="P5840" s="61">
        <f t="shared" ref="P5840:P5903" si="442">MONTH(B5840)</f>
        <v>1</v>
      </c>
      <c r="R5840" s="272"/>
      <c r="S5840" s="272"/>
    </row>
    <row r="5841" spans="9:19">
      <c r="I5841" s="213"/>
      <c r="J5841" s="213"/>
      <c r="L5841" s="272">
        <f t="shared" si="439"/>
        <v>1900</v>
      </c>
      <c r="M5841" s="272">
        <f t="shared" si="440"/>
        <v>1</v>
      </c>
      <c r="O5841" s="61">
        <f t="shared" si="441"/>
        <v>1900</v>
      </c>
      <c r="P5841" s="61">
        <f t="shared" si="442"/>
        <v>1</v>
      </c>
      <c r="R5841" s="272"/>
      <c r="S5841" s="272"/>
    </row>
    <row r="5842" spans="9:19">
      <c r="I5842" s="213"/>
      <c r="J5842" s="213"/>
      <c r="L5842" s="272">
        <f t="shared" si="439"/>
        <v>1900</v>
      </c>
      <c r="M5842" s="272">
        <f t="shared" si="440"/>
        <v>1</v>
      </c>
      <c r="O5842" s="61">
        <f t="shared" si="441"/>
        <v>1900</v>
      </c>
      <c r="P5842" s="61">
        <f t="shared" si="442"/>
        <v>1</v>
      </c>
      <c r="R5842" s="272"/>
      <c r="S5842" s="272"/>
    </row>
    <row r="5843" spans="9:19">
      <c r="I5843" s="213"/>
      <c r="J5843" s="213"/>
      <c r="L5843" s="272">
        <f t="shared" si="439"/>
        <v>1900</v>
      </c>
      <c r="M5843" s="272">
        <f t="shared" si="440"/>
        <v>1</v>
      </c>
      <c r="O5843" s="61">
        <f t="shared" si="441"/>
        <v>1900</v>
      </c>
      <c r="P5843" s="61">
        <f t="shared" si="442"/>
        <v>1</v>
      </c>
      <c r="R5843" s="272"/>
      <c r="S5843" s="272"/>
    </row>
    <row r="5844" spans="9:19">
      <c r="I5844" s="213"/>
      <c r="J5844" s="213"/>
      <c r="L5844" s="272">
        <f t="shared" si="439"/>
        <v>1900</v>
      </c>
      <c r="M5844" s="272">
        <f t="shared" si="440"/>
        <v>1</v>
      </c>
      <c r="O5844" s="61">
        <f t="shared" si="441"/>
        <v>1900</v>
      </c>
      <c r="P5844" s="61">
        <f t="shared" si="442"/>
        <v>1</v>
      </c>
      <c r="R5844" s="272"/>
      <c r="S5844" s="272"/>
    </row>
    <row r="5845" spans="9:19">
      <c r="I5845" s="213"/>
      <c r="J5845" s="213"/>
      <c r="L5845" s="272">
        <f t="shared" si="439"/>
        <v>1900</v>
      </c>
      <c r="M5845" s="272">
        <f t="shared" si="440"/>
        <v>1</v>
      </c>
      <c r="O5845" s="61">
        <f t="shared" si="441"/>
        <v>1900</v>
      </c>
      <c r="P5845" s="61">
        <f t="shared" si="442"/>
        <v>1</v>
      </c>
      <c r="R5845" s="272"/>
      <c r="S5845" s="272"/>
    </row>
    <row r="5846" spans="9:19">
      <c r="I5846" s="213"/>
      <c r="J5846" s="213"/>
      <c r="L5846" s="272">
        <f t="shared" si="439"/>
        <v>1900</v>
      </c>
      <c r="M5846" s="272">
        <f t="shared" si="440"/>
        <v>1</v>
      </c>
      <c r="O5846" s="61">
        <f t="shared" si="441"/>
        <v>1900</v>
      </c>
      <c r="P5846" s="61">
        <f t="shared" si="442"/>
        <v>1</v>
      </c>
      <c r="R5846" s="272"/>
      <c r="S5846" s="272"/>
    </row>
    <row r="5847" spans="9:19">
      <c r="I5847" s="213"/>
      <c r="J5847" s="213"/>
      <c r="L5847" s="272">
        <f t="shared" si="439"/>
        <v>1900</v>
      </c>
      <c r="M5847" s="272">
        <f t="shared" si="440"/>
        <v>1</v>
      </c>
      <c r="O5847" s="61">
        <f t="shared" si="441"/>
        <v>1900</v>
      </c>
      <c r="P5847" s="61">
        <f t="shared" si="442"/>
        <v>1</v>
      </c>
      <c r="R5847" s="272"/>
      <c r="S5847" s="272"/>
    </row>
    <row r="5848" spans="9:19">
      <c r="I5848" s="213"/>
      <c r="J5848" s="213"/>
      <c r="L5848" s="272">
        <f t="shared" si="439"/>
        <v>1900</v>
      </c>
      <c r="M5848" s="272">
        <f t="shared" si="440"/>
        <v>1</v>
      </c>
      <c r="O5848" s="61">
        <f t="shared" si="441"/>
        <v>1900</v>
      </c>
      <c r="P5848" s="61">
        <f t="shared" si="442"/>
        <v>1</v>
      </c>
      <c r="R5848" s="272"/>
      <c r="S5848" s="272"/>
    </row>
    <row r="5849" spans="9:19">
      <c r="I5849" s="213"/>
      <c r="J5849" s="213"/>
      <c r="L5849" s="272">
        <f t="shared" si="439"/>
        <v>1900</v>
      </c>
      <c r="M5849" s="272">
        <f t="shared" si="440"/>
        <v>1</v>
      </c>
      <c r="O5849" s="61">
        <f t="shared" si="441"/>
        <v>1900</v>
      </c>
      <c r="P5849" s="61">
        <f t="shared" si="442"/>
        <v>1</v>
      </c>
      <c r="R5849" s="272"/>
      <c r="S5849" s="272"/>
    </row>
    <row r="5850" spans="9:19">
      <c r="I5850" s="213"/>
      <c r="J5850" s="213"/>
      <c r="L5850" s="272">
        <f t="shared" si="439"/>
        <v>1900</v>
      </c>
      <c r="M5850" s="272">
        <f t="shared" si="440"/>
        <v>1</v>
      </c>
      <c r="O5850" s="61">
        <f t="shared" si="441"/>
        <v>1900</v>
      </c>
      <c r="P5850" s="61">
        <f t="shared" si="442"/>
        <v>1</v>
      </c>
      <c r="R5850" s="272"/>
      <c r="S5850" s="272"/>
    </row>
    <row r="5851" spans="9:19">
      <c r="I5851" s="213"/>
      <c r="J5851" s="213"/>
      <c r="L5851" s="272">
        <f t="shared" si="439"/>
        <v>1900</v>
      </c>
      <c r="M5851" s="272">
        <f t="shared" si="440"/>
        <v>1</v>
      </c>
      <c r="O5851" s="61">
        <f t="shared" si="441"/>
        <v>1900</v>
      </c>
      <c r="P5851" s="61">
        <f t="shared" si="442"/>
        <v>1</v>
      </c>
      <c r="R5851" s="272"/>
      <c r="S5851" s="272"/>
    </row>
    <row r="5852" spans="9:19">
      <c r="I5852" s="213"/>
      <c r="J5852" s="213"/>
      <c r="L5852" s="272">
        <f t="shared" si="439"/>
        <v>1900</v>
      </c>
      <c r="M5852" s="272">
        <f t="shared" si="440"/>
        <v>1</v>
      </c>
      <c r="O5852" s="61">
        <f t="shared" si="441"/>
        <v>1900</v>
      </c>
      <c r="P5852" s="61">
        <f t="shared" si="442"/>
        <v>1</v>
      </c>
      <c r="R5852" s="272"/>
      <c r="S5852" s="272"/>
    </row>
    <row r="5853" spans="9:19">
      <c r="I5853" s="213"/>
      <c r="J5853" s="213"/>
      <c r="L5853" s="272">
        <f t="shared" si="439"/>
        <v>1900</v>
      </c>
      <c r="M5853" s="272">
        <f t="shared" si="440"/>
        <v>1</v>
      </c>
      <c r="O5853" s="61">
        <f t="shared" si="441"/>
        <v>1900</v>
      </c>
      <c r="P5853" s="61">
        <f t="shared" si="442"/>
        <v>1</v>
      </c>
      <c r="R5853" s="272"/>
      <c r="S5853" s="272"/>
    </row>
    <row r="5854" spans="9:19">
      <c r="I5854" s="213"/>
      <c r="J5854" s="213"/>
      <c r="L5854" s="272">
        <f t="shared" si="439"/>
        <v>1900</v>
      </c>
      <c r="M5854" s="272">
        <f t="shared" si="440"/>
        <v>1</v>
      </c>
      <c r="O5854" s="61">
        <f t="shared" si="441"/>
        <v>1900</v>
      </c>
      <c r="P5854" s="61">
        <f t="shared" si="442"/>
        <v>1</v>
      </c>
      <c r="R5854" s="272"/>
      <c r="S5854" s="272"/>
    </row>
    <row r="5855" spans="9:19">
      <c r="I5855" s="213"/>
      <c r="J5855" s="213"/>
      <c r="L5855" s="272">
        <f t="shared" si="439"/>
        <v>1900</v>
      </c>
      <c r="M5855" s="272">
        <f t="shared" si="440"/>
        <v>1</v>
      </c>
      <c r="O5855" s="61">
        <f t="shared" si="441"/>
        <v>1900</v>
      </c>
      <c r="P5855" s="61">
        <f t="shared" si="442"/>
        <v>1</v>
      </c>
      <c r="R5855" s="272"/>
      <c r="S5855" s="272"/>
    </row>
    <row r="5856" spans="9:19">
      <c r="I5856" s="213"/>
      <c r="J5856" s="213"/>
      <c r="L5856" s="272">
        <f t="shared" si="439"/>
        <v>1900</v>
      </c>
      <c r="M5856" s="272">
        <f t="shared" si="440"/>
        <v>1</v>
      </c>
      <c r="O5856" s="61">
        <f t="shared" si="441"/>
        <v>1900</v>
      </c>
      <c r="P5856" s="61">
        <f t="shared" si="442"/>
        <v>1</v>
      </c>
      <c r="R5856" s="272"/>
      <c r="S5856" s="272"/>
    </row>
    <row r="5857" spans="9:19">
      <c r="I5857" s="213"/>
      <c r="J5857" s="213"/>
      <c r="L5857" s="272">
        <f t="shared" si="439"/>
        <v>1900</v>
      </c>
      <c r="M5857" s="272">
        <f t="shared" si="440"/>
        <v>1</v>
      </c>
      <c r="O5857" s="61">
        <f t="shared" si="441"/>
        <v>1900</v>
      </c>
      <c r="P5857" s="61">
        <f t="shared" si="442"/>
        <v>1</v>
      </c>
      <c r="R5857" s="272"/>
      <c r="S5857" s="272"/>
    </row>
    <row r="5858" spans="9:19">
      <c r="I5858" s="213"/>
      <c r="J5858" s="213"/>
      <c r="L5858" s="272">
        <f t="shared" si="439"/>
        <v>1900</v>
      </c>
      <c r="M5858" s="272">
        <f t="shared" si="440"/>
        <v>1</v>
      </c>
      <c r="O5858" s="61">
        <f t="shared" si="441"/>
        <v>1900</v>
      </c>
      <c r="P5858" s="61">
        <f t="shared" si="442"/>
        <v>1</v>
      </c>
      <c r="R5858" s="272"/>
      <c r="S5858" s="272"/>
    </row>
    <row r="5859" spans="9:19">
      <c r="I5859" s="213"/>
      <c r="J5859" s="213"/>
      <c r="L5859" s="272">
        <f t="shared" si="439"/>
        <v>1900</v>
      </c>
      <c r="M5859" s="272">
        <f t="shared" si="440"/>
        <v>1</v>
      </c>
      <c r="O5859" s="61">
        <f t="shared" si="441"/>
        <v>1900</v>
      </c>
      <c r="P5859" s="61">
        <f t="shared" si="442"/>
        <v>1</v>
      </c>
      <c r="R5859" s="272"/>
      <c r="S5859" s="272"/>
    </row>
    <row r="5860" spans="9:19">
      <c r="I5860" s="213"/>
      <c r="J5860" s="213"/>
      <c r="L5860" s="272">
        <f t="shared" si="439"/>
        <v>1900</v>
      </c>
      <c r="M5860" s="272">
        <f t="shared" si="440"/>
        <v>1</v>
      </c>
      <c r="O5860" s="61">
        <f t="shared" si="441"/>
        <v>1900</v>
      </c>
      <c r="P5860" s="61">
        <f t="shared" si="442"/>
        <v>1</v>
      </c>
      <c r="R5860" s="272"/>
      <c r="S5860" s="272"/>
    </row>
    <row r="5861" spans="9:19">
      <c r="I5861" s="213"/>
      <c r="J5861" s="213"/>
      <c r="L5861" s="272">
        <f t="shared" si="439"/>
        <v>1900</v>
      </c>
      <c r="M5861" s="272">
        <f t="shared" si="440"/>
        <v>1</v>
      </c>
      <c r="O5861" s="61">
        <f t="shared" si="441"/>
        <v>1900</v>
      </c>
      <c r="P5861" s="61">
        <f t="shared" si="442"/>
        <v>1</v>
      </c>
      <c r="R5861" s="272"/>
      <c r="S5861" s="272"/>
    </row>
    <row r="5862" spans="9:19">
      <c r="I5862" s="213"/>
      <c r="J5862" s="213"/>
      <c r="L5862" s="272">
        <f t="shared" si="439"/>
        <v>1900</v>
      </c>
      <c r="M5862" s="272">
        <f t="shared" si="440"/>
        <v>1</v>
      </c>
      <c r="O5862" s="61">
        <f t="shared" si="441"/>
        <v>1900</v>
      </c>
      <c r="P5862" s="61">
        <f t="shared" si="442"/>
        <v>1</v>
      </c>
      <c r="R5862" s="272"/>
      <c r="S5862" s="272"/>
    </row>
    <row r="5863" spans="9:19">
      <c r="I5863" s="213"/>
      <c r="J5863" s="213"/>
      <c r="L5863" s="272">
        <f t="shared" si="439"/>
        <v>1900</v>
      </c>
      <c r="M5863" s="272">
        <f t="shared" si="440"/>
        <v>1</v>
      </c>
      <c r="O5863" s="61">
        <f t="shared" si="441"/>
        <v>1900</v>
      </c>
      <c r="P5863" s="61">
        <f t="shared" si="442"/>
        <v>1</v>
      </c>
      <c r="R5863" s="272"/>
      <c r="S5863" s="272"/>
    </row>
    <row r="5864" spans="9:19">
      <c r="I5864" s="213"/>
      <c r="J5864" s="213"/>
      <c r="L5864" s="272">
        <f t="shared" si="439"/>
        <v>1900</v>
      </c>
      <c r="M5864" s="272">
        <f t="shared" si="440"/>
        <v>1</v>
      </c>
      <c r="O5864" s="61">
        <f t="shared" si="441"/>
        <v>1900</v>
      </c>
      <c r="P5864" s="61">
        <f t="shared" si="442"/>
        <v>1</v>
      </c>
      <c r="R5864" s="272"/>
      <c r="S5864" s="272"/>
    </row>
    <row r="5865" spans="9:19">
      <c r="I5865" s="213"/>
      <c r="J5865" s="213"/>
      <c r="L5865" s="272">
        <f t="shared" si="439"/>
        <v>1900</v>
      </c>
      <c r="M5865" s="272">
        <f t="shared" si="440"/>
        <v>1</v>
      </c>
      <c r="O5865" s="61">
        <f t="shared" si="441"/>
        <v>1900</v>
      </c>
      <c r="P5865" s="61">
        <f t="shared" si="442"/>
        <v>1</v>
      </c>
      <c r="R5865" s="272"/>
      <c r="S5865" s="272"/>
    </row>
    <row r="5866" spans="9:19">
      <c r="I5866" s="213"/>
      <c r="J5866" s="213"/>
      <c r="L5866" s="272">
        <f t="shared" si="439"/>
        <v>1900</v>
      </c>
      <c r="M5866" s="272">
        <f t="shared" si="440"/>
        <v>1</v>
      </c>
      <c r="O5866" s="61">
        <f t="shared" si="441"/>
        <v>1900</v>
      </c>
      <c r="P5866" s="61">
        <f t="shared" si="442"/>
        <v>1</v>
      </c>
      <c r="R5866" s="272"/>
      <c r="S5866" s="272"/>
    </row>
    <row r="5867" spans="9:19">
      <c r="I5867" s="213"/>
      <c r="J5867" s="213"/>
      <c r="L5867" s="272">
        <f t="shared" si="439"/>
        <v>1900</v>
      </c>
      <c r="M5867" s="272">
        <f t="shared" si="440"/>
        <v>1</v>
      </c>
      <c r="O5867" s="61">
        <f t="shared" si="441"/>
        <v>1900</v>
      </c>
      <c r="P5867" s="61">
        <f t="shared" si="442"/>
        <v>1</v>
      </c>
      <c r="R5867" s="272"/>
      <c r="S5867" s="272"/>
    </row>
    <row r="5868" spans="9:19">
      <c r="I5868" s="213"/>
      <c r="J5868" s="213"/>
      <c r="L5868" s="272">
        <f t="shared" si="439"/>
        <v>1900</v>
      </c>
      <c r="M5868" s="272">
        <f t="shared" si="440"/>
        <v>1</v>
      </c>
      <c r="O5868" s="61">
        <f t="shared" si="441"/>
        <v>1900</v>
      </c>
      <c r="P5868" s="61">
        <f t="shared" si="442"/>
        <v>1</v>
      </c>
      <c r="R5868" s="272"/>
      <c r="S5868" s="272"/>
    </row>
    <row r="5869" spans="9:19">
      <c r="I5869" s="213"/>
      <c r="J5869" s="213"/>
      <c r="L5869" s="272">
        <f t="shared" si="439"/>
        <v>1900</v>
      </c>
      <c r="M5869" s="272">
        <f t="shared" si="440"/>
        <v>1</v>
      </c>
      <c r="O5869" s="61">
        <f t="shared" si="441"/>
        <v>1900</v>
      </c>
      <c r="P5869" s="61">
        <f t="shared" si="442"/>
        <v>1</v>
      </c>
      <c r="R5869" s="272"/>
      <c r="S5869" s="272"/>
    </row>
    <row r="5870" spans="9:19">
      <c r="I5870" s="213"/>
      <c r="J5870" s="213"/>
      <c r="L5870" s="272">
        <f t="shared" si="439"/>
        <v>1900</v>
      </c>
      <c r="M5870" s="272">
        <f t="shared" si="440"/>
        <v>1</v>
      </c>
      <c r="O5870" s="61">
        <f t="shared" si="441"/>
        <v>1900</v>
      </c>
      <c r="P5870" s="61">
        <f t="shared" si="442"/>
        <v>1</v>
      </c>
      <c r="R5870" s="272"/>
      <c r="S5870" s="272"/>
    </row>
    <row r="5871" spans="9:19">
      <c r="I5871" s="213"/>
      <c r="J5871" s="213"/>
      <c r="L5871" s="272">
        <f t="shared" si="439"/>
        <v>1900</v>
      </c>
      <c r="M5871" s="272">
        <f t="shared" si="440"/>
        <v>1</v>
      </c>
      <c r="O5871" s="61">
        <f t="shared" si="441"/>
        <v>1900</v>
      </c>
      <c r="P5871" s="61">
        <f t="shared" si="442"/>
        <v>1</v>
      </c>
      <c r="R5871" s="272"/>
      <c r="S5871" s="272"/>
    </row>
    <row r="5872" spans="9:19">
      <c r="I5872" s="213"/>
      <c r="J5872" s="213"/>
      <c r="L5872" s="272">
        <f t="shared" si="439"/>
        <v>1900</v>
      </c>
      <c r="M5872" s="272">
        <f t="shared" si="440"/>
        <v>1</v>
      </c>
      <c r="O5872" s="61">
        <f t="shared" si="441"/>
        <v>1900</v>
      </c>
      <c r="P5872" s="61">
        <f t="shared" si="442"/>
        <v>1</v>
      </c>
      <c r="R5872" s="272"/>
      <c r="S5872" s="272"/>
    </row>
    <row r="5873" spans="9:19">
      <c r="I5873" s="213"/>
      <c r="J5873" s="213"/>
      <c r="L5873" s="272">
        <f t="shared" si="439"/>
        <v>1900</v>
      </c>
      <c r="M5873" s="272">
        <f t="shared" si="440"/>
        <v>1</v>
      </c>
      <c r="O5873" s="61">
        <f t="shared" si="441"/>
        <v>1900</v>
      </c>
      <c r="P5873" s="61">
        <f t="shared" si="442"/>
        <v>1</v>
      </c>
      <c r="R5873" s="272"/>
      <c r="S5873" s="272"/>
    </row>
    <row r="5874" spans="9:19">
      <c r="I5874" s="213"/>
      <c r="J5874" s="213"/>
      <c r="L5874" s="272">
        <f t="shared" si="439"/>
        <v>1900</v>
      </c>
      <c r="M5874" s="272">
        <f t="shared" si="440"/>
        <v>1</v>
      </c>
      <c r="O5874" s="61">
        <f t="shared" si="441"/>
        <v>1900</v>
      </c>
      <c r="P5874" s="61">
        <f t="shared" si="442"/>
        <v>1</v>
      </c>
      <c r="R5874" s="272"/>
      <c r="S5874" s="272"/>
    </row>
    <row r="5875" spans="9:19">
      <c r="I5875" s="213"/>
      <c r="J5875" s="213"/>
      <c r="L5875" s="272">
        <f t="shared" si="439"/>
        <v>1900</v>
      </c>
      <c r="M5875" s="272">
        <f t="shared" si="440"/>
        <v>1</v>
      </c>
      <c r="O5875" s="61">
        <f t="shared" si="441"/>
        <v>1900</v>
      </c>
      <c r="P5875" s="61">
        <f t="shared" si="442"/>
        <v>1</v>
      </c>
      <c r="R5875" s="272"/>
      <c r="S5875" s="272"/>
    </row>
    <row r="5876" spans="9:19">
      <c r="I5876" s="213"/>
      <c r="J5876" s="213"/>
      <c r="L5876" s="272">
        <f t="shared" si="439"/>
        <v>1900</v>
      </c>
      <c r="M5876" s="272">
        <f t="shared" si="440"/>
        <v>1</v>
      </c>
      <c r="O5876" s="61">
        <f t="shared" si="441"/>
        <v>1900</v>
      </c>
      <c r="P5876" s="61">
        <f t="shared" si="442"/>
        <v>1</v>
      </c>
      <c r="R5876" s="272"/>
      <c r="S5876" s="272"/>
    </row>
    <row r="5877" spans="9:19">
      <c r="I5877" s="213"/>
      <c r="J5877" s="213"/>
      <c r="L5877" s="272">
        <f t="shared" si="439"/>
        <v>1900</v>
      </c>
      <c r="M5877" s="272">
        <f t="shared" si="440"/>
        <v>1</v>
      </c>
      <c r="O5877" s="61">
        <f t="shared" si="441"/>
        <v>1900</v>
      </c>
      <c r="P5877" s="61">
        <f t="shared" si="442"/>
        <v>1</v>
      </c>
      <c r="R5877" s="272"/>
      <c r="S5877" s="272"/>
    </row>
    <row r="5878" spans="9:19">
      <c r="I5878" s="213"/>
      <c r="J5878" s="213"/>
      <c r="L5878" s="272">
        <f t="shared" si="439"/>
        <v>1900</v>
      </c>
      <c r="M5878" s="272">
        <f t="shared" si="440"/>
        <v>1</v>
      </c>
      <c r="O5878" s="61">
        <f t="shared" si="441"/>
        <v>1900</v>
      </c>
      <c r="P5878" s="61">
        <f t="shared" si="442"/>
        <v>1</v>
      </c>
      <c r="R5878" s="272"/>
      <c r="S5878" s="272"/>
    </row>
    <row r="5879" spans="9:19">
      <c r="I5879" s="213"/>
      <c r="J5879" s="213"/>
      <c r="L5879" s="272">
        <f t="shared" si="439"/>
        <v>1900</v>
      </c>
      <c r="M5879" s="272">
        <f t="shared" si="440"/>
        <v>1</v>
      </c>
      <c r="O5879" s="61">
        <f t="shared" si="441"/>
        <v>1900</v>
      </c>
      <c r="P5879" s="61">
        <f t="shared" si="442"/>
        <v>1</v>
      </c>
      <c r="R5879" s="272"/>
      <c r="S5879" s="272"/>
    </row>
    <row r="5880" spans="9:19">
      <c r="I5880" s="213"/>
      <c r="J5880" s="213"/>
      <c r="L5880" s="272">
        <f t="shared" si="439"/>
        <v>1900</v>
      </c>
      <c r="M5880" s="272">
        <f t="shared" si="440"/>
        <v>1</v>
      </c>
      <c r="O5880" s="61">
        <f t="shared" si="441"/>
        <v>1900</v>
      </c>
      <c r="P5880" s="61">
        <f t="shared" si="442"/>
        <v>1</v>
      </c>
      <c r="R5880" s="272"/>
      <c r="S5880" s="272"/>
    </row>
    <row r="5881" spans="9:19">
      <c r="I5881" s="213"/>
      <c r="J5881" s="213"/>
      <c r="L5881" s="272">
        <f t="shared" si="439"/>
        <v>1900</v>
      </c>
      <c r="M5881" s="272">
        <f t="shared" si="440"/>
        <v>1</v>
      </c>
      <c r="O5881" s="61">
        <f t="shared" si="441"/>
        <v>1900</v>
      </c>
      <c r="P5881" s="61">
        <f t="shared" si="442"/>
        <v>1</v>
      </c>
      <c r="R5881" s="272"/>
      <c r="S5881" s="272"/>
    </row>
    <row r="5882" spans="9:19">
      <c r="I5882" s="213"/>
      <c r="J5882" s="213"/>
      <c r="L5882" s="272">
        <f t="shared" si="439"/>
        <v>1900</v>
      </c>
      <c r="M5882" s="272">
        <f t="shared" si="440"/>
        <v>1</v>
      </c>
      <c r="O5882" s="61">
        <f t="shared" si="441"/>
        <v>1900</v>
      </c>
      <c r="P5882" s="61">
        <f t="shared" si="442"/>
        <v>1</v>
      </c>
      <c r="R5882" s="272"/>
      <c r="S5882" s="272"/>
    </row>
    <row r="5883" spans="9:19">
      <c r="I5883" s="213"/>
      <c r="J5883" s="213"/>
      <c r="L5883" s="272">
        <f t="shared" si="439"/>
        <v>1900</v>
      </c>
      <c r="M5883" s="272">
        <f t="shared" si="440"/>
        <v>1</v>
      </c>
      <c r="O5883" s="61">
        <f t="shared" si="441"/>
        <v>1900</v>
      </c>
      <c r="P5883" s="61">
        <f t="shared" si="442"/>
        <v>1</v>
      </c>
      <c r="R5883" s="272"/>
      <c r="S5883" s="272"/>
    </row>
    <row r="5884" spans="9:19">
      <c r="I5884" s="213"/>
      <c r="J5884" s="213"/>
      <c r="L5884" s="272">
        <f t="shared" si="439"/>
        <v>1900</v>
      </c>
      <c r="M5884" s="272">
        <f t="shared" si="440"/>
        <v>1</v>
      </c>
      <c r="O5884" s="61">
        <f t="shared" si="441"/>
        <v>1900</v>
      </c>
      <c r="P5884" s="61">
        <f t="shared" si="442"/>
        <v>1</v>
      </c>
      <c r="R5884" s="272"/>
      <c r="S5884" s="272"/>
    </row>
    <row r="5885" spans="9:19">
      <c r="I5885" s="213"/>
      <c r="J5885" s="213"/>
      <c r="L5885" s="272">
        <f t="shared" si="439"/>
        <v>1900</v>
      </c>
      <c r="M5885" s="272">
        <f t="shared" si="440"/>
        <v>1</v>
      </c>
      <c r="O5885" s="61">
        <f t="shared" si="441"/>
        <v>1900</v>
      </c>
      <c r="P5885" s="61">
        <f t="shared" si="442"/>
        <v>1</v>
      </c>
      <c r="R5885" s="272"/>
      <c r="S5885" s="272"/>
    </row>
    <row r="5886" spans="9:19">
      <c r="I5886" s="213"/>
      <c r="J5886" s="213"/>
      <c r="L5886" s="272">
        <f t="shared" si="439"/>
        <v>1900</v>
      </c>
      <c r="M5886" s="272">
        <f t="shared" si="440"/>
        <v>1</v>
      </c>
      <c r="O5886" s="61">
        <f t="shared" si="441"/>
        <v>1900</v>
      </c>
      <c r="P5886" s="61">
        <f t="shared" si="442"/>
        <v>1</v>
      </c>
      <c r="R5886" s="272"/>
      <c r="S5886" s="272"/>
    </row>
    <row r="5887" spans="9:19">
      <c r="I5887" s="213"/>
      <c r="J5887" s="213"/>
      <c r="L5887" s="272">
        <f t="shared" si="439"/>
        <v>1900</v>
      </c>
      <c r="M5887" s="272">
        <f t="shared" si="440"/>
        <v>1</v>
      </c>
      <c r="O5887" s="61">
        <f t="shared" si="441"/>
        <v>1900</v>
      </c>
      <c r="P5887" s="61">
        <f t="shared" si="442"/>
        <v>1</v>
      </c>
      <c r="R5887" s="272"/>
      <c r="S5887" s="272"/>
    </row>
    <row r="5888" spans="9:19">
      <c r="I5888" s="213"/>
      <c r="J5888" s="213"/>
      <c r="L5888" s="272">
        <f t="shared" si="439"/>
        <v>1900</v>
      </c>
      <c r="M5888" s="272">
        <f t="shared" si="440"/>
        <v>1</v>
      </c>
      <c r="O5888" s="61">
        <f t="shared" si="441"/>
        <v>1900</v>
      </c>
      <c r="P5888" s="61">
        <f t="shared" si="442"/>
        <v>1</v>
      </c>
      <c r="R5888" s="272"/>
      <c r="S5888" s="272"/>
    </row>
    <row r="5889" spans="9:19">
      <c r="I5889" s="213"/>
      <c r="J5889" s="213"/>
      <c r="L5889" s="272">
        <f t="shared" si="439"/>
        <v>1900</v>
      </c>
      <c r="M5889" s="272">
        <f t="shared" si="440"/>
        <v>1</v>
      </c>
      <c r="O5889" s="61">
        <f t="shared" si="441"/>
        <v>1900</v>
      </c>
      <c r="P5889" s="61">
        <f t="shared" si="442"/>
        <v>1</v>
      </c>
      <c r="R5889" s="272"/>
      <c r="S5889" s="272"/>
    </row>
    <row r="5890" spans="9:19">
      <c r="I5890" s="213"/>
      <c r="J5890" s="213"/>
      <c r="L5890" s="272">
        <f t="shared" si="439"/>
        <v>1900</v>
      </c>
      <c r="M5890" s="272">
        <f t="shared" si="440"/>
        <v>1</v>
      </c>
      <c r="O5890" s="61">
        <f t="shared" si="441"/>
        <v>1900</v>
      </c>
      <c r="P5890" s="61">
        <f t="shared" si="442"/>
        <v>1</v>
      </c>
      <c r="R5890" s="272"/>
      <c r="S5890" s="272"/>
    </row>
    <row r="5891" spans="9:19">
      <c r="I5891" s="213"/>
      <c r="J5891" s="213"/>
      <c r="L5891" s="272">
        <f t="shared" si="439"/>
        <v>1900</v>
      </c>
      <c r="M5891" s="272">
        <f t="shared" si="440"/>
        <v>1</v>
      </c>
      <c r="O5891" s="61">
        <f t="shared" si="441"/>
        <v>1900</v>
      </c>
      <c r="P5891" s="61">
        <f t="shared" si="442"/>
        <v>1</v>
      </c>
      <c r="R5891" s="272"/>
      <c r="S5891" s="272"/>
    </row>
    <row r="5892" spans="9:19">
      <c r="I5892" s="213"/>
      <c r="J5892" s="213"/>
      <c r="L5892" s="272">
        <f t="shared" si="439"/>
        <v>1900</v>
      </c>
      <c r="M5892" s="272">
        <f t="shared" si="440"/>
        <v>1</v>
      </c>
      <c r="O5892" s="61">
        <f t="shared" si="441"/>
        <v>1900</v>
      </c>
      <c r="P5892" s="61">
        <f t="shared" si="442"/>
        <v>1</v>
      </c>
      <c r="R5892" s="272"/>
      <c r="S5892" s="272"/>
    </row>
    <row r="5893" spans="9:19">
      <c r="I5893" s="213"/>
      <c r="J5893" s="213"/>
      <c r="L5893" s="272">
        <f t="shared" si="439"/>
        <v>1900</v>
      </c>
      <c r="M5893" s="272">
        <f t="shared" si="440"/>
        <v>1</v>
      </c>
      <c r="O5893" s="61">
        <f t="shared" si="441"/>
        <v>1900</v>
      </c>
      <c r="P5893" s="61">
        <f t="shared" si="442"/>
        <v>1</v>
      </c>
      <c r="R5893" s="272"/>
      <c r="S5893" s="272"/>
    </row>
    <row r="5894" spans="9:19">
      <c r="I5894" s="213"/>
      <c r="J5894" s="213"/>
      <c r="L5894" s="272">
        <f t="shared" si="439"/>
        <v>1900</v>
      </c>
      <c r="M5894" s="272">
        <f t="shared" si="440"/>
        <v>1</v>
      </c>
      <c r="O5894" s="61">
        <f t="shared" si="441"/>
        <v>1900</v>
      </c>
      <c r="P5894" s="61">
        <f t="shared" si="442"/>
        <v>1</v>
      </c>
      <c r="R5894" s="272"/>
      <c r="S5894" s="272"/>
    </row>
    <row r="5895" spans="9:19">
      <c r="I5895" s="213"/>
      <c r="J5895" s="213"/>
      <c r="L5895" s="272">
        <f t="shared" si="439"/>
        <v>1900</v>
      </c>
      <c r="M5895" s="272">
        <f t="shared" si="440"/>
        <v>1</v>
      </c>
      <c r="O5895" s="61">
        <f t="shared" si="441"/>
        <v>1900</v>
      </c>
      <c r="P5895" s="61">
        <f t="shared" si="442"/>
        <v>1</v>
      </c>
      <c r="R5895" s="272"/>
      <c r="S5895" s="272"/>
    </row>
    <row r="5896" spans="9:19">
      <c r="I5896" s="213"/>
      <c r="J5896" s="213"/>
      <c r="L5896" s="272">
        <f t="shared" si="439"/>
        <v>1900</v>
      </c>
      <c r="M5896" s="272">
        <f t="shared" si="440"/>
        <v>1</v>
      </c>
      <c r="O5896" s="61">
        <f t="shared" si="441"/>
        <v>1900</v>
      </c>
      <c r="P5896" s="61">
        <f t="shared" si="442"/>
        <v>1</v>
      </c>
      <c r="R5896" s="272"/>
      <c r="S5896" s="272"/>
    </row>
    <row r="5897" spans="9:19">
      <c r="I5897" s="213"/>
      <c r="J5897" s="213"/>
      <c r="L5897" s="272">
        <f t="shared" si="439"/>
        <v>1900</v>
      </c>
      <c r="M5897" s="272">
        <f t="shared" si="440"/>
        <v>1</v>
      </c>
      <c r="O5897" s="61">
        <f t="shared" si="441"/>
        <v>1900</v>
      </c>
      <c r="P5897" s="61">
        <f t="shared" si="442"/>
        <v>1</v>
      </c>
      <c r="R5897" s="272"/>
      <c r="S5897" s="272"/>
    </row>
    <row r="5898" spans="9:19">
      <c r="I5898" s="213"/>
      <c r="J5898" s="213"/>
      <c r="L5898" s="272">
        <f t="shared" si="439"/>
        <v>1900</v>
      </c>
      <c r="M5898" s="272">
        <f t="shared" si="440"/>
        <v>1</v>
      </c>
      <c r="O5898" s="61">
        <f t="shared" si="441"/>
        <v>1900</v>
      </c>
      <c r="P5898" s="61">
        <f t="shared" si="442"/>
        <v>1</v>
      </c>
      <c r="R5898" s="272"/>
      <c r="S5898" s="272"/>
    </row>
    <row r="5899" spans="9:19">
      <c r="I5899" s="213"/>
      <c r="J5899" s="213"/>
      <c r="L5899" s="272">
        <f t="shared" si="439"/>
        <v>1900</v>
      </c>
      <c r="M5899" s="272">
        <f t="shared" si="440"/>
        <v>1</v>
      </c>
      <c r="O5899" s="61">
        <f t="shared" si="441"/>
        <v>1900</v>
      </c>
      <c r="P5899" s="61">
        <f t="shared" si="442"/>
        <v>1</v>
      </c>
      <c r="R5899" s="272"/>
      <c r="S5899" s="272"/>
    </row>
    <row r="5900" spans="9:19">
      <c r="I5900" s="213"/>
      <c r="J5900" s="213"/>
      <c r="L5900" s="272">
        <f t="shared" si="439"/>
        <v>1900</v>
      </c>
      <c r="M5900" s="272">
        <f t="shared" si="440"/>
        <v>1</v>
      </c>
      <c r="O5900" s="61">
        <f t="shared" si="441"/>
        <v>1900</v>
      </c>
      <c r="P5900" s="61">
        <f t="shared" si="442"/>
        <v>1</v>
      </c>
      <c r="R5900" s="272"/>
      <c r="S5900" s="272"/>
    </row>
    <row r="5901" spans="9:19">
      <c r="I5901" s="213"/>
      <c r="J5901" s="213"/>
      <c r="L5901" s="272">
        <f t="shared" si="439"/>
        <v>1900</v>
      </c>
      <c r="M5901" s="272">
        <f t="shared" si="440"/>
        <v>1</v>
      </c>
      <c r="O5901" s="61">
        <f t="shared" si="441"/>
        <v>1900</v>
      </c>
      <c r="P5901" s="61">
        <f t="shared" si="442"/>
        <v>1</v>
      </c>
      <c r="R5901" s="272"/>
      <c r="S5901" s="272"/>
    </row>
    <row r="5902" spans="9:19">
      <c r="I5902" s="213"/>
      <c r="J5902" s="213"/>
      <c r="L5902" s="272">
        <f t="shared" si="439"/>
        <v>1900</v>
      </c>
      <c r="M5902" s="272">
        <f t="shared" si="440"/>
        <v>1</v>
      </c>
      <c r="O5902" s="61">
        <f t="shared" si="441"/>
        <v>1900</v>
      </c>
      <c r="P5902" s="61">
        <f t="shared" si="442"/>
        <v>1</v>
      </c>
      <c r="R5902" s="272"/>
      <c r="S5902" s="272"/>
    </row>
    <row r="5903" spans="9:19">
      <c r="I5903" s="213"/>
      <c r="J5903" s="213"/>
      <c r="L5903" s="272">
        <f t="shared" si="439"/>
        <v>1900</v>
      </c>
      <c r="M5903" s="272">
        <f t="shared" si="440"/>
        <v>1</v>
      </c>
      <c r="O5903" s="61">
        <f t="shared" si="441"/>
        <v>1900</v>
      </c>
      <c r="P5903" s="61">
        <f t="shared" si="442"/>
        <v>1</v>
      </c>
      <c r="R5903" s="272"/>
      <c r="S5903" s="272"/>
    </row>
    <row r="5904" spans="9:19">
      <c r="I5904" s="213"/>
      <c r="J5904" s="213"/>
      <c r="L5904" s="272">
        <f t="shared" ref="L5904:L5967" si="443">YEAR(B5904)</f>
        <v>1900</v>
      </c>
      <c r="M5904" s="272">
        <f t="shared" ref="M5904:M5967" si="444">MONTH(B5904)</f>
        <v>1</v>
      </c>
      <c r="O5904" s="61">
        <f t="shared" ref="O5904:O5967" si="445">YEAR(B5904)</f>
        <v>1900</v>
      </c>
      <c r="P5904" s="61">
        <f t="shared" ref="P5904:P5967" si="446">MONTH(B5904)</f>
        <v>1</v>
      </c>
      <c r="R5904" s="272"/>
      <c r="S5904" s="272"/>
    </row>
    <row r="5905" spans="9:19">
      <c r="I5905" s="213"/>
      <c r="J5905" s="213"/>
      <c r="L5905" s="272">
        <f t="shared" si="443"/>
        <v>1900</v>
      </c>
      <c r="M5905" s="272">
        <f t="shared" si="444"/>
        <v>1</v>
      </c>
      <c r="O5905" s="61">
        <f t="shared" si="445"/>
        <v>1900</v>
      </c>
      <c r="P5905" s="61">
        <f t="shared" si="446"/>
        <v>1</v>
      </c>
      <c r="R5905" s="272"/>
      <c r="S5905" s="272"/>
    </row>
    <row r="5906" spans="9:19">
      <c r="I5906" s="213"/>
      <c r="J5906" s="213"/>
      <c r="L5906" s="272">
        <f t="shared" si="443"/>
        <v>1900</v>
      </c>
      <c r="M5906" s="272">
        <f t="shared" si="444"/>
        <v>1</v>
      </c>
      <c r="O5906" s="61">
        <f t="shared" si="445"/>
        <v>1900</v>
      </c>
      <c r="P5906" s="61">
        <f t="shared" si="446"/>
        <v>1</v>
      </c>
      <c r="R5906" s="272"/>
      <c r="S5906" s="272"/>
    </row>
    <row r="5907" spans="9:19">
      <c r="I5907" s="213"/>
      <c r="J5907" s="213"/>
      <c r="L5907" s="272">
        <f t="shared" si="443"/>
        <v>1900</v>
      </c>
      <c r="M5907" s="272">
        <f t="shared" si="444"/>
        <v>1</v>
      </c>
      <c r="O5907" s="61">
        <f t="shared" si="445"/>
        <v>1900</v>
      </c>
      <c r="P5907" s="61">
        <f t="shared" si="446"/>
        <v>1</v>
      </c>
      <c r="R5907" s="272"/>
      <c r="S5907" s="272"/>
    </row>
    <row r="5908" spans="9:19">
      <c r="I5908" s="213"/>
      <c r="J5908" s="213"/>
      <c r="L5908" s="272">
        <f t="shared" si="443"/>
        <v>1900</v>
      </c>
      <c r="M5908" s="272">
        <f t="shared" si="444"/>
        <v>1</v>
      </c>
      <c r="O5908" s="61">
        <f t="shared" si="445"/>
        <v>1900</v>
      </c>
      <c r="P5908" s="61">
        <f t="shared" si="446"/>
        <v>1</v>
      </c>
      <c r="R5908" s="272"/>
      <c r="S5908" s="272"/>
    </row>
    <row r="5909" spans="9:19">
      <c r="I5909" s="213"/>
      <c r="J5909" s="213"/>
      <c r="L5909" s="272">
        <f t="shared" si="443"/>
        <v>1900</v>
      </c>
      <c r="M5909" s="272">
        <f t="shared" si="444"/>
        <v>1</v>
      </c>
      <c r="O5909" s="61">
        <f t="shared" si="445"/>
        <v>1900</v>
      </c>
      <c r="P5909" s="61">
        <f t="shared" si="446"/>
        <v>1</v>
      </c>
      <c r="R5909" s="272"/>
      <c r="S5909" s="272"/>
    </row>
    <row r="5910" spans="9:19">
      <c r="I5910" s="213"/>
      <c r="J5910" s="213"/>
      <c r="L5910" s="272">
        <f t="shared" si="443"/>
        <v>1900</v>
      </c>
      <c r="M5910" s="272">
        <f t="shared" si="444"/>
        <v>1</v>
      </c>
      <c r="O5910" s="61">
        <f t="shared" si="445"/>
        <v>1900</v>
      </c>
      <c r="P5910" s="61">
        <f t="shared" si="446"/>
        <v>1</v>
      </c>
      <c r="R5910" s="272"/>
      <c r="S5910" s="272"/>
    </row>
    <row r="5911" spans="9:19">
      <c r="I5911" s="213"/>
      <c r="J5911" s="213"/>
      <c r="L5911" s="272">
        <f t="shared" si="443"/>
        <v>1900</v>
      </c>
      <c r="M5911" s="272">
        <f t="shared" si="444"/>
        <v>1</v>
      </c>
      <c r="O5911" s="61">
        <f t="shared" si="445"/>
        <v>1900</v>
      </c>
      <c r="P5911" s="61">
        <f t="shared" si="446"/>
        <v>1</v>
      </c>
      <c r="R5911" s="272"/>
      <c r="S5911" s="272"/>
    </row>
    <row r="5912" spans="9:19">
      <c r="I5912" s="213"/>
      <c r="J5912" s="213"/>
      <c r="L5912" s="272">
        <f t="shared" si="443"/>
        <v>1900</v>
      </c>
      <c r="M5912" s="272">
        <f t="shared" si="444"/>
        <v>1</v>
      </c>
      <c r="O5912" s="61">
        <f t="shared" si="445"/>
        <v>1900</v>
      </c>
      <c r="P5912" s="61">
        <f t="shared" si="446"/>
        <v>1</v>
      </c>
      <c r="R5912" s="272"/>
      <c r="S5912" s="272"/>
    </row>
    <row r="5913" spans="9:19">
      <c r="I5913" s="213"/>
      <c r="J5913" s="213"/>
      <c r="L5913" s="272">
        <f t="shared" si="443"/>
        <v>1900</v>
      </c>
      <c r="M5913" s="272">
        <f t="shared" si="444"/>
        <v>1</v>
      </c>
      <c r="O5913" s="61">
        <f t="shared" si="445"/>
        <v>1900</v>
      </c>
      <c r="P5913" s="61">
        <f t="shared" si="446"/>
        <v>1</v>
      </c>
      <c r="R5913" s="272"/>
      <c r="S5913" s="272"/>
    </row>
    <row r="5914" spans="9:19">
      <c r="I5914" s="213"/>
      <c r="J5914" s="213"/>
      <c r="L5914" s="272">
        <f t="shared" si="443"/>
        <v>1900</v>
      </c>
      <c r="M5914" s="272">
        <f t="shared" si="444"/>
        <v>1</v>
      </c>
      <c r="O5914" s="61">
        <f t="shared" si="445"/>
        <v>1900</v>
      </c>
      <c r="P5914" s="61">
        <f t="shared" si="446"/>
        <v>1</v>
      </c>
      <c r="R5914" s="272"/>
      <c r="S5914" s="272"/>
    </row>
    <row r="5915" spans="9:19">
      <c r="I5915" s="213"/>
      <c r="J5915" s="213"/>
      <c r="L5915" s="272">
        <f t="shared" si="443"/>
        <v>1900</v>
      </c>
      <c r="M5915" s="272">
        <f t="shared" si="444"/>
        <v>1</v>
      </c>
      <c r="O5915" s="61">
        <f t="shared" si="445"/>
        <v>1900</v>
      </c>
      <c r="P5915" s="61">
        <f t="shared" si="446"/>
        <v>1</v>
      </c>
      <c r="R5915" s="272"/>
      <c r="S5915" s="272"/>
    </row>
    <row r="5916" spans="9:19">
      <c r="I5916" s="213"/>
      <c r="J5916" s="213"/>
      <c r="L5916" s="272">
        <f t="shared" si="443"/>
        <v>1900</v>
      </c>
      <c r="M5916" s="272">
        <f t="shared" si="444"/>
        <v>1</v>
      </c>
      <c r="O5916" s="61">
        <f t="shared" si="445"/>
        <v>1900</v>
      </c>
      <c r="P5916" s="61">
        <f t="shared" si="446"/>
        <v>1</v>
      </c>
      <c r="R5916" s="272"/>
      <c r="S5916" s="272"/>
    </row>
    <row r="5917" spans="9:19">
      <c r="I5917" s="213"/>
      <c r="J5917" s="213"/>
      <c r="L5917" s="272">
        <f t="shared" si="443"/>
        <v>1900</v>
      </c>
      <c r="M5917" s="272">
        <f t="shared" si="444"/>
        <v>1</v>
      </c>
      <c r="O5917" s="61">
        <f t="shared" si="445"/>
        <v>1900</v>
      </c>
      <c r="P5917" s="61">
        <f t="shared" si="446"/>
        <v>1</v>
      </c>
      <c r="R5917" s="272"/>
      <c r="S5917" s="272"/>
    </row>
    <row r="5918" spans="9:19">
      <c r="I5918" s="213"/>
      <c r="J5918" s="213"/>
      <c r="L5918" s="272">
        <f t="shared" si="443"/>
        <v>1900</v>
      </c>
      <c r="M5918" s="272">
        <f t="shared" si="444"/>
        <v>1</v>
      </c>
      <c r="O5918" s="61">
        <f t="shared" si="445"/>
        <v>1900</v>
      </c>
      <c r="P5918" s="61">
        <f t="shared" si="446"/>
        <v>1</v>
      </c>
      <c r="R5918" s="272"/>
      <c r="S5918" s="272"/>
    </row>
    <row r="5919" spans="9:19">
      <c r="I5919" s="213"/>
      <c r="J5919" s="213"/>
      <c r="L5919" s="272">
        <f t="shared" si="443"/>
        <v>1900</v>
      </c>
      <c r="M5919" s="272">
        <f t="shared" si="444"/>
        <v>1</v>
      </c>
      <c r="O5919" s="61">
        <f t="shared" si="445"/>
        <v>1900</v>
      </c>
      <c r="P5919" s="61">
        <f t="shared" si="446"/>
        <v>1</v>
      </c>
      <c r="R5919" s="272"/>
      <c r="S5919" s="272"/>
    </row>
    <row r="5920" spans="9:19">
      <c r="I5920" s="213"/>
      <c r="J5920" s="213"/>
      <c r="L5920" s="272">
        <f t="shared" si="443"/>
        <v>1900</v>
      </c>
      <c r="M5920" s="272">
        <f t="shared" si="444"/>
        <v>1</v>
      </c>
      <c r="O5920" s="61">
        <f t="shared" si="445"/>
        <v>1900</v>
      </c>
      <c r="P5920" s="61">
        <f t="shared" si="446"/>
        <v>1</v>
      </c>
      <c r="R5920" s="272"/>
      <c r="S5920" s="272"/>
    </row>
    <row r="5921" spans="9:19">
      <c r="I5921" s="213"/>
      <c r="J5921" s="213"/>
      <c r="L5921" s="272">
        <f t="shared" si="443"/>
        <v>1900</v>
      </c>
      <c r="M5921" s="272">
        <f t="shared" si="444"/>
        <v>1</v>
      </c>
      <c r="O5921" s="61">
        <f t="shared" si="445"/>
        <v>1900</v>
      </c>
      <c r="P5921" s="61">
        <f t="shared" si="446"/>
        <v>1</v>
      </c>
      <c r="R5921" s="272"/>
      <c r="S5921" s="272"/>
    </row>
    <row r="5922" spans="9:19">
      <c r="I5922" s="213"/>
      <c r="J5922" s="213"/>
      <c r="L5922" s="272">
        <f t="shared" si="443"/>
        <v>1900</v>
      </c>
      <c r="M5922" s="272">
        <f t="shared" si="444"/>
        <v>1</v>
      </c>
      <c r="O5922" s="61">
        <f t="shared" si="445"/>
        <v>1900</v>
      </c>
      <c r="P5922" s="61">
        <f t="shared" si="446"/>
        <v>1</v>
      </c>
      <c r="R5922" s="272"/>
      <c r="S5922" s="272"/>
    </row>
    <row r="5923" spans="9:19">
      <c r="I5923" s="213"/>
      <c r="J5923" s="213"/>
      <c r="L5923" s="272">
        <f t="shared" si="443"/>
        <v>1900</v>
      </c>
      <c r="M5923" s="272">
        <f t="shared" si="444"/>
        <v>1</v>
      </c>
      <c r="O5923" s="61">
        <f t="shared" si="445"/>
        <v>1900</v>
      </c>
      <c r="P5923" s="61">
        <f t="shared" si="446"/>
        <v>1</v>
      </c>
      <c r="R5923" s="272"/>
      <c r="S5923" s="272"/>
    </row>
    <row r="5924" spans="9:19">
      <c r="I5924" s="213"/>
      <c r="J5924" s="213"/>
      <c r="L5924" s="272">
        <f t="shared" si="443"/>
        <v>1900</v>
      </c>
      <c r="M5924" s="272">
        <f t="shared" si="444"/>
        <v>1</v>
      </c>
      <c r="O5924" s="61">
        <f t="shared" si="445"/>
        <v>1900</v>
      </c>
      <c r="P5924" s="61">
        <f t="shared" si="446"/>
        <v>1</v>
      </c>
      <c r="R5924" s="272"/>
      <c r="S5924" s="272"/>
    </row>
    <row r="5925" spans="9:19">
      <c r="I5925" s="213"/>
      <c r="J5925" s="213"/>
      <c r="L5925" s="272">
        <f t="shared" si="443"/>
        <v>1900</v>
      </c>
      <c r="M5925" s="272">
        <f t="shared" si="444"/>
        <v>1</v>
      </c>
      <c r="O5925" s="61">
        <f t="shared" si="445"/>
        <v>1900</v>
      </c>
      <c r="P5925" s="61">
        <f t="shared" si="446"/>
        <v>1</v>
      </c>
      <c r="R5925" s="272"/>
      <c r="S5925" s="272"/>
    </row>
    <row r="5926" spans="9:19">
      <c r="I5926" s="213"/>
      <c r="J5926" s="213"/>
      <c r="L5926" s="272">
        <f t="shared" si="443"/>
        <v>1900</v>
      </c>
      <c r="M5926" s="272">
        <f t="shared" si="444"/>
        <v>1</v>
      </c>
      <c r="O5926" s="61">
        <f t="shared" si="445"/>
        <v>1900</v>
      </c>
      <c r="P5926" s="61">
        <f t="shared" si="446"/>
        <v>1</v>
      </c>
      <c r="R5926" s="272"/>
      <c r="S5926" s="272"/>
    </row>
    <row r="5927" spans="9:19">
      <c r="I5927" s="213"/>
      <c r="J5927" s="213"/>
      <c r="L5927" s="272">
        <f t="shared" si="443"/>
        <v>1900</v>
      </c>
      <c r="M5927" s="272">
        <f t="shared" si="444"/>
        <v>1</v>
      </c>
      <c r="O5927" s="61">
        <f t="shared" si="445"/>
        <v>1900</v>
      </c>
      <c r="P5927" s="61">
        <f t="shared" si="446"/>
        <v>1</v>
      </c>
      <c r="R5927" s="272"/>
      <c r="S5927" s="272"/>
    </row>
    <row r="5928" spans="9:19">
      <c r="I5928" s="213"/>
      <c r="J5928" s="213"/>
      <c r="L5928" s="272">
        <f t="shared" si="443"/>
        <v>1900</v>
      </c>
      <c r="M5928" s="272">
        <f t="shared" si="444"/>
        <v>1</v>
      </c>
      <c r="O5928" s="61">
        <f t="shared" si="445"/>
        <v>1900</v>
      </c>
      <c r="P5928" s="61">
        <f t="shared" si="446"/>
        <v>1</v>
      </c>
      <c r="R5928" s="272"/>
      <c r="S5928" s="272"/>
    </row>
    <row r="5929" spans="9:19">
      <c r="I5929" s="213"/>
      <c r="J5929" s="213"/>
      <c r="L5929" s="272">
        <f t="shared" si="443"/>
        <v>1900</v>
      </c>
      <c r="M5929" s="272">
        <f t="shared" si="444"/>
        <v>1</v>
      </c>
      <c r="O5929" s="61">
        <f t="shared" si="445"/>
        <v>1900</v>
      </c>
      <c r="P5929" s="61">
        <f t="shared" si="446"/>
        <v>1</v>
      </c>
      <c r="R5929" s="272"/>
      <c r="S5929" s="272"/>
    </row>
    <row r="5930" spans="9:19">
      <c r="I5930" s="213"/>
      <c r="J5930" s="213"/>
      <c r="L5930" s="272">
        <f t="shared" si="443"/>
        <v>1900</v>
      </c>
      <c r="M5930" s="272">
        <f t="shared" si="444"/>
        <v>1</v>
      </c>
      <c r="O5930" s="61">
        <f t="shared" si="445"/>
        <v>1900</v>
      </c>
      <c r="P5930" s="61">
        <f t="shared" si="446"/>
        <v>1</v>
      </c>
      <c r="R5930" s="272"/>
      <c r="S5930" s="272"/>
    </row>
    <row r="5931" spans="9:19">
      <c r="I5931" s="213"/>
      <c r="J5931" s="213"/>
      <c r="L5931" s="272">
        <f t="shared" si="443"/>
        <v>1900</v>
      </c>
      <c r="M5931" s="272">
        <f t="shared" si="444"/>
        <v>1</v>
      </c>
      <c r="O5931" s="61">
        <f t="shared" si="445"/>
        <v>1900</v>
      </c>
      <c r="P5931" s="61">
        <f t="shared" si="446"/>
        <v>1</v>
      </c>
      <c r="R5931" s="272"/>
      <c r="S5931" s="272"/>
    </row>
    <row r="5932" spans="9:19">
      <c r="I5932" s="213"/>
      <c r="J5932" s="213"/>
      <c r="L5932" s="272">
        <f t="shared" si="443"/>
        <v>1900</v>
      </c>
      <c r="M5932" s="272">
        <f t="shared" si="444"/>
        <v>1</v>
      </c>
      <c r="O5932" s="61">
        <f t="shared" si="445"/>
        <v>1900</v>
      </c>
      <c r="P5932" s="61">
        <f t="shared" si="446"/>
        <v>1</v>
      </c>
      <c r="R5932" s="272"/>
      <c r="S5932" s="272"/>
    </row>
    <row r="5933" spans="9:19">
      <c r="I5933" s="213"/>
      <c r="J5933" s="213"/>
      <c r="L5933" s="272">
        <f t="shared" si="443"/>
        <v>1900</v>
      </c>
      <c r="M5933" s="272">
        <f t="shared" si="444"/>
        <v>1</v>
      </c>
      <c r="O5933" s="61">
        <f t="shared" si="445"/>
        <v>1900</v>
      </c>
      <c r="P5933" s="61">
        <f t="shared" si="446"/>
        <v>1</v>
      </c>
      <c r="R5933" s="272"/>
      <c r="S5933" s="272"/>
    </row>
    <row r="5934" spans="9:19">
      <c r="I5934" s="213"/>
      <c r="J5934" s="213"/>
      <c r="L5934" s="272">
        <f t="shared" si="443"/>
        <v>1900</v>
      </c>
      <c r="M5934" s="272">
        <f t="shared" si="444"/>
        <v>1</v>
      </c>
      <c r="O5934" s="61">
        <f t="shared" si="445"/>
        <v>1900</v>
      </c>
      <c r="P5934" s="61">
        <f t="shared" si="446"/>
        <v>1</v>
      </c>
      <c r="R5934" s="272"/>
      <c r="S5934" s="272"/>
    </row>
    <row r="5935" spans="9:19">
      <c r="I5935" s="213"/>
      <c r="J5935" s="213"/>
      <c r="L5935" s="272">
        <f t="shared" si="443"/>
        <v>1900</v>
      </c>
      <c r="M5935" s="272">
        <f t="shared" si="444"/>
        <v>1</v>
      </c>
      <c r="O5935" s="61">
        <f t="shared" si="445"/>
        <v>1900</v>
      </c>
      <c r="P5935" s="61">
        <f t="shared" si="446"/>
        <v>1</v>
      </c>
      <c r="R5935" s="272"/>
      <c r="S5935" s="272"/>
    </row>
    <row r="5936" spans="9:19">
      <c r="I5936" s="213"/>
      <c r="J5936" s="213"/>
      <c r="L5936" s="272">
        <f t="shared" si="443"/>
        <v>1900</v>
      </c>
      <c r="M5936" s="272">
        <f t="shared" si="444"/>
        <v>1</v>
      </c>
      <c r="O5936" s="61">
        <f t="shared" si="445"/>
        <v>1900</v>
      </c>
      <c r="P5936" s="61">
        <f t="shared" si="446"/>
        <v>1</v>
      </c>
      <c r="R5936" s="272"/>
      <c r="S5936" s="272"/>
    </row>
    <row r="5937" spans="9:19">
      <c r="I5937" s="213"/>
      <c r="J5937" s="213"/>
      <c r="L5937" s="272">
        <f t="shared" si="443"/>
        <v>1900</v>
      </c>
      <c r="M5937" s="272">
        <f t="shared" si="444"/>
        <v>1</v>
      </c>
      <c r="O5937" s="61">
        <f t="shared" si="445"/>
        <v>1900</v>
      </c>
      <c r="P5937" s="61">
        <f t="shared" si="446"/>
        <v>1</v>
      </c>
      <c r="R5937" s="272"/>
      <c r="S5937" s="272"/>
    </row>
    <row r="5938" spans="9:19">
      <c r="I5938" s="213"/>
      <c r="J5938" s="213"/>
      <c r="L5938" s="272">
        <f t="shared" si="443"/>
        <v>1900</v>
      </c>
      <c r="M5938" s="272">
        <f t="shared" si="444"/>
        <v>1</v>
      </c>
      <c r="O5938" s="61">
        <f t="shared" si="445"/>
        <v>1900</v>
      </c>
      <c r="P5938" s="61">
        <f t="shared" si="446"/>
        <v>1</v>
      </c>
      <c r="R5938" s="272"/>
      <c r="S5938" s="272"/>
    </row>
    <row r="5939" spans="9:19">
      <c r="I5939" s="213"/>
      <c r="J5939" s="213"/>
      <c r="L5939" s="272">
        <f t="shared" si="443"/>
        <v>1900</v>
      </c>
      <c r="M5939" s="272">
        <f t="shared" si="444"/>
        <v>1</v>
      </c>
      <c r="O5939" s="61">
        <f t="shared" si="445"/>
        <v>1900</v>
      </c>
      <c r="P5939" s="61">
        <f t="shared" si="446"/>
        <v>1</v>
      </c>
      <c r="R5939" s="272"/>
      <c r="S5939" s="272"/>
    </row>
    <row r="5940" spans="9:19">
      <c r="I5940" s="213"/>
      <c r="J5940" s="213"/>
      <c r="L5940" s="272">
        <f t="shared" si="443"/>
        <v>1900</v>
      </c>
      <c r="M5940" s="272">
        <f t="shared" si="444"/>
        <v>1</v>
      </c>
      <c r="O5940" s="61">
        <f t="shared" si="445"/>
        <v>1900</v>
      </c>
      <c r="P5940" s="61">
        <f t="shared" si="446"/>
        <v>1</v>
      </c>
      <c r="R5940" s="272"/>
      <c r="S5940" s="272"/>
    </row>
    <row r="5941" spans="9:19">
      <c r="I5941" s="213"/>
      <c r="J5941" s="213"/>
      <c r="L5941" s="272">
        <f t="shared" si="443"/>
        <v>1900</v>
      </c>
      <c r="M5941" s="272">
        <f t="shared" si="444"/>
        <v>1</v>
      </c>
      <c r="O5941" s="61">
        <f t="shared" si="445"/>
        <v>1900</v>
      </c>
      <c r="P5941" s="61">
        <f t="shared" si="446"/>
        <v>1</v>
      </c>
      <c r="R5941" s="272"/>
      <c r="S5941" s="272"/>
    </row>
    <row r="5942" spans="9:19">
      <c r="I5942" s="213"/>
      <c r="J5942" s="213"/>
      <c r="L5942" s="272">
        <f t="shared" si="443"/>
        <v>1900</v>
      </c>
      <c r="M5942" s="272">
        <f t="shared" si="444"/>
        <v>1</v>
      </c>
      <c r="O5942" s="61">
        <f t="shared" si="445"/>
        <v>1900</v>
      </c>
      <c r="P5942" s="61">
        <f t="shared" si="446"/>
        <v>1</v>
      </c>
      <c r="R5942" s="272"/>
      <c r="S5942" s="272"/>
    </row>
    <row r="5943" spans="9:19">
      <c r="I5943" s="213"/>
      <c r="J5943" s="213"/>
      <c r="L5943" s="272">
        <f t="shared" si="443"/>
        <v>1900</v>
      </c>
      <c r="M5943" s="272">
        <f t="shared" si="444"/>
        <v>1</v>
      </c>
      <c r="O5943" s="61">
        <f t="shared" si="445"/>
        <v>1900</v>
      </c>
      <c r="P5943" s="61">
        <f t="shared" si="446"/>
        <v>1</v>
      </c>
      <c r="R5943" s="272"/>
      <c r="S5943" s="272"/>
    </row>
    <row r="5944" spans="9:19">
      <c r="I5944" s="213"/>
      <c r="J5944" s="213"/>
      <c r="L5944" s="272">
        <f t="shared" si="443"/>
        <v>1900</v>
      </c>
      <c r="M5944" s="272">
        <f t="shared" si="444"/>
        <v>1</v>
      </c>
      <c r="O5944" s="61">
        <f t="shared" si="445"/>
        <v>1900</v>
      </c>
      <c r="P5944" s="61">
        <f t="shared" si="446"/>
        <v>1</v>
      </c>
      <c r="R5944" s="272"/>
      <c r="S5944" s="272"/>
    </row>
    <row r="5945" spans="9:19">
      <c r="I5945" s="213"/>
      <c r="J5945" s="213"/>
      <c r="L5945" s="272">
        <f t="shared" si="443"/>
        <v>1900</v>
      </c>
      <c r="M5945" s="272">
        <f t="shared" si="444"/>
        <v>1</v>
      </c>
      <c r="O5945" s="61">
        <f t="shared" si="445"/>
        <v>1900</v>
      </c>
      <c r="P5945" s="61">
        <f t="shared" si="446"/>
        <v>1</v>
      </c>
      <c r="R5945" s="272"/>
      <c r="S5945" s="272"/>
    </row>
    <row r="5946" spans="9:19">
      <c r="I5946" s="213"/>
      <c r="J5946" s="213"/>
      <c r="L5946" s="272">
        <f t="shared" si="443"/>
        <v>1900</v>
      </c>
      <c r="M5946" s="272">
        <f t="shared" si="444"/>
        <v>1</v>
      </c>
      <c r="O5946" s="61">
        <f t="shared" si="445"/>
        <v>1900</v>
      </c>
      <c r="P5946" s="61">
        <f t="shared" si="446"/>
        <v>1</v>
      </c>
      <c r="R5946" s="272"/>
      <c r="S5946" s="272"/>
    </row>
    <row r="5947" spans="9:19">
      <c r="I5947" s="213"/>
      <c r="J5947" s="213"/>
      <c r="L5947" s="272">
        <f t="shared" si="443"/>
        <v>1900</v>
      </c>
      <c r="M5947" s="272">
        <f t="shared" si="444"/>
        <v>1</v>
      </c>
      <c r="O5947" s="61">
        <f t="shared" si="445"/>
        <v>1900</v>
      </c>
      <c r="P5947" s="61">
        <f t="shared" si="446"/>
        <v>1</v>
      </c>
      <c r="R5947" s="272"/>
      <c r="S5947" s="272"/>
    </row>
    <row r="5948" spans="9:19">
      <c r="I5948" s="213"/>
      <c r="J5948" s="213"/>
      <c r="L5948" s="272">
        <f t="shared" si="443"/>
        <v>1900</v>
      </c>
      <c r="M5948" s="272">
        <f t="shared" si="444"/>
        <v>1</v>
      </c>
      <c r="O5948" s="61">
        <f t="shared" si="445"/>
        <v>1900</v>
      </c>
      <c r="P5948" s="61">
        <f t="shared" si="446"/>
        <v>1</v>
      </c>
      <c r="R5948" s="272"/>
      <c r="S5948" s="272"/>
    </row>
    <row r="5949" spans="9:19">
      <c r="I5949" s="213"/>
      <c r="J5949" s="213"/>
      <c r="L5949" s="272">
        <f t="shared" si="443"/>
        <v>1900</v>
      </c>
      <c r="M5949" s="272">
        <f t="shared" si="444"/>
        <v>1</v>
      </c>
      <c r="O5949" s="61">
        <f t="shared" si="445"/>
        <v>1900</v>
      </c>
      <c r="P5949" s="61">
        <f t="shared" si="446"/>
        <v>1</v>
      </c>
      <c r="R5949" s="272"/>
      <c r="S5949" s="272"/>
    </row>
    <row r="5950" spans="9:19">
      <c r="I5950" s="213"/>
      <c r="J5950" s="213"/>
      <c r="L5950" s="272">
        <f t="shared" si="443"/>
        <v>1900</v>
      </c>
      <c r="M5950" s="272">
        <f t="shared" si="444"/>
        <v>1</v>
      </c>
      <c r="O5950" s="61">
        <f t="shared" si="445"/>
        <v>1900</v>
      </c>
      <c r="P5950" s="61">
        <f t="shared" si="446"/>
        <v>1</v>
      </c>
      <c r="R5950" s="272"/>
      <c r="S5950" s="272"/>
    </row>
    <row r="5951" spans="9:19">
      <c r="I5951" s="213"/>
      <c r="J5951" s="213"/>
      <c r="L5951" s="272">
        <f t="shared" si="443"/>
        <v>1900</v>
      </c>
      <c r="M5951" s="272">
        <f t="shared" si="444"/>
        <v>1</v>
      </c>
      <c r="O5951" s="61">
        <f t="shared" si="445"/>
        <v>1900</v>
      </c>
      <c r="P5951" s="61">
        <f t="shared" si="446"/>
        <v>1</v>
      </c>
      <c r="R5951" s="272"/>
      <c r="S5951" s="272"/>
    </row>
    <row r="5952" spans="9:19">
      <c r="I5952" s="213"/>
      <c r="J5952" s="213"/>
      <c r="L5952" s="272">
        <f t="shared" si="443"/>
        <v>1900</v>
      </c>
      <c r="M5952" s="272">
        <f t="shared" si="444"/>
        <v>1</v>
      </c>
      <c r="O5952" s="61">
        <f t="shared" si="445"/>
        <v>1900</v>
      </c>
      <c r="P5952" s="61">
        <f t="shared" si="446"/>
        <v>1</v>
      </c>
      <c r="R5952" s="272"/>
      <c r="S5952" s="272"/>
    </row>
    <row r="5953" spans="9:19">
      <c r="I5953" s="213"/>
      <c r="J5953" s="213"/>
      <c r="L5953" s="272">
        <f t="shared" si="443"/>
        <v>1900</v>
      </c>
      <c r="M5953" s="272">
        <f t="shared" si="444"/>
        <v>1</v>
      </c>
      <c r="O5953" s="61">
        <f t="shared" si="445"/>
        <v>1900</v>
      </c>
      <c r="P5953" s="61">
        <f t="shared" si="446"/>
        <v>1</v>
      </c>
      <c r="R5953" s="272"/>
      <c r="S5953" s="272"/>
    </row>
    <row r="5954" spans="9:19">
      <c r="I5954" s="213"/>
      <c r="J5954" s="213"/>
      <c r="L5954" s="272">
        <f t="shared" si="443"/>
        <v>1900</v>
      </c>
      <c r="M5954" s="272">
        <f t="shared" si="444"/>
        <v>1</v>
      </c>
      <c r="O5954" s="61">
        <f t="shared" si="445"/>
        <v>1900</v>
      </c>
      <c r="P5954" s="61">
        <f t="shared" si="446"/>
        <v>1</v>
      </c>
      <c r="R5954" s="272"/>
      <c r="S5954" s="272"/>
    </row>
    <row r="5955" spans="9:19">
      <c r="I5955" s="213"/>
      <c r="J5955" s="213"/>
      <c r="L5955" s="272">
        <f t="shared" si="443"/>
        <v>1900</v>
      </c>
      <c r="M5955" s="272">
        <f t="shared" si="444"/>
        <v>1</v>
      </c>
      <c r="O5955" s="61">
        <f t="shared" si="445"/>
        <v>1900</v>
      </c>
      <c r="P5955" s="61">
        <f t="shared" si="446"/>
        <v>1</v>
      </c>
      <c r="R5955" s="272"/>
      <c r="S5955" s="272"/>
    </row>
    <row r="5956" spans="9:19">
      <c r="I5956" s="213"/>
      <c r="J5956" s="213"/>
      <c r="L5956" s="272">
        <f t="shared" si="443"/>
        <v>1900</v>
      </c>
      <c r="M5956" s="272">
        <f t="shared" si="444"/>
        <v>1</v>
      </c>
      <c r="O5956" s="61">
        <f t="shared" si="445"/>
        <v>1900</v>
      </c>
      <c r="P5956" s="61">
        <f t="shared" si="446"/>
        <v>1</v>
      </c>
      <c r="R5956" s="272"/>
      <c r="S5956" s="272"/>
    </row>
    <row r="5957" spans="9:19">
      <c r="I5957" s="213"/>
      <c r="J5957" s="213"/>
      <c r="L5957" s="272">
        <f t="shared" si="443"/>
        <v>1900</v>
      </c>
      <c r="M5957" s="272">
        <f t="shared" si="444"/>
        <v>1</v>
      </c>
      <c r="O5957" s="61">
        <f t="shared" si="445"/>
        <v>1900</v>
      </c>
      <c r="P5957" s="61">
        <f t="shared" si="446"/>
        <v>1</v>
      </c>
      <c r="R5957" s="272"/>
      <c r="S5957" s="272"/>
    </row>
    <row r="5958" spans="9:19">
      <c r="I5958" s="213"/>
      <c r="J5958" s="213"/>
      <c r="L5958" s="272">
        <f t="shared" si="443"/>
        <v>1900</v>
      </c>
      <c r="M5958" s="272">
        <f t="shared" si="444"/>
        <v>1</v>
      </c>
      <c r="O5958" s="61">
        <f t="shared" si="445"/>
        <v>1900</v>
      </c>
      <c r="P5958" s="61">
        <f t="shared" si="446"/>
        <v>1</v>
      </c>
      <c r="R5958" s="272"/>
      <c r="S5958" s="272"/>
    </row>
    <row r="5959" spans="9:19">
      <c r="I5959" s="213"/>
      <c r="J5959" s="213"/>
      <c r="L5959" s="272">
        <f t="shared" si="443"/>
        <v>1900</v>
      </c>
      <c r="M5959" s="272">
        <f t="shared" si="444"/>
        <v>1</v>
      </c>
      <c r="O5959" s="61">
        <f t="shared" si="445"/>
        <v>1900</v>
      </c>
      <c r="P5959" s="61">
        <f t="shared" si="446"/>
        <v>1</v>
      </c>
      <c r="R5959" s="272"/>
      <c r="S5959" s="272"/>
    </row>
    <row r="5960" spans="9:19">
      <c r="I5960" s="213"/>
      <c r="J5960" s="213"/>
      <c r="L5960" s="272">
        <f t="shared" si="443"/>
        <v>1900</v>
      </c>
      <c r="M5960" s="272">
        <f t="shared" si="444"/>
        <v>1</v>
      </c>
      <c r="O5960" s="61">
        <f t="shared" si="445"/>
        <v>1900</v>
      </c>
      <c r="P5960" s="61">
        <f t="shared" si="446"/>
        <v>1</v>
      </c>
      <c r="R5960" s="272"/>
      <c r="S5960" s="272"/>
    </row>
    <row r="5961" spans="9:19">
      <c r="I5961" s="213"/>
      <c r="J5961" s="213"/>
      <c r="L5961" s="272">
        <f t="shared" si="443"/>
        <v>1900</v>
      </c>
      <c r="M5961" s="272">
        <f t="shared" si="444"/>
        <v>1</v>
      </c>
      <c r="O5961" s="61">
        <f t="shared" si="445"/>
        <v>1900</v>
      </c>
      <c r="P5961" s="61">
        <f t="shared" si="446"/>
        <v>1</v>
      </c>
      <c r="R5961" s="272"/>
      <c r="S5961" s="272"/>
    </row>
    <row r="5962" spans="9:19">
      <c r="I5962" s="213"/>
      <c r="J5962" s="213"/>
      <c r="L5962" s="272">
        <f t="shared" si="443"/>
        <v>1900</v>
      </c>
      <c r="M5962" s="272">
        <f t="shared" si="444"/>
        <v>1</v>
      </c>
      <c r="O5962" s="61">
        <f t="shared" si="445"/>
        <v>1900</v>
      </c>
      <c r="P5962" s="61">
        <f t="shared" si="446"/>
        <v>1</v>
      </c>
      <c r="R5962" s="272"/>
      <c r="S5962" s="272"/>
    </row>
    <row r="5963" spans="9:19">
      <c r="I5963" s="213"/>
      <c r="J5963" s="213"/>
      <c r="L5963" s="272">
        <f t="shared" si="443"/>
        <v>1900</v>
      </c>
      <c r="M5963" s="272">
        <f t="shared" si="444"/>
        <v>1</v>
      </c>
      <c r="O5963" s="61">
        <f t="shared" si="445"/>
        <v>1900</v>
      </c>
      <c r="P5963" s="61">
        <f t="shared" si="446"/>
        <v>1</v>
      </c>
      <c r="R5963" s="272"/>
      <c r="S5963" s="272"/>
    </row>
    <row r="5964" spans="9:19">
      <c r="I5964" s="213"/>
      <c r="J5964" s="213"/>
      <c r="L5964" s="272">
        <f t="shared" si="443"/>
        <v>1900</v>
      </c>
      <c r="M5964" s="272">
        <f t="shared" si="444"/>
        <v>1</v>
      </c>
      <c r="O5964" s="61">
        <f t="shared" si="445"/>
        <v>1900</v>
      </c>
      <c r="P5964" s="61">
        <f t="shared" si="446"/>
        <v>1</v>
      </c>
      <c r="R5964" s="272"/>
      <c r="S5964" s="272"/>
    </row>
    <row r="5965" spans="9:19">
      <c r="I5965" s="213"/>
      <c r="J5965" s="213"/>
      <c r="L5965" s="272">
        <f t="shared" si="443"/>
        <v>1900</v>
      </c>
      <c r="M5965" s="272">
        <f t="shared" si="444"/>
        <v>1</v>
      </c>
      <c r="O5965" s="61">
        <f t="shared" si="445"/>
        <v>1900</v>
      </c>
      <c r="P5965" s="61">
        <f t="shared" si="446"/>
        <v>1</v>
      </c>
      <c r="R5965" s="272"/>
      <c r="S5965" s="272"/>
    </row>
    <row r="5966" spans="9:19">
      <c r="I5966" s="213"/>
      <c r="J5966" s="213"/>
      <c r="L5966" s="272">
        <f t="shared" si="443"/>
        <v>1900</v>
      </c>
      <c r="M5966" s="272">
        <f t="shared" si="444"/>
        <v>1</v>
      </c>
      <c r="O5966" s="61">
        <f t="shared" si="445"/>
        <v>1900</v>
      </c>
      <c r="P5966" s="61">
        <f t="shared" si="446"/>
        <v>1</v>
      </c>
      <c r="R5966" s="272"/>
      <c r="S5966" s="272"/>
    </row>
    <row r="5967" spans="9:19">
      <c r="I5967" s="213"/>
      <c r="J5967" s="213"/>
      <c r="L5967" s="272">
        <f t="shared" si="443"/>
        <v>1900</v>
      </c>
      <c r="M5967" s="272">
        <f t="shared" si="444"/>
        <v>1</v>
      </c>
      <c r="O5967" s="61">
        <f t="shared" si="445"/>
        <v>1900</v>
      </c>
      <c r="P5967" s="61">
        <f t="shared" si="446"/>
        <v>1</v>
      </c>
      <c r="R5967" s="272"/>
      <c r="S5967" s="272"/>
    </row>
    <row r="5968" spans="9:19">
      <c r="I5968" s="213"/>
      <c r="J5968" s="213"/>
      <c r="L5968" s="272">
        <f t="shared" ref="L5968:L6031" si="447">YEAR(B5968)</f>
        <v>1900</v>
      </c>
      <c r="M5968" s="272">
        <f t="shared" ref="M5968:M6031" si="448">MONTH(B5968)</f>
        <v>1</v>
      </c>
      <c r="O5968" s="61">
        <f t="shared" ref="O5968:O6031" si="449">YEAR(B5968)</f>
        <v>1900</v>
      </c>
      <c r="P5968" s="61">
        <f t="shared" ref="P5968:P6031" si="450">MONTH(B5968)</f>
        <v>1</v>
      </c>
      <c r="R5968" s="272"/>
      <c r="S5968" s="272"/>
    </row>
    <row r="5969" spans="9:19">
      <c r="I5969" s="213"/>
      <c r="J5969" s="213"/>
      <c r="L5969" s="272">
        <f t="shared" si="447"/>
        <v>1900</v>
      </c>
      <c r="M5969" s="272">
        <f t="shared" si="448"/>
        <v>1</v>
      </c>
      <c r="O5969" s="61">
        <f t="shared" si="449"/>
        <v>1900</v>
      </c>
      <c r="P5969" s="61">
        <f t="shared" si="450"/>
        <v>1</v>
      </c>
      <c r="R5969" s="272"/>
      <c r="S5969" s="272"/>
    </row>
    <row r="5970" spans="9:19">
      <c r="I5970" s="213"/>
      <c r="J5970" s="213"/>
      <c r="L5970" s="272">
        <f t="shared" si="447"/>
        <v>1900</v>
      </c>
      <c r="M5970" s="272">
        <f t="shared" si="448"/>
        <v>1</v>
      </c>
      <c r="O5970" s="61">
        <f t="shared" si="449"/>
        <v>1900</v>
      </c>
      <c r="P5970" s="61">
        <f t="shared" si="450"/>
        <v>1</v>
      </c>
      <c r="R5970" s="272"/>
      <c r="S5970" s="272"/>
    </row>
    <row r="5971" spans="9:19">
      <c r="I5971" s="213"/>
      <c r="J5971" s="213"/>
      <c r="L5971" s="272">
        <f t="shared" si="447"/>
        <v>1900</v>
      </c>
      <c r="M5971" s="272">
        <f t="shared" si="448"/>
        <v>1</v>
      </c>
      <c r="O5971" s="61">
        <f t="shared" si="449"/>
        <v>1900</v>
      </c>
      <c r="P5971" s="61">
        <f t="shared" si="450"/>
        <v>1</v>
      </c>
      <c r="R5971" s="272"/>
      <c r="S5971" s="272"/>
    </row>
    <row r="5972" spans="9:19">
      <c r="I5972" s="213"/>
      <c r="J5972" s="213"/>
      <c r="L5972" s="272">
        <f t="shared" si="447"/>
        <v>1900</v>
      </c>
      <c r="M5972" s="272">
        <f t="shared" si="448"/>
        <v>1</v>
      </c>
      <c r="O5972" s="61">
        <f t="shared" si="449"/>
        <v>1900</v>
      </c>
      <c r="P5972" s="61">
        <f t="shared" si="450"/>
        <v>1</v>
      </c>
      <c r="R5972" s="272"/>
      <c r="S5972" s="272"/>
    </row>
    <row r="5973" spans="9:19">
      <c r="I5973" s="213"/>
      <c r="J5973" s="213"/>
      <c r="L5973" s="272">
        <f t="shared" si="447"/>
        <v>1900</v>
      </c>
      <c r="M5973" s="272">
        <f t="shared" si="448"/>
        <v>1</v>
      </c>
      <c r="O5973" s="61">
        <f t="shared" si="449"/>
        <v>1900</v>
      </c>
      <c r="P5973" s="61">
        <f t="shared" si="450"/>
        <v>1</v>
      </c>
      <c r="R5973" s="272"/>
      <c r="S5973" s="272"/>
    </row>
    <row r="5974" spans="9:19">
      <c r="I5974" s="213"/>
      <c r="J5974" s="213"/>
      <c r="L5974" s="272">
        <f t="shared" si="447"/>
        <v>1900</v>
      </c>
      <c r="M5974" s="272">
        <f t="shared" si="448"/>
        <v>1</v>
      </c>
      <c r="O5974" s="61">
        <f t="shared" si="449"/>
        <v>1900</v>
      </c>
      <c r="P5974" s="61">
        <f t="shared" si="450"/>
        <v>1</v>
      </c>
      <c r="R5974" s="272"/>
      <c r="S5974" s="272"/>
    </row>
    <row r="5975" spans="9:19">
      <c r="I5975" s="213"/>
      <c r="J5975" s="213"/>
      <c r="L5975" s="272">
        <f t="shared" si="447"/>
        <v>1900</v>
      </c>
      <c r="M5975" s="272">
        <f t="shared" si="448"/>
        <v>1</v>
      </c>
      <c r="O5975" s="61">
        <f t="shared" si="449"/>
        <v>1900</v>
      </c>
      <c r="P5975" s="61">
        <f t="shared" si="450"/>
        <v>1</v>
      </c>
      <c r="R5975" s="272"/>
      <c r="S5975" s="272"/>
    </row>
    <row r="5976" spans="9:19">
      <c r="I5976" s="213"/>
      <c r="J5976" s="213"/>
      <c r="L5976" s="272">
        <f t="shared" si="447"/>
        <v>1900</v>
      </c>
      <c r="M5976" s="272">
        <f t="shared" si="448"/>
        <v>1</v>
      </c>
      <c r="O5976" s="61">
        <f t="shared" si="449"/>
        <v>1900</v>
      </c>
      <c r="P5976" s="61">
        <f t="shared" si="450"/>
        <v>1</v>
      </c>
      <c r="R5976" s="272"/>
      <c r="S5976" s="272"/>
    </row>
    <row r="5977" spans="9:19">
      <c r="I5977" s="213"/>
      <c r="J5977" s="213"/>
      <c r="L5977" s="272">
        <f t="shared" si="447"/>
        <v>1900</v>
      </c>
      <c r="M5977" s="272">
        <f t="shared" si="448"/>
        <v>1</v>
      </c>
      <c r="O5977" s="61">
        <f t="shared" si="449"/>
        <v>1900</v>
      </c>
      <c r="P5977" s="61">
        <f t="shared" si="450"/>
        <v>1</v>
      </c>
      <c r="R5977" s="272"/>
      <c r="S5977" s="272"/>
    </row>
    <row r="5978" spans="9:19">
      <c r="I5978" s="213"/>
      <c r="J5978" s="213"/>
      <c r="L5978" s="272">
        <f t="shared" si="447"/>
        <v>1900</v>
      </c>
      <c r="M5978" s="272">
        <f t="shared" si="448"/>
        <v>1</v>
      </c>
      <c r="O5978" s="61">
        <f t="shared" si="449"/>
        <v>1900</v>
      </c>
      <c r="P5978" s="61">
        <f t="shared" si="450"/>
        <v>1</v>
      </c>
      <c r="R5978" s="272"/>
      <c r="S5978" s="272"/>
    </row>
    <row r="5979" spans="9:19">
      <c r="I5979" s="213"/>
      <c r="J5979" s="213"/>
      <c r="L5979" s="272">
        <f t="shared" si="447"/>
        <v>1900</v>
      </c>
      <c r="M5979" s="272">
        <f t="shared" si="448"/>
        <v>1</v>
      </c>
      <c r="O5979" s="61">
        <f t="shared" si="449"/>
        <v>1900</v>
      </c>
      <c r="P5979" s="61">
        <f t="shared" si="450"/>
        <v>1</v>
      </c>
      <c r="R5979" s="272"/>
      <c r="S5979" s="272"/>
    </row>
    <row r="5980" spans="9:19">
      <c r="I5980" s="213"/>
      <c r="J5980" s="213"/>
      <c r="L5980" s="272">
        <f t="shared" si="447"/>
        <v>1900</v>
      </c>
      <c r="M5980" s="272">
        <f t="shared" si="448"/>
        <v>1</v>
      </c>
      <c r="O5980" s="61">
        <f t="shared" si="449"/>
        <v>1900</v>
      </c>
      <c r="P5980" s="61">
        <f t="shared" si="450"/>
        <v>1</v>
      </c>
      <c r="R5980" s="272"/>
      <c r="S5980" s="272"/>
    </row>
    <row r="5981" spans="9:19">
      <c r="I5981" s="213"/>
      <c r="J5981" s="213"/>
      <c r="L5981" s="272">
        <f t="shared" si="447"/>
        <v>1900</v>
      </c>
      <c r="M5981" s="272">
        <f t="shared" si="448"/>
        <v>1</v>
      </c>
      <c r="O5981" s="61">
        <f t="shared" si="449"/>
        <v>1900</v>
      </c>
      <c r="P5981" s="61">
        <f t="shared" si="450"/>
        <v>1</v>
      </c>
      <c r="R5981" s="272"/>
      <c r="S5981" s="272"/>
    </row>
    <row r="5982" spans="9:19">
      <c r="I5982" s="213"/>
      <c r="J5982" s="213"/>
      <c r="L5982" s="272">
        <f t="shared" si="447"/>
        <v>1900</v>
      </c>
      <c r="M5982" s="272">
        <f t="shared" si="448"/>
        <v>1</v>
      </c>
      <c r="O5982" s="61">
        <f t="shared" si="449"/>
        <v>1900</v>
      </c>
      <c r="P5982" s="61">
        <f t="shared" si="450"/>
        <v>1</v>
      </c>
      <c r="R5982" s="272"/>
      <c r="S5982" s="272"/>
    </row>
    <row r="5983" spans="9:19">
      <c r="I5983" s="213"/>
      <c r="J5983" s="213"/>
      <c r="L5983" s="272">
        <f t="shared" si="447"/>
        <v>1900</v>
      </c>
      <c r="M5983" s="272">
        <f t="shared" si="448"/>
        <v>1</v>
      </c>
      <c r="O5983" s="61">
        <f t="shared" si="449"/>
        <v>1900</v>
      </c>
      <c r="P5983" s="61">
        <f t="shared" si="450"/>
        <v>1</v>
      </c>
      <c r="R5983" s="272"/>
      <c r="S5983" s="272"/>
    </row>
    <row r="5984" spans="9:19">
      <c r="I5984" s="213"/>
      <c r="J5984" s="213"/>
      <c r="L5984" s="272">
        <f t="shared" si="447"/>
        <v>1900</v>
      </c>
      <c r="M5984" s="272">
        <f t="shared" si="448"/>
        <v>1</v>
      </c>
      <c r="O5984" s="61">
        <f t="shared" si="449"/>
        <v>1900</v>
      </c>
      <c r="P5984" s="61">
        <f t="shared" si="450"/>
        <v>1</v>
      </c>
      <c r="R5984" s="272"/>
      <c r="S5984" s="272"/>
    </row>
    <row r="5985" spans="9:19">
      <c r="I5985" s="213"/>
      <c r="J5985" s="213"/>
      <c r="L5985" s="272">
        <f t="shared" si="447"/>
        <v>1900</v>
      </c>
      <c r="M5985" s="272">
        <f t="shared" si="448"/>
        <v>1</v>
      </c>
      <c r="O5985" s="61">
        <f t="shared" si="449"/>
        <v>1900</v>
      </c>
      <c r="P5985" s="61">
        <f t="shared" si="450"/>
        <v>1</v>
      </c>
      <c r="R5985" s="272"/>
      <c r="S5985" s="272"/>
    </row>
    <row r="5986" spans="9:19">
      <c r="I5986" s="213"/>
      <c r="J5986" s="213"/>
      <c r="L5986" s="272">
        <f t="shared" si="447"/>
        <v>1900</v>
      </c>
      <c r="M5986" s="272">
        <f t="shared" si="448"/>
        <v>1</v>
      </c>
      <c r="O5986" s="61">
        <f t="shared" si="449"/>
        <v>1900</v>
      </c>
      <c r="P5986" s="61">
        <f t="shared" si="450"/>
        <v>1</v>
      </c>
      <c r="R5986" s="272"/>
      <c r="S5986" s="272"/>
    </row>
    <row r="5987" spans="9:19">
      <c r="I5987" s="213"/>
      <c r="J5987" s="213"/>
      <c r="L5987" s="272">
        <f t="shared" si="447"/>
        <v>1900</v>
      </c>
      <c r="M5987" s="272">
        <f t="shared" si="448"/>
        <v>1</v>
      </c>
      <c r="O5987" s="61">
        <f t="shared" si="449"/>
        <v>1900</v>
      </c>
      <c r="P5987" s="61">
        <f t="shared" si="450"/>
        <v>1</v>
      </c>
      <c r="R5987" s="272"/>
      <c r="S5987" s="272"/>
    </row>
    <row r="5988" spans="9:19">
      <c r="I5988" s="213"/>
      <c r="J5988" s="213"/>
      <c r="L5988" s="272">
        <f t="shared" si="447"/>
        <v>1900</v>
      </c>
      <c r="M5988" s="272">
        <f t="shared" si="448"/>
        <v>1</v>
      </c>
      <c r="O5988" s="61">
        <f t="shared" si="449"/>
        <v>1900</v>
      </c>
      <c r="P5988" s="61">
        <f t="shared" si="450"/>
        <v>1</v>
      </c>
      <c r="R5988" s="272"/>
      <c r="S5988" s="272"/>
    </row>
    <row r="5989" spans="9:19">
      <c r="I5989" s="213"/>
      <c r="J5989" s="213"/>
      <c r="L5989" s="272">
        <f t="shared" si="447"/>
        <v>1900</v>
      </c>
      <c r="M5989" s="272">
        <f t="shared" si="448"/>
        <v>1</v>
      </c>
      <c r="O5989" s="61">
        <f t="shared" si="449"/>
        <v>1900</v>
      </c>
      <c r="P5989" s="61">
        <f t="shared" si="450"/>
        <v>1</v>
      </c>
      <c r="R5989" s="272"/>
      <c r="S5989" s="272"/>
    </row>
    <row r="5990" spans="9:19">
      <c r="I5990" s="213"/>
      <c r="J5990" s="213"/>
      <c r="L5990" s="272">
        <f t="shared" si="447"/>
        <v>1900</v>
      </c>
      <c r="M5990" s="272">
        <f t="shared" si="448"/>
        <v>1</v>
      </c>
      <c r="O5990" s="61">
        <f t="shared" si="449"/>
        <v>1900</v>
      </c>
      <c r="P5990" s="61">
        <f t="shared" si="450"/>
        <v>1</v>
      </c>
      <c r="R5990" s="272"/>
      <c r="S5990" s="272"/>
    </row>
    <row r="5991" spans="9:19">
      <c r="I5991" s="213"/>
      <c r="J5991" s="213"/>
      <c r="L5991" s="272">
        <f t="shared" si="447"/>
        <v>1900</v>
      </c>
      <c r="M5991" s="272">
        <f t="shared" si="448"/>
        <v>1</v>
      </c>
      <c r="O5991" s="61">
        <f t="shared" si="449"/>
        <v>1900</v>
      </c>
      <c r="P5991" s="61">
        <f t="shared" si="450"/>
        <v>1</v>
      </c>
      <c r="R5991" s="272"/>
      <c r="S5991" s="272"/>
    </row>
    <row r="5992" spans="9:19">
      <c r="I5992" s="213"/>
      <c r="J5992" s="213"/>
      <c r="L5992" s="272">
        <f t="shared" si="447"/>
        <v>1900</v>
      </c>
      <c r="M5992" s="272">
        <f t="shared" si="448"/>
        <v>1</v>
      </c>
      <c r="O5992" s="61">
        <f t="shared" si="449"/>
        <v>1900</v>
      </c>
      <c r="P5992" s="61">
        <f t="shared" si="450"/>
        <v>1</v>
      </c>
      <c r="R5992" s="272"/>
      <c r="S5992" s="272"/>
    </row>
    <row r="5993" spans="9:19">
      <c r="I5993" s="213"/>
      <c r="J5993" s="213"/>
      <c r="L5993" s="272">
        <f t="shared" si="447"/>
        <v>1900</v>
      </c>
      <c r="M5993" s="272">
        <f t="shared" si="448"/>
        <v>1</v>
      </c>
      <c r="O5993" s="61">
        <f t="shared" si="449"/>
        <v>1900</v>
      </c>
      <c r="P5993" s="61">
        <f t="shared" si="450"/>
        <v>1</v>
      </c>
      <c r="R5993" s="272"/>
      <c r="S5993" s="272"/>
    </row>
    <row r="5994" spans="9:19">
      <c r="I5994" s="213"/>
      <c r="J5994" s="213"/>
      <c r="L5994" s="272">
        <f t="shared" si="447"/>
        <v>1900</v>
      </c>
      <c r="M5994" s="272">
        <f t="shared" si="448"/>
        <v>1</v>
      </c>
      <c r="O5994" s="61">
        <f t="shared" si="449"/>
        <v>1900</v>
      </c>
      <c r="P5994" s="61">
        <f t="shared" si="450"/>
        <v>1</v>
      </c>
      <c r="R5994" s="272"/>
      <c r="S5994" s="272"/>
    </row>
    <row r="5995" spans="9:19">
      <c r="I5995" s="213"/>
      <c r="J5995" s="213"/>
      <c r="L5995" s="272">
        <f t="shared" si="447"/>
        <v>1900</v>
      </c>
      <c r="M5995" s="272">
        <f t="shared" si="448"/>
        <v>1</v>
      </c>
      <c r="O5995" s="61">
        <f t="shared" si="449"/>
        <v>1900</v>
      </c>
      <c r="P5995" s="61">
        <f t="shared" si="450"/>
        <v>1</v>
      </c>
      <c r="R5995" s="272"/>
      <c r="S5995" s="272"/>
    </row>
    <row r="5996" spans="9:19">
      <c r="I5996" s="213"/>
      <c r="J5996" s="213"/>
      <c r="L5996" s="272">
        <f t="shared" si="447"/>
        <v>1900</v>
      </c>
      <c r="M5996" s="272">
        <f t="shared" si="448"/>
        <v>1</v>
      </c>
      <c r="O5996" s="61">
        <f t="shared" si="449"/>
        <v>1900</v>
      </c>
      <c r="P5996" s="61">
        <f t="shared" si="450"/>
        <v>1</v>
      </c>
      <c r="R5996" s="272"/>
      <c r="S5996" s="272"/>
    </row>
    <row r="5997" spans="9:19">
      <c r="I5997" s="213"/>
      <c r="J5997" s="213"/>
      <c r="L5997" s="272">
        <f t="shared" si="447"/>
        <v>1900</v>
      </c>
      <c r="M5997" s="272">
        <f t="shared" si="448"/>
        <v>1</v>
      </c>
      <c r="O5997" s="61">
        <f t="shared" si="449"/>
        <v>1900</v>
      </c>
      <c r="P5997" s="61">
        <f t="shared" si="450"/>
        <v>1</v>
      </c>
      <c r="R5997" s="272"/>
      <c r="S5997" s="272"/>
    </row>
    <row r="5998" spans="9:19">
      <c r="I5998" s="213"/>
      <c r="J5998" s="213"/>
      <c r="L5998" s="272">
        <f t="shared" si="447"/>
        <v>1900</v>
      </c>
      <c r="M5998" s="272">
        <f t="shared" si="448"/>
        <v>1</v>
      </c>
      <c r="O5998" s="61">
        <f t="shared" si="449"/>
        <v>1900</v>
      </c>
      <c r="P5998" s="61">
        <f t="shared" si="450"/>
        <v>1</v>
      </c>
      <c r="R5998" s="272"/>
      <c r="S5998" s="272"/>
    </row>
    <row r="5999" spans="9:19">
      <c r="I5999" s="213"/>
      <c r="J5999" s="213"/>
      <c r="L5999" s="272">
        <f t="shared" si="447"/>
        <v>1900</v>
      </c>
      <c r="M5999" s="272">
        <f t="shared" si="448"/>
        <v>1</v>
      </c>
      <c r="O5999" s="61">
        <f t="shared" si="449"/>
        <v>1900</v>
      </c>
      <c r="P5999" s="61">
        <f t="shared" si="450"/>
        <v>1</v>
      </c>
      <c r="R5999" s="272"/>
      <c r="S5999" s="272"/>
    </row>
    <row r="6000" spans="9:19">
      <c r="I6000" s="213"/>
      <c r="J6000" s="213"/>
      <c r="L6000" s="272">
        <f t="shared" si="447"/>
        <v>1900</v>
      </c>
      <c r="M6000" s="272">
        <f t="shared" si="448"/>
        <v>1</v>
      </c>
      <c r="O6000" s="61">
        <f t="shared" si="449"/>
        <v>1900</v>
      </c>
      <c r="P6000" s="61">
        <f t="shared" si="450"/>
        <v>1</v>
      </c>
      <c r="R6000" s="272"/>
      <c r="S6000" s="272"/>
    </row>
    <row r="6001" spans="9:19">
      <c r="I6001" s="213"/>
      <c r="J6001" s="213"/>
      <c r="L6001" s="272">
        <f t="shared" si="447"/>
        <v>1900</v>
      </c>
      <c r="M6001" s="272">
        <f t="shared" si="448"/>
        <v>1</v>
      </c>
      <c r="O6001" s="61">
        <f t="shared" si="449"/>
        <v>1900</v>
      </c>
      <c r="P6001" s="61">
        <f t="shared" si="450"/>
        <v>1</v>
      </c>
      <c r="R6001" s="272"/>
      <c r="S6001" s="272"/>
    </row>
    <row r="6002" spans="9:19">
      <c r="I6002" s="213"/>
      <c r="J6002" s="213"/>
      <c r="L6002" s="272">
        <f t="shared" si="447"/>
        <v>1900</v>
      </c>
      <c r="M6002" s="272">
        <f t="shared" si="448"/>
        <v>1</v>
      </c>
      <c r="O6002" s="61">
        <f t="shared" si="449"/>
        <v>1900</v>
      </c>
      <c r="P6002" s="61">
        <f t="shared" si="450"/>
        <v>1</v>
      </c>
      <c r="R6002" s="272"/>
      <c r="S6002" s="272"/>
    </row>
    <row r="6003" spans="9:19">
      <c r="I6003" s="213"/>
      <c r="J6003" s="213"/>
      <c r="L6003" s="272">
        <f t="shared" si="447"/>
        <v>1900</v>
      </c>
      <c r="M6003" s="272">
        <f t="shared" si="448"/>
        <v>1</v>
      </c>
      <c r="O6003" s="61">
        <f t="shared" si="449"/>
        <v>1900</v>
      </c>
      <c r="P6003" s="61">
        <f t="shared" si="450"/>
        <v>1</v>
      </c>
      <c r="R6003" s="272"/>
      <c r="S6003" s="272"/>
    </row>
    <row r="6004" spans="9:19">
      <c r="I6004" s="213"/>
      <c r="J6004" s="213"/>
      <c r="L6004" s="272">
        <f t="shared" si="447"/>
        <v>1900</v>
      </c>
      <c r="M6004" s="272">
        <f t="shared" si="448"/>
        <v>1</v>
      </c>
      <c r="O6004" s="61">
        <f t="shared" si="449"/>
        <v>1900</v>
      </c>
      <c r="P6004" s="61">
        <f t="shared" si="450"/>
        <v>1</v>
      </c>
      <c r="R6004" s="272"/>
      <c r="S6004" s="272"/>
    </row>
    <row r="6005" spans="9:19">
      <c r="I6005" s="213"/>
      <c r="J6005" s="213"/>
      <c r="L6005" s="272">
        <f t="shared" si="447"/>
        <v>1900</v>
      </c>
      <c r="M6005" s="272">
        <f t="shared" si="448"/>
        <v>1</v>
      </c>
      <c r="O6005" s="61">
        <f t="shared" si="449"/>
        <v>1900</v>
      </c>
      <c r="P6005" s="61">
        <f t="shared" si="450"/>
        <v>1</v>
      </c>
      <c r="R6005" s="272"/>
      <c r="S6005" s="272"/>
    </row>
    <row r="6006" spans="9:19">
      <c r="I6006" s="213"/>
      <c r="J6006" s="213"/>
      <c r="L6006" s="272">
        <f t="shared" si="447"/>
        <v>1900</v>
      </c>
      <c r="M6006" s="272">
        <f t="shared" si="448"/>
        <v>1</v>
      </c>
      <c r="O6006" s="61">
        <f t="shared" si="449"/>
        <v>1900</v>
      </c>
      <c r="P6006" s="61">
        <f t="shared" si="450"/>
        <v>1</v>
      </c>
      <c r="R6006" s="272"/>
      <c r="S6006" s="272"/>
    </row>
    <row r="6007" spans="9:19">
      <c r="I6007" s="213"/>
      <c r="J6007" s="213"/>
      <c r="L6007" s="272">
        <f t="shared" si="447"/>
        <v>1900</v>
      </c>
      <c r="M6007" s="272">
        <f t="shared" si="448"/>
        <v>1</v>
      </c>
      <c r="O6007" s="61">
        <f t="shared" si="449"/>
        <v>1900</v>
      </c>
      <c r="P6007" s="61">
        <f t="shared" si="450"/>
        <v>1</v>
      </c>
      <c r="R6007" s="272"/>
      <c r="S6007" s="272"/>
    </row>
    <row r="6008" spans="9:19">
      <c r="I6008" s="213"/>
      <c r="J6008" s="213"/>
      <c r="L6008" s="272">
        <f t="shared" si="447"/>
        <v>1900</v>
      </c>
      <c r="M6008" s="272">
        <f t="shared" si="448"/>
        <v>1</v>
      </c>
      <c r="O6008" s="61">
        <f t="shared" si="449"/>
        <v>1900</v>
      </c>
      <c r="P6008" s="61">
        <f t="shared" si="450"/>
        <v>1</v>
      </c>
      <c r="R6008" s="272"/>
      <c r="S6008" s="272"/>
    </row>
    <row r="6009" spans="9:19">
      <c r="I6009" s="213"/>
      <c r="J6009" s="213"/>
      <c r="L6009" s="272">
        <f t="shared" si="447"/>
        <v>1900</v>
      </c>
      <c r="M6009" s="272">
        <f t="shared" si="448"/>
        <v>1</v>
      </c>
      <c r="O6009" s="61">
        <f t="shared" si="449"/>
        <v>1900</v>
      </c>
      <c r="P6009" s="61">
        <f t="shared" si="450"/>
        <v>1</v>
      </c>
      <c r="R6009" s="272"/>
      <c r="S6009" s="272"/>
    </row>
    <row r="6010" spans="9:19">
      <c r="I6010" s="213"/>
      <c r="J6010" s="213"/>
      <c r="L6010" s="272">
        <f t="shared" si="447"/>
        <v>1900</v>
      </c>
      <c r="M6010" s="272">
        <f t="shared" si="448"/>
        <v>1</v>
      </c>
      <c r="O6010" s="61">
        <f t="shared" si="449"/>
        <v>1900</v>
      </c>
      <c r="P6010" s="61">
        <f t="shared" si="450"/>
        <v>1</v>
      </c>
      <c r="R6010" s="272"/>
      <c r="S6010" s="272"/>
    </row>
    <row r="6011" spans="9:19">
      <c r="I6011" s="213"/>
      <c r="J6011" s="213"/>
      <c r="L6011" s="272">
        <f t="shared" si="447"/>
        <v>1900</v>
      </c>
      <c r="M6011" s="272">
        <f t="shared" si="448"/>
        <v>1</v>
      </c>
      <c r="O6011" s="61">
        <f t="shared" si="449"/>
        <v>1900</v>
      </c>
      <c r="P6011" s="61">
        <f t="shared" si="450"/>
        <v>1</v>
      </c>
      <c r="R6011" s="272"/>
      <c r="S6011" s="272"/>
    </row>
    <row r="6012" spans="9:19">
      <c r="I6012" s="213"/>
      <c r="J6012" s="213"/>
      <c r="L6012" s="272">
        <f t="shared" si="447"/>
        <v>1900</v>
      </c>
      <c r="M6012" s="272">
        <f t="shared" si="448"/>
        <v>1</v>
      </c>
      <c r="O6012" s="61">
        <f t="shared" si="449"/>
        <v>1900</v>
      </c>
      <c r="P6012" s="61">
        <f t="shared" si="450"/>
        <v>1</v>
      </c>
      <c r="R6012" s="272"/>
      <c r="S6012" s="272"/>
    </row>
    <row r="6013" spans="9:19">
      <c r="I6013" s="213"/>
      <c r="J6013" s="213"/>
      <c r="L6013" s="272">
        <f t="shared" si="447"/>
        <v>1900</v>
      </c>
      <c r="M6013" s="272">
        <f t="shared" si="448"/>
        <v>1</v>
      </c>
      <c r="O6013" s="61">
        <f t="shared" si="449"/>
        <v>1900</v>
      </c>
      <c r="P6013" s="61">
        <f t="shared" si="450"/>
        <v>1</v>
      </c>
      <c r="R6013" s="272"/>
      <c r="S6013" s="272"/>
    </row>
    <row r="6014" spans="9:19">
      <c r="I6014" s="213"/>
      <c r="J6014" s="213"/>
      <c r="L6014" s="272">
        <f t="shared" si="447"/>
        <v>1900</v>
      </c>
      <c r="M6014" s="272">
        <f t="shared" si="448"/>
        <v>1</v>
      </c>
      <c r="O6014" s="61">
        <f t="shared" si="449"/>
        <v>1900</v>
      </c>
      <c r="P6014" s="61">
        <f t="shared" si="450"/>
        <v>1</v>
      </c>
      <c r="R6014" s="272"/>
      <c r="S6014" s="272"/>
    </row>
    <row r="6015" spans="9:19">
      <c r="I6015" s="213"/>
      <c r="J6015" s="213"/>
      <c r="L6015" s="272">
        <f t="shared" si="447"/>
        <v>1900</v>
      </c>
      <c r="M6015" s="272">
        <f t="shared" si="448"/>
        <v>1</v>
      </c>
      <c r="O6015" s="61">
        <f t="shared" si="449"/>
        <v>1900</v>
      </c>
      <c r="P6015" s="61">
        <f t="shared" si="450"/>
        <v>1</v>
      </c>
      <c r="R6015" s="272"/>
      <c r="S6015" s="272"/>
    </row>
    <row r="6016" spans="9:19">
      <c r="I6016" s="213"/>
      <c r="J6016" s="213"/>
      <c r="L6016" s="272">
        <f t="shared" si="447"/>
        <v>1900</v>
      </c>
      <c r="M6016" s="272">
        <f t="shared" si="448"/>
        <v>1</v>
      </c>
      <c r="O6016" s="61">
        <f t="shared" si="449"/>
        <v>1900</v>
      </c>
      <c r="P6016" s="61">
        <f t="shared" si="450"/>
        <v>1</v>
      </c>
      <c r="R6016" s="272"/>
      <c r="S6016" s="272"/>
    </row>
    <row r="6017" spans="9:19">
      <c r="I6017" s="213"/>
      <c r="J6017" s="213"/>
      <c r="L6017" s="272">
        <f t="shared" si="447"/>
        <v>1900</v>
      </c>
      <c r="M6017" s="272">
        <f t="shared" si="448"/>
        <v>1</v>
      </c>
      <c r="O6017" s="61">
        <f t="shared" si="449"/>
        <v>1900</v>
      </c>
      <c r="P6017" s="61">
        <f t="shared" si="450"/>
        <v>1</v>
      </c>
      <c r="R6017" s="272"/>
      <c r="S6017" s="272"/>
    </row>
    <row r="6018" spans="9:19">
      <c r="I6018" s="213"/>
      <c r="J6018" s="213"/>
      <c r="L6018" s="272">
        <f t="shared" si="447"/>
        <v>1900</v>
      </c>
      <c r="M6018" s="272">
        <f t="shared" si="448"/>
        <v>1</v>
      </c>
      <c r="O6018" s="61">
        <f t="shared" si="449"/>
        <v>1900</v>
      </c>
      <c r="P6018" s="61">
        <f t="shared" si="450"/>
        <v>1</v>
      </c>
      <c r="R6018" s="272"/>
      <c r="S6018" s="272"/>
    </row>
    <row r="6019" spans="9:19">
      <c r="I6019" s="213"/>
      <c r="J6019" s="213"/>
      <c r="L6019" s="272">
        <f t="shared" si="447"/>
        <v>1900</v>
      </c>
      <c r="M6019" s="272">
        <f t="shared" si="448"/>
        <v>1</v>
      </c>
      <c r="O6019" s="61">
        <f t="shared" si="449"/>
        <v>1900</v>
      </c>
      <c r="P6019" s="61">
        <f t="shared" si="450"/>
        <v>1</v>
      </c>
      <c r="R6019" s="272"/>
      <c r="S6019" s="272"/>
    </row>
    <row r="6020" spans="9:19">
      <c r="I6020" s="213"/>
      <c r="J6020" s="213"/>
      <c r="L6020" s="272">
        <f t="shared" si="447"/>
        <v>1900</v>
      </c>
      <c r="M6020" s="272">
        <f t="shared" si="448"/>
        <v>1</v>
      </c>
      <c r="O6020" s="61">
        <f t="shared" si="449"/>
        <v>1900</v>
      </c>
      <c r="P6020" s="61">
        <f t="shared" si="450"/>
        <v>1</v>
      </c>
      <c r="R6020" s="272"/>
      <c r="S6020" s="272"/>
    </row>
    <row r="6021" spans="9:19">
      <c r="I6021" s="213"/>
      <c r="J6021" s="213"/>
      <c r="L6021" s="272">
        <f t="shared" si="447"/>
        <v>1900</v>
      </c>
      <c r="M6021" s="272">
        <f t="shared" si="448"/>
        <v>1</v>
      </c>
      <c r="O6021" s="61">
        <f t="shared" si="449"/>
        <v>1900</v>
      </c>
      <c r="P6021" s="61">
        <f t="shared" si="450"/>
        <v>1</v>
      </c>
      <c r="R6021" s="272"/>
      <c r="S6021" s="272"/>
    </row>
    <row r="6022" spans="9:19">
      <c r="I6022" s="213"/>
      <c r="J6022" s="213"/>
      <c r="L6022" s="272">
        <f t="shared" si="447"/>
        <v>1900</v>
      </c>
      <c r="M6022" s="272">
        <f t="shared" si="448"/>
        <v>1</v>
      </c>
      <c r="O6022" s="61">
        <f t="shared" si="449"/>
        <v>1900</v>
      </c>
      <c r="P6022" s="61">
        <f t="shared" si="450"/>
        <v>1</v>
      </c>
      <c r="R6022" s="272"/>
      <c r="S6022" s="272"/>
    </row>
    <row r="6023" spans="9:19">
      <c r="I6023" s="213"/>
      <c r="J6023" s="213"/>
      <c r="L6023" s="272">
        <f t="shared" si="447"/>
        <v>1900</v>
      </c>
      <c r="M6023" s="272">
        <f t="shared" si="448"/>
        <v>1</v>
      </c>
      <c r="O6023" s="61">
        <f t="shared" si="449"/>
        <v>1900</v>
      </c>
      <c r="P6023" s="61">
        <f t="shared" si="450"/>
        <v>1</v>
      </c>
      <c r="R6023" s="272"/>
      <c r="S6023" s="272"/>
    </row>
    <row r="6024" spans="9:19">
      <c r="I6024" s="213"/>
      <c r="J6024" s="213"/>
      <c r="L6024" s="272">
        <f t="shared" si="447"/>
        <v>1900</v>
      </c>
      <c r="M6024" s="272">
        <f t="shared" si="448"/>
        <v>1</v>
      </c>
      <c r="O6024" s="61">
        <f t="shared" si="449"/>
        <v>1900</v>
      </c>
      <c r="P6024" s="61">
        <f t="shared" si="450"/>
        <v>1</v>
      </c>
      <c r="R6024" s="272"/>
      <c r="S6024" s="272"/>
    </row>
    <row r="6025" spans="9:19">
      <c r="I6025" s="213"/>
      <c r="J6025" s="213"/>
      <c r="L6025" s="272">
        <f t="shared" si="447"/>
        <v>1900</v>
      </c>
      <c r="M6025" s="272">
        <f t="shared" si="448"/>
        <v>1</v>
      </c>
      <c r="O6025" s="61">
        <f t="shared" si="449"/>
        <v>1900</v>
      </c>
      <c r="P6025" s="61">
        <f t="shared" si="450"/>
        <v>1</v>
      </c>
      <c r="R6025" s="272"/>
      <c r="S6025" s="272"/>
    </row>
    <row r="6026" spans="9:19">
      <c r="I6026" s="213"/>
      <c r="J6026" s="213"/>
      <c r="L6026" s="272">
        <f t="shared" si="447"/>
        <v>1900</v>
      </c>
      <c r="M6026" s="272">
        <f t="shared" si="448"/>
        <v>1</v>
      </c>
      <c r="O6026" s="61">
        <f t="shared" si="449"/>
        <v>1900</v>
      </c>
      <c r="P6026" s="61">
        <f t="shared" si="450"/>
        <v>1</v>
      </c>
      <c r="R6026" s="272"/>
      <c r="S6026" s="272"/>
    </row>
    <row r="6027" spans="9:19">
      <c r="I6027" s="213"/>
      <c r="J6027" s="213"/>
      <c r="L6027" s="272">
        <f t="shared" si="447"/>
        <v>1900</v>
      </c>
      <c r="M6027" s="272">
        <f t="shared" si="448"/>
        <v>1</v>
      </c>
      <c r="O6027" s="61">
        <f t="shared" si="449"/>
        <v>1900</v>
      </c>
      <c r="P6027" s="61">
        <f t="shared" si="450"/>
        <v>1</v>
      </c>
      <c r="R6027" s="272"/>
      <c r="S6027" s="272"/>
    </row>
    <row r="6028" spans="9:19">
      <c r="I6028" s="213"/>
      <c r="J6028" s="213"/>
      <c r="L6028" s="272">
        <f t="shared" si="447"/>
        <v>1900</v>
      </c>
      <c r="M6028" s="272">
        <f t="shared" si="448"/>
        <v>1</v>
      </c>
      <c r="O6028" s="61">
        <f t="shared" si="449"/>
        <v>1900</v>
      </c>
      <c r="P6028" s="61">
        <f t="shared" si="450"/>
        <v>1</v>
      </c>
      <c r="R6028" s="272"/>
      <c r="S6028" s="272"/>
    </row>
    <row r="6029" spans="9:19">
      <c r="I6029" s="213"/>
      <c r="J6029" s="213"/>
      <c r="L6029" s="272">
        <f t="shared" si="447"/>
        <v>1900</v>
      </c>
      <c r="M6029" s="272">
        <f t="shared" si="448"/>
        <v>1</v>
      </c>
      <c r="O6029" s="61">
        <f t="shared" si="449"/>
        <v>1900</v>
      </c>
      <c r="P6029" s="61">
        <f t="shared" si="450"/>
        <v>1</v>
      </c>
      <c r="R6029" s="272"/>
      <c r="S6029" s="272"/>
    </row>
    <row r="6030" spans="9:19">
      <c r="I6030" s="213"/>
      <c r="J6030" s="213"/>
      <c r="L6030" s="272">
        <f t="shared" si="447"/>
        <v>1900</v>
      </c>
      <c r="M6030" s="272">
        <f t="shared" si="448"/>
        <v>1</v>
      </c>
      <c r="O6030" s="61">
        <f t="shared" si="449"/>
        <v>1900</v>
      </c>
      <c r="P6030" s="61">
        <f t="shared" si="450"/>
        <v>1</v>
      </c>
      <c r="R6030" s="272"/>
      <c r="S6030" s="272"/>
    </row>
    <row r="6031" spans="9:19">
      <c r="I6031" s="213"/>
      <c r="J6031" s="213"/>
      <c r="L6031" s="272">
        <f t="shared" si="447"/>
        <v>1900</v>
      </c>
      <c r="M6031" s="272">
        <f t="shared" si="448"/>
        <v>1</v>
      </c>
      <c r="O6031" s="61">
        <f t="shared" si="449"/>
        <v>1900</v>
      </c>
      <c r="P6031" s="61">
        <f t="shared" si="450"/>
        <v>1</v>
      </c>
      <c r="R6031" s="272"/>
      <c r="S6031" s="272"/>
    </row>
    <row r="6032" spans="9:19">
      <c r="I6032" s="213"/>
      <c r="J6032" s="213"/>
      <c r="L6032" s="272">
        <f t="shared" ref="L6032:L6095" si="451">YEAR(B6032)</f>
        <v>1900</v>
      </c>
      <c r="M6032" s="272">
        <f t="shared" ref="M6032:M6095" si="452">MONTH(B6032)</f>
        <v>1</v>
      </c>
      <c r="O6032" s="61">
        <f t="shared" ref="O6032:O6095" si="453">YEAR(B6032)</f>
        <v>1900</v>
      </c>
      <c r="P6032" s="61">
        <f t="shared" ref="P6032:P6095" si="454">MONTH(B6032)</f>
        <v>1</v>
      </c>
      <c r="R6032" s="272"/>
      <c r="S6032" s="272"/>
    </row>
    <row r="6033" spans="9:19">
      <c r="I6033" s="213"/>
      <c r="J6033" s="213"/>
      <c r="L6033" s="272">
        <f t="shared" si="451"/>
        <v>1900</v>
      </c>
      <c r="M6033" s="272">
        <f t="shared" si="452"/>
        <v>1</v>
      </c>
      <c r="O6033" s="61">
        <f t="shared" si="453"/>
        <v>1900</v>
      </c>
      <c r="P6033" s="61">
        <f t="shared" si="454"/>
        <v>1</v>
      </c>
      <c r="R6033" s="272"/>
      <c r="S6033" s="272"/>
    </row>
    <row r="6034" spans="9:19">
      <c r="I6034" s="213"/>
      <c r="J6034" s="213"/>
      <c r="L6034" s="272">
        <f t="shared" si="451"/>
        <v>1900</v>
      </c>
      <c r="M6034" s="272">
        <f t="shared" si="452"/>
        <v>1</v>
      </c>
      <c r="O6034" s="61">
        <f t="shared" si="453"/>
        <v>1900</v>
      </c>
      <c r="P6034" s="61">
        <f t="shared" si="454"/>
        <v>1</v>
      </c>
      <c r="R6034" s="272"/>
      <c r="S6034" s="272"/>
    </row>
    <row r="6035" spans="9:19">
      <c r="I6035" s="213"/>
      <c r="J6035" s="213"/>
      <c r="L6035" s="272">
        <f t="shared" si="451"/>
        <v>1900</v>
      </c>
      <c r="M6035" s="272">
        <f t="shared" si="452"/>
        <v>1</v>
      </c>
      <c r="O6035" s="61">
        <f t="shared" si="453"/>
        <v>1900</v>
      </c>
      <c r="P6035" s="61">
        <f t="shared" si="454"/>
        <v>1</v>
      </c>
      <c r="R6035" s="272"/>
      <c r="S6035" s="272"/>
    </row>
    <row r="6036" spans="9:19">
      <c r="I6036" s="213"/>
      <c r="J6036" s="213"/>
      <c r="L6036" s="272">
        <f t="shared" si="451"/>
        <v>1900</v>
      </c>
      <c r="M6036" s="272">
        <f t="shared" si="452"/>
        <v>1</v>
      </c>
      <c r="O6036" s="61">
        <f t="shared" si="453"/>
        <v>1900</v>
      </c>
      <c r="P6036" s="61">
        <f t="shared" si="454"/>
        <v>1</v>
      </c>
      <c r="R6036" s="272"/>
      <c r="S6036" s="272"/>
    </row>
    <row r="6037" spans="9:19">
      <c r="I6037" s="213"/>
      <c r="J6037" s="213"/>
      <c r="L6037" s="272">
        <f t="shared" si="451"/>
        <v>1900</v>
      </c>
      <c r="M6037" s="272">
        <f t="shared" si="452"/>
        <v>1</v>
      </c>
      <c r="O6037" s="61">
        <f t="shared" si="453"/>
        <v>1900</v>
      </c>
      <c r="P6037" s="61">
        <f t="shared" si="454"/>
        <v>1</v>
      </c>
      <c r="R6037" s="272"/>
      <c r="S6037" s="272"/>
    </row>
    <row r="6038" spans="9:19">
      <c r="I6038" s="213"/>
      <c r="J6038" s="213"/>
      <c r="L6038" s="272">
        <f t="shared" si="451"/>
        <v>1900</v>
      </c>
      <c r="M6038" s="272">
        <f t="shared" si="452"/>
        <v>1</v>
      </c>
      <c r="O6038" s="61">
        <f t="shared" si="453"/>
        <v>1900</v>
      </c>
      <c r="P6038" s="61">
        <f t="shared" si="454"/>
        <v>1</v>
      </c>
      <c r="R6038" s="272"/>
      <c r="S6038" s="272"/>
    </row>
    <row r="6039" spans="9:19">
      <c r="I6039" s="213"/>
      <c r="J6039" s="213"/>
      <c r="L6039" s="272">
        <f t="shared" si="451"/>
        <v>1900</v>
      </c>
      <c r="M6039" s="272">
        <f t="shared" si="452"/>
        <v>1</v>
      </c>
      <c r="O6039" s="61">
        <f t="shared" si="453"/>
        <v>1900</v>
      </c>
      <c r="P6039" s="61">
        <f t="shared" si="454"/>
        <v>1</v>
      </c>
      <c r="R6039" s="272"/>
      <c r="S6039" s="272"/>
    </row>
    <row r="6040" spans="9:19">
      <c r="I6040" s="213"/>
      <c r="J6040" s="213"/>
      <c r="L6040" s="272">
        <f t="shared" si="451"/>
        <v>1900</v>
      </c>
      <c r="M6040" s="272">
        <f t="shared" si="452"/>
        <v>1</v>
      </c>
      <c r="O6040" s="61">
        <f t="shared" si="453"/>
        <v>1900</v>
      </c>
      <c r="P6040" s="61">
        <f t="shared" si="454"/>
        <v>1</v>
      </c>
      <c r="R6040" s="272"/>
      <c r="S6040" s="272"/>
    </row>
    <row r="6041" spans="9:19">
      <c r="I6041" s="213"/>
      <c r="J6041" s="213"/>
      <c r="L6041" s="272">
        <f t="shared" si="451"/>
        <v>1900</v>
      </c>
      <c r="M6041" s="272">
        <f t="shared" si="452"/>
        <v>1</v>
      </c>
      <c r="O6041" s="61">
        <f t="shared" si="453"/>
        <v>1900</v>
      </c>
      <c r="P6041" s="61">
        <f t="shared" si="454"/>
        <v>1</v>
      </c>
      <c r="R6041" s="272"/>
      <c r="S6041" s="272"/>
    </row>
    <row r="6042" spans="9:19">
      <c r="I6042" s="213"/>
      <c r="J6042" s="213"/>
      <c r="L6042" s="272">
        <f t="shared" si="451"/>
        <v>1900</v>
      </c>
      <c r="M6042" s="272">
        <f t="shared" si="452"/>
        <v>1</v>
      </c>
      <c r="O6042" s="61">
        <f t="shared" si="453"/>
        <v>1900</v>
      </c>
      <c r="P6042" s="61">
        <f t="shared" si="454"/>
        <v>1</v>
      </c>
      <c r="R6042" s="272"/>
      <c r="S6042" s="272"/>
    </row>
    <row r="6043" spans="9:19">
      <c r="I6043" s="213"/>
      <c r="J6043" s="213"/>
      <c r="L6043" s="272">
        <f t="shared" si="451"/>
        <v>1900</v>
      </c>
      <c r="M6043" s="272">
        <f t="shared" si="452"/>
        <v>1</v>
      </c>
      <c r="O6043" s="61">
        <f t="shared" si="453"/>
        <v>1900</v>
      </c>
      <c r="P6043" s="61">
        <f t="shared" si="454"/>
        <v>1</v>
      </c>
      <c r="R6043" s="272"/>
      <c r="S6043" s="272"/>
    </row>
    <row r="6044" spans="9:19">
      <c r="I6044" s="213"/>
      <c r="J6044" s="213"/>
      <c r="L6044" s="272">
        <f t="shared" si="451"/>
        <v>1900</v>
      </c>
      <c r="M6044" s="272">
        <f t="shared" si="452"/>
        <v>1</v>
      </c>
      <c r="O6044" s="61">
        <f t="shared" si="453"/>
        <v>1900</v>
      </c>
      <c r="P6044" s="61">
        <f t="shared" si="454"/>
        <v>1</v>
      </c>
      <c r="R6044" s="272"/>
      <c r="S6044" s="272"/>
    </row>
    <row r="6045" spans="9:19">
      <c r="I6045" s="213"/>
      <c r="J6045" s="213"/>
      <c r="L6045" s="272">
        <f t="shared" si="451"/>
        <v>1900</v>
      </c>
      <c r="M6045" s="272">
        <f t="shared" si="452"/>
        <v>1</v>
      </c>
      <c r="O6045" s="61">
        <f t="shared" si="453"/>
        <v>1900</v>
      </c>
      <c r="P6045" s="61">
        <f t="shared" si="454"/>
        <v>1</v>
      </c>
      <c r="R6045" s="272"/>
      <c r="S6045" s="272"/>
    </row>
    <row r="6046" spans="9:19">
      <c r="I6046" s="213"/>
      <c r="J6046" s="213"/>
      <c r="L6046" s="272">
        <f t="shared" si="451"/>
        <v>1900</v>
      </c>
      <c r="M6046" s="272">
        <f t="shared" si="452"/>
        <v>1</v>
      </c>
      <c r="O6046" s="61">
        <f t="shared" si="453"/>
        <v>1900</v>
      </c>
      <c r="P6046" s="61">
        <f t="shared" si="454"/>
        <v>1</v>
      </c>
      <c r="R6046" s="272"/>
      <c r="S6046" s="272"/>
    </row>
    <row r="6047" spans="9:19">
      <c r="I6047" s="213"/>
      <c r="J6047" s="213"/>
      <c r="L6047" s="272">
        <f t="shared" si="451"/>
        <v>1900</v>
      </c>
      <c r="M6047" s="272">
        <f t="shared" si="452"/>
        <v>1</v>
      </c>
      <c r="O6047" s="61">
        <f t="shared" si="453"/>
        <v>1900</v>
      </c>
      <c r="P6047" s="61">
        <f t="shared" si="454"/>
        <v>1</v>
      </c>
      <c r="R6047" s="272"/>
      <c r="S6047" s="272"/>
    </row>
    <row r="6048" spans="9:19">
      <c r="I6048" s="213"/>
      <c r="J6048" s="213"/>
      <c r="L6048" s="272">
        <f t="shared" si="451"/>
        <v>1900</v>
      </c>
      <c r="M6048" s="272">
        <f t="shared" si="452"/>
        <v>1</v>
      </c>
      <c r="O6048" s="61">
        <f t="shared" si="453"/>
        <v>1900</v>
      </c>
      <c r="P6048" s="61">
        <f t="shared" si="454"/>
        <v>1</v>
      </c>
      <c r="R6048" s="272"/>
      <c r="S6048" s="272"/>
    </row>
    <row r="6049" spans="9:19">
      <c r="I6049" s="213"/>
      <c r="J6049" s="213"/>
      <c r="L6049" s="272">
        <f t="shared" si="451"/>
        <v>1900</v>
      </c>
      <c r="M6049" s="272">
        <f t="shared" si="452"/>
        <v>1</v>
      </c>
      <c r="O6049" s="61">
        <f t="shared" si="453"/>
        <v>1900</v>
      </c>
      <c r="P6049" s="61">
        <f t="shared" si="454"/>
        <v>1</v>
      </c>
      <c r="R6049" s="272"/>
      <c r="S6049" s="272"/>
    </row>
    <row r="6050" spans="9:19">
      <c r="I6050" s="213"/>
      <c r="J6050" s="213"/>
      <c r="L6050" s="272">
        <f t="shared" si="451"/>
        <v>1900</v>
      </c>
      <c r="M6050" s="272">
        <f t="shared" si="452"/>
        <v>1</v>
      </c>
      <c r="O6050" s="61">
        <f t="shared" si="453"/>
        <v>1900</v>
      </c>
      <c r="P6050" s="61">
        <f t="shared" si="454"/>
        <v>1</v>
      </c>
      <c r="R6050" s="272"/>
      <c r="S6050" s="272"/>
    </row>
    <row r="6051" spans="9:19">
      <c r="I6051" s="213"/>
      <c r="J6051" s="213"/>
      <c r="L6051" s="272">
        <f t="shared" si="451"/>
        <v>1900</v>
      </c>
      <c r="M6051" s="272">
        <f t="shared" si="452"/>
        <v>1</v>
      </c>
      <c r="O6051" s="61">
        <f t="shared" si="453"/>
        <v>1900</v>
      </c>
      <c r="P6051" s="61">
        <f t="shared" si="454"/>
        <v>1</v>
      </c>
      <c r="R6051" s="272"/>
      <c r="S6051" s="272"/>
    </row>
    <row r="6052" spans="9:19">
      <c r="I6052" s="213"/>
      <c r="J6052" s="213"/>
      <c r="L6052" s="272">
        <f t="shared" si="451"/>
        <v>1900</v>
      </c>
      <c r="M6052" s="272">
        <f t="shared" si="452"/>
        <v>1</v>
      </c>
      <c r="O6052" s="61">
        <f t="shared" si="453"/>
        <v>1900</v>
      </c>
      <c r="P6052" s="61">
        <f t="shared" si="454"/>
        <v>1</v>
      </c>
      <c r="R6052" s="272"/>
      <c r="S6052" s="272"/>
    </row>
    <row r="6053" spans="9:19">
      <c r="I6053" s="213"/>
      <c r="J6053" s="213"/>
      <c r="L6053" s="272">
        <f t="shared" si="451"/>
        <v>1900</v>
      </c>
      <c r="M6053" s="272">
        <f t="shared" si="452"/>
        <v>1</v>
      </c>
      <c r="O6053" s="61">
        <f t="shared" si="453"/>
        <v>1900</v>
      </c>
      <c r="P6053" s="61">
        <f t="shared" si="454"/>
        <v>1</v>
      </c>
      <c r="R6053" s="272"/>
      <c r="S6053" s="272"/>
    </row>
    <row r="6054" spans="9:19">
      <c r="I6054" s="213"/>
      <c r="J6054" s="213"/>
      <c r="L6054" s="272">
        <f t="shared" si="451"/>
        <v>1900</v>
      </c>
      <c r="M6054" s="272">
        <f t="shared" si="452"/>
        <v>1</v>
      </c>
      <c r="O6054" s="61">
        <f t="shared" si="453"/>
        <v>1900</v>
      </c>
      <c r="P6054" s="61">
        <f t="shared" si="454"/>
        <v>1</v>
      </c>
      <c r="R6054" s="272"/>
      <c r="S6054" s="272"/>
    </row>
    <row r="6055" spans="9:19">
      <c r="I6055" s="213"/>
      <c r="J6055" s="213"/>
      <c r="L6055" s="272">
        <f t="shared" si="451"/>
        <v>1900</v>
      </c>
      <c r="M6055" s="272">
        <f t="shared" si="452"/>
        <v>1</v>
      </c>
      <c r="O6055" s="61">
        <f t="shared" si="453"/>
        <v>1900</v>
      </c>
      <c r="P6055" s="61">
        <f t="shared" si="454"/>
        <v>1</v>
      </c>
      <c r="R6055" s="272"/>
      <c r="S6055" s="272"/>
    </row>
    <row r="6056" spans="9:19">
      <c r="I6056" s="213"/>
      <c r="J6056" s="213"/>
      <c r="L6056" s="272">
        <f t="shared" si="451"/>
        <v>1900</v>
      </c>
      <c r="M6056" s="272">
        <f t="shared" si="452"/>
        <v>1</v>
      </c>
      <c r="O6056" s="61">
        <f t="shared" si="453"/>
        <v>1900</v>
      </c>
      <c r="P6056" s="61">
        <f t="shared" si="454"/>
        <v>1</v>
      </c>
      <c r="R6056" s="272"/>
      <c r="S6056" s="272"/>
    </row>
    <row r="6057" spans="9:19">
      <c r="I6057" s="213"/>
      <c r="J6057" s="213"/>
      <c r="L6057" s="272">
        <f t="shared" si="451"/>
        <v>1900</v>
      </c>
      <c r="M6057" s="272">
        <f t="shared" si="452"/>
        <v>1</v>
      </c>
      <c r="O6057" s="61">
        <f t="shared" si="453"/>
        <v>1900</v>
      </c>
      <c r="P6057" s="61">
        <f t="shared" si="454"/>
        <v>1</v>
      </c>
      <c r="R6057" s="272"/>
      <c r="S6057" s="272"/>
    </row>
    <row r="6058" spans="9:19">
      <c r="I6058" s="213"/>
      <c r="J6058" s="213"/>
      <c r="L6058" s="272">
        <f t="shared" si="451"/>
        <v>1900</v>
      </c>
      <c r="M6058" s="272">
        <f t="shared" si="452"/>
        <v>1</v>
      </c>
      <c r="O6058" s="61">
        <f t="shared" si="453"/>
        <v>1900</v>
      </c>
      <c r="P6058" s="61">
        <f t="shared" si="454"/>
        <v>1</v>
      </c>
      <c r="R6058" s="272"/>
      <c r="S6058" s="272"/>
    </row>
    <row r="6059" spans="9:19">
      <c r="I6059" s="213"/>
      <c r="J6059" s="213"/>
      <c r="L6059" s="272">
        <f t="shared" si="451"/>
        <v>1900</v>
      </c>
      <c r="M6059" s="272">
        <f t="shared" si="452"/>
        <v>1</v>
      </c>
      <c r="O6059" s="61">
        <f t="shared" si="453"/>
        <v>1900</v>
      </c>
      <c r="P6059" s="61">
        <f t="shared" si="454"/>
        <v>1</v>
      </c>
      <c r="R6059" s="272"/>
      <c r="S6059" s="272"/>
    </row>
    <row r="6060" spans="9:19">
      <c r="I6060" s="213"/>
      <c r="J6060" s="213"/>
      <c r="L6060" s="272">
        <f t="shared" si="451"/>
        <v>1900</v>
      </c>
      <c r="M6060" s="272">
        <f t="shared" si="452"/>
        <v>1</v>
      </c>
      <c r="O6060" s="61">
        <f t="shared" si="453"/>
        <v>1900</v>
      </c>
      <c r="P6060" s="61">
        <f t="shared" si="454"/>
        <v>1</v>
      </c>
      <c r="R6060" s="272"/>
      <c r="S6060" s="272"/>
    </row>
    <row r="6061" spans="9:19">
      <c r="I6061" s="213"/>
      <c r="J6061" s="213"/>
      <c r="L6061" s="272">
        <f t="shared" si="451"/>
        <v>1900</v>
      </c>
      <c r="M6061" s="272">
        <f t="shared" si="452"/>
        <v>1</v>
      </c>
      <c r="O6061" s="61">
        <f t="shared" si="453"/>
        <v>1900</v>
      </c>
      <c r="P6061" s="61">
        <f t="shared" si="454"/>
        <v>1</v>
      </c>
      <c r="R6061" s="272"/>
      <c r="S6061" s="272"/>
    </row>
    <row r="6062" spans="9:19">
      <c r="I6062" s="213"/>
      <c r="J6062" s="213"/>
      <c r="L6062" s="272">
        <f t="shared" si="451"/>
        <v>1900</v>
      </c>
      <c r="M6062" s="272">
        <f t="shared" si="452"/>
        <v>1</v>
      </c>
      <c r="O6062" s="61">
        <f t="shared" si="453"/>
        <v>1900</v>
      </c>
      <c r="P6062" s="61">
        <f t="shared" si="454"/>
        <v>1</v>
      </c>
      <c r="R6062" s="272"/>
      <c r="S6062" s="272"/>
    </row>
    <row r="6063" spans="9:19">
      <c r="I6063" s="213"/>
      <c r="J6063" s="213"/>
      <c r="L6063" s="272">
        <f t="shared" si="451"/>
        <v>1900</v>
      </c>
      <c r="M6063" s="272">
        <f t="shared" si="452"/>
        <v>1</v>
      </c>
      <c r="O6063" s="61">
        <f t="shared" si="453"/>
        <v>1900</v>
      </c>
      <c r="P6063" s="61">
        <f t="shared" si="454"/>
        <v>1</v>
      </c>
      <c r="R6063" s="272"/>
      <c r="S6063" s="272"/>
    </row>
    <row r="6064" spans="9:19">
      <c r="I6064" s="213"/>
      <c r="J6064" s="213"/>
      <c r="L6064" s="272">
        <f t="shared" si="451"/>
        <v>1900</v>
      </c>
      <c r="M6064" s="272">
        <f t="shared" si="452"/>
        <v>1</v>
      </c>
      <c r="O6064" s="61">
        <f t="shared" si="453"/>
        <v>1900</v>
      </c>
      <c r="P6064" s="61">
        <f t="shared" si="454"/>
        <v>1</v>
      </c>
      <c r="R6064" s="272"/>
      <c r="S6064" s="272"/>
    </row>
    <row r="6065" spans="9:19">
      <c r="I6065" s="213"/>
      <c r="J6065" s="213"/>
      <c r="L6065" s="272">
        <f t="shared" si="451"/>
        <v>1900</v>
      </c>
      <c r="M6065" s="272">
        <f t="shared" si="452"/>
        <v>1</v>
      </c>
      <c r="O6065" s="61">
        <f t="shared" si="453"/>
        <v>1900</v>
      </c>
      <c r="P6065" s="61">
        <f t="shared" si="454"/>
        <v>1</v>
      </c>
      <c r="R6065" s="272"/>
      <c r="S6065" s="272"/>
    </row>
    <row r="6066" spans="9:19">
      <c r="I6066" s="213"/>
      <c r="J6066" s="213"/>
      <c r="L6066" s="272">
        <f t="shared" si="451"/>
        <v>1900</v>
      </c>
      <c r="M6066" s="272">
        <f t="shared" si="452"/>
        <v>1</v>
      </c>
      <c r="O6066" s="61">
        <f t="shared" si="453"/>
        <v>1900</v>
      </c>
      <c r="P6066" s="61">
        <f t="shared" si="454"/>
        <v>1</v>
      </c>
      <c r="R6066" s="272"/>
      <c r="S6066" s="272"/>
    </row>
    <row r="6067" spans="9:19">
      <c r="I6067" s="213"/>
      <c r="J6067" s="213"/>
      <c r="L6067" s="272">
        <f t="shared" si="451"/>
        <v>1900</v>
      </c>
      <c r="M6067" s="272">
        <f t="shared" si="452"/>
        <v>1</v>
      </c>
      <c r="O6067" s="61">
        <f t="shared" si="453"/>
        <v>1900</v>
      </c>
      <c r="P6067" s="61">
        <f t="shared" si="454"/>
        <v>1</v>
      </c>
      <c r="R6067" s="272"/>
      <c r="S6067" s="272"/>
    </row>
    <row r="6068" spans="9:19">
      <c r="I6068" s="213"/>
      <c r="J6068" s="213"/>
      <c r="L6068" s="272">
        <f t="shared" si="451"/>
        <v>1900</v>
      </c>
      <c r="M6068" s="272">
        <f t="shared" si="452"/>
        <v>1</v>
      </c>
      <c r="O6068" s="61">
        <f t="shared" si="453"/>
        <v>1900</v>
      </c>
      <c r="P6068" s="61">
        <f t="shared" si="454"/>
        <v>1</v>
      </c>
      <c r="R6068" s="272"/>
      <c r="S6068" s="272"/>
    </row>
    <row r="6069" spans="9:19">
      <c r="I6069" s="213"/>
      <c r="J6069" s="213"/>
      <c r="L6069" s="272">
        <f t="shared" si="451"/>
        <v>1900</v>
      </c>
      <c r="M6069" s="272">
        <f t="shared" si="452"/>
        <v>1</v>
      </c>
      <c r="O6069" s="61">
        <f t="shared" si="453"/>
        <v>1900</v>
      </c>
      <c r="P6069" s="61">
        <f t="shared" si="454"/>
        <v>1</v>
      </c>
      <c r="R6069" s="272"/>
      <c r="S6069" s="272"/>
    </row>
    <row r="6070" spans="9:19">
      <c r="I6070" s="213"/>
      <c r="J6070" s="213"/>
      <c r="L6070" s="272">
        <f t="shared" si="451"/>
        <v>1900</v>
      </c>
      <c r="M6070" s="272">
        <f t="shared" si="452"/>
        <v>1</v>
      </c>
      <c r="O6070" s="61">
        <f t="shared" si="453"/>
        <v>1900</v>
      </c>
      <c r="P6070" s="61">
        <f t="shared" si="454"/>
        <v>1</v>
      </c>
      <c r="R6070" s="272"/>
      <c r="S6070" s="272"/>
    </row>
    <row r="6071" spans="9:19">
      <c r="I6071" s="213"/>
      <c r="J6071" s="213"/>
      <c r="L6071" s="272">
        <f t="shared" si="451"/>
        <v>1900</v>
      </c>
      <c r="M6071" s="272">
        <f t="shared" si="452"/>
        <v>1</v>
      </c>
      <c r="O6071" s="61">
        <f t="shared" si="453"/>
        <v>1900</v>
      </c>
      <c r="P6071" s="61">
        <f t="shared" si="454"/>
        <v>1</v>
      </c>
      <c r="R6071" s="272"/>
      <c r="S6071" s="272"/>
    </row>
    <row r="6072" spans="9:19">
      <c r="I6072" s="213"/>
      <c r="J6072" s="213"/>
      <c r="L6072" s="272">
        <f t="shared" si="451"/>
        <v>1900</v>
      </c>
      <c r="M6072" s="272">
        <f t="shared" si="452"/>
        <v>1</v>
      </c>
      <c r="O6072" s="61">
        <f t="shared" si="453"/>
        <v>1900</v>
      </c>
      <c r="P6072" s="61">
        <f t="shared" si="454"/>
        <v>1</v>
      </c>
      <c r="R6072" s="272"/>
      <c r="S6072" s="272"/>
    </row>
    <row r="6073" spans="9:19">
      <c r="I6073" s="213"/>
      <c r="J6073" s="213"/>
      <c r="L6073" s="272">
        <f t="shared" si="451"/>
        <v>1900</v>
      </c>
      <c r="M6073" s="272">
        <f t="shared" si="452"/>
        <v>1</v>
      </c>
      <c r="O6073" s="61">
        <f t="shared" si="453"/>
        <v>1900</v>
      </c>
      <c r="P6073" s="61">
        <f t="shared" si="454"/>
        <v>1</v>
      </c>
      <c r="R6073" s="272"/>
      <c r="S6073" s="272"/>
    </row>
    <row r="6074" spans="9:19">
      <c r="I6074" s="213"/>
      <c r="J6074" s="213"/>
      <c r="L6074" s="272">
        <f t="shared" si="451"/>
        <v>1900</v>
      </c>
      <c r="M6074" s="272">
        <f t="shared" si="452"/>
        <v>1</v>
      </c>
      <c r="O6074" s="61">
        <f t="shared" si="453"/>
        <v>1900</v>
      </c>
      <c r="P6074" s="61">
        <f t="shared" si="454"/>
        <v>1</v>
      </c>
      <c r="R6074" s="272"/>
      <c r="S6074" s="272"/>
    </row>
    <row r="6075" spans="9:19">
      <c r="I6075" s="213"/>
      <c r="J6075" s="213"/>
      <c r="L6075" s="272">
        <f t="shared" si="451"/>
        <v>1900</v>
      </c>
      <c r="M6075" s="272">
        <f t="shared" si="452"/>
        <v>1</v>
      </c>
      <c r="O6075" s="61">
        <f t="shared" si="453"/>
        <v>1900</v>
      </c>
      <c r="P6075" s="61">
        <f t="shared" si="454"/>
        <v>1</v>
      </c>
      <c r="R6075" s="272"/>
      <c r="S6075" s="272"/>
    </row>
    <row r="6076" spans="9:19">
      <c r="I6076" s="213"/>
      <c r="J6076" s="213"/>
      <c r="L6076" s="272">
        <f t="shared" si="451"/>
        <v>1900</v>
      </c>
      <c r="M6076" s="272">
        <f t="shared" si="452"/>
        <v>1</v>
      </c>
      <c r="O6076" s="61">
        <f t="shared" si="453"/>
        <v>1900</v>
      </c>
      <c r="P6076" s="61">
        <f t="shared" si="454"/>
        <v>1</v>
      </c>
      <c r="R6076" s="272"/>
      <c r="S6076" s="272"/>
    </row>
    <row r="6077" spans="9:19">
      <c r="I6077" s="213"/>
      <c r="J6077" s="213"/>
      <c r="L6077" s="272">
        <f t="shared" si="451"/>
        <v>1900</v>
      </c>
      <c r="M6077" s="272">
        <f t="shared" si="452"/>
        <v>1</v>
      </c>
      <c r="O6077" s="61">
        <f t="shared" si="453"/>
        <v>1900</v>
      </c>
      <c r="P6077" s="61">
        <f t="shared" si="454"/>
        <v>1</v>
      </c>
      <c r="R6077" s="272"/>
      <c r="S6077" s="272"/>
    </row>
    <row r="6078" spans="9:19">
      <c r="I6078" s="213"/>
      <c r="J6078" s="213"/>
      <c r="L6078" s="272">
        <f t="shared" si="451"/>
        <v>1900</v>
      </c>
      <c r="M6078" s="272">
        <f t="shared" si="452"/>
        <v>1</v>
      </c>
      <c r="O6078" s="61">
        <f t="shared" si="453"/>
        <v>1900</v>
      </c>
      <c r="P6078" s="61">
        <f t="shared" si="454"/>
        <v>1</v>
      </c>
      <c r="R6078" s="272"/>
      <c r="S6078" s="272"/>
    </row>
    <row r="6079" spans="9:19">
      <c r="I6079" s="213"/>
      <c r="J6079" s="213"/>
      <c r="L6079" s="272">
        <f t="shared" si="451"/>
        <v>1900</v>
      </c>
      <c r="M6079" s="272">
        <f t="shared" si="452"/>
        <v>1</v>
      </c>
      <c r="O6079" s="61">
        <f t="shared" si="453"/>
        <v>1900</v>
      </c>
      <c r="P6079" s="61">
        <f t="shared" si="454"/>
        <v>1</v>
      </c>
      <c r="R6079" s="272"/>
      <c r="S6079" s="272"/>
    </row>
    <row r="6080" spans="9:19">
      <c r="I6080" s="213"/>
      <c r="J6080" s="213"/>
      <c r="L6080" s="272">
        <f t="shared" si="451"/>
        <v>1900</v>
      </c>
      <c r="M6080" s="272">
        <f t="shared" si="452"/>
        <v>1</v>
      </c>
      <c r="O6080" s="61">
        <f t="shared" si="453"/>
        <v>1900</v>
      </c>
      <c r="P6080" s="61">
        <f t="shared" si="454"/>
        <v>1</v>
      </c>
      <c r="R6080" s="272"/>
      <c r="S6080" s="272"/>
    </row>
    <row r="6081" spans="9:19">
      <c r="I6081" s="213"/>
      <c r="J6081" s="213"/>
      <c r="L6081" s="272">
        <f t="shared" si="451"/>
        <v>1900</v>
      </c>
      <c r="M6081" s="272">
        <f t="shared" si="452"/>
        <v>1</v>
      </c>
      <c r="O6081" s="61">
        <f t="shared" si="453"/>
        <v>1900</v>
      </c>
      <c r="P6081" s="61">
        <f t="shared" si="454"/>
        <v>1</v>
      </c>
      <c r="R6081" s="272"/>
      <c r="S6081" s="272"/>
    </row>
    <row r="6082" spans="9:19">
      <c r="I6082" s="213"/>
      <c r="J6082" s="213"/>
      <c r="L6082" s="272">
        <f t="shared" si="451"/>
        <v>1900</v>
      </c>
      <c r="M6082" s="272">
        <f t="shared" si="452"/>
        <v>1</v>
      </c>
      <c r="O6082" s="61">
        <f t="shared" si="453"/>
        <v>1900</v>
      </c>
      <c r="P6082" s="61">
        <f t="shared" si="454"/>
        <v>1</v>
      </c>
      <c r="R6082" s="272"/>
      <c r="S6082" s="272"/>
    </row>
    <row r="6083" spans="9:19">
      <c r="I6083" s="213"/>
      <c r="J6083" s="213"/>
      <c r="L6083" s="272">
        <f t="shared" si="451"/>
        <v>1900</v>
      </c>
      <c r="M6083" s="272">
        <f t="shared" si="452"/>
        <v>1</v>
      </c>
      <c r="O6083" s="61">
        <f t="shared" si="453"/>
        <v>1900</v>
      </c>
      <c r="P6083" s="61">
        <f t="shared" si="454"/>
        <v>1</v>
      </c>
      <c r="R6083" s="272"/>
      <c r="S6083" s="272"/>
    </row>
    <row r="6084" spans="9:19">
      <c r="I6084" s="213"/>
      <c r="J6084" s="213"/>
      <c r="L6084" s="272">
        <f t="shared" si="451"/>
        <v>1900</v>
      </c>
      <c r="M6084" s="272">
        <f t="shared" si="452"/>
        <v>1</v>
      </c>
      <c r="O6084" s="61">
        <f t="shared" si="453"/>
        <v>1900</v>
      </c>
      <c r="P6084" s="61">
        <f t="shared" si="454"/>
        <v>1</v>
      </c>
      <c r="R6084" s="272"/>
      <c r="S6084" s="272"/>
    </row>
    <row r="6085" spans="9:19">
      <c r="I6085" s="213"/>
      <c r="J6085" s="213"/>
      <c r="L6085" s="272">
        <f t="shared" si="451"/>
        <v>1900</v>
      </c>
      <c r="M6085" s="272">
        <f t="shared" si="452"/>
        <v>1</v>
      </c>
      <c r="O6085" s="61">
        <f t="shared" si="453"/>
        <v>1900</v>
      </c>
      <c r="P6085" s="61">
        <f t="shared" si="454"/>
        <v>1</v>
      </c>
      <c r="R6085" s="272"/>
      <c r="S6085" s="272"/>
    </row>
    <row r="6086" spans="9:19">
      <c r="I6086" s="213"/>
      <c r="J6086" s="213"/>
      <c r="L6086" s="272">
        <f t="shared" si="451"/>
        <v>1900</v>
      </c>
      <c r="M6086" s="272">
        <f t="shared" si="452"/>
        <v>1</v>
      </c>
      <c r="O6086" s="61">
        <f t="shared" si="453"/>
        <v>1900</v>
      </c>
      <c r="P6086" s="61">
        <f t="shared" si="454"/>
        <v>1</v>
      </c>
      <c r="R6086" s="272"/>
      <c r="S6086" s="272"/>
    </row>
    <row r="6087" spans="9:19">
      <c r="I6087" s="213"/>
      <c r="J6087" s="213"/>
      <c r="L6087" s="272">
        <f t="shared" si="451"/>
        <v>1900</v>
      </c>
      <c r="M6087" s="272">
        <f t="shared" si="452"/>
        <v>1</v>
      </c>
      <c r="O6087" s="61">
        <f t="shared" si="453"/>
        <v>1900</v>
      </c>
      <c r="P6087" s="61">
        <f t="shared" si="454"/>
        <v>1</v>
      </c>
      <c r="R6087" s="272"/>
      <c r="S6087" s="272"/>
    </row>
    <row r="6088" spans="9:19">
      <c r="I6088" s="213"/>
      <c r="J6088" s="213"/>
      <c r="L6088" s="272">
        <f t="shared" si="451"/>
        <v>1900</v>
      </c>
      <c r="M6088" s="272">
        <f t="shared" si="452"/>
        <v>1</v>
      </c>
      <c r="O6088" s="61">
        <f t="shared" si="453"/>
        <v>1900</v>
      </c>
      <c r="P6088" s="61">
        <f t="shared" si="454"/>
        <v>1</v>
      </c>
      <c r="R6088" s="272"/>
      <c r="S6088" s="272"/>
    </row>
    <row r="6089" spans="9:19">
      <c r="I6089" s="213"/>
      <c r="J6089" s="213"/>
      <c r="L6089" s="272">
        <f t="shared" si="451"/>
        <v>1900</v>
      </c>
      <c r="M6089" s="272">
        <f t="shared" si="452"/>
        <v>1</v>
      </c>
      <c r="O6089" s="61">
        <f t="shared" si="453"/>
        <v>1900</v>
      </c>
      <c r="P6089" s="61">
        <f t="shared" si="454"/>
        <v>1</v>
      </c>
      <c r="R6089" s="272"/>
      <c r="S6089" s="272"/>
    </row>
    <row r="6090" spans="9:19">
      <c r="I6090" s="213"/>
      <c r="J6090" s="213"/>
      <c r="L6090" s="272">
        <f t="shared" si="451"/>
        <v>1900</v>
      </c>
      <c r="M6090" s="272">
        <f t="shared" si="452"/>
        <v>1</v>
      </c>
      <c r="O6090" s="61">
        <f t="shared" si="453"/>
        <v>1900</v>
      </c>
      <c r="P6090" s="61">
        <f t="shared" si="454"/>
        <v>1</v>
      </c>
      <c r="R6090" s="272"/>
      <c r="S6090" s="272"/>
    </row>
    <row r="6091" spans="9:19">
      <c r="I6091" s="213"/>
      <c r="J6091" s="213"/>
      <c r="L6091" s="272">
        <f t="shared" si="451"/>
        <v>1900</v>
      </c>
      <c r="M6091" s="272">
        <f t="shared" si="452"/>
        <v>1</v>
      </c>
      <c r="O6091" s="61">
        <f t="shared" si="453"/>
        <v>1900</v>
      </c>
      <c r="P6091" s="61">
        <f t="shared" si="454"/>
        <v>1</v>
      </c>
      <c r="R6091" s="272"/>
      <c r="S6091" s="272"/>
    </row>
    <row r="6092" spans="9:19">
      <c r="I6092" s="213"/>
      <c r="J6092" s="213"/>
      <c r="L6092" s="272">
        <f t="shared" si="451"/>
        <v>1900</v>
      </c>
      <c r="M6092" s="272">
        <f t="shared" si="452"/>
        <v>1</v>
      </c>
      <c r="O6092" s="61">
        <f t="shared" si="453"/>
        <v>1900</v>
      </c>
      <c r="P6092" s="61">
        <f t="shared" si="454"/>
        <v>1</v>
      </c>
      <c r="R6092" s="272"/>
      <c r="S6092" s="272"/>
    </row>
    <row r="6093" spans="9:19">
      <c r="I6093" s="213"/>
      <c r="J6093" s="213"/>
      <c r="L6093" s="272">
        <f t="shared" si="451"/>
        <v>1900</v>
      </c>
      <c r="M6093" s="272">
        <f t="shared" si="452"/>
        <v>1</v>
      </c>
      <c r="O6093" s="61">
        <f t="shared" si="453"/>
        <v>1900</v>
      </c>
      <c r="P6093" s="61">
        <f t="shared" si="454"/>
        <v>1</v>
      </c>
      <c r="R6093" s="272"/>
      <c r="S6093" s="272"/>
    </row>
    <row r="6094" spans="9:19">
      <c r="I6094" s="213"/>
      <c r="J6094" s="213"/>
      <c r="L6094" s="272">
        <f t="shared" si="451"/>
        <v>1900</v>
      </c>
      <c r="M6094" s="272">
        <f t="shared" si="452"/>
        <v>1</v>
      </c>
      <c r="O6094" s="61">
        <f t="shared" si="453"/>
        <v>1900</v>
      </c>
      <c r="P6094" s="61">
        <f t="shared" si="454"/>
        <v>1</v>
      </c>
      <c r="R6094" s="272"/>
      <c r="S6094" s="272"/>
    </row>
    <row r="6095" spans="9:19">
      <c r="I6095" s="213"/>
      <c r="J6095" s="213"/>
      <c r="L6095" s="272">
        <f t="shared" si="451"/>
        <v>1900</v>
      </c>
      <c r="M6095" s="272">
        <f t="shared" si="452"/>
        <v>1</v>
      </c>
      <c r="O6095" s="61">
        <f t="shared" si="453"/>
        <v>1900</v>
      </c>
      <c r="P6095" s="61">
        <f t="shared" si="454"/>
        <v>1</v>
      </c>
      <c r="R6095" s="272"/>
      <c r="S6095" s="272"/>
    </row>
    <row r="6096" spans="9:19">
      <c r="I6096" s="213"/>
      <c r="J6096" s="213"/>
      <c r="L6096" s="272">
        <f t="shared" ref="L6096:L6159" si="455">YEAR(B6096)</f>
        <v>1900</v>
      </c>
      <c r="M6096" s="272">
        <f t="shared" ref="M6096:M6159" si="456">MONTH(B6096)</f>
        <v>1</v>
      </c>
      <c r="O6096" s="61">
        <f t="shared" ref="O6096:O6159" si="457">YEAR(B6096)</f>
        <v>1900</v>
      </c>
      <c r="P6096" s="61">
        <f t="shared" ref="P6096:P6159" si="458">MONTH(B6096)</f>
        <v>1</v>
      </c>
      <c r="R6096" s="272"/>
      <c r="S6096" s="272"/>
    </row>
    <row r="6097" spans="9:19">
      <c r="I6097" s="213"/>
      <c r="J6097" s="213"/>
      <c r="L6097" s="272">
        <f t="shared" si="455"/>
        <v>1900</v>
      </c>
      <c r="M6097" s="272">
        <f t="shared" si="456"/>
        <v>1</v>
      </c>
      <c r="O6097" s="61">
        <f t="shared" si="457"/>
        <v>1900</v>
      </c>
      <c r="P6097" s="61">
        <f t="shared" si="458"/>
        <v>1</v>
      </c>
      <c r="R6097" s="272"/>
      <c r="S6097" s="272"/>
    </row>
    <row r="6098" spans="9:19">
      <c r="I6098" s="213"/>
      <c r="J6098" s="213"/>
      <c r="L6098" s="272">
        <f t="shared" si="455"/>
        <v>1900</v>
      </c>
      <c r="M6098" s="272">
        <f t="shared" si="456"/>
        <v>1</v>
      </c>
      <c r="O6098" s="61">
        <f t="shared" si="457"/>
        <v>1900</v>
      </c>
      <c r="P6098" s="61">
        <f t="shared" si="458"/>
        <v>1</v>
      </c>
      <c r="R6098" s="272"/>
      <c r="S6098" s="272"/>
    </row>
    <row r="6099" spans="9:19">
      <c r="I6099" s="213"/>
      <c r="J6099" s="213"/>
      <c r="L6099" s="272">
        <f t="shared" si="455"/>
        <v>1900</v>
      </c>
      <c r="M6099" s="272">
        <f t="shared" si="456"/>
        <v>1</v>
      </c>
      <c r="O6099" s="61">
        <f t="shared" si="457"/>
        <v>1900</v>
      </c>
      <c r="P6099" s="61">
        <f t="shared" si="458"/>
        <v>1</v>
      </c>
      <c r="R6099" s="272"/>
      <c r="S6099" s="272"/>
    </row>
    <row r="6100" spans="9:19">
      <c r="I6100" s="213"/>
      <c r="J6100" s="213"/>
      <c r="L6100" s="272">
        <f t="shared" si="455"/>
        <v>1900</v>
      </c>
      <c r="M6100" s="272">
        <f t="shared" si="456"/>
        <v>1</v>
      </c>
      <c r="O6100" s="61">
        <f t="shared" si="457"/>
        <v>1900</v>
      </c>
      <c r="P6100" s="61">
        <f t="shared" si="458"/>
        <v>1</v>
      </c>
      <c r="R6100" s="272"/>
      <c r="S6100" s="272"/>
    </row>
    <row r="6101" spans="9:19">
      <c r="I6101" s="213"/>
      <c r="J6101" s="213"/>
      <c r="L6101" s="272">
        <f t="shared" si="455"/>
        <v>1900</v>
      </c>
      <c r="M6101" s="272">
        <f t="shared" si="456"/>
        <v>1</v>
      </c>
      <c r="O6101" s="61">
        <f t="shared" si="457"/>
        <v>1900</v>
      </c>
      <c r="P6101" s="61">
        <f t="shared" si="458"/>
        <v>1</v>
      </c>
      <c r="R6101" s="272"/>
      <c r="S6101" s="272"/>
    </row>
    <row r="6102" spans="9:19">
      <c r="I6102" s="213"/>
      <c r="J6102" s="213"/>
      <c r="L6102" s="272">
        <f t="shared" si="455"/>
        <v>1900</v>
      </c>
      <c r="M6102" s="272">
        <f t="shared" si="456"/>
        <v>1</v>
      </c>
      <c r="O6102" s="61">
        <f t="shared" si="457"/>
        <v>1900</v>
      </c>
      <c r="P6102" s="61">
        <f t="shared" si="458"/>
        <v>1</v>
      </c>
      <c r="R6102" s="272"/>
      <c r="S6102" s="272"/>
    </row>
    <row r="6103" spans="9:19">
      <c r="I6103" s="213"/>
      <c r="J6103" s="213"/>
      <c r="L6103" s="272">
        <f t="shared" si="455"/>
        <v>1900</v>
      </c>
      <c r="M6103" s="272">
        <f t="shared" si="456"/>
        <v>1</v>
      </c>
      <c r="O6103" s="61">
        <f t="shared" si="457"/>
        <v>1900</v>
      </c>
      <c r="P6103" s="61">
        <f t="shared" si="458"/>
        <v>1</v>
      </c>
      <c r="R6103" s="272"/>
      <c r="S6103" s="272"/>
    </row>
    <row r="6104" spans="9:19">
      <c r="I6104" s="213"/>
      <c r="J6104" s="213"/>
      <c r="L6104" s="272">
        <f t="shared" si="455"/>
        <v>1900</v>
      </c>
      <c r="M6104" s="272">
        <f t="shared" si="456"/>
        <v>1</v>
      </c>
      <c r="O6104" s="61">
        <f t="shared" si="457"/>
        <v>1900</v>
      </c>
      <c r="P6104" s="61">
        <f t="shared" si="458"/>
        <v>1</v>
      </c>
      <c r="R6104" s="272"/>
      <c r="S6104" s="272"/>
    </row>
    <row r="6105" spans="9:19">
      <c r="I6105" s="213"/>
      <c r="J6105" s="213"/>
      <c r="L6105" s="272">
        <f t="shared" si="455"/>
        <v>1900</v>
      </c>
      <c r="M6105" s="272">
        <f t="shared" si="456"/>
        <v>1</v>
      </c>
      <c r="O6105" s="61">
        <f t="shared" si="457"/>
        <v>1900</v>
      </c>
      <c r="P6105" s="61">
        <f t="shared" si="458"/>
        <v>1</v>
      </c>
      <c r="R6105" s="272"/>
      <c r="S6105" s="272"/>
    </row>
    <row r="6106" spans="9:19">
      <c r="I6106" s="213"/>
      <c r="J6106" s="213"/>
      <c r="L6106" s="272">
        <f t="shared" si="455"/>
        <v>1900</v>
      </c>
      <c r="M6106" s="272">
        <f t="shared" si="456"/>
        <v>1</v>
      </c>
      <c r="O6106" s="61">
        <f t="shared" si="457"/>
        <v>1900</v>
      </c>
      <c r="P6106" s="61">
        <f t="shared" si="458"/>
        <v>1</v>
      </c>
      <c r="R6106" s="272"/>
      <c r="S6106" s="272"/>
    </row>
    <row r="6107" spans="9:19">
      <c r="I6107" s="213"/>
      <c r="J6107" s="213"/>
      <c r="L6107" s="272">
        <f t="shared" si="455"/>
        <v>1900</v>
      </c>
      <c r="M6107" s="272">
        <f t="shared" si="456"/>
        <v>1</v>
      </c>
      <c r="O6107" s="61">
        <f t="shared" si="457"/>
        <v>1900</v>
      </c>
      <c r="P6107" s="61">
        <f t="shared" si="458"/>
        <v>1</v>
      </c>
      <c r="R6107" s="272"/>
      <c r="S6107" s="272"/>
    </row>
    <row r="6108" spans="9:19">
      <c r="I6108" s="213"/>
      <c r="J6108" s="213"/>
      <c r="L6108" s="272">
        <f t="shared" si="455"/>
        <v>1900</v>
      </c>
      <c r="M6108" s="272">
        <f t="shared" si="456"/>
        <v>1</v>
      </c>
      <c r="O6108" s="61">
        <f t="shared" si="457"/>
        <v>1900</v>
      </c>
      <c r="P6108" s="61">
        <f t="shared" si="458"/>
        <v>1</v>
      </c>
      <c r="R6108" s="272"/>
      <c r="S6108" s="272"/>
    </row>
    <row r="6109" spans="9:19">
      <c r="I6109" s="213"/>
      <c r="J6109" s="213"/>
      <c r="L6109" s="272">
        <f t="shared" si="455"/>
        <v>1900</v>
      </c>
      <c r="M6109" s="272">
        <f t="shared" si="456"/>
        <v>1</v>
      </c>
      <c r="O6109" s="61">
        <f t="shared" si="457"/>
        <v>1900</v>
      </c>
      <c r="P6109" s="61">
        <f t="shared" si="458"/>
        <v>1</v>
      </c>
      <c r="R6109" s="272"/>
      <c r="S6109" s="272"/>
    </row>
    <row r="6110" spans="9:19">
      <c r="I6110" s="213"/>
      <c r="J6110" s="213"/>
      <c r="L6110" s="272">
        <f t="shared" si="455"/>
        <v>1900</v>
      </c>
      <c r="M6110" s="272">
        <f t="shared" si="456"/>
        <v>1</v>
      </c>
      <c r="O6110" s="61">
        <f t="shared" si="457"/>
        <v>1900</v>
      </c>
      <c r="P6110" s="61">
        <f t="shared" si="458"/>
        <v>1</v>
      </c>
      <c r="R6110" s="272"/>
      <c r="S6110" s="272"/>
    </row>
    <row r="6111" spans="9:19">
      <c r="I6111" s="213"/>
      <c r="J6111" s="213"/>
      <c r="L6111" s="272">
        <f t="shared" si="455"/>
        <v>1900</v>
      </c>
      <c r="M6111" s="272">
        <f t="shared" si="456"/>
        <v>1</v>
      </c>
      <c r="O6111" s="61">
        <f t="shared" si="457"/>
        <v>1900</v>
      </c>
      <c r="P6111" s="61">
        <f t="shared" si="458"/>
        <v>1</v>
      </c>
      <c r="R6111" s="272"/>
      <c r="S6111" s="272"/>
    </row>
    <row r="6112" spans="9:19">
      <c r="I6112" s="213"/>
      <c r="J6112" s="213"/>
      <c r="L6112" s="272">
        <f t="shared" si="455"/>
        <v>1900</v>
      </c>
      <c r="M6112" s="272">
        <f t="shared" si="456"/>
        <v>1</v>
      </c>
      <c r="O6112" s="61">
        <f t="shared" si="457"/>
        <v>1900</v>
      </c>
      <c r="P6112" s="61">
        <f t="shared" si="458"/>
        <v>1</v>
      </c>
      <c r="R6112" s="272"/>
      <c r="S6112" s="272"/>
    </row>
    <row r="6113" spans="9:19">
      <c r="I6113" s="213"/>
      <c r="J6113" s="213"/>
      <c r="L6113" s="272">
        <f t="shared" si="455"/>
        <v>1900</v>
      </c>
      <c r="M6113" s="272">
        <f t="shared" si="456"/>
        <v>1</v>
      </c>
      <c r="O6113" s="61">
        <f t="shared" si="457"/>
        <v>1900</v>
      </c>
      <c r="P6113" s="61">
        <f t="shared" si="458"/>
        <v>1</v>
      </c>
      <c r="R6113" s="272"/>
      <c r="S6113" s="272"/>
    </row>
    <row r="6114" spans="9:19">
      <c r="I6114" s="213"/>
      <c r="J6114" s="213"/>
      <c r="L6114" s="272">
        <f t="shared" si="455"/>
        <v>1900</v>
      </c>
      <c r="M6114" s="272">
        <f t="shared" si="456"/>
        <v>1</v>
      </c>
      <c r="O6114" s="61">
        <f t="shared" si="457"/>
        <v>1900</v>
      </c>
      <c r="P6114" s="61">
        <f t="shared" si="458"/>
        <v>1</v>
      </c>
      <c r="R6114" s="272"/>
      <c r="S6114" s="272"/>
    </row>
    <row r="6115" spans="9:19">
      <c r="I6115" s="213"/>
      <c r="J6115" s="213"/>
      <c r="L6115" s="272">
        <f t="shared" si="455"/>
        <v>1900</v>
      </c>
      <c r="M6115" s="272">
        <f t="shared" si="456"/>
        <v>1</v>
      </c>
      <c r="O6115" s="61">
        <f t="shared" si="457"/>
        <v>1900</v>
      </c>
      <c r="P6115" s="61">
        <f t="shared" si="458"/>
        <v>1</v>
      </c>
      <c r="R6115" s="272"/>
      <c r="S6115" s="272"/>
    </row>
    <row r="6116" spans="9:19">
      <c r="I6116" s="213"/>
      <c r="J6116" s="213"/>
      <c r="L6116" s="272">
        <f t="shared" si="455"/>
        <v>1900</v>
      </c>
      <c r="M6116" s="272">
        <f t="shared" si="456"/>
        <v>1</v>
      </c>
      <c r="O6116" s="61">
        <f t="shared" si="457"/>
        <v>1900</v>
      </c>
      <c r="P6116" s="61">
        <f t="shared" si="458"/>
        <v>1</v>
      </c>
      <c r="R6116" s="272"/>
      <c r="S6116" s="272"/>
    </row>
    <row r="6117" spans="9:19">
      <c r="I6117" s="213"/>
      <c r="J6117" s="213"/>
      <c r="L6117" s="272">
        <f t="shared" si="455"/>
        <v>1900</v>
      </c>
      <c r="M6117" s="272">
        <f t="shared" si="456"/>
        <v>1</v>
      </c>
      <c r="O6117" s="61">
        <f t="shared" si="457"/>
        <v>1900</v>
      </c>
      <c r="P6117" s="61">
        <f t="shared" si="458"/>
        <v>1</v>
      </c>
      <c r="R6117" s="272"/>
      <c r="S6117" s="272"/>
    </row>
    <row r="6118" spans="9:19">
      <c r="I6118" s="213"/>
      <c r="J6118" s="213"/>
      <c r="L6118" s="272">
        <f t="shared" si="455"/>
        <v>1900</v>
      </c>
      <c r="M6118" s="272">
        <f t="shared" si="456"/>
        <v>1</v>
      </c>
      <c r="O6118" s="61">
        <f t="shared" si="457"/>
        <v>1900</v>
      </c>
      <c r="P6118" s="61">
        <f t="shared" si="458"/>
        <v>1</v>
      </c>
      <c r="R6118" s="272"/>
      <c r="S6118" s="272"/>
    </row>
    <row r="6119" spans="9:19">
      <c r="I6119" s="213"/>
      <c r="J6119" s="213"/>
      <c r="L6119" s="272">
        <f t="shared" si="455"/>
        <v>1900</v>
      </c>
      <c r="M6119" s="272">
        <f t="shared" si="456"/>
        <v>1</v>
      </c>
      <c r="O6119" s="61">
        <f t="shared" si="457"/>
        <v>1900</v>
      </c>
      <c r="P6119" s="61">
        <f t="shared" si="458"/>
        <v>1</v>
      </c>
      <c r="R6119" s="272"/>
      <c r="S6119" s="272"/>
    </row>
    <row r="6120" spans="9:19">
      <c r="I6120" s="213"/>
      <c r="J6120" s="213"/>
      <c r="L6120" s="272">
        <f t="shared" si="455"/>
        <v>1900</v>
      </c>
      <c r="M6120" s="272">
        <f t="shared" si="456"/>
        <v>1</v>
      </c>
      <c r="O6120" s="61">
        <f t="shared" si="457"/>
        <v>1900</v>
      </c>
      <c r="P6120" s="61">
        <f t="shared" si="458"/>
        <v>1</v>
      </c>
      <c r="R6120" s="272"/>
      <c r="S6120" s="272"/>
    </row>
    <row r="6121" spans="9:19">
      <c r="I6121" s="213"/>
      <c r="J6121" s="213"/>
      <c r="L6121" s="272">
        <f t="shared" si="455"/>
        <v>1900</v>
      </c>
      <c r="M6121" s="272">
        <f t="shared" si="456"/>
        <v>1</v>
      </c>
      <c r="O6121" s="61">
        <f t="shared" si="457"/>
        <v>1900</v>
      </c>
      <c r="P6121" s="61">
        <f t="shared" si="458"/>
        <v>1</v>
      </c>
      <c r="R6121" s="272"/>
      <c r="S6121" s="272"/>
    </row>
    <row r="6122" spans="9:19">
      <c r="I6122" s="213"/>
      <c r="J6122" s="213"/>
      <c r="L6122" s="272">
        <f t="shared" si="455"/>
        <v>1900</v>
      </c>
      <c r="M6122" s="272">
        <f t="shared" si="456"/>
        <v>1</v>
      </c>
      <c r="O6122" s="61">
        <f t="shared" si="457"/>
        <v>1900</v>
      </c>
      <c r="P6122" s="61">
        <f t="shared" si="458"/>
        <v>1</v>
      </c>
      <c r="R6122" s="272"/>
      <c r="S6122" s="272"/>
    </row>
    <row r="6123" spans="9:19">
      <c r="I6123" s="213"/>
      <c r="J6123" s="213"/>
      <c r="L6123" s="272">
        <f t="shared" si="455"/>
        <v>1900</v>
      </c>
      <c r="M6123" s="272">
        <f t="shared" si="456"/>
        <v>1</v>
      </c>
      <c r="O6123" s="61">
        <f t="shared" si="457"/>
        <v>1900</v>
      </c>
      <c r="P6123" s="61">
        <f t="shared" si="458"/>
        <v>1</v>
      </c>
      <c r="R6123" s="272"/>
      <c r="S6123" s="272"/>
    </row>
    <row r="6124" spans="9:19">
      <c r="I6124" s="213"/>
      <c r="J6124" s="213"/>
      <c r="L6124" s="272">
        <f t="shared" si="455"/>
        <v>1900</v>
      </c>
      <c r="M6124" s="272">
        <f t="shared" si="456"/>
        <v>1</v>
      </c>
      <c r="O6124" s="61">
        <f t="shared" si="457"/>
        <v>1900</v>
      </c>
      <c r="P6124" s="61">
        <f t="shared" si="458"/>
        <v>1</v>
      </c>
      <c r="R6124" s="272"/>
      <c r="S6124" s="272"/>
    </row>
    <row r="6125" spans="9:19">
      <c r="I6125" s="213"/>
      <c r="J6125" s="213"/>
      <c r="L6125" s="272">
        <f t="shared" si="455"/>
        <v>1900</v>
      </c>
      <c r="M6125" s="272">
        <f t="shared" si="456"/>
        <v>1</v>
      </c>
      <c r="O6125" s="61">
        <f t="shared" si="457"/>
        <v>1900</v>
      </c>
      <c r="P6125" s="61">
        <f t="shared" si="458"/>
        <v>1</v>
      </c>
      <c r="R6125" s="272"/>
      <c r="S6125" s="272"/>
    </row>
    <row r="6126" spans="9:19">
      <c r="I6126" s="213"/>
      <c r="J6126" s="213"/>
      <c r="L6126" s="272">
        <f t="shared" si="455"/>
        <v>1900</v>
      </c>
      <c r="M6126" s="272">
        <f t="shared" si="456"/>
        <v>1</v>
      </c>
      <c r="O6126" s="61">
        <f t="shared" si="457"/>
        <v>1900</v>
      </c>
      <c r="P6126" s="61">
        <f t="shared" si="458"/>
        <v>1</v>
      </c>
      <c r="R6126" s="272"/>
      <c r="S6126" s="272"/>
    </row>
    <row r="6127" spans="9:19">
      <c r="I6127" s="213"/>
      <c r="J6127" s="213"/>
      <c r="L6127" s="272">
        <f t="shared" si="455"/>
        <v>1900</v>
      </c>
      <c r="M6127" s="272">
        <f t="shared" si="456"/>
        <v>1</v>
      </c>
      <c r="O6127" s="61">
        <f t="shared" si="457"/>
        <v>1900</v>
      </c>
      <c r="P6127" s="61">
        <f t="shared" si="458"/>
        <v>1</v>
      </c>
      <c r="R6127" s="272"/>
      <c r="S6127" s="272"/>
    </row>
    <row r="6128" spans="9:19">
      <c r="I6128" s="213"/>
      <c r="J6128" s="213"/>
      <c r="L6128" s="272">
        <f t="shared" si="455"/>
        <v>1900</v>
      </c>
      <c r="M6128" s="272">
        <f t="shared" si="456"/>
        <v>1</v>
      </c>
      <c r="O6128" s="61">
        <f t="shared" si="457"/>
        <v>1900</v>
      </c>
      <c r="P6128" s="61">
        <f t="shared" si="458"/>
        <v>1</v>
      </c>
      <c r="R6128" s="272"/>
      <c r="S6128" s="272"/>
    </row>
    <row r="6129" spans="9:19">
      <c r="I6129" s="213"/>
      <c r="J6129" s="213"/>
      <c r="L6129" s="272">
        <f t="shared" si="455"/>
        <v>1900</v>
      </c>
      <c r="M6129" s="272">
        <f t="shared" si="456"/>
        <v>1</v>
      </c>
      <c r="O6129" s="61">
        <f t="shared" si="457"/>
        <v>1900</v>
      </c>
      <c r="P6129" s="61">
        <f t="shared" si="458"/>
        <v>1</v>
      </c>
      <c r="R6129" s="272"/>
      <c r="S6129" s="272"/>
    </row>
    <row r="6130" spans="9:19">
      <c r="I6130" s="213"/>
      <c r="J6130" s="213"/>
      <c r="L6130" s="272">
        <f t="shared" si="455"/>
        <v>1900</v>
      </c>
      <c r="M6130" s="272">
        <f t="shared" si="456"/>
        <v>1</v>
      </c>
      <c r="O6130" s="61">
        <f t="shared" si="457"/>
        <v>1900</v>
      </c>
      <c r="P6130" s="61">
        <f t="shared" si="458"/>
        <v>1</v>
      </c>
      <c r="R6130" s="272"/>
      <c r="S6130" s="272"/>
    </row>
    <row r="6131" spans="9:19">
      <c r="I6131" s="213"/>
      <c r="J6131" s="213"/>
      <c r="L6131" s="272">
        <f t="shared" si="455"/>
        <v>1900</v>
      </c>
      <c r="M6131" s="272">
        <f t="shared" si="456"/>
        <v>1</v>
      </c>
      <c r="O6131" s="61">
        <f t="shared" si="457"/>
        <v>1900</v>
      </c>
      <c r="P6131" s="61">
        <f t="shared" si="458"/>
        <v>1</v>
      </c>
      <c r="R6131" s="272"/>
      <c r="S6131" s="272"/>
    </row>
    <row r="6132" spans="9:19">
      <c r="I6132" s="213"/>
      <c r="J6132" s="213"/>
      <c r="L6132" s="272">
        <f t="shared" si="455"/>
        <v>1900</v>
      </c>
      <c r="M6132" s="272">
        <f t="shared" si="456"/>
        <v>1</v>
      </c>
      <c r="O6132" s="61">
        <f t="shared" si="457"/>
        <v>1900</v>
      </c>
      <c r="P6132" s="61">
        <f t="shared" si="458"/>
        <v>1</v>
      </c>
      <c r="R6132" s="272"/>
      <c r="S6132" s="272"/>
    </row>
    <row r="6133" spans="9:19">
      <c r="I6133" s="213"/>
      <c r="J6133" s="213"/>
      <c r="L6133" s="272">
        <f t="shared" si="455"/>
        <v>1900</v>
      </c>
      <c r="M6133" s="272">
        <f t="shared" si="456"/>
        <v>1</v>
      </c>
      <c r="O6133" s="61">
        <f t="shared" si="457"/>
        <v>1900</v>
      </c>
      <c r="P6133" s="61">
        <f t="shared" si="458"/>
        <v>1</v>
      </c>
      <c r="R6133" s="272"/>
      <c r="S6133" s="272"/>
    </row>
    <row r="6134" spans="9:19">
      <c r="I6134" s="213"/>
      <c r="J6134" s="213"/>
      <c r="L6134" s="272">
        <f t="shared" si="455"/>
        <v>1900</v>
      </c>
      <c r="M6134" s="272">
        <f t="shared" si="456"/>
        <v>1</v>
      </c>
      <c r="O6134" s="61">
        <f t="shared" si="457"/>
        <v>1900</v>
      </c>
      <c r="P6134" s="61">
        <f t="shared" si="458"/>
        <v>1</v>
      </c>
      <c r="R6134" s="272"/>
      <c r="S6134" s="272"/>
    </row>
    <row r="6135" spans="9:19">
      <c r="I6135" s="213"/>
      <c r="J6135" s="213"/>
      <c r="L6135" s="272">
        <f t="shared" si="455"/>
        <v>1900</v>
      </c>
      <c r="M6135" s="272">
        <f t="shared" si="456"/>
        <v>1</v>
      </c>
      <c r="O6135" s="61">
        <f t="shared" si="457"/>
        <v>1900</v>
      </c>
      <c r="P6135" s="61">
        <f t="shared" si="458"/>
        <v>1</v>
      </c>
      <c r="R6135" s="272"/>
      <c r="S6135" s="272"/>
    </row>
    <row r="6136" spans="9:19">
      <c r="I6136" s="213"/>
      <c r="J6136" s="213"/>
      <c r="L6136" s="272">
        <f t="shared" si="455"/>
        <v>1900</v>
      </c>
      <c r="M6136" s="272">
        <f t="shared" si="456"/>
        <v>1</v>
      </c>
      <c r="O6136" s="61">
        <f t="shared" si="457"/>
        <v>1900</v>
      </c>
      <c r="P6136" s="61">
        <f t="shared" si="458"/>
        <v>1</v>
      </c>
      <c r="R6136" s="272"/>
      <c r="S6136" s="272"/>
    </row>
    <row r="6137" spans="9:19">
      <c r="I6137" s="213"/>
      <c r="J6137" s="213"/>
      <c r="L6137" s="272">
        <f t="shared" si="455"/>
        <v>1900</v>
      </c>
      <c r="M6137" s="272">
        <f t="shared" si="456"/>
        <v>1</v>
      </c>
      <c r="O6137" s="61">
        <f t="shared" si="457"/>
        <v>1900</v>
      </c>
      <c r="P6137" s="61">
        <f t="shared" si="458"/>
        <v>1</v>
      </c>
      <c r="R6137" s="272"/>
      <c r="S6137" s="272"/>
    </row>
    <row r="6138" spans="9:19">
      <c r="I6138" s="213"/>
      <c r="J6138" s="213"/>
      <c r="L6138" s="272">
        <f t="shared" si="455"/>
        <v>1900</v>
      </c>
      <c r="M6138" s="272">
        <f t="shared" si="456"/>
        <v>1</v>
      </c>
      <c r="O6138" s="61">
        <f t="shared" si="457"/>
        <v>1900</v>
      </c>
      <c r="P6138" s="61">
        <f t="shared" si="458"/>
        <v>1</v>
      </c>
      <c r="R6138" s="272"/>
      <c r="S6138" s="272"/>
    </row>
    <row r="6139" spans="9:19">
      <c r="I6139" s="213"/>
      <c r="J6139" s="213"/>
      <c r="L6139" s="272">
        <f t="shared" si="455"/>
        <v>1900</v>
      </c>
      <c r="M6139" s="272">
        <f t="shared" si="456"/>
        <v>1</v>
      </c>
      <c r="O6139" s="61">
        <f t="shared" si="457"/>
        <v>1900</v>
      </c>
      <c r="P6139" s="61">
        <f t="shared" si="458"/>
        <v>1</v>
      </c>
      <c r="R6139" s="272"/>
      <c r="S6139" s="272"/>
    </row>
    <row r="6140" spans="9:19">
      <c r="I6140" s="213"/>
      <c r="J6140" s="213"/>
      <c r="L6140" s="272">
        <f t="shared" si="455"/>
        <v>1900</v>
      </c>
      <c r="M6140" s="272">
        <f t="shared" si="456"/>
        <v>1</v>
      </c>
      <c r="O6140" s="61">
        <f t="shared" si="457"/>
        <v>1900</v>
      </c>
      <c r="P6140" s="61">
        <f t="shared" si="458"/>
        <v>1</v>
      </c>
      <c r="R6140" s="272"/>
      <c r="S6140" s="272"/>
    </row>
    <row r="6141" spans="9:19">
      <c r="I6141" s="213"/>
      <c r="J6141" s="213"/>
      <c r="L6141" s="272">
        <f t="shared" si="455"/>
        <v>1900</v>
      </c>
      <c r="M6141" s="272">
        <f t="shared" si="456"/>
        <v>1</v>
      </c>
      <c r="O6141" s="61">
        <f t="shared" si="457"/>
        <v>1900</v>
      </c>
      <c r="P6141" s="61">
        <f t="shared" si="458"/>
        <v>1</v>
      </c>
      <c r="R6141" s="272"/>
      <c r="S6141" s="272"/>
    </row>
    <row r="6142" spans="9:19">
      <c r="I6142" s="213"/>
      <c r="J6142" s="213"/>
      <c r="L6142" s="272">
        <f t="shared" si="455"/>
        <v>1900</v>
      </c>
      <c r="M6142" s="272">
        <f t="shared" si="456"/>
        <v>1</v>
      </c>
      <c r="O6142" s="61">
        <f t="shared" si="457"/>
        <v>1900</v>
      </c>
      <c r="P6142" s="61">
        <f t="shared" si="458"/>
        <v>1</v>
      </c>
      <c r="R6142" s="272"/>
      <c r="S6142" s="272"/>
    </row>
    <row r="6143" spans="9:19">
      <c r="I6143" s="213"/>
      <c r="J6143" s="213"/>
      <c r="L6143" s="272">
        <f t="shared" si="455"/>
        <v>1900</v>
      </c>
      <c r="M6143" s="272">
        <f t="shared" si="456"/>
        <v>1</v>
      </c>
      <c r="O6143" s="61">
        <f t="shared" si="457"/>
        <v>1900</v>
      </c>
      <c r="P6143" s="61">
        <f t="shared" si="458"/>
        <v>1</v>
      </c>
      <c r="R6143" s="272"/>
      <c r="S6143" s="272"/>
    </row>
    <row r="6144" spans="9:19">
      <c r="I6144" s="213"/>
      <c r="J6144" s="213"/>
      <c r="L6144" s="272">
        <f t="shared" si="455"/>
        <v>1900</v>
      </c>
      <c r="M6144" s="272">
        <f t="shared" si="456"/>
        <v>1</v>
      </c>
      <c r="O6144" s="61">
        <f t="shared" si="457"/>
        <v>1900</v>
      </c>
      <c r="P6144" s="61">
        <f t="shared" si="458"/>
        <v>1</v>
      </c>
      <c r="R6144" s="272"/>
      <c r="S6144" s="272"/>
    </row>
    <row r="6145" spans="9:19">
      <c r="I6145" s="213"/>
      <c r="J6145" s="213"/>
      <c r="L6145" s="272">
        <f t="shared" si="455"/>
        <v>1900</v>
      </c>
      <c r="M6145" s="272">
        <f t="shared" si="456"/>
        <v>1</v>
      </c>
      <c r="O6145" s="61">
        <f t="shared" si="457"/>
        <v>1900</v>
      </c>
      <c r="P6145" s="61">
        <f t="shared" si="458"/>
        <v>1</v>
      </c>
      <c r="R6145" s="272"/>
      <c r="S6145" s="272"/>
    </row>
    <row r="6146" spans="9:19">
      <c r="I6146" s="213"/>
      <c r="J6146" s="213"/>
      <c r="L6146" s="272">
        <f t="shared" si="455"/>
        <v>1900</v>
      </c>
      <c r="M6146" s="272">
        <f t="shared" si="456"/>
        <v>1</v>
      </c>
      <c r="O6146" s="61">
        <f t="shared" si="457"/>
        <v>1900</v>
      </c>
      <c r="P6146" s="61">
        <f t="shared" si="458"/>
        <v>1</v>
      </c>
      <c r="R6146" s="272"/>
      <c r="S6146" s="272"/>
    </row>
    <row r="6147" spans="9:19">
      <c r="I6147" s="213"/>
      <c r="J6147" s="213"/>
      <c r="L6147" s="272">
        <f t="shared" si="455"/>
        <v>1900</v>
      </c>
      <c r="M6147" s="272">
        <f t="shared" si="456"/>
        <v>1</v>
      </c>
      <c r="O6147" s="61">
        <f t="shared" si="457"/>
        <v>1900</v>
      </c>
      <c r="P6147" s="61">
        <f t="shared" si="458"/>
        <v>1</v>
      </c>
      <c r="R6147" s="272"/>
      <c r="S6147" s="272"/>
    </row>
    <row r="6148" spans="9:19">
      <c r="I6148" s="213"/>
      <c r="J6148" s="213"/>
      <c r="L6148" s="272">
        <f t="shared" si="455"/>
        <v>1900</v>
      </c>
      <c r="M6148" s="272">
        <f t="shared" si="456"/>
        <v>1</v>
      </c>
      <c r="O6148" s="61">
        <f t="shared" si="457"/>
        <v>1900</v>
      </c>
      <c r="P6148" s="61">
        <f t="shared" si="458"/>
        <v>1</v>
      </c>
      <c r="R6148" s="272"/>
      <c r="S6148" s="272"/>
    </row>
    <row r="6149" spans="9:19">
      <c r="I6149" s="213"/>
      <c r="J6149" s="213"/>
      <c r="L6149" s="272">
        <f t="shared" si="455"/>
        <v>1900</v>
      </c>
      <c r="M6149" s="272">
        <f t="shared" si="456"/>
        <v>1</v>
      </c>
      <c r="O6149" s="61">
        <f t="shared" si="457"/>
        <v>1900</v>
      </c>
      <c r="P6149" s="61">
        <f t="shared" si="458"/>
        <v>1</v>
      </c>
      <c r="R6149" s="272"/>
      <c r="S6149" s="272"/>
    </row>
    <row r="6150" spans="9:19">
      <c r="I6150" s="213"/>
      <c r="J6150" s="213"/>
      <c r="L6150" s="272">
        <f t="shared" si="455"/>
        <v>1900</v>
      </c>
      <c r="M6150" s="272">
        <f t="shared" si="456"/>
        <v>1</v>
      </c>
      <c r="O6150" s="61">
        <f t="shared" si="457"/>
        <v>1900</v>
      </c>
      <c r="P6150" s="61">
        <f t="shared" si="458"/>
        <v>1</v>
      </c>
      <c r="R6150" s="272"/>
      <c r="S6150" s="272"/>
    </row>
    <row r="6151" spans="9:19">
      <c r="I6151" s="213"/>
      <c r="J6151" s="213"/>
      <c r="L6151" s="272">
        <f t="shared" si="455"/>
        <v>1900</v>
      </c>
      <c r="M6151" s="272">
        <f t="shared" si="456"/>
        <v>1</v>
      </c>
      <c r="O6151" s="61">
        <f t="shared" si="457"/>
        <v>1900</v>
      </c>
      <c r="P6151" s="61">
        <f t="shared" si="458"/>
        <v>1</v>
      </c>
      <c r="R6151" s="272"/>
      <c r="S6151" s="272"/>
    </row>
    <row r="6152" spans="9:19">
      <c r="I6152" s="213"/>
      <c r="J6152" s="213"/>
      <c r="L6152" s="272">
        <f t="shared" si="455"/>
        <v>1900</v>
      </c>
      <c r="M6152" s="272">
        <f t="shared" si="456"/>
        <v>1</v>
      </c>
      <c r="O6152" s="61">
        <f t="shared" si="457"/>
        <v>1900</v>
      </c>
      <c r="P6152" s="61">
        <f t="shared" si="458"/>
        <v>1</v>
      </c>
      <c r="R6152" s="272"/>
      <c r="S6152" s="272"/>
    </row>
    <row r="6153" spans="9:19">
      <c r="I6153" s="213"/>
      <c r="J6153" s="213"/>
      <c r="L6153" s="272">
        <f t="shared" si="455"/>
        <v>1900</v>
      </c>
      <c r="M6153" s="272">
        <f t="shared" si="456"/>
        <v>1</v>
      </c>
      <c r="O6153" s="61">
        <f t="shared" si="457"/>
        <v>1900</v>
      </c>
      <c r="P6153" s="61">
        <f t="shared" si="458"/>
        <v>1</v>
      </c>
      <c r="R6153" s="272"/>
      <c r="S6153" s="272"/>
    </row>
    <row r="6154" spans="9:19">
      <c r="I6154" s="213"/>
      <c r="J6154" s="213"/>
      <c r="L6154" s="272">
        <f t="shared" si="455"/>
        <v>1900</v>
      </c>
      <c r="M6154" s="272">
        <f t="shared" si="456"/>
        <v>1</v>
      </c>
      <c r="O6154" s="61">
        <f t="shared" si="457"/>
        <v>1900</v>
      </c>
      <c r="P6154" s="61">
        <f t="shared" si="458"/>
        <v>1</v>
      </c>
      <c r="R6154" s="272"/>
      <c r="S6154" s="272"/>
    </row>
    <row r="6155" spans="9:19">
      <c r="I6155" s="213"/>
      <c r="J6155" s="213"/>
      <c r="L6155" s="272">
        <f t="shared" si="455"/>
        <v>1900</v>
      </c>
      <c r="M6155" s="272">
        <f t="shared" si="456"/>
        <v>1</v>
      </c>
      <c r="O6155" s="61">
        <f t="shared" si="457"/>
        <v>1900</v>
      </c>
      <c r="P6155" s="61">
        <f t="shared" si="458"/>
        <v>1</v>
      </c>
      <c r="R6155" s="272"/>
      <c r="S6155" s="272"/>
    </row>
    <row r="6156" spans="9:19">
      <c r="I6156" s="213"/>
      <c r="J6156" s="213"/>
      <c r="L6156" s="272">
        <f t="shared" si="455"/>
        <v>1900</v>
      </c>
      <c r="M6156" s="272">
        <f t="shared" si="456"/>
        <v>1</v>
      </c>
      <c r="O6156" s="61">
        <f t="shared" si="457"/>
        <v>1900</v>
      </c>
      <c r="P6156" s="61">
        <f t="shared" si="458"/>
        <v>1</v>
      </c>
      <c r="R6156" s="272"/>
      <c r="S6156" s="272"/>
    </row>
    <row r="6157" spans="9:19">
      <c r="I6157" s="213"/>
      <c r="J6157" s="213"/>
      <c r="L6157" s="272">
        <f t="shared" si="455"/>
        <v>1900</v>
      </c>
      <c r="M6157" s="272">
        <f t="shared" si="456"/>
        <v>1</v>
      </c>
      <c r="O6157" s="61">
        <f t="shared" si="457"/>
        <v>1900</v>
      </c>
      <c r="P6157" s="61">
        <f t="shared" si="458"/>
        <v>1</v>
      </c>
      <c r="R6157" s="272"/>
      <c r="S6157" s="272"/>
    </row>
    <row r="6158" spans="9:19">
      <c r="I6158" s="213"/>
      <c r="J6158" s="213"/>
      <c r="L6158" s="272">
        <f t="shared" si="455"/>
        <v>1900</v>
      </c>
      <c r="M6158" s="272">
        <f t="shared" si="456"/>
        <v>1</v>
      </c>
      <c r="O6158" s="61">
        <f t="shared" si="457"/>
        <v>1900</v>
      </c>
      <c r="P6158" s="61">
        <f t="shared" si="458"/>
        <v>1</v>
      </c>
      <c r="R6158" s="272"/>
      <c r="S6158" s="272"/>
    </row>
    <row r="6159" spans="9:19">
      <c r="I6159" s="213"/>
      <c r="J6159" s="213"/>
      <c r="L6159" s="272">
        <f t="shared" si="455"/>
        <v>1900</v>
      </c>
      <c r="M6159" s="272">
        <f t="shared" si="456"/>
        <v>1</v>
      </c>
      <c r="O6159" s="61">
        <f t="shared" si="457"/>
        <v>1900</v>
      </c>
      <c r="P6159" s="61">
        <f t="shared" si="458"/>
        <v>1</v>
      </c>
      <c r="R6159" s="272"/>
      <c r="S6159" s="272"/>
    </row>
    <row r="6160" spans="9:19">
      <c r="I6160" s="213"/>
      <c r="J6160" s="213"/>
      <c r="L6160" s="272">
        <f t="shared" ref="L6160:L6223" si="459">YEAR(B6160)</f>
        <v>1900</v>
      </c>
      <c r="M6160" s="272">
        <f t="shared" ref="M6160:M6223" si="460">MONTH(B6160)</f>
        <v>1</v>
      </c>
      <c r="O6160" s="61">
        <f t="shared" ref="O6160:O6223" si="461">YEAR(B6160)</f>
        <v>1900</v>
      </c>
      <c r="P6160" s="61">
        <f t="shared" ref="P6160:P6223" si="462">MONTH(B6160)</f>
        <v>1</v>
      </c>
      <c r="R6160" s="272"/>
      <c r="S6160" s="272"/>
    </row>
    <row r="6161" spans="9:19">
      <c r="I6161" s="213"/>
      <c r="J6161" s="213"/>
      <c r="L6161" s="272">
        <f t="shared" si="459"/>
        <v>1900</v>
      </c>
      <c r="M6161" s="272">
        <f t="shared" si="460"/>
        <v>1</v>
      </c>
      <c r="O6161" s="61">
        <f t="shared" si="461"/>
        <v>1900</v>
      </c>
      <c r="P6161" s="61">
        <f t="shared" si="462"/>
        <v>1</v>
      </c>
      <c r="R6161" s="272"/>
      <c r="S6161" s="272"/>
    </row>
    <row r="6162" spans="9:19">
      <c r="I6162" s="213"/>
      <c r="J6162" s="213"/>
      <c r="L6162" s="272">
        <f t="shared" si="459"/>
        <v>1900</v>
      </c>
      <c r="M6162" s="272">
        <f t="shared" si="460"/>
        <v>1</v>
      </c>
      <c r="O6162" s="61">
        <f t="shared" si="461"/>
        <v>1900</v>
      </c>
      <c r="P6162" s="61">
        <f t="shared" si="462"/>
        <v>1</v>
      </c>
      <c r="R6162" s="272"/>
      <c r="S6162" s="272"/>
    </row>
    <row r="6163" spans="9:19">
      <c r="I6163" s="213"/>
      <c r="J6163" s="213"/>
      <c r="L6163" s="272">
        <f t="shared" si="459"/>
        <v>1900</v>
      </c>
      <c r="M6163" s="272">
        <f t="shared" si="460"/>
        <v>1</v>
      </c>
      <c r="O6163" s="61">
        <f t="shared" si="461"/>
        <v>1900</v>
      </c>
      <c r="P6163" s="61">
        <f t="shared" si="462"/>
        <v>1</v>
      </c>
      <c r="R6163" s="272"/>
      <c r="S6163" s="272"/>
    </row>
    <row r="6164" spans="9:19">
      <c r="I6164" s="213"/>
      <c r="J6164" s="213"/>
      <c r="L6164" s="272">
        <f t="shared" si="459"/>
        <v>1900</v>
      </c>
      <c r="M6164" s="272">
        <f t="shared" si="460"/>
        <v>1</v>
      </c>
      <c r="O6164" s="61">
        <f t="shared" si="461"/>
        <v>1900</v>
      </c>
      <c r="P6164" s="61">
        <f t="shared" si="462"/>
        <v>1</v>
      </c>
      <c r="R6164" s="272"/>
      <c r="S6164" s="272"/>
    </row>
    <row r="6165" spans="9:19">
      <c r="I6165" s="213"/>
      <c r="J6165" s="213"/>
      <c r="L6165" s="272">
        <f t="shared" si="459"/>
        <v>1900</v>
      </c>
      <c r="M6165" s="272">
        <f t="shared" si="460"/>
        <v>1</v>
      </c>
      <c r="O6165" s="61">
        <f t="shared" si="461"/>
        <v>1900</v>
      </c>
      <c r="P6165" s="61">
        <f t="shared" si="462"/>
        <v>1</v>
      </c>
      <c r="R6165" s="272"/>
      <c r="S6165" s="272"/>
    </row>
    <row r="6166" spans="9:19">
      <c r="I6166" s="213"/>
      <c r="J6166" s="213"/>
      <c r="L6166" s="272">
        <f t="shared" si="459"/>
        <v>1900</v>
      </c>
      <c r="M6166" s="272">
        <f t="shared" si="460"/>
        <v>1</v>
      </c>
      <c r="O6166" s="61">
        <f t="shared" si="461"/>
        <v>1900</v>
      </c>
      <c r="P6166" s="61">
        <f t="shared" si="462"/>
        <v>1</v>
      </c>
      <c r="R6166" s="272"/>
      <c r="S6166" s="272"/>
    </row>
    <row r="6167" spans="9:19">
      <c r="I6167" s="213"/>
      <c r="J6167" s="213"/>
      <c r="L6167" s="272">
        <f t="shared" si="459"/>
        <v>1900</v>
      </c>
      <c r="M6167" s="272">
        <f t="shared" si="460"/>
        <v>1</v>
      </c>
      <c r="O6167" s="61">
        <f t="shared" si="461"/>
        <v>1900</v>
      </c>
      <c r="P6167" s="61">
        <f t="shared" si="462"/>
        <v>1</v>
      </c>
      <c r="R6167" s="272"/>
      <c r="S6167" s="272"/>
    </row>
    <row r="6168" spans="9:19">
      <c r="I6168" s="213"/>
      <c r="J6168" s="213"/>
      <c r="L6168" s="272">
        <f t="shared" si="459"/>
        <v>1900</v>
      </c>
      <c r="M6168" s="272">
        <f t="shared" si="460"/>
        <v>1</v>
      </c>
      <c r="O6168" s="61">
        <f t="shared" si="461"/>
        <v>1900</v>
      </c>
      <c r="P6168" s="61">
        <f t="shared" si="462"/>
        <v>1</v>
      </c>
      <c r="R6168" s="272"/>
      <c r="S6168" s="272"/>
    </row>
    <row r="6169" spans="9:19">
      <c r="I6169" s="213"/>
      <c r="J6169" s="213"/>
      <c r="L6169" s="272">
        <f t="shared" si="459"/>
        <v>1900</v>
      </c>
      <c r="M6169" s="272">
        <f t="shared" si="460"/>
        <v>1</v>
      </c>
      <c r="O6169" s="61">
        <f t="shared" si="461"/>
        <v>1900</v>
      </c>
      <c r="P6169" s="61">
        <f t="shared" si="462"/>
        <v>1</v>
      </c>
      <c r="R6169" s="272"/>
      <c r="S6169" s="272"/>
    </row>
    <row r="6170" spans="9:19">
      <c r="I6170" s="213"/>
      <c r="J6170" s="213"/>
      <c r="L6170" s="272">
        <f t="shared" si="459"/>
        <v>1900</v>
      </c>
      <c r="M6170" s="272">
        <f t="shared" si="460"/>
        <v>1</v>
      </c>
      <c r="O6170" s="61">
        <f t="shared" si="461"/>
        <v>1900</v>
      </c>
      <c r="P6170" s="61">
        <f t="shared" si="462"/>
        <v>1</v>
      </c>
      <c r="R6170" s="272"/>
      <c r="S6170" s="272"/>
    </row>
    <row r="6171" spans="9:19">
      <c r="I6171" s="213"/>
      <c r="J6171" s="213"/>
      <c r="L6171" s="272">
        <f t="shared" si="459"/>
        <v>1900</v>
      </c>
      <c r="M6171" s="272">
        <f t="shared" si="460"/>
        <v>1</v>
      </c>
      <c r="O6171" s="61">
        <f t="shared" si="461"/>
        <v>1900</v>
      </c>
      <c r="P6171" s="61">
        <f t="shared" si="462"/>
        <v>1</v>
      </c>
      <c r="R6171" s="272"/>
      <c r="S6171" s="272"/>
    </row>
    <row r="6172" spans="9:19">
      <c r="I6172" s="213"/>
      <c r="J6172" s="213"/>
      <c r="L6172" s="272">
        <f t="shared" si="459"/>
        <v>1900</v>
      </c>
      <c r="M6172" s="272">
        <f t="shared" si="460"/>
        <v>1</v>
      </c>
      <c r="O6172" s="61">
        <f t="shared" si="461"/>
        <v>1900</v>
      </c>
      <c r="P6172" s="61">
        <f t="shared" si="462"/>
        <v>1</v>
      </c>
      <c r="R6172" s="272"/>
      <c r="S6172" s="272"/>
    </row>
    <row r="6173" spans="9:19">
      <c r="I6173" s="213"/>
      <c r="J6173" s="213"/>
      <c r="L6173" s="272">
        <f t="shared" si="459"/>
        <v>1900</v>
      </c>
      <c r="M6173" s="272">
        <f t="shared" si="460"/>
        <v>1</v>
      </c>
      <c r="O6173" s="61">
        <f t="shared" si="461"/>
        <v>1900</v>
      </c>
      <c r="P6173" s="61">
        <f t="shared" si="462"/>
        <v>1</v>
      </c>
      <c r="R6173" s="272"/>
      <c r="S6173" s="272"/>
    </row>
    <row r="6174" spans="9:19">
      <c r="I6174" s="213"/>
      <c r="J6174" s="213"/>
      <c r="L6174" s="272">
        <f t="shared" si="459"/>
        <v>1900</v>
      </c>
      <c r="M6174" s="272">
        <f t="shared" si="460"/>
        <v>1</v>
      </c>
      <c r="O6174" s="61">
        <f t="shared" si="461"/>
        <v>1900</v>
      </c>
      <c r="P6174" s="61">
        <f t="shared" si="462"/>
        <v>1</v>
      </c>
      <c r="R6174" s="272"/>
      <c r="S6174" s="272"/>
    </row>
    <row r="6175" spans="9:19">
      <c r="I6175" s="213"/>
      <c r="J6175" s="213"/>
      <c r="L6175" s="272">
        <f t="shared" si="459"/>
        <v>1900</v>
      </c>
      <c r="M6175" s="272">
        <f t="shared" si="460"/>
        <v>1</v>
      </c>
      <c r="O6175" s="61">
        <f t="shared" si="461"/>
        <v>1900</v>
      </c>
      <c r="P6175" s="61">
        <f t="shared" si="462"/>
        <v>1</v>
      </c>
      <c r="R6175" s="272"/>
      <c r="S6175" s="272"/>
    </row>
    <row r="6176" spans="9:19">
      <c r="I6176" s="213"/>
      <c r="J6176" s="213"/>
      <c r="L6176" s="272">
        <f t="shared" si="459"/>
        <v>1900</v>
      </c>
      <c r="M6176" s="272">
        <f t="shared" si="460"/>
        <v>1</v>
      </c>
      <c r="O6176" s="61">
        <f t="shared" si="461"/>
        <v>1900</v>
      </c>
      <c r="P6176" s="61">
        <f t="shared" si="462"/>
        <v>1</v>
      </c>
      <c r="R6176" s="272"/>
      <c r="S6176" s="272"/>
    </row>
    <row r="6177" spans="9:19">
      <c r="I6177" s="213"/>
      <c r="J6177" s="213"/>
      <c r="L6177" s="272">
        <f t="shared" si="459"/>
        <v>1900</v>
      </c>
      <c r="M6177" s="272">
        <f t="shared" si="460"/>
        <v>1</v>
      </c>
      <c r="O6177" s="61">
        <f t="shared" si="461"/>
        <v>1900</v>
      </c>
      <c r="P6177" s="61">
        <f t="shared" si="462"/>
        <v>1</v>
      </c>
      <c r="R6177" s="272"/>
      <c r="S6177" s="272"/>
    </row>
    <row r="6178" spans="9:19">
      <c r="I6178" s="213"/>
      <c r="J6178" s="213"/>
      <c r="L6178" s="272">
        <f t="shared" si="459"/>
        <v>1900</v>
      </c>
      <c r="M6178" s="272">
        <f t="shared" si="460"/>
        <v>1</v>
      </c>
      <c r="O6178" s="61">
        <f t="shared" si="461"/>
        <v>1900</v>
      </c>
      <c r="P6178" s="61">
        <f t="shared" si="462"/>
        <v>1</v>
      </c>
      <c r="R6178" s="272"/>
      <c r="S6178" s="272"/>
    </row>
    <row r="6179" spans="9:19">
      <c r="I6179" s="213"/>
      <c r="J6179" s="213"/>
      <c r="L6179" s="272">
        <f t="shared" si="459"/>
        <v>1900</v>
      </c>
      <c r="M6179" s="272">
        <f t="shared" si="460"/>
        <v>1</v>
      </c>
      <c r="O6179" s="61">
        <f t="shared" si="461"/>
        <v>1900</v>
      </c>
      <c r="P6179" s="61">
        <f t="shared" si="462"/>
        <v>1</v>
      </c>
      <c r="R6179" s="272"/>
      <c r="S6179" s="272"/>
    </row>
    <row r="6180" spans="9:19">
      <c r="I6180" s="213"/>
      <c r="J6180" s="213"/>
      <c r="L6180" s="272">
        <f t="shared" si="459"/>
        <v>1900</v>
      </c>
      <c r="M6180" s="272">
        <f t="shared" si="460"/>
        <v>1</v>
      </c>
      <c r="O6180" s="61">
        <f t="shared" si="461"/>
        <v>1900</v>
      </c>
      <c r="P6180" s="61">
        <f t="shared" si="462"/>
        <v>1</v>
      </c>
      <c r="R6180" s="272"/>
      <c r="S6180" s="272"/>
    </row>
    <row r="6181" spans="9:19">
      <c r="I6181" s="213"/>
      <c r="J6181" s="213"/>
      <c r="L6181" s="272">
        <f t="shared" si="459"/>
        <v>1900</v>
      </c>
      <c r="M6181" s="272">
        <f t="shared" si="460"/>
        <v>1</v>
      </c>
      <c r="O6181" s="61">
        <f t="shared" si="461"/>
        <v>1900</v>
      </c>
      <c r="P6181" s="61">
        <f t="shared" si="462"/>
        <v>1</v>
      </c>
      <c r="R6181" s="272"/>
      <c r="S6181" s="272"/>
    </row>
    <row r="6182" spans="9:19">
      <c r="I6182" s="213"/>
      <c r="J6182" s="213"/>
      <c r="L6182" s="272">
        <f t="shared" si="459"/>
        <v>1900</v>
      </c>
      <c r="M6182" s="272">
        <f t="shared" si="460"/>
        <v>1</v>
      </c>
      <c r="O6182" s="61">
        <f t="shared" si="461"/>
        <v>1900</v>
      </c>
      <c r="P6182" s="61">
        <f t="shared" si="462"/>
        <v>1</v>
      </c>
      <c r="R6182" s="272"/>
      <c r="S6182" s="272"/>
    </row>
    <row r="6183" spans="9:19">
      <c r="I6183" s="213"/>
      <c r="J6183" s="213"/>
      <c r="L6183" s="272">
        <f t="shared" si="459"/>
        <v>1900</v>
      </c>
      <c r="M6183" s="272">
        <f t="shared" si="460"/>
        <v>1</v>
      </c>
      <c r="O6183" s="61">
        <f t="shared" si="461"/>
        <v>1900</v>
      </c>
      <c r="P6183" s="61">
        <f t="shared" si="462"/>
        <v>1</v>
      </c>
      <c r="R6183" s="272"/>
      <c r="S6183" s="272"/>
    </row>
    <row r="6184" spans="9:19">
      <c r="I6184" s="213"/>
      <c r="J6184" s="213"/>
      <c r="L6184" s="272">
        <f t="shared" si="459"/>
        <v>1900</v>
      </c>
      <c r="M6184" s="272">
        <f t="shared" si="460"/>
        <v>1</v>
      </c>
      <c r="O6184" s="61">
        <f t="shared" si="461"/>
        <v>1900</v>
      </c>
      <c r="P6184" s="61">
        <f t="shared" si="462"/>
        <v>1</v>
      </c>
      <c r="R6184" s="272"/>
      <c r="S6184" s="272"/>
    </row>
    <row r="6185" spans="9:19">
      <c r="I6185" s="213"/>
      <c r="J6185" s="213"/>
      <c r="L6185" s="272">
        <f t="shared" si="459"/>
        <v>1900</v>
      </c>
      <c r="M6185" s="272">
        <f t="shared" si="460"/>
        <v>1</v>
      </c>
      <c r="O6185" s="61">
        <f t="shared" si="461"/>
        <v>1900</v>
      </c>
      <c r="P6185" s="61">
        <f t="shared" si="462"/>
        <v>1</v>
      </c>
      <c r="R6185" s="272"/>
      <c r="S6185" s="272"/>
    </row>
    <row r="6186" spans="9:19">
      <c r="I6186" s="213"/>
      <c r="J6186" s="213"/>
      <c r="L6186" s="272">
        <f t="shared" si="459"/>
        <v>1900</v>
      </c>
      <c r="M6186" s="272">
        <f t="shared" si="460"/>
        <v>1</v>
      </c>
      <c r="O6186" s="61">
        <f t="shared" si="461"/>
        <v>1900</v>
      </c>
      <c r="P6186" s="61">
        <f t="shared" si="462"/>
        <v>1</v>
      </c>
      <c r="R6186" s="272"/>
      <c r="S6186" s="272"/>
    </row>
    <row r="6187" spans="9:19">
      <c r="I6187" s="213"/>
      <c r="J6187" s="213"/>
      <c r="L6187" s="272">
        <f t="shared" si="459"/>
        <v>1900</v>
      </c>
      <c r="M6187" s="272">
        <f t="shared" si="460"/>
        <v>1</v>
      </c>
      <c r="O6187" s="61">
        <f t="shared" si="461"/>
        <v>1900</v>
      </c>
      <c r="P6187" s="61">
        <f t="shared" si="462"/>
        <v>1</v>
      </c>
      <c r="R6187" s="272"/>
      <c r="S6187" s="272"/>
    </row>
    <row r="6188" spans="9:19">
      <c r="I6188" s="213"/>
      <c r="J6188" s="213"/>
      <c r="L6188" s="272">
        <f t="shared" si="459"/>
        <v>1900</v>
      </c>
      <c r="M6188" s="272">
        <f t="shared" si="460"/>
        <v>1</v>
      </c>
      <c r="O6188" s="61">
        <f t="shared" si="461"/>
        <v>1900</v>
      </c>
      <c r="P6188" s="61">
        <f t="shared" si="462"/>
        <v>1</v>
      </c>
      <c r="R6188" s="272"/>
      <c r="S6188" s="272"/>
    </row>
    <row r="6189" spans="9:19">
      <c r="I6189" s="213"/>
      <c r="J6189" s="213"/>
      <c r="L6189" s="272">
        <f t="shared" si="459"/>
        <v>1900</v>
      </c>
      <c r="M6189" s="272">
        <f t="shared" si="460"/>
        <v>1</v>
      </c>
      <c r="O6189" s="61">
        <f t="shared" si="461"/>
        <v>1900</v>
      </c>
      <c r="P6189" s="61">
        <f t="shared" si="462"/>
        <v>1</v>
      </c>
      <c r="R6189" s="272"/>
      <c r="S6189" s="272"/>
    </row>
    <row r="6190" spans="9:19">
      <c r="I6190" s="213"/>
      <c r="J6190" s="213"/>
      <c r="L6190" s="272">
        <f t="shared" si="459"/>
        <v>1900</v>
      </c>
      <c r="M6190" s="272">
        <f t="shared" si="460"/>
        <v>1</v>
      </c>
      <c r="O6190" s="61">
        <f t="shared" si="461"/>
        <v>1900</v>
      </c>
      <c r="P6190" s="61">
        <f t="shared" si="462"/>
        <v>1</v>
      </c>
      <c r="R6190" s="272"/>
      <c r="S6190" s="272"/>
    </row>
    <row r="6191" spans="9:19">
      <c r="I6191" s="213"/>
      <c r="J6191" s="213"/>
      <c r="L6191" s="272">
        <f t="shared" si="459"/>
        <v>1900</v>
      </c>
      <c r="M6191" s="272">
        <f t="shared" si="460"/>
        <v>1</v>
      </c>
      <c r="O6191" s="61">
        <f t="shared" si="461"/>
        <v>1900</v>
      </c>
      <c r="P6191" s="61">
        <f t="shared" si="462"/>
        <v>1</v>
      </c>
      <c r="R6191" s="272"/>
      <c r="S6191" s="272"/>
    </row>
    <row r="6192" spans="9:19">
      <c r="I6192" s="213"/>
      <c r="J6192" s="213"/>
      <c r="L6192" s="272">
        <f t="shared" si="459"/>
        <v>1900</v>
      </c>
      <c r="M6192" s="272">
        <f t="shared" si="460"/>
        <v>1</v>
      </c>
      <c r="O6192" s="61">
        <f t="shared" si="461"/>
        <v>1900</v>
      </c>
      <c r="P6192" s="61">
        <f t="shared" si="462"/>
        <v>1</v>
      </c>
      <c r="R6192" s="272"/>
      <c r="S6192" s="272"/>
    </row>
    <row r="6193" spans="9:19">
      <c r="I6193" s="213"/>
      <c r="J6193" s="213"/>
      <c r="L6193" s="272">
        <f t="shared" si="459"/>
        <v>1900</v>
      </c>
      <c r="M6193" s="272">
        <f t="shared" si="460"/>
        <v>1</v>
      </c>
      <c r="O6193" s="61">
        <f t="shared" si="461"/>
        <v>1900</v>
      </c>
      <c r="P6193" s="61">
        <f t="shared" si="462"/>
        <v>1</v>
      </c>
      <c r="R6193" s="272"/>
      <c r="S6193" s="272"/>
    </row>
    <row r="6194" spans="9:19">
      <c r="I6194" s="213"/>
      <c r="J6194" s="213"/>
      <c r="L6194" s="272">
        <f t="shared" si="459"/>
        <v>1900</v>
      </c>
      <c r="M6194" s="272">
        <f t="shared" si="460"/>
        <v>1</v>
      </c>
      <c r="O6194" s="61">
        <f t="shared" si="461"/>
        <v>1900</v>
      </c>
      <c r="P6194" s="61">
        <f t="shared" si="462"/>
        <v>1</v>
      </c>
      <c r="R6194" s="272"/>
      <c r="S6194" s="272"/>
    </row>
    <row r="6195" spans="9:19">
      <c r="I6195" s="213"/>
      <c r="J6195" s="213"/>
      <c r="L6195" s="272">
        <f t="shared" si="459"/>
        <v>1900</v>
      </c>
      <c r="M6195" s="272">
        <f t="shared" si="460"/>
        <v>1</v>
      </c>
      <c r="O6195" s="61">
        <f t="shared" si="461"/>
        <v>1900</v>
      </c>
      <c r="P6195" s="61">
        <f t="shared" si="462"/>
        <v>1</v>
      </c>
      <c r="R6195" s="272"/>
      <c r="S6195" s="272"/>
    </row>
    <row r="6196" spans="9:19">
      <c r="I6196" s="213"/>
      <c r="J6196" s="213"/>
      <c r="L6196" s="272">
        <f t="shared" si="459"/>
        <v>1900</v>
      </c>
      <c r="M6196" s="272">
        <f t="shared" si="460"/>
        <v>1</v>
      </c>
      <c r="O6196" s="61">
        <f t="shared" si="461"/>
        <v>1900</v>
      </c>
      <c r="P6196" s="61">
        <f t="shared" si="462"/>
        <v>1</v>
      </c>
      <c r="R6196" s="272"/>
      <c r="S6196" s="272"/>
    </row>
    <row r="6197" spans="9:19">
      <c r="I6197" s="213"/>
      <c r="J6197" s="213"/>
      <c r="L6197" s="272">
        <f t="shared" si="459"/>
        <v>1900</v>
      </c>
      <c r="M6197" s="272">
        <f t="shared" si="460"/>
        <v>1</v>
      </c>
      <c r="O6197" s="61">
        <f t="shared" si="461"/>
        <v>1900</v>
      </c>
      <c r="P6197" s="61">
        <f t="shared" si="462"/>
        <v>1</v>
      </c>
      <c r="R6197" s="272"/>
      <c r="S6197" s="272"/>
    </row>
    <row r="6198" spans="9:19">
      <c r="I6198" s="213"/>
      <c r="J6198" s="213"/>
      <c r="L6198" s="272">
        <f t="shared" si="459"/>
        <v>1900</v>
      </c>
      <c r="M6198" s="272">
        <f t="shared" si="460"/>
        <v>1</v>
      </c>
      <c r="O6198" s="61">
        <f t="shared" si="461"/>
        <v>1900</v>
      </c>
      <c r="P6198" s="61">
        <f t="shared" si="462"/>
        <v>1</v>
      </c>
      <c r="R6198" s="272"/>
      <c r="S6198" s="272"/>
    </row>
    <row r="6199" spans="9:19">
      <c r="I6199" s="213"/>
      <c r="J6199" s="213"/>
      <c r="L6199" s="272">
        <f t="shared" si="459"/>
        <v>1900</v>
      </c>
      <c r="M6199" s="272">
        <f t="shared" si="460"/>
        <v>1</v>
      </c>
      <c r="O6199" s="61">
        <f t="shared" si="461"/>
        <v>1900</v>
      </c>
      <c r="P6199" s="61">
        <f t="shared" si="462"/>
        <v>1</v>
      </c>
      <c r="R6199" s="272"/>
      <c r="S6199" s="272"/>
    </row>
    <row r="6200" spans="9:19">
      <c r="I6200" s="213"/>
      <c r="J6200" s="213"/>
      <c r="L6200" s="272">
        <f t="shared" si="459"/>
        <v>1900</v>
      </c>
      <c r="M6200" s="272">
        <f t="shared" si="460"/>
        <v>1</v>
      </c>
      <c r="O6200" s="61">
        <f t="shared" si="461"/>
        <v>1900</v>
      </c>
      <c r="P6200" s="61">
        <f t="shared" si="462"/>
        <v>1</v>
      </c>
      <c r="R6200" s="272"/>
      <c r="S6200" s="272"/>
    </row>
    <row r="6201" spans="9:19">
      <c r="I6201" s="213"/>
      <c r="J6201" s="213"/>
      <c r="L6201" s="272">
        <f t="shared" si="459"/>
        <v>1900</v>
      </c>
      <c r="M6201" s="272">
        <f t="shared" si="460"/>
        <v>1</v>
      </c>
      <c r="O6201" s="61">
        <f t="shared" si="461"/>
        <v>1900</v>
      </c>
      <c r="P6201" s="61">
        <f t="shared" si="462"/>
        <v>1</v>
      </c>
      <c r="R6201" s="272"/>
      <c r="S6201" s="272"/>
    </row>
    <row r="6202" spans="9:19">
      <c r="I6202" s="213"/>
      <c r="J6202" s="213"/>
      <c r="L6202" s="272">
        <f t="shared" si="459"/>
        <v>1900</v>
      </c>
      <c r="M6202" s="272">
        <f t="shared" si="460"/>
        <v>1</v>
      </c>
      <c r="O6202" s="61">
        <f t="shared" si="461"/>
        <v>1900</v>
      </c>
      <c r="P6202" s="61">
        <f t="shared" si="462"/>
        <v>1</v>
      </c>
      <c r="R6202" s="272"/>
      <c r="S6202" s="272"/>
    </row>
    <row r="6203" spans="9:19">
      <c r="I6203" s="213"/>
      <c r="J6203" s="213"/>
      <c r="L6203" s="272">
        <f t="shared" si="459"/>
        <v>1900</v>
      </c>
      <c r="M6203" s="272">
        <f t="shared" si="460"/>
        <v>1</v>
      </c>
      <c r="O6203" s="61">
        <f t="shared" si="461"/>
        <v>1900</v>
      </c>
      <c r="P6203" s="61">
        <f t="shared" si="462"/>
        <v>1</v>
      </c>
      <c r="R6203" s="272"/>
      <c r="S6203" s="272"/>
    </row>
    <row r="6204" spans="9:19">
      <c r="I6204" s="213"/>
      <c r="J6204" s="213"/>
      <c r="L6204" s="272">
        <f t="shared" si="459"/>
        <v>1900</v>
      </c>
      <c r="M6204" s="272">
        <f t="shared" si="460"/>
        <v>1</v>
      </c>
      <c r="O6204" s="61">
        <f t="shared" si="461"/>
        <v>1900</v>
      </c>
      <c r="P6204" s="61">
        <f t="shared" si="462"/>
        <v>1</v>
      </c>
      <c r="R6204" s="272"/>
      <c r="S6204" s="272"/>
    </row>
    <row r="6205" spans="9:19">
      <c r="I6205" s="213"/>
      <c r="J6205" s="213"/>
      <c r="L6205" s="272">
        <f t="shared" si="459"/>
        <v>1900</v>
      </c>
      <c r="M6205" s="272">
        <f t="shared" si="460"/>
        <v>1</v>
      </c>
      <c r="O6205" s="61">
        <f t="shared" si="461"/>
        <v>1900</v>
      </c>
      <c r="P6205" s="61">
        <f t="shared" si="462"/>
        <v>1</v>
      </c>
      <c r="R6205" s="272"/>
      <c r="S6205" s="272"/>
    </row>
    <row r="6206" spans="9:19">
      <c r="I6206" s="213"/>
      <c r="J6206" s="213"/>
      <c r="L6206" s="272">
        <f t="shared" si="459"/>
        <v>1900</v>
      </c>
      <c r="M6206" s="272">
        <f t="shared" si="460"/>
        <v>1</v>
      </c>
      <c r="O6206" s="61">
        <f t="shared" si="461"/>
        <v>1900</v>
      </c>
      <c r="P6206" s="61">
        <f t="shared" si="462"/>
        <v>1</v>
      </c>
      <c r="R6206" s="272"/>
      <c r="S6206" s="272"/>
    </row>
    <row r="6207" spans="9:19">
      <c r="I6207" s="213"/>
      <c r="J6207" s="213"/>
      <c r="L6207" s="272">
        <f t="shared" si="459"/>
        <v>1900</v>
      </c>
      <c r="M6207" s="272">
        <f t="shared" si="460"/>
        <v>1</v>
      </c>
      <c r="O6207" s="61">
        <f t="shared" si="461"/>
        <v>1900</v>
      </c>
      <c r="P6207" s="61">
        <f t="shared" si="462"/>
        <v>1</v>
      </c>
      <c r="R6207" s="272"/>
      <c r="S6207" s="272"/>
    </row>
    <row r="6208" spans="9:19">
      <c r="I6208" s="213"/>
      <c r="J6208" s="213"/>
      <c r="L6208" s="272">
        <f t="shared" si="459"/>
        <v>1900</v>
      </c>
      <c r="M6208" s="272">
        <f t="shared" si="460"/>
        <v>1</v>
      </c>
      <c r="O6208" s="61">
        <f t="shared" si="461"/>
        <v>1900</v>
      </c>
      <c r="P6208" s="61">
        <f t="shared" si="462"/>
        <v>1</v>
      </c>
      <c r="R6208" s="272"/>
      <c r="S6208" s="272"/>
    </row>
    <row r="6209" spans="9:19">
      <c r="I6209" s="213"/>
      <c r="J6209" s="213"/>
      <c r="L6209" s="272">
        <f t="shared" si="459"/>
        <v>1900</v>
      </c>
      <c r="M6209" s="272">
        <f t="shared" si="460"/>
        <v>1</v>
      </c>
      <c r="O6209" s="61">
        <f t="shared" si="461"/>
        <v>1900</v>
      </c>
      <c r="P6209" s="61">
        <f t="shared" si="462"/>
        <v>1</v>
      </c>
      <c r="R6209" s="272"/>
      <c r="S6209" s="272"/>
    </row>
    <row r="6210" spans="9:19">
      <c r="I6210" s="213"/>
      <c r="J6210" s="213"/>
      <c r="L6210" s="272">
        <f t="shared" si="459"/>
        <v>1900</v>
      </c>
      <c r="M6210" s="272">
        <f t="shared" si="460"/>
        <v>1</v>
      </c>
      <c r="O6210" s="61">
        <f t="shared" si="461"/>
        <v>1900</v>
      </c>
      <c r="P6210" s="61">
        <f t="shared" si="462"/>
        <v>1</v>
      </c>
      <c r="R6210" s="272"/>
      <c r="S6210" s="272"/>
    </row>
    <row r="6211" spans="9:19">
      <c r="I6211" s="213"/>
      <c r="J6211" s="213"/>
      <c r="L6211" s="272">
        <f t="shared" si="459"/>
        <v>1900</v>
      </c>
      <c r="M6211" s="272">
        <f t="shared" si="460"/>
        <v>1</v>
      </c>
      <c r="O6211" s="61">
        <f t="shared" si="461"/>
        <v>1900</v>
      </c>
      <c r="P6211" s="61">
        <f t="shared" si="462"/>
        <v>1</v>
      </c>
      <c r="R6211" s="272"/>
      <c r="S6211" s="272"/>
    </row>
    <row r="6212" spans="9:19">
      <c r="I6212" s="213"/>
      <c r="J6212" s="213"/>
      <c r="L6212" s="272">
        <f t="shared" si="459"/>
        <v>1900</v>
      </c>
      <c r="M6212" s="272">
        <f t="shared" si="460"/>
        <v>1</v>
      </c>
      <c r="O6212" s="61">
        <f t="shared" si="461"/>
        <v>1900</v>
      </c>
      <c r="P6212" s="61">
        <f t="shared" si="462"/>
        <v>1</v>
      </c>
      <c r="R6212" s="272"/>
      <c r="S6212" s="272"/>
    </row>
    <row r="6213" spans="9:19">
      <c r="I6213" s="213"/>
      <c r="J6213" s="213"/>
      <c r="L6213" s="272">
        <f t="shared" si="459"/>
        <v>1900</v>
      </c>
      <c r="M6213" s="272">
        <f t="shared" si="460"/>
        <v>1</v>
      </c>
      <c r="O6213" s="61">
        <f t="shared" si="461"/>
        <v>1900</v>
      </c>
      <c r="P6213" s="61">
        <f t="shared" si="462"/>
        <v>1</v>
      </c>
      <c r="R6213" s="272"/>
      <c r="S6213" s="272"/>
    </row>
    <row r="6214" spans="9:19">
      <c r="I6214" s="213"/>
      <c r="J6214" s="213"/>
      <c r="L6214" s="272">
        <f t="shared" si="459"/>
        <v>1900</v>
      </c>
      <c r="M6214" s="272">
        <f t="shared" si="460"/>
        <v>1</v>
      </c>
      <c r="O6214" s="61">
        <f t="shared" si="461"/>
        <v>1900</v>
      </c>
      <c r="P6214" s="61">
        <f t="shared" si="462"/>
        <v>1</v>
      </c>
      <c r="R6214" s="272"/>
      <c r="S6214" s="272"/>
    </row>
    <row r="6215" spans="9:19">
      <c r="I6215" s="213"/>
      <c r="J6215" s="213"/>
      <c r="L6215" s="272">
        <f t="shared" si="459"/>
        <v>1900</v>
      </c>
      <c r="M6215" s="272">
        <f t="shared" si="460"/>
        <v>1</v>
      </c>
      <c r="O6215" s="61">
        <f t="shared" si="461"/>
        <v>1900</v>
      </c>
      <c r="P6215" s="61">
        <f t="shared" si="462"/>
        <v>1</v>
      </c>
      <c r="R6215" s="272"/>
      <c r="S6215" s="272"/>
    </row>
    <row r="6216" spans="9:19">
      <c r="I6216" s="213"/>
      <c r="J6216" s="213"/>
      <c r="L6216" s="272">
        <f t="shared" si="459"/>
        <v>1900</v>
      </c>
      <c r="M6216" s="272">
        <f t="shared" si="460"/>
        <v>1</v>
      </c>
      <c r="O6216" s="61">
        <f t="shared" si="461"/>
        <v>1900</v>
      </c>
      <c r="P6216" s="61">
        <f t="shared" si="462"/>
        <v>1</v>
      </c>
      <c r="R6216" s="272"/>
      <c r="S6216" s="272"/>
    </row>
    <row r="6217" spans="9:19">
      <c r="I6217" s="213"/>
      <c r="J6217" s="213"/>
      <c r="L6217" s="272">
        <f t="shared" si="459"/>
        <v>1900</v>
      </c>
      <c r="M6217" s="272">
        <f t="shared" si="460"/>
        <v>1</v>
      </c>
      <c r="O6217" s="61">
        <f t="shared" si="461"/>
        <v>1900</v>
      </c>
      <c r="P6217" s="61">
        <f t="shared" si="462"/>
        <v>1</v>
      </c>
      <c r="R6217" s="272"/>
      <c r="S6217" s="272"/>
    </row>
    <row r="6218" spans="9:19">
      <c r="I6218" s="213"/>
      <c r="J6218" s="213"/>
      <c r="L6218" s="272">
        <f t="shared" si="459"/>
        <v>1900</v>
      </c>
      <c r="M6218" s="272">
        <f t="shared" si="460"/>
        <v>1</v>
      </c>
      <c r="O6218" s="61">
        <f t="shared" si="461"/>
        <v>1900</v>
      </c>
      <c r="P6218" s="61">
        <f t="shared" si="462"/>
        <v>1</v>
      </c>
      <c r="R6218" s="272"/>
      <c r="S6218" s="272"/>
    </row>
    <row r="6219" spans="9:19">
      <c r="I6219" s="213"/>
      <c r="J6219" s="213"/>
      <c r="L6219" s="272">
        <f t="shared" si="459"/>
        <v>1900</v>
      </c>
      <c r="M6219" s="272">
        <f t="shared" si="460"/>
        <v>1</v>
      </c>
      <c r="O6219" s="61">
        <f t="shared" si="461"/>
        <v>1900</v>
      </c>
      <c r="P6219" s="61">
        <f t="shared" si="462"/>
        <v>1</v>
      </c>
      <c r="R6219" s="272"/>
      <c r="S6219" s="272"/>
    </row>
    <row r="6220" spans="9:19">
      <c r="I6220" s="213"/>
      <c r="J6220" s="213"/>
      <c r="L6220" s="272">
        <f t="shared" si="459"/>
        <v>1900</v>
      </c>
      <c r="M6220" s="272">
        <f t="shared" si="460"/>
        <v>1</v>
      </c>
      <c r="O6220" s="61">
        <f t="shared" si="461"/>
        <v>1900</v>
      </c>
      <c r="P6220" s="61">
        <f t="shared" si="462"/>
        <v>1</v>
      </c>
      <c r="R6220" s="272"/>
      <c r="S6220" s="272"/>
    </row>
    <row r="6221" spans="9:19">
      <c r="I6221" s="213"/>
      <c r="J6221" s="213"/>
      <c r="L6221" s="272">
        <f t="shared" si="459"/>
        <v>1900</v>
      </c>
      <c r="M6221" s="272">
        <f t="shared" si="460"/>
        <v>1</v>
      </c>
      <c r="O6221" s="61">
        <f t="shared" si="461"/>
        <v>1900</v>
      </c>
      <c r="P6221" s="61">
        <f t="shared" si="462"/>
        <v>1</v>
      </c>
      <c r="R6221" s="272"/>
      <c r="S6221" s="272"/>
    </row>
    <row r="6222" spans="9:19">
      <c r="I6222" s="213"/>
      <c r="J6222" s="213"/>
      <c r="L6222" s="272">
        <f t="shared" si="459"/>
        <v>1900</v>
      </c>
      <c r="M6222" s="272">
        <f t="shared" si="460"/>
        <v>1</v>
      </c>
      <c r="O6222" s="61">
        <f t="shared" si="461"/>
        <v>1900</v>
      </c>
      <c r="P6222" s="61">
        <f t="shared" si="462"/>
        <v>1</v>
      </c>
      <c r="R6222" s="272"/>
      <c r="S6222" s="272"/>
    </row>
    <row r="6223" spans="9:19">
      <c r="I6223" s="213"/>
      <c r="J6223" s="213"/>
      <c r="L6223" s="272">
        <f t="shared" si="459"/>
        <v>1900</v>
      </c>
      <c r="M6223" s="272">
        <f t="shared" si="460"/>
        <v>1</v>
      </c>
      <c r="O6223" s="61">
        <f t="shared" si="461"/>
        <v>1900</v>
      </c>
      <c r="P6223" s="61">
        <f t="shared" si="462"/>
        <v>1</v>
      </c>
      <c r="R6223" s="272"/>
      <c r="S6223" s="272"/>
    </row>
    <row r="6224" spans="9:19">
      <c r="I6224" s="213"/>
      <c r="J6224" s="213"/>
      <c r="L6224" s="272">
        <f t="shared" ref="L6224:L6287" si="463">YEAR(B6224)</f>
        <v>1900</v>
      </c>
      <c r="M6224" s="272">
        <f t="shared" ref="M6224:M6287" si="464">MONTH(B6224)</f>
        <v>1</v>
      </c>
      <c r="O6224" s="61">
        <f t="shared" ref="O6224:O6287" si="465">YEAR(B6224)</f>
        <v>1900</v>
      </c>
      <c r="P6224" s="61">
        <f t="shared" ref="P6224:P6287" si="466">MONTH(B6224)</f>
        <v>1</v>
      </c>
      <c r="R6224" s="272"/>
      <c r="S6224" s="272"/>
    </row>
    <row r="6225" spans="9:19">
      <c r="I6225" s="213"/>
      <c r="J6225" s="213"/>
      <c r="L6225" s="272">
        <f t="shared" si="463"/>
        <v>1900</v>
      </c>
      <c r="M6225" s="272">
        <f t="shared" si="464"/>
        <v>1</v>
      </c>
      <c r="O6225" s="61">
        <f t="shared" si="465"/>
        <v>1900</v>
      </c>
      <c r="P6225" s="61">
        <f t="shared" si="466"/>
        <v>1</v>
      </c>
      <c r="R6225" s="272"/>
      <c r="S6225" s="272"/>
    </row>
    <row r="6226" spans="9:19">
      <c r="I6226" s="213"/>
      <c r="J6226" s="213"/>
      <c r="L6226" s="272">
        <f t="shared" si="463"/>
        <v>1900</v>
      </c>
      <c r="M6226" s="272">
        <f t="shared" si="464"/>
        <v>1</v>
      </c>
      <c r="O6226" s="61">
        <f t="shared" si="465"/>
        <v>1900</v>
      </c>
      <c r="P6226" s="61">
        <f t="shared" si="466"/>
        <v>1</v>
      </c>
      <c r="R6226" s="272"/>
      <c r="S6226" s="272"/>
    </row>
    <row r="6227" spans="9:19">
      <c r="I6227" s="213"/>
      <c r="J6227" s="213"/>
      <c r="L6227" s="272">
        <f t="shared" si="463"/>
        <v>1900</v>
      </c>
      <c r="M6227" s="272">
        <f t="shared" si="464"/>
        <v>1</v>
      </c>
      <c r="O6227" s="61">
        <f t="shared" si="465"/>
        <v>1900</v>
      </c>
      <c r="P6227" s="61">
        <f t="shared" si="466"/>
        <v>1</v>
      </c>
      <c r="R6227" s="272"/>
      <c r="S6227" s="272"/>
    </row>
    <row r="6228" spans="9:19">
      <c r="I6228" s="213"/>
      <c r="J6228" s="213"/>
      <c r="L6228" s="272">
        <f t="shared" si="463"/>
        <v>1900</v>
      </c>
      <c r="M6228" s="272">
        <f t="shared" si="464"/>
        <v>1</v>
      </c>
      <c r="O6228" s="61">
        <f t="shared" si="465"/>
        <v>1900</v>
      </c>
      <c r="P6228" s="61">
        <f t="shared" si="466"/>
        <v>1</v>
      </c>
      <c r="R6228" s="272"/>
      <c r="S6228" s="272"/>
    </row>
    <row r="6229" spans="9:19">
      <c r="I6229" s="213"/>
      <c r="J6229" s="213"/>
      <c r="L6229" s="272">
        <f t="shared" si="463"/>
        <v>1900</v>
      </c>
      <c r="M6229" s="272">
        <f t="shared" si="464"/>
        <v>1</v>
      </c>
      <c r="O6229" s="61">
        <f t="shared" si="465"/>
        <v>1900</v>
      </c>
      <c r="P6229" s="61">
        <f t="shared" si="466"/>
        <v>1</v>
      </c>
      <c r="R6229" s="272"/>
      <c r="S6229" s="272"/>
    </row>
    <row r="6230" spans="9:19">
      <c r="I6230" s="213"/>
      <c r="J6230" s="213"/>
      <c r="L6230" s="272">
        <f t="shared" si="463"/>
        <v>1900</v>
      </c>
      <c r="M6230" s="272">
        <f t="shared" si="464"/>
        <v>1</v>
      </c>
      <c r="O6230" s="61">
        <f t="shared" si="465"/>
        <v>1900</v>
      </c>
      <c r="P6230" s="61">
        <f t="shared" si="466"/>
        <v>1</v>
      </c>
      <c r="R6230" s="272"/>
      <c r="S6230" s="272"/>
    </row>
    <row r="6231" spans="9:19">
      <c r="I6231" s="213"/>
      <c r="J6231" s="213"/>
      <c r="L6231" s="272">
        <f t="shared" si="463"/>
        <v>1900</v>
      </c>
      <c r="M6231" s="272">
        <f t="shared" si="464"/>
        <v>1</v>
      </c>
      <c r="O6231" s="61">
        <f t="shared" si="465"/>
        <v>1900</v>
      </c>
      <c r="P6231" s="61">
        <f t="shared" si="466"/>
        <v>1</v>
      </c>
      <c r="R6231" s="272"/>
      <c r="S6231" s="272"/>
    </row>
    <row r="6232" spans="9:19">
      <c r="I6232" s="213"/>
      <c r="J6232" s="213"/>
      <c r="L6232" s="272">
        <f t="shared" si="463"/>
        <v>1900</v>
      </c>
      <c r="M6232" s="272">
        <f t="shared" si="464"/>
        <v>1</v>
      </c>
      <c r="O6232" s="61">
        <f t="shared" si="465"/>
        <v>1900</v>
      </c>
      <c r="P6232" s="61">
        <f t="shared" si="466"/>
        <v>1</v>
      </c>
      <c r="R6232" s="272"/>
      <c r="S6232" s="272"/>
    </row>
    <row r="6233" spans="9:19">
      <c r="I6233" s="213"/>
      <c r="J6233" s="213"/>
      <c r="L6233" s="272">
        <f t="shared" si="463"/>
        <v>1900</v>
      </c>
      <c r="M6233" s="272">
        <f t="shared" si="464"/>
        <v>1</v>
      </c>
      <c r="O6233" s="61">
        <f t="shared" si="465"/>
        <v>1900</v>
      </c>
      <c r="P6233" s="61">
        <f t="shared" si="466"/>
        <v>1</v>
      </c>
      <c r="R6233" s="272"/>
      <c r="S6233" s="272"/>
    </row>
    <row r="6234" spans="9:19">
      <c r="I6234" s="213"/>
      <c r="J6234" s="213"/>
      <c r="L6234" s="272">
        <f t="shared" si="463"/>
        <v>1900</v>
      </c>
      <c r="M6234" s="272">
        <f t="shared" si="464"/>
        <v>1</v>
      </c>
      <c r="O6234" s="61">
        <f t="shared" si="465"/>
        <v>1900</v>
      </c>
      <c r="P6234" s="61">
        <f t="shared" si="466"/>
        <v>1</v>
      </c>
      <c r="R6234" s="272"/>
      <c r="S6234" s="272"/>
    </row>
    <row r="6235" spans="9:19">
      <c r="I6235" s="213"/>
      <c r="J6235" s="213"/>
      <c r="L6235" s="272">
        <f t="shared" si="463"/>
        <v>1900</v>
      </c>
      <c r="M6235" s="272">
        <f t="shared" si="464"/>
        <v>1</v>
      </c>
      <c r="O6235" s="61">
        <f t="shared" si="465"/>
        <v>1900</v>
      </c>
      <c r="P6235" s="61">
        <f t="shared" si="466"/>
        <v>1</v>
      </c>
      <c r="R6235" s="272"/>
      <c r="S6235" s="272"/>
    </row>
    <row r="6236" spans="9:19">
      <c r="I6236" s="213"/>
      <c r="J6236" s="213"/>
      <c r="L6236" s="272">
        <f t="shared" si="463"/>
        <v>1900</v>
      </c>
      <c r="M6236" s="272">
        <f t="shared" si="464"/>
        <v>1</v>
      </c>
      <c r="O6236" s="61">
        <f t="shared" si="465"/>
        <v>1900</v>
      </c>
      <c r="P6236" s="61">
        <f t="shared" si="466"/>
        <v>1</v>
      </c>
      <c r="R6236" s="272"/>
      <c r="S6236" s="272"/>
    </row>
    <row r="6237" spans="9:19">
      <c r="I6237" s="213"/>
      <c r="J6237" s="213"/>
      <c r="L6237" s="272">
        <f t="shared" si="463"/>
        <v>1900</v>
      </c>
      <c r="M6237" s="272">
        <f t="shared" si="464"/>
        <v>1</v>
      </c>
      <c r="O6237" s="61">
        <f t="shared" si="465"/>
        <v>1900</v>
      </c>
      <c r="P6237" s="61">
        <f t="shared" si="466"/>
        <v>1</v>
      </c>
      <c r="R6237" s="272"/>
      <c r="S6237" s="272"/>
    </row>
    <row r="6238" spans="9:19">
      <c r="I6238" s="213"/>
      <c r="J6238" s="213"/>
      <c r="L6238" s="272">
        <f t="shared" si="463"/>
        <v>1900</v>
      </c>
      <c r="M6238" s="272">
        <f t="shared" si="464"/>
        <v>1</v>
      </c>
      <c r="O6238" s="61">
        <f t="shared" si="465"/>
        <v>1900</v>
      </c>
      <c r="P6238" s="61">
        <f t="shared" si="466"/>
        <v>1</v>
      </c>
      <c r="R6238" s="272"/>
      <c r="S6238" s="272"/>
    </row>
    <row r="6239" spans="9:19">
      <c r="I6239" s="213"/>
      <c r="J6239" s="213"/>
      <c r="L6239" s="272">
        <f t="shared" si="463"/>
        <v>1900</v>
      </c>
      <c r="M6239" s="272">
        <f t="shared" si="464"/>
        <v>1</v>
      </c>
      <c r="O6239" s="61">
        <f t="shared" si="465"/>
        <v>1900</v>
      </c>
      <c r="P6239" s="61">
        <f t="shared" si="466"/>
        <v>1</v>
      </c>
      <c r="R6239" s="272"/>
      <c r="S6239" s="272"/>
    </row>
    <row r="6240" spans="9:19">
      <c r="I6240" s="213"/>
      <c r="J6240" s="213"/>
      <c r="L6240" s="272">
        <f t="shared" si="463"/>
        <v>1900</v>
      </c>
      <c r="M6240" s="272">
        <f t="shared" si="464"/>
        <v>1</v>
      </c>
      <c r="O6240" s="61">
        <f t="shared" si="465"/>
        <v>1900</v>
      </c>
      <c r="P6240" s="61">
        <f t="shared" si="466"/>
        <v>1</v>
      </c>
      <c r="R6240" s="272"/>
      <c r="S6240" s="272"/>
    </row>
    <row r="6241" spans="9:19">
      <c r="I6241" s="213"/>
      <c r="J6241" s="213"/>
      <c r="L6241" s="272">
        <f t="shared" si="463"/>
        <v>1900</v>
      </c>
      <c r="M6241" s="272">
        <f t="shared" si="464"/>
        <v>1</v>
      </c>
      <c r="O6241" s="61">
        <f t="shared" si="465"/>
        <v>1900</v>
      </c>
      <c r="P6241" s="61">
        <f t="shared" si="466"/>
        <v>1</v>
      </c>
      <c r="R6241" s="272"/>
      <c r="S6241" s="272"/>
    </row>
    <row r="6242" spans="9:19">
      <c r="I6242" s="213"/>
      <c r="J6242" s="213"/>
      <c r="L6242" s="272">
        <f t="shared" si="463"/>
        <v>1900</v>
      </c>
      <c r="M6242" s="272">
        <f t="shared" si="464"/>
        <v>1</v>
      </c>
      <c r="O6242" s="61">
        <f t="shared" si="465"/>
        <v>1900</v>
      </c>
      <c r="P6242" s="61">
        <f t="shared" si="466"/>
        <v>1</v>
      </c>
      <c r="R6242" s="272"/>
      <c r="S6242" s="272"/>
    </row>
    <row r="6243" spans="9:19">
      <c r="I6243" s="213"/>
      <c r="J6243" s="213"/>
      <c r="L6243" s="272">
        <f t="shared" si="463"/>
        <v>1900</v>
      </c>
      <c r="M6243" s="272">
        <f t="shared" si="464"/>
        <v>1</v>
      </c>
      <c r="O6243" s="61">
        <f t="shared" si="465"/>
        <v>1900</v>
      </c>
      <c r="P6243" s="61">
        <f t="shared" si="466"/>
        <v>1</v>
      </c>
      <c r="R6243" s="272"/>
      <c r="S6243" s="272"/>
    </row>
    <row r="6244" spans="9:19">
      <c r="I6244" s="213"/>
      <c r="J6244" s="213"/>
      <c r="L6244" s="272">
        <f t="shared" si="463"/>
        <v>1900</v>
      </c>
      <c r="M6244" s="272">
        <f t="shared" si="464"/>
        <v>1</v>
      </c>
      <c r="O6244" s="61">
        <f t="shared" si="465"/>
        <v>1900</v>
      </c>
      <c r="P6244" s="61">
        <f t="shared" si="466"/>
        <v>1</v>
      </c>
      <c r="R6244" s="272"/>
      <c r="S6244" s="272"/>
    </row>
    <row r="6245" spans="9:19">
      <c r="I6245" s="213"/>
      <c r="J6245" s="213"/>
      <c r="L6245" s="272">
        <f t="shared" si="463"/>
        <v>1900</v>
      </c>
      <c r="M6245" s="272">
        <f t="shared" si="464"/>
        <v>1</v>
      </c>
      <c r="O6245" s="61">
        <f t="shared" si="465"/>
        <v>1900</v>
      </c>
      <c r="P6245" s="61">
        <f t="shared" si="466"/>
        <v>1</v>
      </c>
      <c r="R6245" s="272"/>
      <c r="S6245" s="272"/>
    </row>
    <row r="6246" spans="9:19">
      <c r="I6246" s="213"/>
      <c r="J6246" s="213"/>
      <c r="L6246" s="272">
        <f t="shared" si="463"/>
        <v>1900</v>
      </c>
      <c r="M6246" s="272">
        <f t="shared" si="464"/>
        <v>1</v>
      </c>
      <c r="O6246" s="61">
        <f t="shared" si="465"/>
        <v>1900</v>
      </c>
      <c r="P6246" s="61">
        <f t="shared" si="466"/>
        <v>1</v>
      </c>
      <c r="R6246" s="272"/>
      <c r="S6246" s="272"/>
    </row>
    <row r="6247" spans="9:19">
      <c r="I6247" s="213"/>
      <c r="J6247" s="213"/>
      <c r="L6247" s="272">
        <f t="shared" si="463"/>
        <v>1900</v>
      </c>
      <c r="M6247" s="272">
        <f t="shared" si="464"/>
        <v>1</v>
      </c>
      <c r="O6247" s="61">
        <f t="shared" si="465"/>
        <v>1900</v>
      </c>
      <c r="P6247" s="61">
        <f t="shared" si="466"/>
        <v>1</v>
      </c>
      <c r="R6247" s="272"/>
      <c r="S6247" s="272"/>
    </row>
    <row r="6248" spans="9:19">
      <c r="I6248" s="213"/>
      <c r="J6248" s="213"/>
      <c r="L6248" s="272">
        <f t="shared" si="463"/>
        <v>1900</v>
      </c>
      <c r="M6248" s="272">
        <f t="shared" si="464"/>
        <v>1</v>
      </c>
      <c r="O6248" s="61">
        <f t="shared" si="465"/>
        <v>1900</v>
      </c>
      <c r="P6248" s="61">
        <f t="shared" si="466"/>
        <v>1</v>
      </c>
      <c r="R6248" s="272"/>
      <c r="S6248" s="272"/>
    </row>
    <row r="6249" spans="9:19">
      <c r="I6249" s="213"/>
      <c r="J6249" s="213"/>
      <c r="L6249" s="272">
        <f t="shared" si="463"/>
        <v>1900</v>
      </c>
      <c r="M6249" s="272">
        <f t="shared" si="464"/>
        <v>1</v>
      </c>
      <c r="O6249" s="61">
        <f t="shared" si="465"/>
        <v>1900</v>
      </c>
      <c r="P6249" s="61">
        <f t="shared" si="466"/>
        <v>1</v>
      </c>
      <c r="R6249" s="272"/>
      <c r="S6249" s="272"/>
    </row>
    <row r="6250" spans="9:19">
      <c r="I6250" s="213"/>
      <c r="J6250" s="213"/>
      <c r="L6250" s="272">
        <f t="shared" si="463"/>
        <v>1900</v>
      </c>
      <c r="M6250" s="272">
        <f t="shared" si="464"/>
        <v>1</v>
      </c>
      <c r="O6250" s="61">
        <f t="shared" si="465"/>
        <v>1900</v>
      </c>
      <c r="P6250" s="61">
        <f t="shared" si="466"/>
        <v>1</v>
      </c>
      <c r="R6250" s="272"/>
      <c r="S6250" s="272"/>
    </row>
    <row r="6251" spans="9:19">
      <c r="I6251" s="213"/>
      <c r="J6251" s="213"/>
      <c r="L6251" s="272">
        <f t="shared" si="463"/>
        <v>1900</v>
      </c>
      <c r="M6251" s="272">
        <f t="shared" si="464"/>
        <v>1</v>
      </c>
      <c r="O6251" s="61">
        <f t="shared" si="465"/>
        <v>1900</v>
      </c>
      <c r="P6251" s="61">
        <f t="shared" si="466"/>
        <v>1</v>
      </c>
      <c r="R6251" s="272"/>
      <c r="S6251" s="272"/>
    </row>
    <row r="6252" spans="9:19">
      <c r="I6252" s="213"/>
      <c r="J6252" s="213"/>
      <c r="L6252" s="272">
        <f t="shared" si="463"/>
        <v>1900</v>
      </c>
      <c r="M6252" s="272">
        <f t="shared" si="464"/>
        <v>1</v>
      </c>
      <c r="O6252" s="61">
        <f t="shared" si="465"/>
        <v>1900</v>
      </c>
      <c r="P6252" s="61">
        <f t="shared" si="466"/>
        <v>1</v>
      </c>
      <c r="R6252" s="272"/>
      <c r="S6252" s="272"/>
    </row>
    <row r="6253" spans="9:19">
      <c r="I6253" s="213"/>
      <c r="J6253" s="213"/>
      <c r="L6253" s="272">
        <f t="shared" si="463"/>
        <v>1900</v>
      </c>
      <c r="M6253" s="272">
        <f t="shared" si="464"/>
        <v>1</v>
      </c>
      <c r="O6253" s="61">
        <f t="shared" si="465"/>
        <v>1900</v>
      </c>
      <c r="P6253" s="61">
        <f t="shared" si="466"/>
        <v>1</v>
      </c>
      <c r="R6253" s="272"/>
      <c r="S6253" s="272"/>
    </row>
    <row r="6254" spans="9:19">
      <c r="I6254" s="213"/>
      <c r="J6254" s="213"/>
      <c r="L6254" s="272">
        <f t="shared" si="463"/>
        <v>1900</v>
      </c>
      <c r="M6254" s="272">
        <f t="shared" si="464"/>
        <v>1</v>
      </c>
      <c r="O6254" s="61">
        <f t="shared" si="465"/>
        <v>1900</v>
      </c>
      <c r="P6254" s="61">
        <f t="shared" si="466"/>
        <v>1</v>
      </c>
      <c r="R6254" s="272"/>
      <c r="S6254" s="272"/>
    </row>
    <row r="6255" spans="9:19">
      <c r="I6255" s="213"/>
      <c r="J6255" s="213"/>
      <c r="L6255" s="272">
        <f t="shared" si="463"/>
        <v>1900</v>
      </c>
      <c r="M6255" s="272">
        <f t="shared" si="464"/>
        <v>1</v>
      </c>
      <c r="O6255" s="61">
        <f t="shared" si="465"/>
        <v>1900</v>
      </c>
      <c r="P6255" s="61">
        <f t="shared" si="466"/>
        <v>1</v>
      </c>
      <c r="R6255" s="272"/>
      <c r="S6255" s="272"/>
    </row>
    <row r="6256" spans="9:19">
      <c r="I6256" s="213"/>
      <c r="J6256" s="213"/>
      <c r="L6256" s="272">
        <f t="shared" si="463"/>
        <v>1900</v>
      </c>
      <c r="M6256" s="272">
        <f t="shared" si="464"/>
        <v>1</v>
      </c>
      <c r="O6256" s="61">
        <f t="shared" si="465"/>
        <v>1900</v>
      </c>
      <c r="P6256" s="61">
        <f t="shared" si="466"/>
        <v>1</v>
      </c>
      <c r="R6256" s="272"/>
      <c r="S6256" s="272"/>
    </row>
    <row r="6257" spans="9:19">
      <c r="I6257" s="213"/>
      <c r="J6257" s="213"/>
      <c r="L6257" s="272">
        <f t="shared" si="463"/>
        <v>1900</v>
      </c>
      <c r="M6257" s="272">
        <f t="shared" si="464"/>
        <v>1</v>
      </c>
      <c r="O6257" s="61">
        <f t="shared" si="465"/>
        <v>1900</v>
      </c>
      <c r="P6257" s="61">
        <f t="shared" si="466"/>
        <v>1</v>
      </c>
      <c r="R6257" s="272"/>
      <c r="S6257" s="272"/>
    </row>
    <row r="6258" spans="9:19">
      <c r="I6258" s="213"/>
      <c r="J6258" s="213"/>
      <c r="L6258" s="272">
        <f t="shared" si="463"/>
        <v>1900</v>
      </c>
      <c r="M6258" s="272">
        <f t="shared" si="464"/>
        <v>1</v>
      </c>
      <c r="O6258" s="61">
        <f t="shared" si="465"/>
        <v>1900</v>
      </c>
      <c r="P6258" s="61">
        <f t="shared" si="466"/>
        <v>1</v>
      </c>
      <c r="R6258" s="272"/>
      <c r="S6258" s="272"/>
    </row>
    <row r="6259" spans="9:19">
      <c r="I6259" s="213"/>
      <c r="J6259" s="213"/>
      <c r="L6259" s="272">
        <f t="shared" si="463"/>
        <v>1900</v>
      </c>
      <c r="M6259" s="272">
        <f t="shared" si="464"/>
        <v>1</v>
      </c>
      <c r="O6259" s="61">
        <f t="shared" si="465"/>
        <v>1900</v>
      </c>
      <c r="P6259" s="61">
        <f t="shared" si="466"/>
        <v>1</v>
      </c>
      <c r="R6259" s="272"/>
      <c r="S6259" s="272"/>
    </row>
    <row r="6260" spans="9:19">
      <c r="I6260" s="213"/>
      <c r="J6260" s="213"/>
      <c r="L6260" s="272">
        <f t="shared" si="463"/>
        <v>1900</v>
      </c>
      <c r="M6260" s="272">
        <f t="shared" si="464"/>
        <v>1</v>
      </c>
      <c r="O6260" s="61">
        <f t="shared" si="465"/>
        <v>1900</v>
      </c>
      <c r="P6260" s="61">
        <f t="shared" si="466"/>
        <v>1</v>
      </c>
      <c r="R6260" s="272"/>
      <c r="S6260" s="272"/>
    </row>
    <row r="6261" spans="9:19">
      <c r="I6261" s="213"/>
      <c r="J6261" s="213"/>
      <c r="L6261" s="272">
        <f t="shared" si="463"/>
        <v>1900</v>
      </c>
      <c r="M6261" s="272">
        <f t="shared" si="464"/>
        <v>1</v>
      </c>
      <c r="O6261" s="61">
        <f t="shared" si="465"/>
        <v>1900</v>
      </c>
      <c r="P6261" s="61">
        <f t="shared" si="466"/>
        <v>1</v>
      </c>
      <c r="R6261" s="272"/>
      <c r="S6261" s="272"/>
    </row>
    <row r="6262" spans="9:19">
      <c r="I6262" s="213"/>
      <c r="J6262" s="213"/>
      <c r="L6262" s="272">
        <f t="shared" si="463"/>
        <v>1900</v>
      </c>
      <c r="M6262" s="272">
        <f t="shared" si="464"/>
        <v>1</v>
      </c>
      <c r="O6262" s="61">
        <f t="shared" si="465"/>
        <v>1900</v>
      </c>
      <c r="P6262" s="61">
        <f t="shared" si="466"/>
        <v>1</v>
      </c>
      <c r="R6262" s="272"/>
      <c r="S6262" s="272"/>
    </row>
    <row r="6263" spans="9:19">
      <c r="I6263" s="213"/>
      <c r="J6263" s="213"/>
      <c r="L6263" s="272">
        <f t="shared" si="463"/>
        <v>1900</v>
      </c>
      <c r="M6263" s="272">
        <f t="shared" si="464"/>
        <v>1</v>
      </c>
      <c r="O6263" s="61">
        <f t="shared" si="465"/>
        <v>1900</v>
      </c>
      <c r="P6263" s="61">
        <f t="shared" si="466"/>
        <v>1</v>
      </c>
      <c r="R6263" s="272"/>
      <c r="S6263" s="272"/>
    </row>
    <row r="6264" spans="9:19">
      <c r="I6264" s="213"/>
      <c r="J6264" s="213"/>
      <c r="L6264" s="272">
        <f t="shared" si="463"/>
        <v>1900</v>
      </c>
      <c r="M6264" s="272">
        <f t="shared" si="464"/>
        <v>1</v>
      </c>
      <c r="O6264" s="61">
        <f t="shared" si="465"/>
        <v>1900</v>
      </c>
      <c r="P6264" s="61">
        <f t="shared" si="466"/>
        <v>1</v>
      </c>
      <c r="R6264" s="272"/>
      <c r="S6264" s="272"/>
    </row>
    <row r="6265" spans="9:19">
      <c r="I6265" s="213"/>
      <c r="J6265" s="213"/>
      <c r="L6265" s="272">
        <f t="shared" si="463"/>
        <v>1900</v>
      </c>
      <c r="M6265" s="272">
        <f t="shared" si="464"/>
        <v>1</v>
      </c>
      <c r="O6265" s="61">
        <f t="shared" si="465"/>
        <v>1900</v>
      </c>
      <c r="P6265" s="61">
        <f t="shared" si="466"/>
        <v>1</v>
      </c>
      <c r="R6265" s="272"/>
      <c r="S6265" s="272"/>
    </row>
    <row r="6266" spans="9:19">
      <c r="I6266" s="213"/>
      <c r="J6266" s="213"/>
      <c r="L6266" s="272">
        <f t="shared" si="463"/>
        <v>1900</v>
      </c>
      <c r="M6266" s="272">
        <f t="shared" si="464"/>
        <v>1</v>
      </c>
      <c r="O6266" s="61">
        <f t="shared" si="465"/>
        <v>1900</v>
      </c>
      <c r="P6266" s="61">
        <f t="shared" si="466"/>
        <v>1</v>
      </c>
      <c r="R6266" s="272"/>
      <c r="S6266" s="272"/>
    </row>
    <row r="6267" spans="9:19">
      <c r="I6267" s="213"/>
      <c r="J6267" s="213"/>
      <c r="L6267" s="272">
        <f t="shared" si="463"/>
        <v>1900</v>
      </c>
      <c r="M6267" s="272">
        <f t="shared" si="464"/>
        <v>1</v>
      </c>
      <c r="O6267" s="61">
        <f t="shared" si="465"/>
        <v>1900</v>
      </c>
      <c r="P6267" s="61">
        <f t="shared" si="466"/>
        <v>1</v>
      </c>
      <c r="R6267" s="272"/>
      <c r="S6267" s="272"/>
    </row>
    <row r="6268" spans="9:19">
      <c r="I6268" s="213"/>
      <c r="J6268" s="213"/>
      <c r="L6268" s="272">
        <f t="shared" si="463"/>
        <v>1900</v>
      </c>
      <c r="M6268" s="272">
        <f t="shared" si="464"/>
        <v>1</v>
      </c>
      <c r="O6268" s="61">
        <f t="shared" si="465"/>
        <v>1900</v>
      </c>
      <c r="P6268" s="61">
        <f t="shared" si="466"/>
        <v>1</v>
      </c>
      <c r="R6268" s="272"/>
      <c r="S6268" s="272"/>
    </row>
    <row r="6269" spans="9:19">
      <c r="I6269" s="213"/>
      <c r="J6269" s="213"/>
      <c r="L6269" s="272">
        <f t="shared" si="463"/>
        <v>1900</v>
      </c>
      <c r="M6269" s="272">
        <f t="shared" si="464"/>
        <v>1</v>
      </c>
      <c r="O6269" s="61">
        <f t="shared" si="465"/>
        <v>1900</v>
      </c>
      <c r="P6269" s="61">
        <f t="shared" si="466"/>
        <v>1</v>
      </c>
      <c r="R6269" s="272"/>
      <c r="S6269" s="272"/>
    </row>
    <row r="6270" spans="9:19">
      <c r="I6270" s="213"/>
      <c r="J6270" s="213"/>
      <c r="L6270" s="272">
        <f t="shared" si="463"/>
        <v>1900</v>
      </c>
      <c r="M6270" s="272">
        <f t="shared" si="464"/>
        <v>1</v>
      </c>
      <c r="O6270" s="61">
        <f t="shared" si="465"/>
        <v>1900</v>
      </c>
      <c r="P6270" s="61">
        <f t="shared" si="466"/>
        <v>1</v>
      </c>
      <c r="R6270" s="272"/>
      <c r="S6270" s="272"/>
    </row>
    <row r="6271" spans="9:19">
      <c r="I6271" s="213"/>
      <c r="J6271" s="213"/>
      <c r="L6271" s="272">
        <f t="shared" si="463"/>
        <v>1900</v>
      </c>
      <c r="M6271" s="272">
        <f t="shared" si="464"/>
        <v>1</v>
      </c>
      <c r="O6271" s="61">
        <f t="shared" si="465"/>
        <v>1900</v>
      </c>
      <c r="P6271" s="61">
        <f t="shared" si="466"/>
        <v>1</v>
      </c>
      <c r="R6271" s="272"/>
      <c r="S6271" s="272"/>
    </row>
    <row r="6272" spans="9:19">
      <c r="I6272" s="213"/>
      <c r="J6272" s="213"/>
      <c r="L6272" s="272">
        <f t="shared" si="463"/>
        <v>1900</v>
      </c>
      <c r="M6272" s="272">
        <f t="shared" si="464"/>
        <v>1</v>
      </c>
      <c r="O6272" s="61">
        <f t="shared" si="465"/>
        <v>1900</v>
      </c>
      <c r="P6272" s="61">
        <f t="shared" si="466"/>
        <v>1</v>
      </c>
      <c r="R6272" s="272"/>
      <c r="S6272" s="272"/>
    </row>
    <row r="6273" spans="9:19">
      <c r="I6273" s="213"/>
      <c r="J6273" s="213"/>
      <c r="L6273" s="272">
        <f t="shared" si="463"/>
        <v>1900</v>
      </c>
      <c r="M6273" s="272">
        <f t="shared" si="464"/>
        <v>1</v>
      </c>
      <c r="O6273" s="61">
        <f t="shared" si="465"/>
        <v>1900</v>
      </c>
      <c r="P6273" s="61">
        <f t="shared" si="466"/>
        <v>1</v>
      </c>
      <c r="R6273" s="272"/>
      <c r="S6273" s="272"/>
    </row>
    <row r="6274" spans="9:19">
      <c r="I6274" s="213"/>
      <c r="J6274" s="213"/>
      <c r="L6274" s="272">
        <f t="shared" si="463"/>
        <v>1900</v>
      </c>
      <c r="M6274" s="272">
        <f t="shared" si="464"/>
        <v>1</v>
      </c>
      <c r="O6274" s="61">
        <f t="shared" si="465"/>
        <v>1900</v>
      </c>
      <c r="P6274" s="61">
        <f t="shared" si="466"/>
        <v>1</v>
      </c>
      <c r="R6274" s="272"/>
      <c r="S6274" s="272"/>
    </row>
    <row r="6275" spans="9:19">
      <c r="I6275" s="213"/>
      <c r="J6275" s="213"/>
      <c r="L6275" s="272">
        <f t="shared" si="463"/>
        <v>1900</v>
      </c>
      <c r="M6275" s="272">
        <f t="shared" si="464"/>
        <v>1</v>
      </c>
      <c r="O6275" s="61">
        <f t="shared" si="465"/>
        <v>1900</v>
      </c>
      <c r="P6275" s="61">
        <f t="shared" si="466"/>
        <v>1</v>
      </c>
      <c r="R6275" s="272"/>
      <c r="S6275" s="272"/>
    </row>
    <row r="6276" spans="9:19">
      <c r="I6276" s="213"/>
      <c r="J6276" s="213"/>
      <c r="L6276" s="272">
        <f t="shared" si="463"/>
        <v>1900</v>
      </c>
      <c r="M6276" s="272">
        <f t="shared" si="464"/>
        <v>1</v>
      </c>
      <c r="O6276" s="61">
        <f t="shared" si="465"/>
        <v>1900</v>
      </c>
      <c r="P6276" s="61">
        <f t="shared" si="466"/>
        <v>1</v>
      </c>
      <c r="R6276" s="272"/>
      <c r="S6276" s="272"/>
    </row>
    <row r="6277" spans="9:19">
      <c r="I6277" s="213"/>
      <c r="J6277" s="213"/>
      <c r="L6277" s="272">
        <f t="shared" si="463"/>
        <v>1900</v>
      </c>
      <c r="M6277" s="272">
        <f t="shared" si="464"/>
        <v>1</v>
      </c>
      <c r="O6277" s="61">
        <f t="shared" si="465"/>
        <v>1900</v>
      </c>
      <c r="P6277" s="61">
        <f t="shared" si="466"/>
        <v>1</v>
      </c>
      <c r="R6277" s="272"/>
      <c r="S6277" s="272"/>
    </row>
    <row r="6278" spans="9:19">
      <c r="I6278" s="213"/>
      <c r="J6278" s="213"/>
      <c r="L6278" s="272">
        <f t="shared" si="463"/>
        <v>1900</v>
      </c>
      <c r="M6278" s="272">
        <f t="shared" si="464"/>
        <v>1</v>
      </c>
      <c r="O6278" s="61">
        <f t="shared" si="465"/>
        <v>1900</v>
      </c>
      <c r="P6278" s="61">
        <f t="shared" si="466"/>
        <v>1</v>
      </c>
      <c r="R6278" s="272"/>
      <c r="S6278" s="272"/>
    </row>
    <row r="6279" spans="9:19">
      <c r="I6279" s="213"/>
      <c r="J6279" s="213"/>
      <c r="L6279" s="272">
        <f t="shared" si="463"/>
        <v>1900</v>
      </c>
      <c r="M6279" s="272">
        <f t="shared" si="464"/>
        <v>1</v>
      </c>
      <c r="O6279" s="61">
        <f t="shared" si="465"/>
        <v>1900</v>
      </c>
      <c r="P6279" s="61">
        <f t="shared" si="466"/>
        <v>1</v>
      </c>
      <c r="R6279" s="272"/>
      <c r="S6279" s="272"/>
    </row>
    <row r="6280" spans="9:19">
      <c r="I6280" s="213"/>
      <c r="J6280" s="213"/>
      <c r="L6280" s="272">
        <f t="shared" si="463"/>
        <v>1900</v>
      </c>
      <c r="M6280" s="272">
        <f t="shared" si="464"/>
        <v>1</v>
      </c>
      <c r="O6280" s="61">
        <f t="shared" si="465"/>
        <v>1900</v>
      </c>
      <c r="P6280" s="61">
        <f t="shared" si="466"/>
        <v>1</v>
      </c>
      <c r="R6280" s="272"/>
      <c r="S6280" s="272"/>
    </row>
    <row r="6281" spans="9:19">
      <c r="I6281" s="213"/>
      <c r="J6281" s="213"/>
      <c r="L6281" s="272">
        <f t="shared" si="463"/>
        <v>1900</v>
      </c>
      <c r="M6281" s="272">
        <f t="shared" si="464"/>
        <v>1</v>
      </c>
      <c r="O6281" s="61">
        <f t="shared" si="465"/>
        <v>1900</v>
      </c>
      <c r="P6281" s="61">
        <f t="shared" si="466"/>
        <v>1</v>
      </c>
      <c r="R6281" s="272"/>
      <c r="S6281" s="272"/>
    </row>
    <row r="6282" spans="9:19">
      <c r="I6282" s="213"/>
      <c r="J6282" s="213"/>
      <c r="L6282" s="272">
        <f t="shared" si="463"/>
        <v>1900</v>
      </c>
      <c r="M6282" s="272">
        <f t="shared" si="464"/>
        <v>1</v>
      </c>
      <c r="O6282" s="61">
        <f t="shared" si="465"/>
        <v>1900</v>
      </c>
      <c r="P6282" s="61">
        <f t="shared" si="466"/>
        <v>1</v>
      </c>
      <c r="R6282" s="272"/>
      <c r="S6282" s="272"/>
    </row>
    <row r="6283" spans="9:19">
      <c r="I6283" s="213"/>
      <c r="J6283" s="213"/>
      <c r="L6283" s="272">
        <f t="shared" si="463"/>
        <v>1900</v>
      </c>
      <c r="M6283" s="272">
        <f t="shared" si="464"/>
        <v>1</v>
      </c>
      <c r="O6283" s="61">
        <f t="shared" si="465"/>
        <v>1900</v>
      </c>
      <c r="P6283" s="61">
        <f t="shared" si="466"/>
        <v>1</v>
      </c>
      <c r="R6283" s="272"/>
      <c r="S6283" s="272"/>
    </row>
    <row r="6284" spans="9:19">
      <c r="I6284" s="213"/>
      <c r="J6284" s="213"/>
      <c r="L6284" s="272">
        <f t="shared" si="463"/>
        <v>1900</v>
      </c>
      <c r="M6284" s="272">
        <f t="shared" si="464"/>
        <v>1</v>
      </c>
      <c r="O6284" s="61">
        <f t="shared" si="465"/>
        <v>1900</v>
      </c>
      <c r="P6284" s="61">
        <f t="shared" si="466"/>
        <v>1</v>
      </c>
      <c r="R6284" s="272"/>
      <c r="S6284" s="272"/>
    </row>
    <row r="6285" spans="9:19">
      <c r="I6285" s="213"/>
      <c r="J6285" s="213"/>
      <c r="L6285" s="272">
        <f t="shared" si="463"/>
        <v>1900</v>
      </c>
      <c r="M6285" s="272">
        <f t="shared" si="464"/>
        <v>1</v>
      </c>
      <c r="O6285" s="61">
        <f t="shared" si="465"/>
        <v>1900</v>
      </c>
      <c r="P6285" s="61">
        <f t="shared" si="466"/>
        <v>1</v>
      </c>
      <c r="R6285" s="272"/>
      <c r="S6285" s="272"/>
    </row>
    <row r="6286" spans="9:19">
      <c r="I6286" s="213"/>
      <c r="J6286" s="213"/>
      <c r="L6286" s="272">
        <f t="shared" si="463"/>
        <v>1900</v>
      </c>
      <c r="M6286" s="272">
        <f t="shared" si="464"/>
        <v>1</v>
      </c>
      <c r="O6286" s="61">
        <f t="shared" si="465"/>
        <v>1900</v>
      </c>
      <c r="P6286" s="61">
        <f t="shared" si="466"/>
        <v>1</v>
      </c>
      <c r="R6286" s="272"/>
      <c r="S6286" s="272"/>
    </row>
    <row r="6287" spans="9:19">
      <c r="I6287" s="213"/>
      <c r="J6287" s="213"/>
      <c r="L6287" s="272">
        <f t="shared" si="463"/>
        <v>1900</v>
      </c>
      <c r="M6287" s="272">
        <f t="shared" si="464"/>
        <v>1</v>
      </c>
      <c r="O6287" s="61">
        <f t="shared" si="465"/>
        <v>1900</v>
      </c>
      <c r="P6287" s="61">
        <f t="shared" si="466"/>
        <v>1</v>
      </c>
      <c r="R6287" s="272"/>
      <c r="S6287" s="272"/>
    </row>
    <row r="6288" spans="9:19">
      <c r="I6288" s="213"/>
      <c r="J6288" s="213"/>
      <c r="L6288" s="272">
        <f t="shared" ref="L6288:L6351" si="467">YEAR(B6288)</f>
        <v>1900</v>
      </c>
      <c r="M6288" s="272">
        <f t="shared" ref="M6288:M6351" si="468">MONTH(B6288)</f>
        <v>1</v>
      </c>
      <c r="O6288" s="61">
        <f t="shared" ref="O6288:O6351" si="469">YEAR(B6288)</f>
        <v>1900</v>
      </c>
      <c r="P6288" s="61">
        <f t="shared" ref="P6288:P6351" si="470">MONTH(B6288)</f>
        <v>1</v>
      </c>
      <c r="R6288" s="272"/>
      <c r="S6288" s="272"/>
    </row>
    <row r="6289" spans="9:19">
      <c r="I6289" s="213"/>
      <c r="J6289" s="213"/>
      <c r="L6289" s="272">
        <f t="shared" si="467"/>
        <v>1900</v>
      </c>
      <c r="M6289" s="272">
        <f t="shared" si="468"/>
        <v>1</v>
      </c>
      <c r="O6289" s="61">
        <f t="shared" si="469"/>
        <v>1900</v>
      </c>
      <c r="P6289" s="61">
        <f t="shared" si="470"/>
        <v>1</v>
      </c>
      <c r="R6289" s="272"/>
      <c r="S6289" s="272"/>
    </row>
    <row r="6290" spans="9:19">
      <c r="I6290" s="213"/>
      <c r="J6290" s="213"/>
      <c r="L6290" s="272">
        <f t="shared" si="467"/>
        <v>1900</v>
      </c>
      <c r="M6290" s="272">
        <f t="shared" si="468"/>
        <v>1</v>
      </c>
      <c r="O6290" s="61">
        <f t="shared" si="469"/>
        <v>1900</v>
      </c>
      <c r="P6290" s="61">
        <f t="shared" si="470"/>
        <v>1</v>
      </c>
      <c r="R6290" s="272"/>
      <c r="S6290" s="272"/>
    </row>
    <row r="6291" spans="9:19">
      <c r="I6291" s="213"/>
      <c r="J6291" s="213"/>
      <c r="L6291" s="272">
        <f t="shared" si="467"/>
        <v>1900</v>
      </c>
      <c r="M6291" s="272">
        <f t="shared" si="468"/>
        <v>1</v>
      </c>
      <c r="O6291" s="61">
        <f t="shared" si="469"/>
        <v>1900</v>
      </c>
      <c r="P6291" s="61">
        <f t="shared" si="470"/>
        <v>1</v>
      </c>
      <c r="R6291" s="272"/>
      <c r="S6291" s="272"/>
    </row>
    <row r="6292" spans="9:19">
      <c r="I6292" s="213"/>
      <c r="J6292" s="213"/>
      <c r="L6292" s="272">
        <f t="shared" si="467"/>
        <v>1900</v>
      </c>
      <c r="M6292" s="272">
        <f t="shared" si="468"/>
        <v>1</v>
      </c>
      <c r="O6292" s="61">
        <f t="shared" si="469"/>
        <v>1900</v>
      </c>
      <c r="P6292" s="61">
        <f t="shared" si="470"/>
        <v>1</v>
      </c>
      <c r="R6292" s="272"/>
      <c r="S6292" s="272"/>
    </row>
    <row r="6293" spans="9:19">
      <c r="I6293" s="213"/>
      <c r="J6293" s="213"/>
      <c r="L6293" s="272">
        <f t="shared" si="467"/>
        <v>1900</v>
      </c>
      <c r="M6293" s="272">
        <f t="shared" si="468"/>
        <v>1</v>
      </c>
      <c r="O6293" s="61">
        <f t="shared" si="469"/>
        <v>1900</v>
      </c>
      <c r="P6293" s="61">
        <f t="shared" si="470"/>
        <v>1</v>
      </c>
      <c r="R6293" s="272"/>
      <c r="S6293" s="272"/>
    </row>
    <row r="6294" spans="9:19">
      <c r="I6294" s="213"/>
      <c r="J6294" s="213"/>
      <c r="L6294" s="272">
        <f t="shared" si="467"/>
        <v>1900</v>
      </c>
      <c r="M6294" s="272">
        <f t="shared" si="468"/>
        <v>1</v>
      </c>
      <c r="O6294" s="61">
        <f t="shared" si="469"/>
        <v>1900</v>
      </c>
      <c r="P6294" s="61">
        <f t="shared" si="470"/>
        <v>1</v>
      </c>
      <c r="R6294" s="272"/>
      <c r="S6294" s="272"/>
    </row>
    <row r="6295" spans="9:19">
      <c r="I6295" s="213"/>
      <c r="J6295" s="213"/>
      <c r="L6295" s="272">
        <f t="shared" si="467"/>
        <v>1900</v>
      </c>
      <c r="M6295" s="272">
        <f t="shared" si="468"/>
        <v>1</v>
      </c>
      <c r="O6295" s="61">
        <f t="shared" si="469"/>
        <v>1900</v>
      </c>
      <c r="P6295" s="61">
        <f t="shared" si="470"/>
        <v>1</v>
      </c>
      <c r="R6295" s="272"/>
      <c r="S6295" s="272"/>
    </row>
    <row r="6296" spans="9:19">
      <c r="I6296" s="213"/>
      <c r="J6296" s="213"/>
      <c r="L6296" s="272">
        <f t="shared" si="467"/>
        <v>1900</v>
      </c>
      <c r="M6296" s="272">
        <f t="shared" si="468"/>
        <v>1</v>
      </c>
      <c r="O6296" s="61">
        <f t="shared" si="469"/>
        <v>1900</v>
      </c>
      <c r="P6296" s="61">
        <f t="shared" si="470"/>
        <v>1</v>
      </c>
      <c r="R6296" s="272"/>
      <c r="S6296" s="272"/>
    </row>
    <row r="6297" spans="9:19">
      <c r="I6297" s="213"/>
      <c r="J6297" s="213"/>
      <c r="L6297" s="272">
        <f t="shared" si="467"/>
        <v>1900</v>
      </c>
      <c r="M6297" s="272">
        <f t="shared" si="468"/>
        <v>1</v>
      </c>
      <c r="O6297" s="61">
        <f t="shared" si="469"/>
        <v>1900</v>
      </c>
      <c r="P6297" s="61">
        <f t="shared" si="470"/>
        <v>1</v>
      </c>
      <c r="R6297" s="272"/>
      <c r="S6297" s="272"/>
    </row>
    <row r="6298" spans="9:19">
      <c r="I6298" s="213"/>
      <c r="J6298" s="213"/>
      <c r="L6298" s="272">
        <f t="shared" si="467"/>
        <v>1900</v>
      </c>
      <c r="M6298" s="272">
        <f t="shared" si="468"/>
        <v>1</v>
      </c>
      <c r="O6298" s="61">
        <f t="shared" si="469"/>
        <v>1900</v>
      </c>
      <c r="P6298" s="61">
        <f t="shared" si="470"/>
        <v>1</v>
      </c>
      <c r="R6298" s="272"/>
      <c r="S6298" s="272"/>
    </row>
    <row r="6299" spans="9:19">
      <c r="I6299" s="213"/>
      <c r="J6299" s="213"/>
      <c r="L6299" s="272">
        <f t="shared" si="467"/>
        <v>1900</v>
      </c>
      <c r="M6299" s="272">
        <f t="shared" si="468"/>
        <v>1</v>
      </c>
      <c r="O6299" s="61">
        <f t="shared" si="469"/>
        <v>1900</v>
      </c>
      <c r="P6299" s="61">
        <f t="shared" si="470"/>
        <v>1</v>
      </c>
      <c r="R6299" s="272"/>
      <c r="S6299" s="272"/>
    </row>
    <row r="6300" spans="9:19">
      <c r="I6300" s="213"/>
      <c r="J6300" s="213"/>
      <c r="L6300" s="272">
        <f t="shared" si="467"/>
        <v>1900</v>
      </c>
      <c r="M6300" s="272">
        <f t="shared" si="468"/>
        <v>1</v>
      </c>
      <c r="O6300" s="61">
        <f t="shared" si="469"/>
        <v>1900</v>
      </c>
      <c r="P6300" s="61">
        <f t="shared" si="470"/>
        <v>1</v>
      </c>
      <c r="R6300" s="272"/>
      <c r="S6300" s="272"/>
    </row>
    <row r="6301" spans="9:19">
      <c r="I6301" s="213"/>
      <c r="J6301" s="213"/>
      <c r="L6301" s="272">
        <f t="shared" si="467"/>
        <v>1900</v>
      </c>
      <c r="M6301" s="272">
        <f t="shared" si="468"/>
        <v>1</v>
      </c>
      <c r="O6301" s="61">
        <f t="shared" si="469"/>
        <v>1900</v>
      </c>
      <c r="P6301" s="61">
        <f t="shared" si="470"/>
        <v>1</v>
      </c>
      <c r="R6301" s="272"/>
      <c r="S6301" s="272"/>
    </row>
    <row r="6302" spans="9:19">
      <c r="I6302" s="213"/>
      <c r="J6302" s="213"/>
      <c r="L6302" s="272">
        <f t="shared" si="467"/>
        <v>1900</v>
      </c>
      <c r="M6302" s="272">
        <f t="shared" si="468"/>
        <v>1</v>
      </c>
      <c r="O6302" s="61">
        <f t="shared" si="469"/>
        <v>1900</v>
      </c>
      <c r="P6302" s="61">
        <f t="shared" si="470"/>
        <v>1</v>
      </c>
      <c r="R6302" s="272"/>
      <c r="S6302" s="272"/>
    </row>
    <row r="6303" spans="9:19">
      <c r="I6303" s="213"/>
      <c r="J6303" s="213"/>
      <c r="L6303" s="272">
        <f t="shared" si="467"/>
        <v>1900</v>
      </c>
      <c r="M6303" s="272">
        <f t="shared" si="468"/>
        <v>1</v>
      </c>
      <c r="O6303" s="61">
        <f t="shared" si="469"/>
        <v>1900</v>
      </c>
      <c r="P6303" s="61">
        <f t="shared" si="470"/>
        <v>1</v>
      </c>
      <c r="R6303" s="272"/>
      <c r="S6303" s="272"/>
    </row>
    <row r="6304" spans="9:19">
      <c r="I6304" s="213"/>
      <c r="J6304" s="213"/>
      <c r="L6304" s="272">
        <f t="shared" si="467"/>
        <v>1900</v>
      </c>
      <c r="M6304" s="272">
        <f t="shared" si="468"/>
        <v>1</v>
      </c>
      <c r="O6304" s="61">
        <f t="shared" si="469"/>
        <v>1900</v>
      </c>
      <c r="P6304" s="61">
        <f t="shared" si="470"/>
        <v>1</v>
      </c>
      <c r="R6304" s="272"/>
      <c r="S6304" s="272"/>
    </row>
    <row r="6305" spans="9:19">
      <c r="I6305" s="213"/>
      <c r="J6305" s="213"/>
      <c r="L6305" s="272">
        <f t="shared" si="467"/>
        <v>1900</v>
      </c>
      <c r="M6305" s="272">
        <f t="shared" si="468"/>
        <v>1</v>
      </c>
      <c r="O6305" s="61">
        <f t="shared" si="469"/>
        <v>1900</v>
      </c>
      <c r="P6305" s="61">
        <f t="shared" si="470"/>
        <v>1</v>
      </c>
      <c r="R6305" s="272"/>
      <c r="S6305" s="272"/>
    </row>
    <row r="6306" spans="9:19">
      <c r="I6306" s="213"/>
      <c r="J6306" s="213"/>
      <c r="L6306" s="272">
        <f t="shared" si="467"/>
        <v>1900</v>
      </c>
      <c r="M6306" s="272">
        <f t="shared" si="468"/>
        <v>1</v>
      </c>
      <c r="O6306" s="61">
        <f t="shared" si="469"/>
        <v>1900</v>
      </c>
      <c r="P6306" s="61">
        <f t="shared" si="470"/>
        <v>1</v>
      </c>
      <c r="R6306" s="272"/>
      <c r="S6306" s="272"/>
    </row>
    <row r="6307" spans="9:19">
      <c r="I6307" s="213"/>
      <c r="J6307" s="213"/>
      <c r="L6307" s="272">
        <f t="shared" si="467"/>
        <v>1900</v>
      </c>
      <c r="M6307" s="272">
        <f t="shared" si="468"/>
        <v>1</v>
      </c>
      <c r="O6307" s="61">
        <f t="shared" si="469"/>
        <v>1900</v>
      </c>
      <c r="P6307" s="61">
        <f t="shared" si="470"/>
        <v>1</v>
      </c>
      <c r="R6307" s="272"/>
      <c r="S6307" s="272"/>
    </row>
    <row r="6308" spans="9:19">
      <c r="I6308" s="213"/>
      <c r="J6308" s="213"/>
      <c r="L6308" s="272">
        <f t="shared" si="467"/>
        <v>1900</v>
      </c>
      <c r="M6308" s="272">
        <f t="shared" si="468"/>
        <v>1</v>
      </c>
      <c r="O6308" s="61">
        <f t="shared" si="469"/>
        <v>1900</v>
      </c>
      <c r="P6308" s="61">
        <f t="shared" si="470"/>
        <v>1</v>
      </c>
      <c r="R6308" s="272"/>
      <c r="S6308" s="272"/>
    </row>
    <row r="6309" spans="9:19">
      <c r="I6309" s="213"/>
      <c r="J6309" s="213"/>
      <c r="L6309" s="272">
        <f t="shared" si="467"/>
        <v>1900</v>
      </c>
      <c r="M6309" s="272">
        <f t="shared" si="468"/>
        <v>1</v>
      </c>
      <c r="O6309" s="61">
        <f t="shared" si="469"/>
        <v>1900</v>
      </c>
      <c r="P6309" s="61">
        <f t="shared" si="470"/>
        <v>1</v>
      </c>
      <c r="R6309" s="272"/>
      <c r="S6309" s="272"/>
    </row>
    <row r="6310" spans="9:19">
      <c r="I6310" s="213"/>
      <c r="J6310" s="213"/>
      <c r="L6310" s="272">
        <f t="shared" si="467"/>
        <v>1900</v>
      </c>
      <c r="M6310" s="272">
        <f t="shared" si="468"/>
        <v>1</v>
      </c>
      <c r="O6310" s="61">
        <f t="shared" si="469"/>
        <v>1900</v>
      </c>
      <c r="P6310" s="61">
        <f t="shared" si="470"/>
        <v>1</v>
      </c>
      <c r="R6310" s="272"/>
      <c r="S6310" s="272"/>
    </row>
    <row r="6311" spans="9:19">
      <c r="I6311" s="213"/>
      <c r="J6311" s="213"/>
      <c r="L6311" s="272">
        <f t="shared" si="467"/>
        <v>1900</v>
      </c>
      <c r="M6311" s="272">
        <f t="shared" si="468"/>
        <v>1</v>
      </c>
      <c r="O6311" s="61">
        <f t="shared" si="469"/>
        <v>1900</v>
      </c>
      <c r="P6311" s="61">
        <f t="shared" si="470"/>
        <v>1</v>
      </c>
      <c r="R6311" s="272"/>
      <c r="S6311" s="272"/>
    </row>
    <row r="6312" spans="9:19">
      <c r="I6312" s="213"/>
      <c r="J6312" s="213"/>
      <c r="L6312" s="272">
        <f t="shared" si="467"/>
        <v>1900</v>
      </c>
      <c r="M6312" s="272">
        <f t="shared" si="468"/>
        <v>1</v>
      </c>
      <c r="O6312" s="61">
        <f t="shared" si="469"/>
        <v>1900</v>
      </c>
      <c r="P6312" s="61">
        <f t="shared" si="470"/>
        <v>1</v>
      </c>
      <c r="R6312" s="272"/>
      <c r="S6312" s="272"/>
    </row>
    <row r="6313" spans="9:19">
      <c r="I6313" s="213"/>
      <c r="J6313" s="213"/>
      <c r="L6313" s="272">
        <f t="shared" si="467"/>
        <v>1900</v>
      </c>
      <c r="M6313" s="272">
        <f t="shared" si="468"/>
        <v>1</v>
      </c>
      <c r="O6313" s="61">
        <f t="shared" si="469"/>
        <v>1900</v>
      </c>
      <c r="P6313" s="61">
        <f t="shared" si="470"/>
        <v>1</v>
      </c>
      <c r="R6313" s="272"/>
      <c r="S6313" s="272"/>
    </row>
    <row r="6314" spans="9:19">
      <c r="I6314" s="213"/>
      <c r="J6314" s="213"/>
      <c r="L6314" s="272">
        <f t="shared" si="467"/>
        <v>1900</v>
      </c>
      <c r="M6314" s="272">
        <f t="shared" si="468"/>
        <v>1</v>
      </c>
      <c r="O6314" s="61">
        <f t="shared" si="469"/>
        <v>1900</v>
      </c>
      <c r="P6314" s="61">
        <f t="shared" si="470"/>
        <v>1</v>
      </c>
      <c r="R6314" s="272"/>
      <c r="S6314" s="272"/>
    </row>
    <row r="6315" spans="9:19">
      <c r="I6315" s="213"/>
      <c r="J6315" s="213"/>
      <c r="L6315" s="272">
        <f t="shared" si="467"/>
        <v>1900</v>
      </c>
      <c r="M6315" s="272">
        <f t="shared" si="468"/>
        <v>1</v>
      </c>
      <c r="O6315" s="61">
        <f t="shared" si="469"/>
        <v>1900</v>
      </c>
      <c r="P6315" s="61">
        <f t="shared" si="470"/>
        <v>1</v>
      </c>
      <c r="R6315" s="272"/>
      <c r="S6315" s="272"/>
    </row>
    <row r="6316" spans="9:19">
      <c r="I6316" s="213"/>
      <c r="J6316" s="213"/>
      <c r="L6316" s="272">
        <f t="shared" si="467"/>
        <v>1900</v>
      </c>
      <c r="M6316" s="272">
        <f t="shared" si="468"/>
        <v>1</v>
      </c>
      <c r="O6316" s="61">
        <f t="shared" si="469"/>
        <v>1900</v>
      </c>
      <c r="P6316" s="61">
        <f t="shared" si="470"/>
        <v>1</v>
      </c>
      <c r="R6316" s="272"/>
      <c r="S6316" s="272"/>
    </row>
    <row r="6317" spans="9:19">
      <c r="I6317" s="213"/>
      <c r="J6317" s="213"/>
      <c r="L6317" s="272">
        <f t="shared" si="467"/>
        <v>1900</v>
      </c>
      <c r="M6317" s="272">
        <f t="shared" si="468"/>
        <v>1</v>
      </c>
      <c r="O6317" s="61">
        <f t="shared" si="469"/>
        <v>1900</v>
      </c>
      <c r="P6317" s="61">
        <f t="shared" si="470"/>
        <v>1</v>
      </c>
      <c r="R6317" s="272"/>
      <c r="S6317" s="272"/>
    </row>
    <row r="6318" spans="9:19">
      <c r="I6318" s="213"/>
      <c r="J6318" s="213"/>
      <c r="L6318" s="272">
        <f t="shared" si="467"/>
        <v>1900</v>
      </c>
      <c r="M6318" s="272">
        <f t="shared" si="468"/>
        <v>1</v>
      </c>
      <c r="O6318" s="61">
        <f t="shared" si="469"/>
        <v>1900</v>
      </c>
      <c r="P6318" s="61">
        <f t="shared" si="470"/>
        <v>1</v>
      </c>
      <c r="R6318" s="272"/>
      <c r="S6318" s="272"/>
    </row>
    <row r="6319" spans="9:19">
      <c r="I6319" s="213"/>
      <c r="J6319" s="213"/>
      <c r="L6319" s="272">
        <f t="shared" si="467"/>
        <v>1900</v>
      </c>
      <c r="M6319" s="272">
        <f t="shared" si="468"/>
        <v>1</v>
      </c>
      <c r="O6319" s="61">
        <f t="shared" si="469"/>
        <v>1900</v>
      </c>
      <c r="P6319" s="61">
        <f t="shared" si="470"/>
        <v>1</v>
      </c>
      <c r="R6319" s="272"/>
      <c r="S6319" s="272"/>
    </row>
    <row r="6320" spans="9:19">
      <c r="I6320" s="213"/>
      <c r="J6320" s="213"/>
      <c r="L6320" s="272">
        <f t="shared" si="467"/>
        <v>1900</v>
      </c>
      <c r="M6320" s="272">
        <f t="shared" si="468"/>
        <v>1</v>
      </c>
      <c r="O6320" s="61">
        <f t="shared" si="469"/>
        <v>1900</v>
      </c>
      <c r="P6320" s="61">
        <f t="shared" si="470"/>
        <v>1</v>
      </c>
      <c r="R6320" s="272"/>
      <c r="S6320" s="272"/>
    </row>
    <row r="6321" spans="9:19">
      <c r="I6321" s="213"/>
      <c r="J6321" s="213"/>
      <c r="L6321" s="272">
        <f t="shared" si="467"/>
        <v>1900</v>
      </c>
      <c r="M6321" s="272">
        <f t="shared" si="468"/>
        <v>1</v>
      </c>
      <c r="O6321" s="61">
        <f t="shared" si="469"/>
        <v>1900</v>
      </c>
      <c r="P6321" s="61">
        <f t="shared" si="470"/>
        <v>1</v>
      </c>
      <c r="R6321" s="272"/>
      <c r="S6321" s="272"/>
    </row>
    <row r="6322" spans="9:19">
      <c r="I6322" s="213"/>
      <c r="J6322" s="213"/>
      <c r="L6322" s="272">
        <f t="shared" si="467"/>
        <v>1900</v>
      </c>
      <c r="M6322" s="272">
        <f t="shared" si="468"/>
        <v>1</v>
      </c>
      <c r="O6322" s="61">
        <f t="shared" si="469"/>
        <v>1900</v>
      </c>
      <c r="P6322" s="61">
        <f t="shared" si="470"/>
        <v>1</v>
      </c>
      <c r="R6322" s="272"/>
      <c r="S6322" s="272"/>
    </row>
    <row r="6323" spans="9:19">
      <c r="I6323" s="213"/>
      <c r="J6323" s="213"/>
      <c r="L6323" s="272">
        <f t="shared" si="467"/>
        <v>1900</v>
      </c>
      <c r="M6323" s="272">
        <f t="shared" si="468"/>
        <v>1</v>
      </c>
      <c r="O6323" s="61">
        <f t="shared" si="469"/>
        <v>1900</v>
      </c>
      <c r="P6323" s="61">
        <f t="shared" si="470"/>
        <v>1</v>
      </c>
      <c r="R6323" s="272"/>
      <c r="S6323" s="272"/>
    </row>
    <row r="6324" spans="9:19">
      <c r="I6324" s="213"/>
      <c r="J6324" s="213"/>
      <c r="L6324" s="272">
        <f t="shared" si="467"/>
        <v>1900</v>
      </c>
      <c r="M6324" s="272">
        <f t="shared" si="468"/>
        <v>1</v>
      </c>
      <c r="O6324" s="61">
        <f t="shared" si="469"/>
        <v>1900</v>
      </c>
      <c r="P6324" s="61">
        <f t="shared" si="470"/>
        <v>1</v>
      </c>
      <c r="R6324" s="272"/>
      <c r="S6324" s="272"/>
    </row>
    <row r="6325" spans="9:19">
      <c r="I6325" s="213"/>
      <c r="J6325" s="213"/>
      <c r="L6325" s="272">
        <f t="shared" si="467"/>
        <v>1900</v>
      </c>
      <c r="M6325" s="272">
        <f t="shared" si="468"/>
        <v>1</v>
      </c>
      <c r="O6325" s="61">
        <f t="shared" si="469"/>
        <v>1900</v>
      </c>
      <c r="P6325" s="61">
        <f t="shared" si="470"/>
        <v>1</v>
      </c>
      <c r="R6325" s="272"/>
      <c r="S6325" s="272"/>
    </row>
    <row r="6326" spans="9:19">
      <c r="I6326" s="213"/>
      <c r="J6326" s="213"/>
      <c r="L6326" s="272">
        <f t="shared" si="467"/>
        <v>1900</v>
      </c>
      <c r="M6326" s="272">
        <f t="shared" si="468"/>
        <v>1</v>
      </c>
      <c r="O6326" s="61">
        <f t="shared" si="469"/>
        <v>1900</v>
      </c>
      <c r="P6326" s="61">
        <f t="shared" si="470"/>
        <v>1</v>
      </c>
      <c r="R6326" s="272"/>
      <c r="S6326" s="272"/>
    </row>
    <row r="6327" spans="9:19">
      <c r="I6327" s="213"/>
      <c r="J6327" s="213"/>
      <c r="L6327" s="272">
        <f t="shared" si="467"/>
        <v>1900</v>
      </c>
      <c r="M6327" s="272">
        <f t="shared" si="468"/>
        <v>1</v>
      </c>
      <c r="O6327" s="61">
        <f t="shared" si="469"/>
        <v>1900</v>
      </c>
      <c r="P6327" s="61">
        <f t="shared" si="470"/>
        <v>1</v>
      </c>
      <c r="R6327" s="272"/>
      <c r="S6327" s="272"/>
    </row>
    <row r="6328" spans="9:19">
      <c r="I6328" s="213"/>
      <c r="J6328" s="213"/>
      <c r="L6328" s="272">
        <f t="shared" si="467"/>
        <v>1900</v>
      </c>
      <c r="M6328" s="272">
        <f t="shared" si="468"/>
        <v>1</v>
      </c>
      <c r="O6328" s="61">
        <f t="shared" si="469"/>
        <v>1900</v>
      </c>
      <c r="P6328" s="61">
        <f t="shared" si="470"/>
        <v>1</v>
      </c>
      <c r="R6328" s="272"/>
      <c r="S6328" s="272"/>
    </row>
    <row r="6329" spans="9:19">
      <c r="I6329" s="213"/>
      <c r="J6329" s="213"/>
      <c r="L6329" s="272">
        <f t="shared" si="467"/>
        <v>1900</v>
      </c>
      <c r="M6329" s="272">
        <f t="shared" si="468"/>
        <v>1</v>
      </c>
      <c r="O6329" s="61">
        <f t="shared" si="469"/>
        <v>1900</v>
      </c>
      <c r="P6329" s="61">
        <f t="shared" si="470"/>
        <v>1</v>
      </c>
      <c r="R6329" s="272"/>
      <c r="S6329" s="272"/>
    </row>
    <row r="6330" spans="9:19">
      <c r="I6330" s="213"/>
      <c r="J6330" s="213"/>
      <c r="L6330" s="272">
        <f t="shared" si="467"/>
        <v>1900</v>
      </c>
      <c r="M6330" s="272">
        <f t="shared" si="468"/>
        <v>1</v>
      </c>
      <c r="O6330" s="61">
        <f t="shared" si="469"/>
        <v>1900</v>
      </c>
      <c r="P6330" s="61">
        <f t="shared" si="470"/>
        <v>1</v>
      </c>
      <c r="R6330" s="272"/>
      <c r="S6330" s="272"/>
    </row>
    <row r="6331" spans="9:19">
      <c r="I6331" s="213"/>
      <c r="J6331" s="213"/>
      <c r="L6331" s="272">
        <f t="shared" si="467"/>
        <v>1900</v>
      </c>
      <c r="M6331" s="272">
        <f t="shared" si="468"/>
        <v>1</v>
      </c>
      <c r="O6331" s="61">
        <f t="shared" si="469"/>
        <v>1900</v>
      </c>
      <c r="P6331" s="61">
        <f t="shared" si="470"/>
        <v>1</v>
      </c>
      <c r="R6331" s="272"/>
      <c r="S6331" s="272"/>
    </row>
    <row r="6332" spans="9:19">
      <c r="I6332" s="213"/>
      <c r="J6332" s="213"/>
      <c r="L6332" s="272">
        <f t="shared" si="467"/>
        <v>1900</v>
      </c>
      <c r="M6332" s="272">
        <f t="shared" si="468"/>
        <v>1</v>
      </c>
      <c r="O6332" s="61">
        <f t="shared" si="469"/>
        <v>1900</v>
      </c>
      <c r="P6332" s="61">
        <f t="shared" si="470"/>
        <v>1</v>
      </c>
      <c r="R6332" s="272"/>
      <c r="S6332" s="272"/>
    </row>
    <row r="6333" spans="9:19">
      <c r="I6333" s="213"/>
      <c r="J6333" s="213"/>
      <c r="L6333" s="272">
        <f t="shared" si="467"/>
        <v>1900</v>
      </c>
      <c r="M6333" s="272">
        <f t="shared" si="468"/>
        <v>1</v>
      </c>
      <c r="O6333" s="61">
        <f t="shared" si="469"/>
        <v>1900</v>
      </c>
      <c r="P6333" s="61">
        <f t="shared" si="470"/>
        <v>1</v>
      </c>
      <c r="R6333" s="272"/>
      <c r="S6333" s="272"/>
    </row>
    <row r="6334" spans="9:19">
      <c r="I6334" s="213"/>
      <c r="J6334" s="213"/>
      <c r="L6334" s="272">
        <f t="shared" si="467"/>
        <v>1900</v>
      </c>
      <c r="M6334" s="272">
        <f t="shared" si="468"/>
        <v>1</v>
      </c>
      <c r="O6334" s="61">
        <f t="shared" si="469"/>
        <v>1900</v>
      </c>
      <c r="P6334" s="61">
        <f t="shared" si="470"/>
        <v>1</v>
      </c>
      <c r="R6334" s="272"/>
      <c r="S6334" s="272"/>
    </row>
    <row r="6335" spans="9:19">
      <c r="I6335" s="213"/>
      <c r="J6335" s="213"/>
      <c r="L6335" s="272">
        <f t="shared" si="467"/>
        <v>1900</v>
      </c>
      <c r="M6335" s="272">
        <f t="shared" si="468"/>
        <v>1</v>
      </c>
      <c r="O6335" s="61">
        <f t="shared" si="469"/>
        <v>1900</v>
      </c>
      <c r="P6335" s="61">
        <f t="shared" si="470"/>
        <v>1</v>
      </c>
      <c r="R6335" s="272"/>
      <c r="S6335" s="272"/>
    </row>
    <row r="6336" spans="9:19">
      <c r="I6336" s="213"/>
      <c r="J6336" s="213"/>
      <c r="L6336" s="272">
        <f t="shared" si="467"/>
        <v>1900</v>
      </c>
      <c r="M6336" s="272">
        <f t="shared" si="468"/>
        <v>1</v>
      </c>
      <c r="O6336" s="61">
        <f t="shared" si="469"/>
        <v>1900</v>
      </c>
      <c r="P6336" s="61">
        <f t="shared" si="470"/>
        <v>1</v>
      </c>
      <c r="R6336" s="272"/>
      <c r="S6336" s="272"/>
    </row>
    <row r="6337" spans="9:19">
      <c r="I6337" s="213"/>
      <c r="J6337" s="213"/>
      <c r="L6337" s="272">
        <f t="shared" si="467"/>
        <v>1900</v>
      </c>
      <c r="M6337" s="272">
        <f t="shared" si="468"/>
        <v>1</v>
      </c>
      <c r="O6337" s="61">
        <f t="shared" si="469"/>
        <v>1900</v>
      </c>
      <c r="P6337" s="61">
        <f t="shared" si="470"/>
        <v>1</v>
      </c>
      <c r="R6337" s="272"/>
      <c r="S6337" s="272"/>
    </row>
    <row r="6338" spans="9:19">
      <c r="I6338" s="213"/>
      <c r="J6338" s="213"/>
      <c r="L6338" s="272">
        <f t="shared" si="467"/>
        <v>1900</v>
      </c>
      <c r="M6338" s="272">
        <f t="shared" si="468"/>
        <v>1</v>
      </c>
      <c r="O6338" s="61">
        <f t="shared" si="469"/>
        <v>1900</v>
      </c>
      <c r="P6338" s="61">
        <f t="shared" si="470"/>
        <v>1</v>
      </c>
      <c r="R6338" s="272"/>
      <c r="S6338" s="272"/>
    </row>
    <row r="6339" spans="9:19">
      <c r="I6339" s="213"/>
      <c r="J6339" s="213"/>
      <c r="L6339" s="272">
        <f t="shared" si="467"/>
        <v>1900</v>
      </c>
      <c r="M6339" s="272">
        <f t="shared" si="468"/>
        <v>1</v>
      </c>
      <c r="O6339" s="61">
        <f t="shared" si="469"/>
        <v>1900</v>
      </c>
      <c r="P6339" s="61">
        <f t="shared" si="470"/>
        <v>1</v>
      </c>
      <c r="R6339" s="272"/>
      <c r="S6339" s="272"/>
    </row>
    <row r="6340" spans="9:19">
      <c r="I6340" s="213"/>
      <c r="J6340" s="213"/>
      <c r="L6340" s="272">
        <f t="shared" si="467"/>
        <v>1900</v>
      </c>
      <c r="M6340" s="272">
        <f t="shared" si="468"/>
        <v>1</v>
      </c>
      <c r="O6340" s="61">
        <f t="shared" si="469"/>
        <v>1900</v>
      </c>
      <c r="P6340" s="61">
        <f t="shared" si="470"/>
        <v>1</v>
      </c>
      <c r="R6340" s="272"/>
      <c r="S6340" s="272"/>
    </row>
    <row r="6341" spans="9:19">
      <c r="I6341" s="213"/>
      <c r="J6341" s="213"/>
      <c r="L6341" s="272">
        <f t="shared" si="467"/>
        <v>1900</v>
      </c>
      <c r="M6341" s="272">
        <f t="shared" si="468"/>
        <v>1</v>
      </c>
      <c r="O6341" s="61">
        <f t="shared" si="469"/>
        <v>1900</v>
      </c>
      <c r="P6341" s="61">
        <f t="shared" si="470"/>
        <v>1</v>
      </c>
      <c r="R6341" s="272"/>
      <c r="S6341" s="272"/>
    </row>
    <row r="6342" spans="9:19">
      <c r="I6342" s="213"/>
      <c r="J6342" s="213"/>
      <c r="L6342" s="272">
        <f t="shared" si="467"/>
        <v>1900</v>
      </c>
      <c r="M6342" s="272">
        <f t="shared" si="468"/>
        <v>1</v>
      </c>
      <c r="O6342" s="61">
        <f t="shared" si="469"/>
        <v>1900</v>
      </c>
      <c r="P6342" s="61">
        <f t="shared" si="470"/>
        <v>1</v>
      </c>
      <c r="R6342" s="272"/>
      <c r="S6342" s="272"/>
    </row>
    <row r="6343" spans="9:19">
      <c r="I6343" s="213"/>
      <c r="J6343" s="213"/>
      <c r="L6343" s="272">
        <f t="shared" si="467"/>
        <v>1900</v>
      </c>
      <c r="M6343" s="272">
        <f t="shared" si="468"/>
        <v>1</v>
      </c>
      <c r="O6343" s="61">
        <f t="shared" si="469"/>
        <v>1900</v>
      </c>
      <c r="P6343" s="61">
        <f t="shared" si="470"/>
        <v>1</v>
      </c>
      <c r="R6343" s="272"/>
      <c r="S6343" s="272"/>
    </row>
    <row r="6344" spans="9:19">
      <c r="I6344" s="213"/>
      <c r="J6344" s="213"/>
      <c r="L6344" s="272">
        <f t="shared" si="467"/>
        <v>1900</v>
      </c>
      <c r="M6344" s="272">
        <f t="shared" si="468"/>
        <v>1</v>
      </c>
      <c r="O6344" s="61">
        <f t="shared" si="469"/>
        <v>1900</v>
      </c>
      <c r="P6344" s="61">
        <f t="shared" si="470"/>
        <v>1</v>
      </c>
      <c r="R6344" s="272"/>
      <c r="S6344" s="272"/>
    </row>
    <row r="6345" spans="9:19">
      <c r="I6345" s="213"/>
      <c r="J6345" s="213"/>
      <c r="L6345" s="272">
        <f t="shared" si="467"/>
        <v>1900</v>
      </c>
      <c r="M6345" s="272">
        <f t="shared" si="468"/>
        <v>1</v>
      </c>
      <c r="O6345" s="61">
        <f t="shared" si="469"/>
        <v>1900</v>
      </c>
      <c r="P6345" s="61">
        <f t="shared" si="470"/>
        <v>1</v>
      </c>
      <c r="R6345" s="272"/>
      <c r="S6345" s="272"/>
    </row>
    <row r="6346" spans="9:19">
      <c r="I6346" s="213"/>
      <c r="J6346" s="213"/>
      <c r="L6346" s="272">
        <f t="shared" si="467"/>
        <v>1900</v>
      </c>
      <c r="M6346" s="272">
        <f t="shared" si="468"/>
        <v>1</v>
      </c>
      <c r="O6346" s="61">
        <f t="shared" si="469"/>
        <v>1900</v>
      </c>
      <c r="P6346" s="61">
        <f t="shared" si="470"/>
        <v>1</v>
      </c>
      <c r="R6346" s="272"/>
      <c r="S6346" s="272"/>
    </row>
    <row r="6347" spans="9:19">
      <c r="I6347" s="213"/>
      <c r="J6347" s="213"/>
      <c r="L6347" s="272">
        <f t="shared" si="467"/>
        <v>1900</v>
      </c>
      <c r="M6347" s="272">
        <f t="shared" si="468"/>
        <v>1</v>
      </c>
      <c r="O6347" s="61">
        <f t="shared" si="469"/>
        <v>1900</v>
      </c>
      <c r="P6347" s="61">
        <f t="shared" si="470"/>
        <v>1</v>
      </c>
      <c r="R6347" s="272"/>
      <c r="S6347" s="272"/>
    </row>
    <row r="6348" spans="9:19">
      <c r="I6348" s="213"/>
      <c r="J6348" s="213"/>
      <c r="L6348" s="272">
        <f t="shared" si="467"/>
        <v>1900</v>
      </c>
      <c r="M6348" s="272">
        <f t="shared" si="468"/>
        <v>1</v>
      </c>
      <c r="O6348" s="61">
        <f t="shared" si="469"/>
        <v>1900</v>
      </c>
      <c r="P6348" s="61">
        <f t="shared" si="470"/>
        <v>1</v>
      </c>
      <c r="R6348" s="272"/>
      <c r="S6348" s="272"/>
    </row>
    <row r="6349" spans="9:19">
      <c r="I6349" s="213"/>
      <c r="J6349" s="213"/>
      <c r="L6349" s="272">
        <f t="shared" si="467"/>
        <v>1900</v>
      </c>
      <c r="M6349" s="272">
        <f t="shared" si="468"/>
        <v>1</v>
      </c>
      <c r="O6349" s="61">
        <f t="shared" si="469"/>
        <v>1900</v>
      </c>
      <c r="P6349" s="61">
        <f t="shared" si="470"/>
        <v>1</v>
      </c>
      <c r="R6349" s="272"/>
      <c r="S6349" s="272"/>
    </row>
    <row r="6350" spans="9:19">
      <c r="I6350" s="213"/>
      <c r="J6350" s="213"/>
      <c r="L6350" s="272">
        <f t="shared" si="467"/>
        <v>1900</v>
      </c>
      <c r="M6350" s="272">
        <f t="shared" si="468"/>
        <v>1</v>
      </c>
      <c r="O6350" s="61">
        <f t="shared" si="469"/>
        <v>1900</v>
      </c>
      <c r="P6350" s="61">
        <f t="shared" si="470"/>
        <v>1</v>
      </c>
      <c r="R6350" s="272"/>
      <c r="S6350" s="272"/>
    </row>
    <row r="6351" spans="9:19">
      <c r="I6351" s="213"/>
      <c r="J6351" s="213"/>
      <c r="L6351" s="272">
        <f t="shared" si="467"/>
        <v>1900</v>
      </c>
      <c r="M6351" s="272">
        <f t="shared" si="468"/>
        <v>1</v>
      </c>
      <c r="O6351" s="61">
        <f t="shared" si="469"/>
        <v>1900</v>
      </c>
      <c r="P6351" s="61">
        <f t="shared" si="470"/>
        <v>1</v>
      </c>
      <c r="R6351" s="272"/>
      <c r="S6351" s="272"/>
    </row>
    <row r="6352" spans="9:19">
      <c r="I6352" s="213"/>
      <c r="J6352" s="213"/>
      <c r="L6352" s="272">
        <f t="shared" ref="L6352:L6415" si="471">YEAR(B6352)</f>
        <v>1900</v>
      </c>
      <c r="M6352" s="272">
        <f t="shared" ref="M6352:M6415" si="472">MONTH(B6352)</f>
        <v>1</v>
      </c>
      <c r="O6352" s="61">
        <f t="shared" ref="O6352:O6415" si="473">YEAR(B6352)</f>
        <v>1900</v>
      </c>
      <c r="P6352" s="61">
        <f t="shared" ref="P6352:P6415" si="474">MONTH(B6352)</f>
        <v>1</v>
      </c>
      <c r="R6352" s="272"/>
      <c r="S6352" s="272"/>
    </row>
    <row r="6353" spans="9:19">
      <c r="I6353" s="213"/>
      <c r="J6353" s="213"/>
      <c r="L6353" s="272">
        <f t="shared" si="471"/>
        <v>1900</v>
      </c>
      <c r="M6353" s="272">
        <f t="shared" si="472"/>
        <v>1</v>
      </c>
      <c r="O6353" s="61">
        <f t="shared" si="473"/>
        <v>1900</v>
      </c>
      <c r="P6353" s="61">
        <f t="shared" si="474"/>
        <v>1</v>
      </c>
      <c r="R6353" s="272"/>
      <c r="S6353" s="272"/>
    </row>
    <row r="6354" spans="9:19">
      <c r="I6354" s="213"/>
      <c r="J6354" s="213"/>
      <c r="L6354" s="272">
        <f t="shared" si="471"/>
        <v>1900</v>
      </c>
      <c r="M6354" s="272">
        <f t="shared" si="472"/>
        <v>1</v>
      </c>
      <c r="O6354" s="61">
        <f t="shared" si="473"/>
        <v>1900</v>
      </c>
      <c r="P6354" s="61">
        <f t="shared" si="474"/>
        <v>1</v>
      </c>
      <c r="R6354" s="272"/>
      <c r="S6354" s="272"/>
    </row>
    <row r="6355" spans="9:19">
      <c r="I6355" s="213"/>
      <c r="J6355" s="213"/>
      <c r="L6355" s="272">
        <f t="shared" si="471"/>
        <v>1900</v>
      </c>
      <c r="M6355" s="272">
        <f t="shared" si="472"/>
        <v>1</v>
      </c>
      <c r="O6355" s="61">
        <f t="shared" si="473"/>
        <v>1900</v>
      </c>
      <c r="P6355" s="61">
        <f t="shared" si="474"/>
        <v>1</v>
      </c>
      <c r="R6355" s="272"/>
      <c r="S6355" s="272"/>
    </row>
    <row r="6356" spans="9:19">
      <c r="I6356" s="213"/>
      <c r="J6356" s="213"/>
      <c r="L6356" s="272">
        <f t="shared" si="471"/>
        <v>1900</v>
      </c>
      <c r="M6356" s="272">
        <f t="shared" si="472"/>
        <v>1</v>
      </c>
      <c r="O6356" s="61">
        <f t="shared" si="473"/>
        <v>1900</v>
      </c>
      <c r="P6356" s="61">
        <f t="shared" si="474"/>
        <v>1</v>
      </c>
      <c r="R6356" s="272"/>
      <c r="S6356" s="272"/>
    </row>
    <row r="6357" spans="9:19">
      <c r="I6357" s="213"/>
      <c r="J6357" s="213"/>
      <c r="L6357" s="272">
        <f t="shared" si="471"/>
        <v>1900</v>
      </c>
      <c r="M6357" s="272">
        <f t="shared" si="472"/>
        <v>1</v>
      </c>
      <c r="O6357" s="61">
        <f t="shared" si="473"/>
        <v>1900</v>
      </c>
      <c r="P6357" s="61">
        <f t="shared" si="474"/>
        <v>1</v>
      </c>
      <c r="R6357" s="272"/>
      <c r="S6357" s="272"/>
    </row>
    <row r="6358" spans="9:19">
      <c r="I6358" s="213"/>
      <c r="J6358" s="213"/>
      <c r="L6358" s="272">
        <f t="shared" si="471"/>
        <v>1900</v>
      </c>
      <c r="M6358" s="272">
        <f t="shared" si="472"/>
        <v>1</v>
      </c>
      <c r="O6358" s="61">
        <f t="shared" si="473"/>
        <v>1900</v>
      </c>
      <c r="P6358" s="61">
        <f t="shared" si="474"/>
        <v>1</v>
      </c>
      <c r="R6358" s="272"/>
      <c r="S6358" s="272"/>
    </row>
    <row r="6359" spans="9:19">
      <c r="I6359" s="213"/>
      <c r="J6359" s="213"/>
      <c r="L6359" s="272">
        <f t="shared" si="471"/>
        <v>1900</v>
      </c>
      <c r="M6359" s="272">
        <f t="shared" si="472"/>
        <v>1</v>
      </c>
      <c r="O6359" s="61">
        <f t="shared" si="473"/>
        <v>1900</v>
      </c>
      <c r="P6359" s="61">
        <f t="shared" si="474"/>
        <v>1</v>
      </c>
      <c r="R6359" s="272"/>
      <c r="S6359" s="272"/>
    </row>
    <row r="6360" spans="9:19">
      <c r="I6360" s="213"/>
      <c r="J6360" s="213"/>
      <c r="L6360" s="272">
        <f t="shared" si="471"/>
        <v>1900</v>
      </c>
      <c r="M6360" s="272">
        <f t="shared" si="472"/>
        <v>1</v>
      </c>
      <c r="O6360" s="61">
        <f t="shared" si="473"/>
        <v>1900</v>
      </c>
      <c r="P6360" s="61">
        <f t="shared" si="474"/>
        <v>1</v>
      </c>
      <c r="R6360" s="272"/>
      <c r="S6360" s="272"/>
    </row>
    <row r="6361" spans="9:19">
      <c r="I6361" s="213"/>
      <c r="J6361" s="213"/>
      <c r="L6361" s="272">
        <f t="shared" si="471"/>
        <v>1900</v>
      </c>
      <c r="M6361" s="272">
        <f t="shared" si="472"/>
        <v>1</v>
      </c>
      <c r="O6361" s="61">
        <f t="shared" si="473"/>
        <v>1900</v>
      </c>
      <c r="P6361" s="61">
        <f t="shared" si="474"/>
        <v>1</v>
      </c>
      <c r="R6361" s="272"/>
      <c r="S6361" s="272"/>
    </row>
    <row r="6362" spans="9:19">
      <c r="I6362" s="213"/>
      <c r="J6362" s="213"/>
      <c r="L6362" s="272">
        <f t="shared" si="471"/>
        <v>1900</v>
      </c>
      <c r="M6362" s="272">
        <f t="shared" si="472"/>
        <v>1</v>
      </c>
      <c r="O6362" s="61">
        <f t="shared" si="473"/>
        <v>1900</v>
      </c>
      <c r="P6362" s="61">
        <f t="shared" si="474"/>
        <v>1</v>
      </c>
      <c r="R6362" s="272"/>
      <c r="S6362" s="272"/>
    </row>
    <row r="6363" spans="9:19">
      <c r="I6363" s="213"/>
      <c r="J6363" s="213"/>
      <c r="L6363" s="272">
        <f t="shared" si="471"/>
        <v>1900</v>
      </c>
      <c r="M6363" s="272">
        <f t="shared" si="472"/>
        <v>1</v>
      </c>
      <c r="O6363" s="61">
        <f t="shared" si="473"/>
        <v>1900</v>
      </c>
      <c r="P6363" s="61">
        <f t="shared" si="474"/>
        <v>1</v>
      </c>
      <c r="R6363" s="272"/>
      <c r="S6363" s="272"/>
    </row>
    <row r="6364" spans="9:19">
      <c r="I6364" s="213"/>
      <c r="J6364" s="213"/>
      <c r="L6364" s="272">
        <f t="shared" si="471"/>
        <v>1900</v>
      </c>
      <c r="M6364" s="272">
        <f t="shared" si="472"/>
        <v>1</v>
      </c>
      <c r="O6364" s="61">
        <f t="shared" si="473"/>
        <v>1900</v>
      </c>
      <c r="P6364" s="61">
        <f t="shared" si="474"/>
        <v>1</v>
      </c>
      <c r="R6364" s="272"/>
      <c r="S6364" s="272"/>
    </row>
    <row r="6365" spans="9:19">
      <c r="I6365" s="213"/>
      <c r="J6365" s="213"/>
      <c r="L6365" s="272">
        <f t="shared" si="471"/>
        <v>1900</v>
      </c>
      <c r="M6365" s="272">
        <f t="shared" si="472"/>
        <v>1</v>
      </c>
      <c r="O6365" s="61">
        <f t="shared" si="473"/>
        <v>1900</v>
      </c>
      <c r="P6365" s="61">
        <f t="shared" si="474"/>
        <v>1</v>
      </c>
      <c r="R6365" s="272"/>
      <c r="S6365" s="272"/>
    </row>
    <row r="6366" spans="9:19">
      <c r="I6366" s="213"/>
      <c r="J6366" s="213"/>
      <c r="L6366" s="272">
        <f t="shared" si="471"/>
        <v>1900</v>
      </c>
      <c r="M6366" s="272">
        <f t="shared" si="472"/>
        <v>1</v>
      </c>
      <c r="O6366" s="61">
        <f t="shared" si="473"/>
        <v>1900</v>
      </c>
      <c r="P6366" s="61">
        <f t="shared" si="474"/>
        <v>1</v>
      </c>
      <c r="R6366" s="272"/>
      <c r="S6366" s="272"/>
    </row>
    <row r="6367" spans="9:19">
      <c r="I6367" s="213"/>
      <c r="J6367" s="213"/>
      <c r="L6367" s="272">
        <f t="shared" si="471"/>
        <v>1900</v>
      </c>
      <c r="M6367" s="272">
        <f t="shared" si="472"/>
        <v>1</v>
      </c>
      <c r="O6367" s="61">
        <f t="shared" si="473"/>
        <v>1900</v>
      </c>
      <c r="P6367" s="61">
        <f t="shared" si="474"/>
        <v>1</v>
      </c>
      <c r="R6367" s="272"/>
      <c r="S6367" s="272"/>
    </row>
    <row r="6368" spans="9:19">
      <c r="I6368" s="213"/>
      <c r="J6368" s="213"/>
      <c r="L6368" s="272">
        <f t="shared" si="471"/>
        <v>1900</v>
      </c>
      <c r="M6368" s="272">
        <f t="shared" si="472"/>
        <v>1</v>
      </c>
      <c r="O6368" s="61">
        <f t="shared" si="473"/>
        <v>1900</v>
      </c>
      <c r="P6368" s="61">
        <f t="shared" si="474"/>
        <v>1</v>
      </c>
      <c r="R6368" s="272"/>
      <c r="S6368" s="272"/>
    </row>
    <row r="6369" spans="9:19">
      <c r="I6369" s="213"/>
      <c r="J6369" s="213"/>
      <c r="L6369" s="272">
        <f t="shared" si="471"/>
        <v>1900</v>
      </c>
      <c r="M6369" s="272">
        <f t="shared" si="472"/>
        <v>1</v>
      </c>
      <c r="O6369" s="61">
        <f t="shared" si="473"/>
        <v>1900</v>
      </c>
      <c r="P6369" s="61">
        <f t="shared" si="474"/>
        <v>1</v>
      </c>
      <c r="R6369" s="272"/>
      <c r="S6369" s="272"/>
    </row>
    <row r="6370" spans="9:19">
      <c r="I6370" s="213"/>
      <c r="J6370" s="213"/>
      <c r="L6370" s="272">
        <f t="shared" si="471"/>
        <v>1900</v>
      </c>
      <c r="M6370" s="272">
        <f t="shared" si="472"/>
        <v>1</v>
      </c>
      <c r="O6370" s="61">
        <f t="shared" si="473"/>
        <v>1900</v>
      </c>
      <c r="P6370" s="61">
        <f t="shared" si="474"/>
        <v>1</v>
      </c>
      <c r="R6370" s="272"/>
      <c r="S6370" s="272"/>
    </row>
    <row r="6371" spans="9:19">
      <c r="I6371" s="213"/>
      <c r="J6371" s="213"/>
      <c r="L6371" s="272">
        <f t="shared" si="471"/>
        <v>1900</v>
      </c>
      <c r="M6371" s="272">
        <f t="shared" si="472"/>
        <v>1</v>
      </c>
      <c r="O6371" s="61">
        <f t="shared" si="473"/>
        <v>1900</v>
      </c>
      <c r="P6371" s="61">
        <f t="shared" si="474"/>
        <v>1</v>
      </c>
      <c r="R6371" s="272"/>
      <c r="S6371" s="272"/>
    </row>
    <row r="6372" spans="9:19">
      <c r="I6372" s="213"/>
      <c r="J6372" s="213"/>
      <c r="L6372" s="272">
        <f t="shared" si="471"/>
        <v>1900</v>
      </c>
      <c r="M6372" s="272">
        <f t="shared" si="472"/>
        <v>1</v>
      </c>
      <c r="O6372" s="61">
        <f t="shared" si="473"/>
        <v>1900</v>
      </c>
      <c r="P6372" s="61">
        <f t="shared" si="474"/>
        <v>1</v>
      </c>
      <c r="R6372" s="272"/>
      <c r="S6372" s="272"/>
    </row>
    <row r="6373" spans="9:19">
      <c r="I6373" s="213"/>
      <c r="J6373" s="213"/>
      <c r="L6373" s="272">
        <f t="shared" si="471"/>
        <v>1900</v>
      </c>
      <c r="M6373" s="272">
        <f t="shared" si="472"/>
        <v>1</v>
      </c>
      <c r="O6373" s="61">
        <f t="shared" si="473"/>
        <v>1900</v>
      </c>
      <c r="P6373" s="61">
        <f t="shared" si="474"/>
        <v>1</v>
      </c>
      <c r="R6373" s="272"/>
      <c r="S6373" s="272"/>
    </row>
    <row r="6374" spans="9:19">
      <c r="I6374" s="213"/>
      <c r="J6374" s="213"/>
      <c r="L6374" s="272">
        <f t="shared" si="471"/>
        <v>1900</v>
      </c>
      <c r="M6374" s="272">
        <f t="shared" si="472"/>
        <v>1</v>
      </c>
      <c r="O6374" s="61">
        <f t="shared" si="473"/>
        <v>1900</v>
      </c>
      <c r="P6374" s="61">
        <f t="shared" si="474"/>
        <v>1</v>
      </c>
      <c r="R6374" s="272"/>
      <c r="S6374" s="272"/>
    </row>
    <row r="6375" spans="9:19">
      <c r="I6375" s="213"/>
      <c r="J6375" s="213"/>
      <c r="L6375" s="272">
        <f t="shared" si="471"/>
        <v>1900</v>
      </c>
      <c r="M6375" s="272">
        <f t="shared" si="472"/>
        <v>1</v>
      </c>
      <c r="O6375" s="61">
        <f t="shared" si="473"/>
        <v>1900</v>
      </c>
      <c r="P6375" s="61">
        <f t="shared" si="474"/>
        <v>1</v>
      </c>
      <c r="R6375" s="272"/>
      <c r="S6375" s="272"/>
    </row>
    <row r="6376" spans="9:19">
      <c r="I6376" s="213"/>
      <c r="J6376" s="213"/>
      <c r="L6376" s="272">
        <f t="shared" si="471"/>
        <v>1900</v>
      </c>
      <c r="M6376" s="272">
        <f t="shared" si="472"/>
        <v>1</v>
      </c>
      <c r="O6376" s="61">
        <f t="shared" si="473"/>
        <v>1900</v>
      </c>
      <c r="P6376" s="61">
        <f t="shared" si="474"/>
        <v>1</v>
      </c>
      <c r="R6376" s="272"/>
      <c r="S6376" s="272"/>
    </row>
    <row r="6377" spans="9:19">
      <c r="I6377" s="213"/>
      <c r="J6377" s="213"/>
      <c r="L6377" s="272">
        <f t="shared" si="471"/>
        <v>1900</v>
      </c>
      <c r="M6377" s="272">
        <f t="shared" si="472"/>
        <v>1</v>
      </c>
      <c r="O6377" s="61">
        <f t="shared" si="473"/>
        <v>1900</v>
      </c>
      <c r="P6377" s="61">
        <f t="shared" si="474"/>
        <v>1</v>
      </c>
      <c r="R6377" s="272"/>
      <c r="S6377" s="272"/>
    </row>
    <row r="6378" spans="9:19">
      <c r="I6378" s="213"/>
      <c r="J6378" s="213"/>
      <c r="L6378" s="272">
        <f t="shared" si="471"/>
        <v>1900</v>
      </c>
      <c r="M6378" s="272">
        <f t="shared" si="472"/>
        <v>1</v>
      </c>
      <c r="O6378" s="61">
        <f t="shared" si="473"/>
        <v>1900</v>
      </c>
      <c r="P6378" s="61">
        <f t="shared" si="474"/>
        <v>1</v>
      </c>
      <c r="R6378" s="272"/>
      <c r="S6378" s="272"/>
    </row>
    <row r="6379" spans="9:19">
      <c r="I6379" s="213"/>
      <c r="J6379" s="213"/>
      <c r="L6379" s="272">
        <f t="shared" si="471"/>
        <v>1900</v>
      </c>
      <c r="M6379" s="272">
        <f t="shared" si="472"/>
        <v>1</v>
      </c>
      <c r="O6379" s="61">
        <f t="shared" si="473"/>
        <v>1900</v>
      </c>
      <c r="P6379" s="61">
        <f t="shared" si="474"/>
        <v>1</v>
      </c>
      <c r="R6379" s="272"/>
      <c r="S6379" s="272"/>
    </row>
    <row r="6380" spans="9:19">
      <c r="I6380" s="213"/>
      <c r="J6380" s="213"/>
      <c r="L6380" s="272">
        <f t="shared" si="471"/>
        <v>1900</v>
      </c>
      <c r="M6380" s="272">
        <f t="shared" si="472"/>
        <v>1</v>
      </c>
      <c r="O6380" s="61">
        <f t="shared" si="473"/>
        <v>1900</v>
      </c>
      <c r="P6380" s="61">
        <f t="shared" si="474"/>
        <v>1</v>
      </c>
      <c r="R6380" s="272"/>
      <c r="S6380" s="272"/>
    </row>
    <row r="6381" spans="9:19">
      <c r="I6381" s="213"/>
      <c r="J6381" s="213"/>
      <c r="L6381" s="272">
        <f t="shared" si="471"/>
        <v>1900</v>
      </c>
      <c r="M6381" s="272">
        <f t="shared" si="472"/>
        <v>1</v>
      </c>
      <c r="O6381" s="61">
        <f t="shared" si="473"/>
        <v>1900</v>
      </c>
      <c r="P6381" s="61">
        <f t="shared" si="474"/>
        <v>1</v>
      </c>
      <c r="R6381" s="272"/>
      <c r="S6381" s="272"/>
    </row>
    <row r="6382" spans="9:19">
      <c r="I6382" s="213"/>
      <c r="J6382" s="213"/>
      <c r="L6382" s="272">
        <f t="shared" si="471"/>
        <v>1900</v>
      </c>
      <c r="M6382" s="272">
        <f t="shared" si="472"/>
        <v>1</v>
      </c>
      <c r="O6382" s="61">
        <f t="shared" si="473"/>
        <v>1900</v>
      </c>
      <c r="P6382" s="61">
        <f t="shared" si="474"/>
        <v>1</v>
      </c>
      <c r="R6382" s="272"/>
      <c r="S6382" s="272"/>
    </row>
    <row r="6383" spans="9:19">
      <c r="I6383" s="213"/>
      <c r="J6383" s="213"/>
      <c r="L6383" s="272">
        <f t="shared" si="471"/>
        <v>1900</v>
      </c>
      <c r="M6383" s="272">
        <f t="shared" si="472"/>
        <v>1</v>
      </c>
      <c r="O6383" s="61">
        <f t="shared" si="473"/>
        <v>1900</v>
      </c>
      <c r="P6383" s="61">
        <f t="shared" si="474"/>
        <v>1</v>
      </c>
      <c r="R6383" s="272"/>
      <c r="S6383" s="272"/>
    </row>
    <row r="6384" spans="9:19">
      <c r="I6384" s="213"/>
      <c r="J6384" s="213"/>
      <c r="L6384" s="272">
        <f t="shared" si="471"/>
        <v>1900</v>
      </c>
      <c r="M6384" s="272">
        <f t="shared" si="472"/>
        <v>1</v>
      </c>
      <c r="O6384" s="61">
        <f t="shared" si="473"/>
        <v>1900</v>
      </c>
      <c r="P6384" s="61">
        <f t="shared" si="474"/>
        <v>1</v>
      </c>
      <c r="R6384" s="272"/>
      <c r="S6384" s="272"/>
    </row>
    <row r="6385" spans="9:19">
      <c r="I6385" s="213"/>
      <c r="J6385" s="213"/>
      <c r="L6385" s="272">
        <f t="shared" si="471"/>
        <v>1900</v>
      </c>
      <c r="M6385" s="272">
        <f t="shared" si="472"/>
        <v>1</v>
      </c>
      <c r="O6385" s="61">
        <f t="shared" si="473"/>
        <v>1900</v>
      </c>
      <c r="P6385" s="61">
        <f t="shared" si="474"/>
        <v>1</v>
      </c>
      <c r="R6385" s="272"/>
      <c r="S6385" s="272"/>
    </row>
    <row r="6386" spans="9:19">
      <c r="I6386" s="213"/>
      <c r="J6386" s="213"/>
      <c r="L6386" s="272">
        <f t="shared" si="471"/>
        <v>1900</v>
      </c>
      <c r="M6386" s="272">
        <f t="shared" si="472"/>
        <v>1</v>
      </c>
      <c r="O6386" s="61">
        <f t="shared" si="473"/>
        <v>1900</v>
      </c>
      <c r="P6386" s="61">
        <f t="shared" si="474"/>
        <v>1</v>
      </c>
      <c r="R6386" s="272"/>
      <c r="S6386" s="272"/>
    </row>
    <row r="6387" spans="9:19">
      <c r="I6387" s="213"/>
      <c r="J6387" s="213"/>
      <c r="L6387" s="272">
        <f t="shared" si="471"/>
        <v>1900</v>
      </c>
      <c r="M6387" s="272">
        <f t="shared" si="472"/>
        <v>1</v>
      </c>
      <c r="O6387" s="61">
        <f t="shared" si="473"/>
        <v>1900</v>
      </c>
      <c r="P6387" s="61">
        <f t="shared" si="474"/>
        <v>1</v>
      </c>
      <c r="R6387" s="272"/>
      <c r="S6387" s="272"/>
    </row>
    <row r="6388" spans="9:19">
      <c r="I6388" s="213"/>
      <c r="J6388" s="213"/>
      <c r="L6388" s="272">
        <f t="shared" si="471"/>
        <v>1900</v>
      </c>
      <c r="M6388" s="272">
        <f t="shared" si="472"/>
        <v>1</v>
      </c>
      <c r="O6388" s="61">
        <f t="shared" si="473"/>
        <v>1900</v>
      </c>
      <c r="P6388" s="61">
        <f t="shared" si="474"/>
        <v>1</v>
      </c>
      <c r="R6388" s="272"/>
      <c r="S6388" s="272"/>
    </row>
    <row r="6389" spans="9:19">
      <c r="I6389" s="213"/>
      <c r="J6389" s="213"/>
      <c r="L6389" s="272">
        <f t="shared" si="471"/>
        <v>1900</v>
      </c>
      <c r="M6389" s="272">
        <f t="shared" si="472"/>
        <v>1</v>
      </c>
      <c r="O6389" s="61">
        <f t="shared" si="473"/>
        <v>1900</v>
      </c>
      <c r="P6389" s="61">
        <f t="shared" si="474"/>
        <v>1</v>
      </c>
      <c r="R6389" s="272"/>
      <c r="S6389" s="272"/>
    </row>
    <row r="6390" spans="9:19">
      <c r="I6390" s="213"/>
      <c r="J6390" s="213"/>
      <c r="L6390" s="272">
        <f t="shared" si="471"/>
        <v>1900</v>
      </c>
      <c r="M6390" s="272">
        <f t="shared" si="472"/>
        <v>1</v>
      </c>
      <c r="O6390" s="61">
        <f t="shared" si="473"/>
        <v>1900</v>
      </c>
      <c r="P6390" s="61">
        <f t="shared" si="474"/>
        <v>1</v>
      </c>
      <c r="R6390" s="272"/>
      <c r="S6390" s="272"/>
    </row>
    <row r="6391" spans="9:19">
      <c r="I6391" s="213"/>
      <c r="J6391" s="213"/>
      <c r="L6391" s="272">
        <f t="shared" si="471"/>
        <v>1900</v>
      </c>
      <c r="M6391" s="272">
        <f t="shared" si="472"/>
        <v>1</v>
      </c>
      <c r="O6391" s="61">
        <f t="shared" si="473"/>
        <v>1900</v>
      </c>
      <c r="P6391" s="61">
        <f t="shared" si="474"/>
        <v>1</v>
      </c>
      <c r="R6391" s="272"/>
      <c r="S6391" s="272"/>
    </row>
    <row r="6392" spans="9:19">
      <c r="I6392" s="213"/>
      <c r="J6392" s="213"/>
      <c r="L6392" s="272">
        <f t="shared" si="471"/>
        <v>1900</v>
      </c>
      <c r="M6392" s="272">
        <f t="shared" si="472"/>
        <v>1</v>
      </c>
      <c r="O6392" s="61">
        <f t="shared" si="473"/>
        <v>1900</v>
      </c>
      <c r="P6392" s="61">
        <f t="shared" si="474"/>
        <v>1</v>
      </c>
      <c r="R6392" s="272"/>
      <c r="S6392" s="272"/>
    </row>
    <row r="6393" spans="9:19">
      <c r="I6393" s="213"/>
      <c r="J6393" s="213"/>
      <c r="L6393" s="272">
        <f t="shared" si="471"/>
        <v>1900</v>
      </c>
      <c r="M6393" s="272">
        <f t="shared" si="472"/>
        <v>1</v>
      </c>
      <c r="O6393" s="61">
        <f t="shared" si="473"/>
        <v>1900</v>
      </c>
      <c r="P6393" s="61">
        <f t="shared" si="474"/>
        <v>1</v>
      </c>
      <c r="R6393" s="272"/>
      <c r="S6393" s="272"/>
    </row>
    <row r="6394" spans="9:19">
      <c r="I6394" s="213"/>
      <c r="J6394" s="213"/>
      <c r="L6394" s="272">
        <f t="shared" si="471"/>
        <v>1900</v>
      </c>
      <c r="M6394" s="272">
        <f t="shared" si="472"/>
        <v>1</v>
      </c>
      <c r="O6394" s="61">
        <f t="shared" si="473"/>
        <v>1900</v>
      </c>
      <c r="P6394" s="61">
        <f t="shared" si="474"/>
        <v>1</v>
      </c>
      <c r="R6394" s="272"/>
      <c r="S6394" s="272"/>
    </row>
    <row r="6395" spans="9:19">
      <c r="I6395" s="213"/>
      <c r="J6395" s="213"/>
      <c r="L6395" s="272">
        <f t="shared" si="471"/>
        <v>1900</v>
      </c>
      <c r="M6395" s="272">
        <f t="shared" si="472"/>
        <v>1</v>
      </c>
      <c r="O6395" s="61">
        <f t="shared" si="473"/>
        <v>1900</v>
      </c>
      <c r="P6395" s="61">
        <f t="shared" si="474"/>
        <v>1</v>
      </c>
      <c r="R6395" s="272"/>
      <c r="S6395" s="272"/>
    </row>
    <row r="6396" spans="9:19">
      <c r="I6396" s="213"/>
      <c r="J6396" s="213"/>
      <c r="L6396" s="272">
        <f t="shared" si="471"/>
        <v>1900</v>
      </c>
      <c r="M6396" s="272">
        <f t="shared" si="472"/>
        <v>1</v>
      </c>
      <c r="O6396" s="61">
        <f t="shared" si="473"/>
        <v>1900</v>
      </c>
      <c r="P6396" s="61">
        <f t="shared" si="474"/>
        <v>1</v>
      </c>
      <c r="R6396" s="272"/>
      <c r="S6396" s="272"/>
    </row>
    <row r="6397" spans="9:19">
      <c r="I6397" s="213"/>
      <c r="J6397" s="213"/>
      <c r="L6397" s="272">
        <f t="shared" si="471"/>
        <v>1900</v>
      </c>
      <c r="M6397" s="272">
        <f t="shared" si="472"/>
        <v>1</v>
      </c>
      <c r="O6397" s="61">
        <f t="shared" si="473"/>
        <v>1900</v>
      </c>
      <c r="P6397" s="61">
        <f t="shared" si="474"/>
        <v>1</v>
      </c>
      <c r="R6397" s="272"/>
      <c r="S6397" s="272"/>
    </row>
    <row r="6398" spans="9:19">
      <c r="I6398" s="213"/>
      <c r="J6398" s="213"/>
      <c r="L6398" s="272">
        <f t="shared" si="471"/>
        <v>1900</v>
      </c>
      <c r="M6398" s="272">
        <f t="shared" si="472"/>
        <v>1</v>
      </c>
      <c r="O6398" s="61">
        <f t="shared" si="473"/>
        <v>1900</v>
      </c>
      <c r="P6398" s="61">
        <f t="shared" si="474"/>
        <v>1</v>
      </c>
      <c r="R6398" s="272"/>
      <c r="S6398" s="272"/>
    </row>
    <row r="6399" spans="9:19">
      <c r="I6399" s="213"/>
      <c r="J6399" s="213"/>
      <c r="L6399" s="272">
        <f t="shared" si="471"/>
        <v>1900</v>
      </c>
      <c r="M6399" s="272">
        <f t="shared" si="472"/>
        <v>1</v>
      </c>
      <c r="O6399" s="61">
        <f t="shared" si="473"/>
        <v>1900</v>
      </c>
      <c r="P6399" s="61">
        <f t="shared" si="474"/>
        <v>1</v>
      </c>
      <c r="R6399" s="272"/>
      <c r="S6399" s="272"/>
    </row>
    <row r="6400" spans="9:19">
      <c r="I6400" s="213"/>
      <c r="J6400" s="213"/>
      <c r="L6400" s="272">
        <f t="shared" si="471"/>
        <v>1900</v>
      </c>
      <c r="M6400" s="272">
        <f t="shared" si="472"/>
        <v>1</v>
      </c>
      <c r="O6400" s="61">
        <f t="shared" si="473"/>
        <v>1900</v>
      </c>
      <c r="P6400" s="61">
        <f t="shared" si="474"/>
        <v>1</v>
      </c>
      <c r="R6400" s="272"/>
      <c r="S6400" s="272"/>
    </row>
    <row r="6401" spans="9:19">
      <c r="I6401" s="213"/>
      <c r="J6401" s="213"/>
      <c r="L6401" s="272">
        <f t="shared" si="471"/>
        <v>1900</v>
      </c>
      <c r="M6401" s="272">
        <f t="shared" si="472"/>
        <v>1</v>
      </c>
      <c r="O6401" s="61">
        <f t="shared" si="473"/>
        <v>1900</v>
      </c>
      <c r="P6401" s="61">
        <f t="shared" si="474"/>
        <v>1</v>
      </c>
      <c r="R6401" s="272"/>
      <c r="S6401" s="272"/>
    </row>
    <row r="6402" spans="9:19">
      <c r="I6402" s="213"/>
      <c r="J6402" s="213"/>
      <c r="L6402" s="272">
        <f t="shared" si="471"/>
        <v>1900</v>
      </c>
      <c r="M6402" s="272">
        <f t="shared" si="472"/>
        <v>1</v>
      </c>
      <c r="O6402" s="61">
        <f t="shared" si="473"/>
        <v>1900</v>
      </c>
      <c r="P6402" s="61">
        <f t="shared" si="474"/>
        <v>1</v>
      </c>
      <c r="R6402" s="272"/>
      <c r="S6402" s="272"/>
    </row>
    <row r="6403" spans="9:19">
      <c r="I6403" s="213"/>
      <c r="J6403" s="213"/>
      <c r="L6403" s="272">
        <f t="shared" si="471"/>
        <v>1900</v>
      </c>
      <c r="M6403" s="272">
        <f t="shared" si="472"/>
        <v>1</v>
      </c>
      <c r="O6403" s="61">
        <f t="shared" si="473"/>
        <v>1900</v>
      </c>
      <c r="P6403" s="61">
        <f t="shared" si="474"/>
        <v>1</v>
      </c>
      <c r="R6403" s="272"/>
      <c r="S6403" s="272"/>
    </row>
    <row r="6404" spans="9:19">
      <c r="I6404" s="213"/>
      <c r="J6404" s="213"/>
      <c r="L6404" s="272">
        <f t="shared" si="471"/>
        <v>1900</v>
      </c>
      <c r="M6404" s="272">
        <f t="shared" si="472"/>
        <v>1</v>
      </c>
      <c r="O6404" s="61">
        <f t="shared" si="473"/>
        <v>1900</v>
      </c>
      <c r="P6404" s="61">
        <f t="shared" si="474"/>
        <v>1</v>
      </c>
      <c r="R6404" s="272"/>
      <c r="S6404" s="272"/>
    </row>
    <row r="6405" spans="9:19">
      <c r="I6405" s="213"/>
      <c r="J6405" s="213"/>
      <c r="L6405" s="272">
        <f t="shared" si="471"/>
        <v>1900</v>
      </c>
      <c r="M6405" s="272">
        <f t="shared" si="472"/>
        <v>1</v>
      </c>
      <c r="O6405" s="61">
        <f t="shared" si="473"/>
        <v>1900</v>
      </c>
      <c r="P6405" s="61">
        <f t="shared" si="474"/>
        <v>1</v>
      </c>
      <c r="R6405" s="272"/>
      <c r="S6405" s="272"/>
    </row>
    <row r="6406" spans="9:19">
      <c r="I6406" s="213"/>
      <c r="J6406" s="213"/>
      <c r="L6406" s="272">
        <f t="shared" si="471"/>
        <v>1900</v>
      </c>
      <c r="M6406" s="272">
        <f t="shared" si="472"/>
        <v>1</v>
      </c>
      <c r="O6406" s="61">
        <f t="shared" si="473"/>
        <v>1900</v>
      </c>
      <c r="P6406" s="61">
        <f t="shared" si="474"/>
        <v>1</v>
      </c>
      <c r="R6406" s="272"/>
      <c r="S6406" s="272"/>
    </row>
    <row r="6407" spans="9:19">
      <c r="I6407" s="213"/>
      <c r="J6407" s="213"/>
      <c r="L6407" s="272">
        <f t="shared" si="471"/>
        <v>1900</v>
      </c>
      <c r="M6407" s="272">
        <f t="shared" si="472"/>
        <v>1</v>
      </c>
      <c r="O6407" s="61">
        <f t="shared" si="473"/>
        <v>1900</v>
      </c>
      <c r="P6407" s="61">
        <f t="shared" si="474"/>
        <v>1</v>
      </c>
      <c r="R6407" s="272"/>
      <c r="S6407" s="272"/>
    </row>
    <row r="6408" spans="9:19">
      <c r="I6408" s="213"/>
      <c r="J6408" s="213"/>
      <c r="L6408" s="272">
        <f t="shared" si="471"/>
        <v>1900</v>
      </c>
      <c r="M6408" s="272">
        <f t="shared" si="472"/>
        <v>1</v>
      </c>
      <c r="O6408" s="61">
        <f t="shared" si="473"/>
        <v>1900</v>
      </c>
      <c r="P6408" s="61">
        <f t="shared" si="474"/>
        <v>1</v>
      </c>
      <c r="R6408" s="272"/>
      <c r="S6408" s="272"/>
    </row>
    <row r="6409" spans="9:19">
      <c r="I6409" s="213"/>
      <c r="J6409" s="213"/>
      <c r="L6409" s="272">
        <f t="shared" si="471"/>
        <v>1900</v>
      </c>
      <c r="M6409" s="272">
        <f t="shared" si="472"/>
        <v>1</v>
      </c>
      <c r="O6409" s="61">
        <f t="shared" si="473"/>
        <v>1900</v>
      </c>
      <c r="P6409" s="61">
        <f t="shared" si="474"/>
        <v>1</v>
      </c>
      <c r="R6409" s="272"/>
      <c r="S6409" s="272"/>
    </row>
    <row r="6410" spans="9:19">
      <c r="I6410" s="213"/>
      <c r="J6410" s="213"/>
      <c r="L6410" s="272">
        <f t="shared" si="471"/>
        <v>1900</v>
      </c>
      <c r="M6410" s="272">
        <f t="shared" si="472"/>
        <v>1</v>
      </c>
      <c r="O6410" s="61">
        <f t="shared" si="473"/>
        <v>1900</v>
      </c>
      <c r="P6410" s="61">
        <f t="shared" si="474"/>
        <v>1</v>
      </c>
      <c r="R6410" s="272"/>
      <c r="S6410" s="272"/>
    </row>
    <row r="6411" spans="9:19">
      <c r="I6411" s="213"/>
      <c r="J6411" s="213"/>
      <c r="L6411" s="272">
        <f t="shared" si="471"/>
        <v>1900</v>
      </c>
      <c r="M6411" s="272">
        <f t="shared" si="472"/>
        <v>1</v>
      </c>
      <c r="O6411" s="61">
        <f t="shared" si="473"/>
        <v>1900</v>
      </c>
      <c r="P6411" s="61">
        <f t="shared" si="474"/>
        <v>1</v>
      </c>
      <c r="R6411" s="272"/>
      <c r="S6411" s="272"/>
    </row>
    <row r="6412" spans="9:19">
      <c r="I6412" s="213"/>
      <c r="J6412" s="213"/>
      <c r="L6412" s="272">
        <f t="shared" si="471"/>
        <v>1900</v>
      </c>
      <c r="M6412" s="272">
        <f t="shared" si="472"/>
        <v>1</v>
      </c>
      <c r="O6412" s="61">
        <f t="shared" si="473"/>
        <v>1900</v>
      </c>
      <c r="P6412" s="61">
        <f t="shared" si="474"/>
        <v>1</v>
      </c>
      <c r="R6412" s="272"/>
      <c r="S6412" s="272"/>
    </row>
    <row r="6413" spans="9:19">
      <c r="I6413" s="213"/>
      <c r="J6413" s="213"/>
      <c r="L6413" s="272">
        <f t="shared" si="471"/>
        <v>1900</v>
      </c>
      <c r="M6413" s="272">
        <f t="shared" si="472"/>
        <v>1</v>
      </c>
      <c r="O6413" s="61">
        <f t="shared" si="473"/>
        <v>1900</v>
      </c>
      <c r="P6413" s="61">
        <f t="shared" si="474"/>
        <v>1</v>
      </c>
      <c r="R6413" s="272"/>
      <c r="S6413" s="272"/>
    </row>
    <row r="6414" spans="9:19">
      <c r="I6414" s="213"/>
      <c r="J6414" s="213"/>
      <c r="L6414" s="272">
        <f t="shared" si="471"/>
        <v>1900</v>
      </c>
      <c r="M6414" s="272">
        <f t="shared" si="472"/>
        <v>1</v>
      </c>
      <c r="O6414" s="61">
        <f t="shared" si="473"/>
        <v>1900</v>
      </c>
      <c r="P6414" s="61">
        <f t="shared" si="474"/>
        <v>1</v>
      </c>
      <c r="R6414" s="272"/>
      <c r="S6414" s="272"/>
    </row>
    <row r="6415" spans="9:19">
      <c r="I6415" s="213"/>
      <c r="J6415" s="213"/>
      <c r="L6415" s="272">
        <f t="shared" si="471"/>
        <v>1900</v>
      </c>
      <c r="M6415" s="272">
        <f t="shared" si="472"/>
        <v>1</v>
      </c>
      <c r="O6415" s="61">
        <f t="shared" si="473"/>
        <v>1900</v>
      </c>
      <c r="P6415" s="61">
        <f t="shared" si="474"/>
        <v>1</v>
      </c>
      <c r="R6415" s="272"/>
      <c r="S6415" s="272"/>
    </row>
    <row r="6416" spans="9:19">
      <c r="I6416" s="213"/>
      <c r="J6416" s="213"/>
      <c r="L6416" s="272">
        <f t="shared" ref="L6416:L6479" si="475">YEAR(B6416)</f>
        <v>1900</v>
      </c>
      <c r="M6416" s="272">
        <f t="shared" ref="M6416:M6479" si="476">MONTH(B6416)</f>
        <v>1</v>
      </c>
      <c r="O6416" s="61">
        <f t="shared" ref="O6416:O6479" si="477">YEAR(B6416)</f>
        <v>1900</v>
      </c>
      <c r="P6416" s="61">
        <f t="shared" ref="P6416:P6479" si="478">MONTH(B6416)</f>
        <v>1</v>
      </c>
      <c r="R6416" s="272"/>
      <c r="S6416" s="272"/>
    </row>
    <row r="6417" spans="9:19">
      <c r="I6417" s="213"/>
      <c r="J6417" s="213"/>
      <c r="L6417" s="272">
        <f t="shared" si="475"/>
        <v>1900</v>
      </c>
      <c r="M6417" s="272">
        <f t="shared" si="476"/>
        <v>1</v>
      </c>
      <c r="O6417" s="61">
        <f t="shared" si="477"/>
        <v>1900</v>
      </c>
      <c r="P6417" s="61">
        <f t="shared" si="478"/>
        <v>1</v>
      </c>
      <c r="R6417" s="272"/>
      <c r="S6417" s="272"/>
    </row>
    <row r="6418" spans="9:19">
      <c r="I6418" s="213"/>
      <c r="J6418" s="213"/>
      <c r="L6418" s="272">
        <f t="shared" si="475"/>
        <v>1900</v>
      </c>
      <c r="M6418" s="272">
        <f t="shared" si="476"/>
        <v>1</v>
      </c>
      <c r="O6418" s="61">
        <f t="shared" si="477"/>
        <v>1900</v>
      </c>
      <c r="P6418" s="61">
        <f t="shared" si="478"/>
        <v>1</v>
      </c>
      <c r="R6418" s="272"/>
      <c r="S6418" s="272"/>
    </row>
    <row r="6419" spans="9:19">
      <c r="I6419" s="213"/>
      <c r="J6419" s="213"/>
      <c r="L6419" s="272">
        <f t="shared" si="475"/>
        <v>1900</v>
      </c>
      <c r="M6419" s="272">
        <f t="shared" si="476"/>
        <v>1</v>
      </c>
      <c r="O6419" s="61">
        <f t="shared" si="477"/>
        <v>1900</v>
      </c>
      <c r="P6419" s="61">
        <f t="shared" si="478"/>
        <v>1</v>
      </c>
      <c r="R6419" s="272"/>
      <c r="S6419" s="272"/>
    </row>
    <row r="6420" spans="9:19">
      <c r="I6420" s="213"/>
      <c r="J6420" s="213"/>
      <c r="L6420" s="272">
        <f t="shared" si="475"/>
        <v>1900</v>
      </c>
      <c r="M6420" s="272">
        <f t="shared" si="476"/>
        <v>1</v>
      </c>
      <c r="O6420" s="61">
        <f t="shared" si="477"/>
        <v>1900</v>
      </c>
      <c r="P6420" s="61">
        <f t="shared" si="478"/>
        <v>1</v>
      </c>
      <c r="R6420" s="272"/>
      <c r="S6420" s="272"/>
    </row>
    <row r="6421" spans="9:19">
      <c r="I6421" s="213"/>
      <c r="J6421" s="213"/>
      <c r="L6421" s="272">
        <f t="shared" si="475"/>
        <v>1900</v>
      </c>
      <c r="M6421" s="272">
        <f t="shared" si="476"/>
        <v>1</v>
      </c>
      <c r="O6421" s="61">
        <f t="shared" si="477"/>
        <v>1900</v>
      </c>
      <c r="P6421" s="61">
        <f t="shared" si="478"/>
        <v>1</v>
      </c>
      <c r="R6421" s="272"/>
      <c r="S6421" s="272"/>
    </row>
    <row r="6422" spans="9:19">
      <c r="I6422" s="213"/>
      <c r="J6422" s="213"/>
      <c r="L6422" s="272">
        <f t="shared" si="475"/>
        <v>1900</v>
      </c>
      <c r="M6422" s="272">
        <f t="shared" si="476"/>
        <v>1</v>
      </c>
      <c r="O6422" s="61">
        <f t="shared" si="477"/>
        <v>1900</v>
      </c>
      <c r="P6422" s="61">
        <f t="shared" si="478"/>
        <v>1</v>
      </c>
      <c r="R6422" s="272"/>
      <c r="S6422" s="272"/>
    </row>
    <row r="6423" spans="9:19">
      <c r="I6423" s="213"/>
      <c r="J6423" s="213"/>
      <c r="L6423" s="272">
        <f t="shared" si="475"/>
        <v>1900</v>
      </c>
      <c r="M6423" s="272">
        <f t="shared" si="476"/>
        <v>1</v>
      </c>
      <c r="O6423" s="61">
        <f t="shared" si="477"/>
        <v>1900</v>
      </c>
      <c r="P6423" s="61">
        <f t="shared" si="478"/>
        <v>1</v>
      </c>
      <c r="R6423" s="272"/>
      <c r="S6423" s="272"/>
    </row>
    <row r="6424" spans="9:19">
      <c r="I6424" s="213"/>
      <c r="J6424" s="213"/>
      <c r="L6424" s="272">
        <f t="shared" si="475"/>
        <v>1900</v>
      </c>
      <c r="M6424" s="272">
        <f t="shared" si="476"/>
        <v>1</v>
      </c>
      <c r="O6424" s="61">
        <f t="shared" si="477"/>
        <v>1900</v>
      </c>
      <c r="P6424" s="61">
        <f t="shared" si="478"/>
        <v>1</v>
      </c>
      <c r="R6424" s="272"/>
      <c r="S6424" s="272"/>
    </row>
    <row r="6425" spans="9:19">
      <c r="I6425" s="213"/>
      <c r="J6425" s="213"/>
      <c r="L6425" s="272">
        <f t="shared" si="475"/>
        <v>1900</v>
      </c>
      <c r="M6425" s="272">
        <f t="shared" si="476"/>
        <v>1</v>
      </c>
      <c r="O6425" s="61">
        <f t="shared" si="477"/>
        <v>1900</v>
      </c>
      <c r="P6425" s="61">
        <f t="shared" si="478"/>
        <v>1</v>
      </c>
      <c r="R6425" s="272"/>
      <c r="S6425" s="272"/>
    </row>
    <row r="6426" spans="9:19">
      <c r="I6426" s="213"/>
      <c r="J6426" s="213"/>
      <c r="L6426" s="272">
        <f t="shared" si="475"/>
        <v>1900</v>
      </c>
      <c r="M6426" s="272">
        <f t="shared" si="476"/>
        <v>1</v>
      </c>
      <c r="O6426" s="61">
        <f t="shared" si="477"/>
        <v>1900</v>
      </c>
      <c r="P6426" s="61">
        <f t="shared" si="478"/>
        <v>1</v>
      </c>
      <c r="R6426" s="272"/>
      <c r="S6426" s="272"/>
    </row>
    <row r="6427" spans="9:19">
      <c r="I6427" s="213"/>
      <c r="J6427" s="213"/>
      <c r="L6427" s="272">
        <f t="shared" si="475"/>
        <v>1900</v>
      </c>
      <c r="M6427" s="272">
        <f t="shared" si="476"/>
        <v>1</v>
      </c>
      <c r="O6427" s="61">
        <f t="shared" si="477"/>
        <v>1900</v>
      </c>
      <c r="P6427" s="61">
        <f t="shared" si="478"/>
        <v>1</v>
      </c>
      <c r="R6427" s="272"/>
      <c r="S6427" s="272"/>
    </row>
    <row r="6428" spans="9:19">
      <c r="I6428" s="213"/>
      <c r="J6428" s="213"/>
      <c r="L6428" s="272">
        <f t="shared" si="475"/>
        <v>1900</v>
      </c>
      <c r="M6428" s="272">
        <f t="shared" si="476"/>
        <v>1</v>
      </c>
      <c r="O6428" s="61">
        <f t="shared" si="477"/>
        <v>1900</v>
      </c>
      <c r="P6428" s="61">
        <f t="shared" si="478"/>
        <v>1</v>
      </c>
      <c r="R6428" s="272"/>
      <c r="S6428" s="272"/>
    </row>
    <row r="6429" spans="9:19">
      <c r="I6429" s="213"/>
      <c r="J6429" s="213"/>
      <c r="L6429" s="272">
        <f t="shared" si="475"/>
        <v>1900</v>
      </c>
      <c r="M6429" s="272">
        <f t="shared" si="476"/>
        <v>1</v>
      </c>
      <c r="O6429" s="61">
        <f t="shared" si="477"/>
        <v>1900</v>
      </c>
      <c r="P6429" s="61">
        <f t="shared" si="478"/>
        <v>1</v>
      </c>
      <c r="R6429" s="272"/>
      <c r="S6429" s="272"/>
    </row>
    <row r="6430" spans="9:19">
      <c r="I6430" s="213"/>
      <c r="J6430" s="213"/>
      <c r="L6430" s="272">
        <f t="shared" si="475"/>
        <v>1900</v>
      </c>
      <c r="M6430" s="272">
        <f t="shared" si="476"/>
        <v>1</v>
      </c>
      <c r="O6430" s="61">
        <f t="shared" si="477"/>
        <v>1900</v>
      </c>
      <c r="P6430" s="61">
        <f t="shared" si="478"/>
        <v>1</v>
      </c>
      <c r="R6430" s="272"/>
      <c r="S6430" s="272"/>
    </row>
    <row r="6431" spans="9:19">
      <c r="I6431" s="213"/>
      <c r="J6431" s="213"/>
      <c r="L6431" s="272">
        <f t="shared" si="475"/>
        <v>1900</v>
      </c>
      <c r="M6431" s="272">
        <f t="shared" si="476"/>
        <v>1</v>
      </c>
      <c r="O6431" s="61">
        <f t="shared" si="477"/>
        <v>1900</v>
      </c>
      <c r="P6431" s="61">
        <f t="shared" si="478"/>
        <v>1</v>
      </c>
      <c r="R6431" s="272"/>
      <c r="S6431" s="272"/>
    </row>
    <row r="6432" spans="9:19">
      <c r="I6432" s="213"/>
      <c r="J6432" s="213"/>
      <c r="L6432" s="272">
        <f t="shared" si="475"/>
        <v>1900</v>
      </c>
      <c r="M6432" s="272">
        <f t="shared" si="476"/>
        <v>1</v>
      </c>
      <c r="O6432" s="61">
        <f t="shared" si="477"/>
        <v>1900</v>
      </c>
      <c r="P6432" s="61">
        <f t="shared" si="478"/>
        <v>1</v>
      </c>
      <c r="R6432" s="272"/>
      <c r="S6432" s="272"/>
    </row>
    <row r="6433" spans="9:19">
      <c r="I6433" s="213"/>
      <c r="J6433" s="213"/>
      <c r="L6433" s="272">
        <f t="shared" si="475"/>
        <v>1900</v>
      </c>
      <c r="M6433" s="272">
        <f t="shared" si="476"/>
        <v>1</v>
      </c>
      <c r="O6433" s="61">
        <f t="shared" si="477"/>
        <v>1900</v>
      </c>
      <c r="P6433" s="61">
        <f t="shared" si="478"/>
        <v>1</v>
      </c>
      <c r="R6433" s="272"/>
      <c r="S6433" s="272"/>
    </row>
    <row r="6434" spans="9:19">
      <c r="I6434" s="213"/>
      <c r="J6434" s="213"/>
      <c r="L6434" s="272">
        <f t="shared" si="475"/>
        <v>1900</v>
      </c>
      <c r="M6434" s="272">
        <f t="shared" si="476"/>
        <v>1</v>
      </c>
      <c r="O6434" s="61">
        <f t="shared" si="477"/>
        <v>1900</v>
      </c>
      <c r="P6434" s="61">
        <f t="shared" si="478"/>
        <v>1</v>
      </c>
      <c r="R6434" s="272"/>
      <c r="S6434" s="272"/>
    </row>
    <row r="6435" spans="9:19">
      <c r="I6435" s="213"/>
      <c r="J6435" s="213"/>
      <c r="L6435" s="272">
        <f t="shared" si="475"/>
        <v>1900</v>
      </c>
      <c r="M6435" s="272">
        <f t="shared" si="476"/>
        <v>1</v>
      </c>
      <c r="O6435" s="61">
        <f t="shared" si="477"/>
        <v>1900</v>
      </c>
      <c r="P6435" s="61">
        <f t="shared" si="478"/>
        <v>1</v>
      </c>
      <c r="R6435" s="272"/>
      <c r="S6435" s="272"/>
    </row>
    <row r="6436" spans="9:19">
      <c r="I6436" s="213"/>
      <c r="J6436" s="213"/>
      <c r="L6436" s="272">
        <f t="shared" si="475"/>
        <v>1900</v>
      </c>
      <c r="M6436" s="272">
        <f t="shared" si="476"/>
        <v>1</v>
      </c>
      <c r="O6436" s="61">
        <f t="shared" si="477"/>
        <v>1900</v>
      </c>
      <c r="P6436" s="61">
        <f t="shared" si="478"/>
        <v>1</v>
      </c>
      <c r="R6436" s="272"/>
      <c r="S6436" s="272"/>
    </row>
    <row r="6437" spans="9:19">
      <c r="I6437" s="213"/>
      <c r="J6437" s="213"/>
      <c r="L6437" s="272">
        <f t="shared" si="475"/>
        <v>1900</v>
      </c>
      <c r="M6437" s="272">
        <f t="shared" si="476"/>
        <v>1</v>
      </c>
      <c r="O6437" s="61">
        <f t="shared" si="477"/>
        <v>1900</v>
      </c>
      <c r="P6437" s="61">
        <f t="shared" si="478"/>
        <v>1</v>
      </c>
      <c r="R6437" s="272"/>
      <c r="S6437" s="272"/>
    </row>
    <row r="6438" spans="9:19">
      <c r="I6438" s="213"/>
      <c r="J6438" s="213"/>
      <c r="L6438" s="272">
        <f t="shared" si="475"/>
        <v>1900</v>
      </c>
      <c r="M6438" s="272">
        <f t="shared" si="476"/>
        <v>1</v>
      </c>
      <c r="O6438" s="61">
        <f t="shared" si="477"/>
        <v>1900</v>
      </c>
      <c r="P6438" s="61">
        <f t="shared" si="478"/>
        <v>1</v>
      </c>
      <c r="R6438" s="272"/>
      <c r="S6438" s="272"/>
    </row>
    <row r="6439" spans="9:19">
      <c r="I6439" s="213"/>
      <c r="J6439" s="213"/>
      <c r="L6439" s="272">
        <f t="shared" si="475"/>
        <v>1900</v>
      </c>
      <c r="M6439" s="272">
        <f t="shared" si="476"/>
        <v>1</v>
      </c>
      <c r="O6439" s="61">
        <f t="shared" si="477"/>
        <v>1900</v>
      </c>
      <c r="P6439" s="61">
        <f t="shared" si="478"/>
        <v>1</v>
      </c>
      <c r="R6439" s="272"/>
      <c r="S6439" s="272"/>
    </row>
    <row r="6440" spans="9:19">
      <c r="I6440" s="213"/>
      <c r="J6440" s="213"/>
      <c r="L6440" s="272">
        <f t="shared" si="475"/>
        <v>1900</v>
      </c>
      <c r="M6440" s="272">
        <f t="shared" si="476"/>
        <v>1</v>
      </c>
      <c r="O6440" s="61">
        <f t="shared" si="477"/>
        <v>1900</v>
      </c>
      <c r="P6440" s="61">
        <f t="shared" si="478"/>
        <v>1</v>
      </c>
      <c r="R6440" s="272"/>
      <c r="S6440" s="272"/>
    </row>
    <row r="6441" spans="9:19">
      <c r="I6441" s="213"/>
      <c r="J6441" s="213"/>
      <c r="L6441" s="272">
        <f t="shared" si="475"/>
        <v>1900</v>
      </c>
      <c r="M6441" s="272">
        <f t="shared" si="476"/>
        <v>1</v>
      </c>
      <c r="O6441" s="61">
        <f t="shared" si="477"/>
        <v>1900</v>
      </c>
      <c r="P6441" s="61">
        <f t="shared" si="478"/>
        <v>1</v>
      </c>
      <c r="R6441" s="272"/>
      <c r="S6441" s="272"/>
    </row>
    <row r="6442" spans="9:19">
      <c r="I6442" s="213"/>
      <c r="J6442" s="213"/>
      <c r="L6442" s="272">
        <f t="shared" si="475"/>
        <v>1900</v>
      </c>
      <c r="M6442" s="272">
        <f t="shared" si="476"/>
        <v>1</v>
      </c>
      <c r="O6442" s="61">
        <f t="shared" si="477"/>
        <v>1900</v>
      </c>
      <c r="P6442" s="61">
        <f t="shared" si="478"/>
        <v>1</v>
      </c>
      <c r="R6442" s="272"/>
      <c r="S6442" s="272"/>
    </row>
    <row r="6443" spans="9:19">
      <c r="I6443" s="213"/>
      <c r="J6443" s="213"/>
      <c r="L6443" s="272">
        <f t="shared" si="475"/>
        <v>1900</v>
      </c>
      <c r="M6443" s="272">
        <f t="shared" si="476"/>
        <v>1</v>
      </c>
      <c r="O6443" s="61">
        <f t="shared" si="477"/>
        <v>1900</v>
      </c>
      <c r="P6443" s="61">
        <f t="shared" si="478"/>
        <v>1</v>
      </c>
      <c r="R6443" s="272"/>
      <c r="S6443" s="272"/>
    </row>
    <row r="6444" spans="9:19">
      <c r="I6444" s="213"/>
      <c r="J6444" s="213"/>
      <c r="L6444" s="272">
        <f t="shared" si="475"/>
        <v>1900</v>
      </c>
      <c r="M6444" s="272">
        <f t="shared" si="476"/>
        <v>1</v>
      </c>
      <c r="O6444" s="61">
        <f t="shared" si="477"/>
        <v>1900</v>
      </c>
      <c r="P6444" s="61">
        <f t="shared" si="478"/>
        <v>1</v>
      </c>
      <c r="R6444" s="272"/>
      <c r="S6444" s="272"/>
    </row>
    <row r="6445" spans="9:19">
      <c r="I6445" s="213"/>
      <c r="J6445" s="213"/>
      <c r="L6445" s="272">
        <f t="shared" si="475"/>
        <v>1900</v>
      </c>
      <c r="M6445" s="272">
        <f t="shared" si="476"/>
        <v>1</v>
      </c>
      <c r="O6445" s="61">
        <f t="shared" si="477"/>
        <v>1900</v>
      </c>
      <c r="P6445" s="61">
        <f t="shared" si="478"/>
        <v>1</v>
      </c>
      <c r="R6445" s="272"/>
      <c r="S6445" s="272"/>
    </row>
    <row r="6446" spans="9:19">
      <c r="I6446" s="213"/>
      <c r="J6446" s="213"/>
      <c r="L6446" s="272">
        <f t="shared" si="475"/>
        <v>1900</v>
      </c>
      <c r="M6446" s="272">
        <f t="shared" si="476"/>
        <v>1</v>
      </c>
      <c r="O6446" s="61">
        <f t="shared" si="477"/>
        <v>1900</v>
      </c>
      <c r="P6446" s="61">
        <f t="shared" si="478"/>
        <v>1</v>
      </c>
      <c r="R6446" s="272"/>
      <c r="S6446" s="272"/>
    </row>
    <row r="6447" spans="9:19">
      <c r="I6447" s="213"/>
      <c r="J6447" s="213"/>
      <c r="L6447" s="272">
        <f t="shared" si="475"/>
        <v>1900</v>
      </c>
      <c r="M6447" s="272">
        <f t="shared" si="476"/>
        <v>1</v>
      </c>
      <c r="O6447" s="61">
        <f t="shared" si="477"/>
        <v>1900</v>
      </c>
      <c r="P6447" s="61">
        <f t="shared" si="478"/>
        <v>1</v>
      </c>
      <c r="R6447" s="272"/>
      <c r="S6447" s="272"/>
    </row>
    <row r="6448" spans="9:19">
      <c r="I6448" s="213"/>
      <c r="J6448" s="213"/>
      <c r="L6448" s="272">
        <f t="shared" si="475"/>
        <v>1900</v>
      </c>
      <c r="M6448" s="272">
        <f t="shared" si="476"/>
        <v>1</v>
      </c>
      <c r="O6448" s="61">
        <f t="shared" si="477"/>
        <v>1900</v>
      </c>
      <c r="P6448" s="61">
        <f t="shared" si="478"/>
        <v>1</v>
      </c>
      <c r="R6448" s="272"/>
      <c r="S6448" s="272"/>
    </row>
    <row r="6449" spans="9:19">
      <c r="I6449" s="213"/>
      <c r="J6449" s="213"/>
      <c r="L6449" s="272">
        <f t="shared" si="475"/>
        <v>1900</v>
      </c>
      <c r="M6449" s="272">
        <f t="shared" si="476"/>
        <v>1</v>
      </c>
      <c r="O6449" s="61">
        <f t="shared" si="477"/>
        <v>1900</v>
      </c>
      <c r="P6449" s="61">
        <f t="shared" si="478"/>
        <v>1</v>
      </c>
      <c r="R6449" s="272"/>
      <c r="S6449" s="272"/>
    </row>
    <row r="6450" spans="9:19">
      <c r="I6450" s="213"/>
      <c r="J6450" s="213"/>
      <c r="L6450" s="272">
        <f t="shared" si="475"/>
        <v>1900</v>
      </c>
      <c r="M6450" s="272">
        <f t="shared" si="476"/>
        <v>1</v>
      </c>
      <c r="O6450" s="61">
        <f t="shared" si="477"/>
        <v>1900</v>
      </c>
      <c r="P6450" s="61">
        <f t="shared" si="478"/>
        <v>1</v>
      </c>
      <c r="R6450" s="272"/>
      <c r="S6450" s="272"/>
    </row>
    <row r="6451" spans="9:19">
      <c r="I6451" s="213"/>
      <c r="J6451" s="213"/>
      <c r="L6451" s="272">
        <f t="shared" si="475"/>
        <v>1900</v>
      </c>
      <c r="M6451" s="272">
        <f t="shared" si="476"/>
        <v>1</v>
      </c>
      <c r="O6451" s="61">
        <f t="shared" si="477"/>
        <v>1900</v>
      </c>
      <c r="P6451" s="61">
        <f t="shared" si="478"/>
        <v>1</v>
      </c>
      <c r="R6451" s="272"/>
      <c r="S6451" s="272"/>
    </row>
    <row r="6452" spans="9:19">
      <c r="I6452" s="213"/>
      <c r="J6452" s="213"/>
      <c r="L6452" s="272">
        <f t="shared" si="475"/>
        <v>1900</v>
      </c>
      <c r="M6452" s="272">
        <f t="shared" si="476"/>
        <v>1</v>
      </c>
      <c r="O6452" s="61">
        <f t="shared" si="477"/>
        <v>1900</v>
      </c>
      <c r="P6452" s="61">
        <f t="shared" si="478"/>
        <v>1</v>
      </c>
      <c r="R6452" s="272"/>
      <c r="S6452" s="272"/>
    </row>
    <row r="6453" spans="9:19">
      <c r="I6453" s="213"/>
      <c r="J6453" s="213"/>
      <c r="L6453" s="272">
        <f t="shared" si="475"/>
        <v>1900</v>
      </c>
      <c r="M6453" s="272">
        <f t="shared" si="476"/>
        <v>1</v>
      </c>
      <c r="O6453" s="61">
        <f t="shared" si="477"/>
        <v>1900</v>
      </c>
      <c r="P6453" s="61">
        <f t="shared" si="478"/>
        <v>1</v>
      </c>
      <c r="R6453" s="272"/>
      <c r="S6453" s="272"/>
    </row>
    <row r="6454" spans="9:19">
      <c r="I6454" s="213"/>
      <c r="J6454" s="213"/>
      <c r="L6454" s="272">
        <f t="shared" si="475"/>
        <v>1900</v>
      </c>
      <c r="M6454" s="272">
        <f t="shared" si="476"/>
        <v>1</v>
      </c>
      <c r="O6454" s="61">
        <f t="shared" si="477"/>
        <v>1900</v>
      </c>
      <c r="P6454" s="61">
        <f t="shared" si="478"/>
        <v>1</v>
      </c>
      <c r="R6454" s="272"/>
      <c r="S6454" s="272"/>
    </row>
    <row r="6455" spans="9:19">
      <c r="I6455" s="213"/>
      <c r="J6455" s="213"/>
      <c r="L6455" s="272">
        <f t="shared" si="475"/>
        <v>1900</v>
      </c>
      <c r="M6455" s="272">
        <f t="shared" si="476"/>
        <v>1</v>
      </c>
      <c r="O6455" s="61">
        <f t="shared" si="477"/>
        <v>1900</v>
      </c>
      <c r="P6455" s="61">
        <f t="shared" si="478"/>
        <v>1</v>
      </c>
      <c r="R6455" s="272"/>
      <c r="S6455" s="272"/>
    </row>
    <row r="6456" spans="9:19">
      <c r="I6456" s="213"/>
      <c r="J6456" s="213"/>
      <c r="L6456" s="272">
        <f t="shared" si="475"/>
        <v>1900</v>
      </c>
      <c r="M6456" s="272">
        <f t="shared" si="476"/>
        <v>1</v>
      </c>
      <c r="O6456" s="61">
        <f t="shared" si="477"/>
        <v>1900</v>
      </c>
      <c r="P6456" s="61">
        <f t="shared" si="478"/>
        <v>1</v>
      </c>
      <c r="R6456" s="272"/>
      <c r="S6456" s="272"/>
    </row>
    <row r="6457" spans="9:19">
      <c r="I6457" s="213"/>
      <c r="J6457" s="213"/>
      <c r="L6457" s="272">
        <f t="shared" si="475"/>
        <v>1900</v>
      </c>
      <c r="M6457" s="272">
        <f t="shared" si="476"/>
        <v>1</v>
      </c>
      <c r="O6457" s="61">
        <f t="shared" si="477"/>
        <v>1900</v>
      </c>
      <c r="P6457" s="61">
        <f t="shared" si="478"/>
        <v>1</v>
      </c>
      <c r="R6457" s="272"/>
      <c r="S6457" s="272"/>
    </row>
    <row r="6458" spans="9:19">
      <c r="I6458" s="213"/>
      <c r="J6458" s="213"/>
      <c r="L6458" s="272">
        <f t="shared" si="475"/>
        <v>1900</v>
      </c>
      <c r="M6458" s="272">
        <f t="shared" si="476"/>
        <v>1</v>
      </c>
      <c r="O6458" s="61">
        <f t="shared" si="477"/>
        <v>1900</v>
      </c>
      <c r="P6458" s="61">
        <f t="shared" si="478"/>
        <v>1</v>
      </c>
      <c r="R6458" s="272"/>
      <c r="S6458" s="272"/>
    </row>
    <row r="6459" spans="9:19">
      <c r="I6459" s="213"/>
      <c r="J6459" s="213"/>
      <c r="L6459" s="272">
        <f t="shared" si="475"/>
        <v>1900</v>
      </c>
      <c r="M6459" s="272">
        <f t="shared" si="476"/>
        <v>1</v>
      </c>
      <c r="O6459" s="61">
        <f t="shared" si="477"/>
        <v>1900</v>
      </c>
      <c r="P6459" s="61">
        <f t="shared" si="478"/>
        <v>1</v>
      </c>
      <c r="R6459" s="272"/>
      <c r="S6459" s="272"/>
    </row>
    <row r="6460" spans="9:19">
      <c r="I6460" s="213"/>
      <c r="J6460" s="213"/>
      <c r="L6460" s="272">
        <f t="shared" si="475"/>
        <v>1900</v>
      </c>
      <c r="M6460" s="272">
        <f t="shared" si="476"/>
        <v>1</v>
      </c>
      <c r="O6460" s="61">
        <f t="shared" si="477"/>
        <v>1900</v>
      </c>
      <c r="P6460" s="61">
        <f t="shared" si="478"/>
        <v>1</v>
      </c>
      <c r="R6460" s="272"/>
      <c r="S6460" s="272"/>
    </row>
    <row r="6461" spans="9:19">
      <c r="I6461" s="213"/>
      <c r="J6461" s="213"/>
      <c r="L6461" s="272">
        <f t="shared" si="475"/>
        <v>1900</v>
      </c>
      <c r="M6461" s="272">
        <f t="shared" si="476"/>
        <v>1</v>
      </c>
      <c r="O6461" s="61">
        <f t="shared" si="477"/>
        <v>1900</v>
      </c>
      <c r="P6461" s="61">
        <f t="shared" si="478"/>
        <v>1</v>
      </c>
      <c r="R6461" s="272"/>
      <c r="S6461" s="272"/>
    </row>
    <row r="6462" spans="9:19">
      <c r="I6462" s="213"/>
      <c r="J6462" s="213"/>
      <c r="L6462" s="272">
        <f t="shared" si="475"/>
        <v>1900</v>
      </c>
      <c r="M6462" s="272">
        <f t="shared" si="476"/>
        <v>1</v>
      </c>
      <c r="O6462" s="61">
        <f t="shared" si="477"/>
        <v>1900</v>
      </c>
      <c r="P6462" s="61">
        <f t="shared" si="478"/>
        <v>1</v>
      </c>
      <c r="R6462" s="272"/>
      <c r="S6462" s="272"/>
    </row>
    <row r="6463" spans="9:19">
      <c r="I6463" s="213"/>
      <c r="J6463" s="213"/>
      <c r="L6463" s="272">
        <f t="shared" si="475"/>
        <v>1900</v>
      </c>
      <c r="M6463" s="272">
        <f t="shared" si="476"/>
        <v>1</v>
      </c>
      <c r="O6463" s="61">
        <f t="shared" si="477"/>
        <v>1900</v>
      </c>
      <c r="P6463" s="61">
        <f t="shared" si="478"/>
        <v>1</v>
      </c>
      <c r="R6463" s="272"/>
      <c r="S6463" s="272"/>
    </row>
    <row r="6464" spans="9:19">
      <c r="I6464" s="213"/>
      <c r="J6464" s="213"/>
      <c r="L6464" s="272">
        <f t="shared" si="475"/>
        <v>1900</v>
      </c>
      <c r="M6464" s="272">
        <f t="shared" si="476"/>
        <v>1</v>
      </c>
      <c r="O6464" s="61">
        <f t="shared" si="477"/>
        <v>1900</v>
      </c>
      <c r="P6464" s="61">
        <f t="shared" si="478"/>
        <v>1</v>
      </c>
      <c r="R6464" s="272"/>
      <c r="S6464" s="272"/>
    </row>
    <row r="6465" spans="9:19">
      <c r="I6465" s="213"/>
      <c r="J6465" s="213"/>
      <c r="L6465" s="272">
        <f t="shared" si="475"/>
        <v>1900</v>
      </c>
      <c r="M6465" s="272">
        <f t="shared" si="476"/>
        <v>1</v>
      </c>
      <c r="O6465" s="61">
        <f t="shared" si="477"/>
        <v>1900</v>
      </c>
      <c r="P6465" s="61">
        <f t="shared" si="478"/>
        <v>1</v>
      </c>
      <c r="R6465" s="272"/>
      <c r="S6465" s="272"/>
    </row>
    <row r="6466" spans="9:19">
      <c r="I6466" s="213"/>
      <c r="J6466" s="213"/>
      <c r="L6466" s="272">
        <f t="shared" si="475"/>
        <v>1900</v>
      </c>
      <c r="M6466" s="272">
        <f t="shared" si="476"/>
        <v>1</v>
      </c>
      <c r="O6466" s="61">
        <f t="shared" si="477"/>
        <v>1900</v>
      </c>
      <c r="P6466" s="61">
        <f t="shared" si="478"/>
        <v>1</v>
      </c>
      <c r="R6466" s="272"/>
      <c r="S6466" s="272"/>
    </row>
    <row r="6467" spans="9:19">
      <c r="I6467" s="213"/>
      <c r="J6467" s="213"/>
      <c r="L6467" s="272">
        <f t="shared" si="475"/>
        <v>1900</v>
      </c>
      <c r="M6467" s="272">
        <f t="shared" si="476"/>
        <v>1</v>
      </c>
      <c r="O6467" s="61">
        <f t="shared" si="477"/>
        <v>1900</v>
      </c>
      <c r="P6467" s="61">
        <f t="shared" si="478"/>
        <v>1</v>
      </c>
      <c r="R6467" s="272"/>
      <c r="S6467" s="272"/>
    </row>
    <row r="6468" spans="9:19">
      <c r="I6468" s="213"/>
      <c r="J6468" s="213"/>
      <c r="L6468" s="272">
        <f t="shared" si="475"/>
        <v>1900</v>
      </c>
      <c r="M6468" s="272">
        <f t="shared" si="476"/>
        <v>1</v>
      </c>
      <c r="O6468" s="61">
        <f t="shared" si="477"/>
        <v>1900</v>
      </c>
      <c r="P6468" s="61">
        <f t="shared" si="478"/>
        <v>1</v>
      </c>
      <c r="R6468" s="272"/>
      <c r="S6468" s="272"/>
    </row>
    <row r="6469" spans="9:19">
      <c r="I6469" s="213"/>
      <c r="J6469" s="213"/>
      <c r="L6469" s="272">
        <f t="shared" si="475"/>
        <v>1900</v>
      </c>
      <c r="M6469" s="272">
        <f t="shared" si="476"/>
        <v>1</v>
      </c>
      <c r="O6469" s="61">
        <f t="shared" si="477"/>
        <v>1900</v>
      </c>
      <c r="P6469" s="61">
        <f t="shared" si="478"/>
        <v>1</v>
      </c>
      <c r="R6469" s="272"/>
      <c r="S6469" s="272"/>
    </row>
    <row r="6470" spans="9:19">
      <c r="I6470" s="213"/>
      <c r="J6470" s="213"/>
      <c r="L6470" s="272">
        <f t="shared" si="475"/>
        <v>1900</v>
      </c>
      <c r="M6470" s="272">
        <f t="shared" si="476"/>
        <v>1</v>
      </c>
      <c r="O6470" s="61">
        <f t="shared" si="477"/>
        <v>1900</v>
      </c>
      <c r="P6470" s="61">
        <f t="shared" si="478"/>
        <v>1</v>
      </c>
      <c r="R6470" s="272"/>
      <c r="S6470" s="272"/>
    </row>
    <row r="6471" spans="9:19">
      <c r="I6471" s="213"/>
      <c r="J6471" s="213"/>
      <c r="L6471" s="272">
        <f t="shared" si="475"/>
        <v>1900</v>
      </c>
      <c r="M6471" s="272">
        <f t="shared" si="476"/>
        <v>1</v>
      </c>
      <c r="O6471" s="61">
        <f t="shared" si="477"/>
        <v>1900</v>
      </c>
      <c r="P6471" s="61">
        <f t="shared" si="478"/>
        <v>1</v>
      </c>
      <c r="R6471" s="272"/>
      <c r="S6471" s="272"/>
    </row>
    <row r="6472" spans="9:19">
      <c r="I6472" s="213"/>
      <c r="J6472" s="213"/>
      <c r="L6472" s="272">
        <f t="shared" si="475"/>
        <v>1900</v>
      </c>
      <c r="M6472" s="272">
        <f t="shared" si="476"/>
        <v>1</v>
      </c>
      <c r="O6472" s="61">
        <f t="shared" si="477"/>
        <v>1900</v>
      </c>
      <c r="P6472" s="61">
        <f t="shared" si="478"/>
        <v>1</v>
      </c>
      <c r="R6472" s="272"/>
      <c r="S6472" s="272"/>
    </row>
    <row r="6473" spans="9:19">
      <c r="I6473" s="213"/>
      <c r="J6473" s="213"/>
      <c r="L6473" s="272">
        <f t="shared" si="475"/>
        <v>1900</v>
      </c>
      <c r="M6473" s="272">
        <f t="shared" si="476"/>
        <v>1</v>
      </c>
      <c r="O6473" s="61">
        <f t="shared" si="477"/>
        <v>1900</v>
      </c>
      <c r="P6473" s="61">
        <f t="shared" si="478"/>
        <v>1</v>
      </c>
      <c r="R6473" s="272"/>
      <c r="S6473" s="272"/>
    </row>
    <row r="6474" spans="9:19">
      <c r="I6474" s="213"/>
      <c r="J6474" s="213"/>
      <c r="L6474" s="272">
        <f t="shared" si="475"/>
        <v>1900</v>
      </c>
      <c r="M6474" s="272">
        <f t="shared" si="476"/>
        <v>1</v>
      </c>
      <c r="O6474" s="61">
        <f t="shared" si="477"/>
        <v>1900</v>
      </c>
      <c r="P6474" s="61">
        <f t="shared" si="478"/>
        <v>1</v>
      </c>
      <c r="R6474" s="272"/>
      <c r="S6474" s="272"/>
    </row>
    <row r="6475" spans="9:19">
      <c r="I6475" s="213"/>
      <c r="J6475" s="213"/>
      <c r="L6475" s="272">
        <f t="shared" si="475"/>
        <v>1900</v>
      </c>
      <c r="M6475" s="272">
        <f t="shared" si="476"/>
        <v>1</v>
      </c>
      <c r="O6475" s="61">
        <f t="shared" si="477"/>
        <v>1900</v>
      </c>
      <c r="P6475" s="61">
        <f t="shared" si="478"/>
        <v>1</v>
      </c>
      <c r="R6475" s="272"/>
      <c r="S6475" s="272"/>
    </row>
    <row r="6476" spans="9:19">
      <c r="I6476" s="213"/>
      <c r="J6476" s="213"/>
      <c r="L6476" s="272">
        <f t="shared" si="475"/>
        <v>1900</v>
      </c>
      <c r="M6476" s="272">
        <f t="shared" si="476"/>
        <v>1</v>
      </c>
      <c r="O6476" s="61">
        <f t="shared" si="477"/>
        <v>1900</v>
      </c>
      <c r="P6476" s="61">
        <f t="shared" si="478"/>
        <v>1</v>
      </c>
      <c r="R6476" s="272"/>
      <c r="S6476" s="272"/>
    </row>
    <row r="6477" spans="9:19">
      <c r="I6477" s="213"/>
      <c r="J6477" s="213"/>
      <c r="L6477" s="272">
        <f t="shared" si="475"/>
        <v>1900</v>
      </c>
      <c r="M6477" s="272">
        <f t="shared" si="476"/>
        <v>1</v>
      </c>
      <c r="O6477" s="61">
        <f t="shared" si="477"/>
        <v>1900</v>
      </c>
      <c r="P6477" s="61">
        <f t="shared" si="478"/>
        <v>1</v>
      </c>
      <c r="R6477" s="272"/>
      <c r="S6477" s="272"/>
    </row>
    <row r="6478" spans="9:19">
      <c r="I6478" s="213"/>
      <c r="J6478" s="213"/>
      <c r="L6478" s="272">
        <f t="shared" si="475"/>
        <v>1900</v>
      </c>
      <c r="M6478" s="272">
        <f t="shared" si="476"/>
        <v>1</v>
      </c>
      <c r="O6478" s="61">
        <f t="shared" si="477"/>
        <v>1900</v>
      </c>
      <c r="P6478" s="61">
        <f t="shared" si="478"/>
        <v>1</v>
      </c>
      <c r="R6478" s="272"/>
      <c r="S6478" s="272"/>
    </row>
    <row r="6479" spans="9:19">
      <c r="I6479" s="213"/>
      <c r="J6479" s="213"/>
      <c r="L6479" s="272">
        <f t="shared" si="475"/>
        <v>1900</v>
      </c>
      <c r="M6479" s="272">
        <f t="shared" si="476"/>
        <v>1</v>
      </c>
      <c r="O6479" s="61">
        <f t="shared" si="477"/>
        <v>1900</v>
      </c>
      <c r="P6479" s="61">
        <f t="shared" si="478"/>
        <v>1</v>
      </c>
      <c r="R6479" s="272"/>
      <c r="S6479" s="272"/>
    </row>
    <row r="6480" spans="9:19">
      <c r="I6480" s="213"/>
      <c r="J6480" s="213"/>
      <c r="L6480" s="272">
        <f t="shared" ref="L6480:L6543" si="479">YEAR(B6480)</f>
        <v>1900</v>
      </c>
      <c r="M6480" s="272">
        <f t="shared" ref="M6480:M6543" si="480">MONTH(B6480)</f>
        <v>1</v>
      </c>
      <c r="O6480" s="61">
        <f t="shared" ref="O6480:O6543" si="481">YEAR(B6480)</f>
        <v>1900</v>
      </c>
      <c r="P6480" s="61">
        <f t="shared" ref="P6480:P6543" si="482">MONTH(B6480)</f>
        <v>1</v>
      </c>
      <c r="R6480" s="272"/>
      <c r="S6480" s="272"/>
    </row>
    <row r="6481" spans="9:19">
      <c r="I6481" s="213"/>
      <c r="J6481" s="213"/>
      <c r="L6481" s="272">
        <f t="shared" si="479"/>
        <v>1900</v>
      </c>
      <c r="M6481" s="272">
        <f t="shared" si="480"/>
        <v>1</v>
      </c>
      <c r="O6481" s="61">
        <f t="shared" si="481"/>
        <v>1900</v>
      </c>
      <c r="P6481" s="61">
        <f t="shared" si="482"/>
        <v>1</v>
      </c>
      <c r="R6481" s="272"/>
      <c r="S6481" s="272"/>
    </row>
    <row r="6482" spans="9:19">
      <c r="I6482" s="213"/>
      <c r="J6482" s="213"/>
      <c r="L6482" s="272">
        <f t="shared" si="479"/>
        <v>1900</v>
      </c>
      <c r="M6482" s="272">
        <f t="shared" si="480"/>
        <v>1</v>
      </c>
      <c r="O6482" s="61">
        <f t="shared" si="481"/>
        <v>1900</v>
      </c>
      <c r="P6482" s="61">
        <f t="shared" si="482"/>
        <v>1</v>
      </c>
      <c r="R6482" s="272"/>
      <c r="S6482" s="272"/>
    </row>
    <row r="6483" spans="9:19">
      <c r="I6483" s="213"/>
      <c r="J6483" s="213"/>
      <c r="L6483" s="272">
        <f t="shared" si="479"/>
        <v>1900</v>
      </c>
      <c r="M6483" s="272">
        <f t="shared" si="480"/>
        <v>1</v>
      </c>
      <c r="O6483" s="61">
        <f t="shared" si="481"/>
        <v>1900</v>
      </c>
      <c r="P6483" s="61">
        <f t="shared" si="482"/>
        <v>1</v>
      </c>
      <c r="R6483" s="272"/>
      <c r="S6483" s="272"/>
    </row>
    <row r="6484" spans="9:19">
      <c r="I6484" s="213"/>
      <c r="J6484" s="213"/>
      <c r="L6484" s="272">
        <f t="shared" si="479"/>
        <v>1900</v>
      </c>
      <c r="M6484" s="272">
        <f t="shared" si="480"/>
        <v>1</v>
      </c>
      <c r="O6484" s="61">
        <f t="shared" si="481"/>
        <v>1900</v>
      </c>
      <c r="P6484" s="61">
        <f t="shared" si="482"/>
        <v>1</v>
      </c>
      <c r="R6484" s="272"/>
      <c r="S6484" s="272"/>
    </row>
    <row r="6485" spans="9:19">
      <c r="I6485" s="213"/>
      <c r="J6485" s="213"/>
      <c r="L6485" s="272">
        <f t="shared" si="479"/>
        <v>1900</v>
      </c>
      <c r="M6485" s="272">
        <f t="shared" si="480"/>
        <v>1</v>
      </c>
      <c r="O6485" s="61">
        <f t="shared" si="481"/>
        <v>1900</v>
      </c>
      <c r="P6485" s="61">
        <f t="shared" si="482"/>
        <v>1</v>
      </c>
      <c r="R6485" s="272"/>
      <c r="S6485" s="272"/>
    </row>
    <row r="6486" spans="9:19">
      <c r="I6486" s="213"/>
      <c r="J6486" s="213"/>
      <c r="L6486" s="272">
        <f t="shared" si="479"/>
        <v>1900</v>
      </c>
      <c r="M6486" s="272">
        <f t="shared" si="480"/>
        <v>1</v>
      </c>
      <c r="O6486" s="61">
        <f t="shared" si="481"/>
        <v>1900</v>
      </c>
      <c r="P6486" s="61">
        <f t="shared" si="482"/>
        <v>1</v>
      </c>
      <c r="R6486" s="272"/>
      <c r="S6486" s="272"/>
    </row>
    <row r="6487" spans="9:19">
      <c r="I6487" s="213"/>
      <c r="J6487" s="213"/>
      <c r="L6487" s="272">
        <f t="shared" si="479"/>
        <v>1900</v>
      </c>
      <c r="M6487" s="272">
        <f t="shared" si="480"/>
        <v>1</v>
      </c>
      <c r="O6487" s="61">
        <f t="shared" si="481"/>
        <v>1900</v>
      </c>
      <c r="P6487" s="61">
        <f t="shared" si="482"/>
        <v>1</v>
      </c>
      <c r="R6487" s="272"/>
      <c r="S6487" s="272"/>
    </row>
    <row r="6488" spans="9:19">
      <c r="I6488" s="213"/>
      <c r="J6488" s="213"/>
      <c r="L6488" s="272">
        <f t="shared" si="479"/>
        <v>1900</v>
      </c>
      <c r="M6488" s="272">
        <f t="shared" si="480"/>
        <v>1</v>
      </c>
      <c r="O6488" s="61">
        <f t="shared" si="481"/>
        <v>1900</v>
      </c>
      <c r="P6488" s="61">
        <f t="shared" si="482"/>
        <v>1</v>
      </c>
      <c r="R6488" s="272"/>
      <c r="S6488" s="272"/>
    </row>
    <row r="6489" spans="9:19">
      <c r="I6489" s="213"/>
      <c r="J6489" s="213"/>
      <c r="L6489" s="272">
        <f t="shared" si="479"/>
        <v>1900</v>
      </c>
      <c r="M6489" s="272">
        <f t="shared" si="480"/>
        <v>1</v>
      </c>
      <c r="O6489" s="61">
        <f t="shared" si="481"/>
        <v>1900</v>
      </c>
      <c r="P6489" s="61">
        <f t="shared" si="482"/>
        <v>1</v>
      </c>
      <c r="R6489" s="272"/>
      <c r="S6489" s="272"/>
    </row>
    <row r="6490" spans="9:19">
      <c r="I6490" s="213"/>
      <c r="J6490" s="213"/>
      <c r="L6490" s="272">
        <f t="shared" si="479"/>
        <v>1900</v>
      </c>
      <c r="M6490" s="272">
        <f t="shared" si="480"/>
        <v>1</v>
      </c>
      <c r="O6490" s="61">
        <f t="shared" si="481"/>
        <v>1900</v>
      </c>
      <c r="P6490" s="61">
        <f t="shared" si="482"/>
        <v>1</v>
      </c>
      <c r="R6490" s="272"/>
      <c r="S6490" s="272"/>
    </row>
    <row r="6491" spans="9:19">
      <c r="I6491" s="213"/>
      <c r="J6491" s="213"/>
      <c r="L6491" s="272">
        <f t="shared" si="479"/>
        <v>1900</v>
      </c>
      <c r="M6491" s="272">
        <f t="shared" si="480"/>
        <v>1</v>
      </c>
      <c r="O6491" s="61">
        <f t="shared" si="481"/>
        <v>1900</v>
      </c>
      <c r="P6491" s="61">
        <f t="shared" si="482"/>
        <v>1</v>
      </c>
      <c r="R6491" s="272"/>
      <c r="S6491" s="272"/>
    </row>
    <row r="6492" spans="9:19">
      <c r="I6492" s="213"/>
      <c r="J6492" s="213"/>
      <c r="L6492" s="272">
        <f t="shared" si="479"/>
        <v>1900</v>
      </c>
      <c r="M6492" s="272">
        <f t="shared" si="480"/>
        <v>1</v>
      </c>
      <c r="O6492" s="61">
        <f t="shared" si="481"/>
        <v>1900</v>
      </c>
      <c r="P6492" s="61">
        <f t="shared" si="482"/>
        <v>1</v>
      </c>
      <c r="R6492" s="272"/>
      <c r="S6492" s="272"/>
    </row>
    <row r="6493" spans="9:19">
      <c r="I6493" s="213"/>
      <c r="J6493" s="213"/>
      <c r="L6493" s="272">
        <f t="shared" si="479"/>
        <v>1900</v>
      </c>
      <c r="M6493" s="272">
        <f t="shared" si="480"/>
        <v>1</v>
      </c>
      <c r="O6493" s="61">
        <f t="shared" si="481"/>
        <v>1900</v>
      </c>
      <c r="P6493" s="61">
        <f t="shared" si="482"/>
        <v>1</v>
      </c>
      <c r="R6493" s="272"/>
      <c r="S6493" s="272"/>
    </row>
    <row r="6494" spans="9:19">
      <c r="I6494" s="213"/>
      <c r="J6494" s="213"/>
      <c r="L6494" s="272">
        <f t="shared" si="479"/>
        <v>1900</v>
      </c>
      <c r="M6494" s="272">
        <f t="shared" si="480"/>
        <v>1</v>
      </c>
      <c r="O6494" s="61">
        <f t="shared" si="481"/>
        <v>1900</v>
      </c>
      <c r="P6494" s="61">
        <f t="shared" si="482"/>
        <v>1</v>
      </c>
      <c r="R6494" s="272"/>
      <c r="S6494" s="272"/>
    </row>
    <row r="6495" spans="9:19">
      <c r="I6495" s="213"/>
      <c r="J6495" s="213"/>
      <c r="L6495" s="272">
        <f t="shared" si="479"/>
        <v>1900</v>
      </c>
      <c r="M6495" s="272">
        <f t="shared" si="480"/>
        <v>1</v>
      </c>
      <c r="O6495" s="61">
        <f t="shared" si="481"/>
        <v>1900</v>
      </c>
      <c r="P6495" s="61">
        <f t="shared" si="482"/>
        <v>1</v>
      </c>
      <c r="R6495" s="272"/>
      <c r="S6495" s="272"/>
    </row>
    <row r="6496" spans="9:19">
      <c r="I6496" s="213"/>
      <c r="J6496" s="213"/>
      <c r="L6496" s="272">
        <f t="shared" si="479"/>
        <v>1900</v>
      </c>
      <c r="M6496" s="272">
        <f t="shared" si="480"/>
        <v>1</v>
      </c>
      <c r="O6496" s="61">
        <f t="shared" si="481"/>
        <v>1900</v>
      </c>
      <c r="P6496" s="61">
        <f t="shared" si="482"/>
        <v>1</v>
      </c>
      <c r="R6496" s="272"/>
      <c r="S6496" s="272"/>
    </row>
    <row r="6497" spans="9:19">
      <c r="I6497" s="213"/>
      <c r="J6497" s="213"/>
      <c r="L6497" s="272">
        <f t="shared" si="479"/>
        <v>1900</v>
      </c>
      <c r="M6497" s="272">
        <f t="shared" si="480"/>
        <v>1</v>
      </c>
      <c r="O6497" s="61">
        <f t="shared" si="481"/>
        <v>1900</v>
      </c>
      <c r="P6497" s="61">
        <f t="shared" si="482"/>
        <v>1</v>
      </c>
      <c r="R6497" s="272"/>
      <c r="S6497" s="272"/>
    </row>
    <row r="6498" spans="9:19">
      <c r="I6498" s="213"/>
      <c r="J6498" s="213"/>
      <c r="L6498" s="272">
        <f t="shared" si="479"/>
        <v>1900</v>
      </c>
      <c r="M6498" s="272">
        <f t="shared" si="480"/>
        <v>1</v>
      </c>
      <c r="O6498" s="61">
        <f t="shared" si="481"/>
        <v>1900</v>
      </c>
      <c r="P6498" s="61">
        <f t="shared" si="482"/>
        <v>1</v>
      </c>
      <c r="R6498" s="272"/>
      <c r="S6498" s="272"/>
    </row>
    <row r="6499" spans="9:19">
      <c r="I6499" s="213"/>
      <c r="J6499" s="213"/>
      <c r="L6499" s="272">
        <f t="shared" si="479"/>
        <v>1900</v>
      </c>
      <c r="M6499" s="272">
        <f t="shared" si="480"/>
        <v>1</v>
      </c>
      <c r="O6499" s="61">
        <f t="shared" si="481"/>
        <v>1900</v>
      </c>
      <c r="P6499" s="61">
        <f t="shared" si="482"/>
        <v>1</v>
      </c>
      <c r="R6499" s="272"/>
      <c r="S6499" s="272"/>
    </row>
    <row r="6500" spans="9:19">
      <c r="I6500" s="213"/>
      <c r="J6500" s="213"/>
      <c r="L6500" s="272">
        <f t="shared" si="479"/>
        <v>1900</v>
      </c>
      <c r="M6500" s="272">
        <f t="shared" si="480"/>
        <v>1</v>
      </c>
      <c r="O6500" s="61">
        <f t="shared" si="481"/>
        <v>1900</v>
      </c>
      <c r="P6500" s="61">
        <f t="shared" si="482"/>
        <v>1</v>
      </c>
      <c r="R6500" s="272"/>
      <c r="S6500" s="272"/>
    </row>
    <row r="6501" spans="9:19">
      <c r="I6501" s="213"/>
      <c r="J6501" s="213"/>
      <c r="L6501" s="272">
        <f t="shared" si="479"/>
        <v>1900</v>
      </c>
      <c r="M6501" s="272">
        <f t="shared" si="480"/>
        <v>1</v>
      </c>
      <c r="O6501" s="61">
        <f t="shared" si="481"/>
        <v>1900</v>
      </c>
      <c r="P6501" s="61">
        <f t="shared" si="482"/>
        <v>1</v>
      </c>
      <c r="R6501" s="272"/>
      <c r="S6501" s="272"/>
    </row>
    <row r="6502" spans="9:19">
      <c r="I6502" s="213"/>
      <c r="J6502" s="213"/>
      <c r="L6502" s="272">
        <f t="shared" si="479"/>
        <v>1900</v>
      </c>
      <c r="M6502" s="272">
        <f t="shared" si="480"/>
        <v>1</v>
      </c>
      <c r="O6502" s="61">
        <f t="shared" si="481"/>
        <v>1900</v>
      </c>
      <c r="P6502" s="61">
        <f t="shared" si="482"/>
        <v>1</v>
      </c>
      <c r="R6502" s="272"/>
      <c r="S6502" s="272"/>
    </row>
    <row r="6503" spans="9:19">
      <c r="I6503" s="213"/>
      <c r="J6503" s="213"/>
      <c r="L6503" s="272">
        <f t="shared" si="479"/>
        <v>1900</v>
      </c>
      <c r="M6503" s="272">
        <f t="shared" si="480"/>
        <v>1</v>
      </c>
      <c r="O6503" s="61">
        <f t="shared" si="481"/>
        <v>1900</v>
      </c>
      <c r="P6503" s="61">
        <f t="shared" si="482"/>
        <v>1</v>
      </c>
      <c r="R6503" s="272"/>
      <c r="S6503" s="272"/>
    </row>
    <row r="6504" spans="9:19">
      <c r="I6504" s="213"/>
      <c r="J6504" s="213"/>
      <c r="L6504" s="272">
        <f t="shared" si="479"/>
        <v>1900</v>
      </c>
      <c r="M6504" s="272">
        <f t="shared" si="480"/>
        <v>1</v>
      </c>
      <c r="O6504" s="61">
        <f t="shared" si="481"/>
        <v>1900</v>
      </c>
      <c r="P6504" s="61">
        <f t="shared" si="482"/>
        <v>1</v>
      </c>
      <c r="R6504" s="272"/>
      <c r="S6504" s="272"/>
    </row>
    <row r="6505" spans="9:19">
      <c r="I6505" s="213"/>
      <c r="J6505" s="213"/>
      <c r="L6505" s="272">
        <f t="shared" si="479"/>
        <v>1900</v>
      </c>
      <c r="M6505" s="272">
        <f t="shared" si="480"/>
        <v>1</v>
      </c>
      <c r="O6505" s="61">
        <f t="shared" si="481"/>
        <v>1900</v>
      </c>
      <c r="P6505" s="61">
        <f t="shared" si="482"/>
        <v>1</v>
      </c>
      <c r="R6505" s="272"/>
      <c r="S6505" s="272"/>
    </row>
    <row r="6506" spans="9:19">
      <c r="I6506" s="213"/>
      <c r="J6506" s="213"/>
      <c r="L6506" s="272">
        <f t="shared" si="479"/>
        <v>1900</v>
      </c>
      <c r="M6506" s="272">
        <f t="shared" si="480"/>
        <v>1</v>
      </c>
      <c r="O6506" s="61">
        <f t="shared" si="481"/>
        <v>1900</v>
      </c>
      <c r="P6506" s="61">
        <f t="shared" si="482"/>
        <v>1</v>
      </c>
      <c r="R6506" s="272"/>
      <c r="S6506" s="272"/>
    </row>
    <row r="6507" spans="9:19">
      <c r="I6507" s="213"/>
      <c r="J6507" s="213"/>
      <c r="L6507" s="272">
        <f t="shared" si="479"/>
        <v>1900</v>
      </c>
      <c r="M6507" s="272">
        <f t="shared" si="480"/>
        <v>1</v>
      </c>
      <c r="O6507" s="61">
        <f t="shared" si="481"/>
        <v>1900</v>
      </c>
      <c r="P6507" s="61">
        <f t="shared" si="482"/>
        <v>1</v>
      </c>
      <c r="R6507" s="272"/>
      <c r="S6507" s="272"/>
    </row>
    <row r="6508" spans="9:19">
      <c r="I6508" s="213"/>
      <c r="J6508" s="213"/>
      <c r="L6508" s="272">
        <f t="shared" si="479"/>
        <v>1900</v>
      </c>
      <c r="M6508" s="272">
        <f t="shared" si="480"/>
        <v>1</v>
      </c>
      <c r="O6508" s="61">
        <f t="shared" si="481"/>
        <v>1900</v>
      </c>
      <c r="P6508" s="61">
        <f t="shared" si="482"/>
        <v>1</v>
      </c>
      <c r="R6508" s="272"/>
      <c r="S6508" s="272"/>
    </row>
    <row r="6509" spans="9:19">
      <c r="I6509" s="213"/>
      <c r="J6509" s="213"/>
      <c r="L6509" s="272">
        <f t="shared" si="479"/>
        <v>1900</v>
      </c>
      <c r="M6509" s="272">
        <f t="shared" si="480"/>
        <v>1</v>
      </c>
      <c r="O6509" s="61">
        <f t="shared" si="481"/>
        <v>1900</v>
      </c>
      <c r="P6509" s="61">
        <f t="shared" si="482"/>
        <v>1</v>
      </c>
      <c r="R6509" s="272"/>
      <c r="S6509" s="272"/>
    </row>
    <row r="6510" spans="9:19">
      <c r="I6510" s="213"/>
      <c r="J6510" s="213"/>
      <c r="L6510" s="272">
        <f t="shared" si="479"/>
        <v>1900</v>
      </c>
      <c r="M6510" s="272">
        <f t="shared" si="480"/>
        <v>1</v>
      </c>
      <c r="O6510" s="61">
        <f t="shared" si="481"/>
        <v>1900</v>
      </c>
      <c r="P6510" s="61">
        <f t="shared" si="482"/>
        <v>1</v>
      </c>
      <c r="R6510" s="272"/>
      <c r="S6510" s="272"/>
    </row>
    <row r="6511" spans="9:19">
      <c r="I6511" s="213"/>
      <c r="J6511" s="213"/>
      <c r="L6511" s="272">
        <f t="shared" si="479"/>
        <v>1900</v>
      </c>
      <c r="M6511" s="272">
        <f t="shared" si="480"/>
        <v>1</v>
      </c>
      <c r="O6511" s="61">
        <f t="shared" si="481"/>
        <v>1900</v>
      </c>
      <c r="P6511" s="61">
        <f t="shared" si="482"/>
        <v>1</v>
      </c>
      <c r="R6511" s="272"/>
      <c r="S6511" s="272"/>
    </row>
    <row r="6512" spans="9:19">
      <c r="I6512" s="213"/>
      <c r="J6512" s="213"/>
      <c r="L6512" s="272">
        <f t="shared" si="479"/>
        <v>1900</v>
      </c>
      <c r="M6512" s="272">
        <f t="shared" si="480"/>
        <v>1</v>
      </c>
      <c r="O6512" s="61">
        <f t="shared" si="481"/>
        <v>1900</v>
      </c>
      <c r="P6512" s="61">
        <f t="shared" si="482"/>
        <v>1</v>
      </c>
      <c r="R6512" s="272"/>
      <c r="S6512" s="272"/>
    </row>
    <row r="6513" spans="9:19">
      <c r="I6513" s="213"/>
      <c r="J6513" s="213"/>
      <c r="L6513" s="272">
        <f t="shared" si="479"/>
        <v>1900</v>
      </c>
      <c r="M6513" s="272">
        <f t="shared" si="480"/>
        <v>1</v>
      </c>
      <c r="O6513" s="61">
        <f t="shared" si="481"/>
        <v>1900</v>
      </c>
      <c r="P6513" s="61">
        <f t="shared" si="482"/>
        <v>1</v>
      </c>
      <c r="R6513" s="272"/>
      <c r="S6513" s="272"/>
    </row>
    <row r="6514" spans="9:19">
      <c r="I6514" s="213"/>
      <c r="J6514" s="213"/>
      <c r="L6514" s="272">
        <f t="shared" si="479"/>
        <v>1900</v>
      </c>
      <c r="M6514" s="272">
        <f t="shared" si="480"/>
        <v>1</v>
      </c>
      <c r="O6514" s="61">
        <f t="shared" si="481"/>
        <v>1900</v>
      </c>
      <c r="P6514" s="61">
        <f t="shared" si="482"/>
        <v>1</v>
      </c>
      <c r="R6514" s="272"/>
      <c r="S6514" s="272"/>
    </row>
    <row r="6515" spans="9:19">
      <c r="I6515" s="213"/>
      <c r="J6515" s="213"/>
      <c r="L6515" s="272">
        <f t="shared" si="479"/>
        <v>1900</v>
      </c>
      <c r="M6515" s="272">
        <f t="shared" si="480"/>
        <v>1</v>
      </c>
      <c r="O6515" s="61">
        <f t="shared" si="481"/>
        <v>1900</v>
      </c>
      <c r="P6515" s="61">
        <f t="shared" si="482"/>
        <v>1</v>
      </c>
      <c r="R6515" s="272"/>
      <c r="S6515" s="272"/>
    </row>
    <row r="6516" spans="9:19">
      <c r="I6516" s="213"/>
      <c r="J6516" s="213"/>
      <c r="L6516" s="272">
        <f t="shared" si="479"/>
        <v>1900</v>
      </c>
      <c r="M6516" s="272">
        <f t="shared" si="480"/>
        <v>1</v>
      </c>
      <c r="O6516" s="61">
        <f t="shared" si="481"/>
        <v>1900</v>
      </c>
      <c r="P6516" s="61">
        <f t="shared" si="482"/>
        <v>1</v>
      </c>
      <c r="R6516" s="272"/>
      <c r="S6516" s="272"/>
    </row>
    <row r="6517" spans="9:19">
      <c r="I6517" s="213"/>
      <c r="J6517" s="213"/>
      <c r="L6517" s="272">
        <f t="shared" si="479"/>
        <v>1900</v>
      </c>
      <c r="M6517" s="272">
        <f t="shared" si="480"/>
        <v>1</v>
      </c>
      <c r="O6517" s="61">
        <f t="shared" si="481"/>
        <v>1900</v>
      </c>
      <c r="P6517" s="61">
        <f t="shared" si="482"/>
        <v>1</v>
      </c>
      <c r="R6517" s="272"/>
      <c r="S6517" s="272"/>
    </row>
    <row r="6518" spans="9:19">
      <c r="I6518" s="213"/>
      <c r="J6518" s="213"/>
      <c r="L6518" s="272">
        <f t="shared" si="479"/>
        <v>1900</v>
      </c>
      <c r="M6518" s="272">
        <f t="shared" si="480"/>
        <v>1</v>
      </c>
      <c r="O6518" s="61">
        <f t="shared" si="481"/>
        <v>1900</v>
      </c>
      <c r="P6518" s="61">
        <f t="shared" si="482"/>
        <v>1</v>
      </c>
      <c r="R6518" s="272"/>
      <c r="S6518" s="272"/>
    </row>
    <row r="6519" spans="9:19">
      <c r="I6519" s="213"/>
      <c r="J6519" s="213"/>
      <c r="L6519" s="272">
        <f t="shared" si="479"/>
        <v>1900</v>
      </c>
      <c r="M6519" s="272">
        <f t="shared" si="480"/>
        <v>1</v>
      </c>
      <c r="O6519" s="61">
        <f t="shared" si="481"/>
        <v>1900</v>
      </c>
      <c r="P6519" s="61">
        <f t="shared" si="482"/>
        <v>1</v>
      </c>
      <c r="R6519" s="272"/>
      <c r="S6519" s="272"/>
    </row>
    <row r="6520" spans="9:19">
      <c r="I6520" s="213"/>
      <c r="J6520" s="213"/>
      <c r="L6520" s="272">
        <f t="shared" si="479"/>
        <v>1900</v>
      </c>
      <c r="M6520" s="272">
        <f t="shared" si="480"/>
        <v>1</v>
      </c>
      <c r="O6520" s="61">
        <f t="shared" si="481"/>
        <v>1900</v>
      </c>
      <c r="P6520" s="61">
        <f t="shared" si="482"/>
        <v>1</v>
      </c>
      <c r="R6520" s="272"/>
      <c r="S6520" s="272"/>
    </row>
    <row r="6521" spans="9:19">
      <c r="I6521" s="213"/>
      <c r="J6521" s="213"/>
      <c r="L6521" s="272">
        <f t="shared" si="479"/>
        <v>1900</v>
      </c>
      <c r="M6521" s="272">
        <f t="shared" si="480"/>
        <v>1</v>
      </c>
      <c r="O6521" s="61">
        <f t="shared" si="481"/>
        <v>1900</v>
      </c>
      <c r="P6521" s="61">
        <f t="shared" si="482"/>
        <v>1</v>
      </c>
      <c r="R6521" s="272"/>
      <c r="S6521" s="272"/>
    </row>
    <row r="6522" spans="9:19">
      <c r="I6522" s="213"/>
      <c r="J6522" s="213"/>
      <c r="L6522" s="272">
        <f t="shared" si="479"/>
        <v>1900</v>
      </c>
      <c r="M6522" s="272">
        <f t="shared" si="480"/>
        <v>1</v>
      </c>
      <c r="O6522" s="61">
        <f t="shared" si="481"/>
        <v>1900</v>
      </c>
      <c r="P6522" s="61">
        <f t="shared" si="482"/>
        <v>1</v>
      </c>
      <c r="R6522" s="272"/>
      <c r="S6522" s="272"/>
    </row>
    <row r="6523" spans="9:19">
      <c r="I6523" s="213"/>
      <c r="J6523" s="213"/>
      <c r="L6523" s="272">
        <f t="shared" si="479"/>
        <v>1900</v>
      </c>
      <c r="M6523" s="272">
        <f t="shared" si="480"/>
        <v>1</v>
      </c>
      <c r="O6523" s="61">
        <f t="shared" si="481"/>
        <v>1900</v>
      </c>
      <c r="P6523" s="61">
        <f t="shared" si="482"/>
        <v>1</v>
      </c>
      <c r="R6523" s="272"/>
      <c r="S6523" s="272"/>
    </row>
    <row r="6524" spans="9:19">
      <c r="I6524" s="213"/>
      <c r="J6524" s="213"/>
      <c r="L6524" s="272">
        <f t="shared" si="479"/>
        <v>1900</v>
      </c>
      <c r="M6524" s="272">
        <f t="shared" si="480"/>
        <v>1</v>
      </c>
      <c r="O6524" s="61">
        <f t="shared" si="481"/>
        <v>1900</v>
      </c>
      <c r="P6524" s="61">
        <f t="shared" si="482"/>
        <v>1</v>
      </c>
      <c r="R6524" s="272"/>
      <c r="S6524" s="272"/>
    </row>
    <row r="6525" spans="9:19">
      <c r="I6525" s="213"/>
      <c r="J6525" s="213"/>
      <c r="L6525" s="272">
        <f t="shared" si="479"/>
        <v>1900</v>
      </c>
      <c r="M6525" s="272">
        <f t="shared" si="480"/>
        <v>1</v>
      </c>
      <c r="O6525" s="61">
        <f t="shared" si="481"/>
        <v>1900</v>
      </c>
      <c r="P6525" s="61">
        <f t="shared" si="482"/>
        <v>1</v>
      </c>
      <c r="R6525" s="272"/>
      <c r="S6525" s="272"/>
    </row>
    <row r="6526" spans="9:19">
      <c r="I6526" s="213"/>
      <c r="J6526" s="213"/>
      <c r="L6526" s="272">
        <f t="shared" si="479"/>
        <v>1900</v>
      </c>
      <c r="M6526" s="272">
        <f t="shared" si="480"/>
        <v>1</v>
      </c>
      <c r="O6526" s="61">
        <f t="shared" si="481"/>
        <v>1900</v>
      </c>
      <c r="P6526" s="61">
        <f t="shared" si="482"/>
        <v>1</v>
      </c>
      <c r="R6526" s="272"/>
      <c r="S6526" s="272"/>
    </row>
    <row r="6527" spans="9:19">
      <c r="I6527" s="213"/>
      <c r="J6527" s="213"/>
      <c r="L6527" s="272">
        <f t="shared" si="479"/>
        <v>1900</v>
      </c>
      <c r="M6527" s="272">
        <f t="shared" si="480"/>
        <v>1</v>
      </c>
      <c r="O6527" s="61">
        <f t="shared" si="481"/>
        <v>1900</v>
      </c>
      <c r="P6527" s="61">
        <f t="shared" si="482"/>
        <v>1</v>
      </c>
      <c r="R6527" s="272"/>
      <c r="S6527" s="272"/>
    </row>
    <row r="6528" spans="9:19">
      <c r="I6528" s="213"/>
      <c r="J6528" s="213"/>
      <c r="L6528" s="272">
        <f t="shared" si="479"/>
        <v>1900</v>
      </c>
      <c r="M6528" s="272">
        <f t="shared" si="480"/>
        <v>1</v>
      </c>
      <c r="O6528" s="61">
        <f t="shared" si="481"/>
        <v>1900</v>
      </c>
      <c r="P6528" s="61">
        <f t="shared" si="482"/>
        <v>1</v>
      </c>
      <c r="R6528" s="272"/>
      <c r="S6528" s="272"/>
    </row>
    <row r="6529" spans="9:19">
      <c r="I6529" s="213"/>
      <c r="J6529" s="213"/>
      <c r="L6529" s="272">
        <f t="shared" si="479"/>
        <v>1900</v>
      </c>
      <c r="M6529" s="272">
        <f t="shared" si="480"/>
        <v>1</v>
      </c>
      <c r="O6529" s="61">
        <f t="shared" si="481"/>
        <v>1900</v>
      </c>
      <c r="P6529" s="61">
        <f t="shared" si="482"/>
        <v>1</v>
      </c>
      <c r="R6529" s="272"/>
      <c r="S6529" s="272"/>
    </row>
    <row r="6530" spans="9:19">
      <c r="I6530" s="213"/>
      <c r="J6530" s="213"/>
      <c r="L6530" s="272">
        <f t="shared" si="479"/>
        <v>1900</v>
      </c>
      <c r="M6530" s="272">
        <f t="shared" si="480"/>
        <v>1</v>
      </c>
      <c r="O6530" s="61">
        <f t="shared" si="481"/>
        <v>1900</v>
      </c>
      <c r="P6530" s="61">
        <f t="shared" si="482"/>
        <v>1</v>
      </c>
      <c r="R6530" s="272"/>
      <c r="S6530" s="272"/>
    </row>
    <row r="6531" spans="9:19">
      <c r="I6531" s="213"/>
      <c r="J6531" s="213"/>
      <c r="L6531" s="272">
        <f t="shared" si="479"/>
        <v>1900</v>
      </c>
      <c r="M6531" s="272">
        <f t="shared" si="480"/>
        <v>1</v>
      </c>
      <c r="O6531" s="61">
        <f t="shared" si="481"/>
        <v>1900</v>
      </c>
      <c r="P6531" s="61">
        <f t="shared" si="482"/>
        <v>1</v>
      </c>
      <c r="R6531" s="272"/>
      <c r="S6531" s="272"/>
    </row>
    <row r="6532" spans="9:19">
      <c r="I6532" s="213"/>
      <c r="J6532" s="213"/>
      <c r="L6532" s="272">
        <f t="shared" si="479"/>
        <v>1900</v>
      </c>
      <c r="M6532" s="272">
        <f t="shared" si="480"/>
        <v>1</v>
      </c>
      <c r="O6532" s="61">
        <f t="shared" si="481"/>
        <v>1900</v>
      </c>
      <c r="P6532" s="61">
        <f t="shared" si="482"/>
        <v>1</v>
      </c>
      <c r="R6532" s="272"/>
      <c r="S6532" s="272"/>
    </row>
    <row r="6533" spans="9:19">
      <c r="I6533" s="213"/>
      <c r="J6533" s="213"/>
      <c r="L6533" s="272">
        <f t="shared" si="479"/>
        <v>1900</v>
      </c>
      <c r="M6533" s="272">
        <f t="shared" si="480"/>
        <v>1</v>
      </c>
      <c r="O6533" s="61">
        <f t="shared" si="481"/>
        <v>1900</v>
      </c>
      <c r="P6533" s="61">
        <f t="shared" si="482"/>
        <v>1</v>
      </c>
      <c r="R6533" s="272"/>
      <c r="S6533" s="272"/>
    </row>
    <row r="6534" spans="9:19">
      <c r="I6534" s="213"/>
      <c r="J6534" s="213"/>
      <c r="L6534" s="272">
        <f t="shared" si="479"/>
        <v>1900</v>
      </c>
      <c r="M6534" s="272">
        <f t="shared" si="480"/>
        <v>1</v>
      </c>
      <c r="O6534" s="61">
        <f t="shared" si="481"/>
        <v>1900</v>
      </c>
      <c r="P6534" s="61">
        <f t="shared" si="482"/>
        <v>1</v>
      </c>
      <c r="R6534" s="272"/>
      <c r="S6534" s="272"/>
    </row>
    <row r="6535" spans="9:19">
      <c r="I6535" s="213"/>
      <c r="J6535" s="213"/>
      <c r="L6535" s="272">
        <f t="shared" si="479"/>
        <v>1900</v>
      </c>
      <c r="M6535" s="272">
        <f t="shared" si="480"/>
        <v>1</v>
      </c>
      <c r="O6535" s="61">
        <f t="shared" si="481"/>
        <v>1900</v>
      </c>
      <c r="P6535" s="61">
        <f t="shared" si="482"/>
        <v>1</v>
      </c>
      <c r="R6535" s="272"/>
      <c r="S6535" s="272"/>
    </row>
    <row r="6536" spans="9:19">
      <c r="I6536" s="213"/>
      <c r="J6536" s="213"/>
      <c r="L6536" s="272">
        <f t="shared" si="479"/>
        <v>1900</v>
      </c>
      <c r="M6536" s="272">
        <f t="shared" si="480"/>
        <v>1</v>
      </c>
      <c r="O6536" s="61">
        <f t="shared" si="481"/>
        <v>1900</v>
      </c>
      <c r="P6536" s="61">
        <f t="shared" si="482"/>
        <v>1</v>
      </c>
      <c r="R6536" s="272"/>
      <c r="S6536" s="272"/>
    </row>
    <row r="6537" spans="9:19">
      <c r="I6537" s="213"/>
      <c r="J6537" s="213"/>
      <c r="L6537" s="272">
        <f t="shared" si="479"/>
        <v>1900</v>
      </c>
      <c r="M6537" s="272">
        <f t="shared" si="480"/>
        <v>1</v>
      </c>
      <c r="O6537" s="61">
        <f t="shared" si="481"/>
        <v>1900</v>
      </c>
      <c r="P6537" s="61">
        <f t="shared" si="482"/>
        <v>1</v>
      </c>
      <c r="R6537" s="272"/>
      <c r="S6537" s="272"/>
    </row>
    <row r="6538" spans="9:19">
      <c r="I6538" s="213"/>
      <c r="J6538" s="213"/>
      <c r="L6538" s="272">
        <f t="shared" si="479"/>
        <v>1900</v>
      </c>
      <c r="M6538" s="272">
        <f t="shared" si="480"/>
        <v>1</v>
      </c>
      <c r="O6538" s="61">
        <f t="shared" si="481"/>
        <v>1900</v>
      </c>
      <c r="P6538" s="61">
        <f t="shared" si="482"/>
        <v>1</v>
      </c>
      <c r="R6538" s="272"/>
      <c r="S6538" s="272"/>
    </row>
    <row r="6539" spans="9:19">
      <c r="I6539" s="213"/>
      <c r="J6539" s="213"/>
      <c r="L6539" s="272">
        <f t="shared" si="479"/>
        <v>1900</v>
      </c>
      <c r="M6539" s="272">
        <f t="shared" si="480"/>
        <v>1</v>
      </c>
      <c r="O6539" s="61">
        <f t="shared" si="481"/>
        <v>1900</v>
      </c>
      <c r="P6539" s="61">
        <f t="shared" si="482"/>
        <v>1</v>
      </c>
      <c r="R6539" s="272"/>
      <c r="S6539" s="272"/>
    </row>
    <row r="6540" spans="9:19">
      <c r="I6540" s="213"/>
      <c r="J6540" s="213"/>
      <c r="L6540" s="272">
        <f t="shared" si="479"/>
        <v>1900</v>
      </c>
      <c r="M6540" s="272">
        <f t="shared" si="480"/>
        <v>1</v>
      </c>
      <c r="O6540" s="61">
        <f t="shared" si="481"/>
        <v>1900</v>
      </c>
      <c r="P6540" s="61">
        <f t="shared" si="482"/>
        <v>1</v>
      </c>
      <c r="R6540" s="272"/>
      <c r="S6540" s="272"/>
    </row>
    <row r="6541" spans="9:19">
      <c r="I6541" s="213"/>
      <c r="J6541" s="213"/>
      <c r="L6541" s="272">
        <f t="shared" si="479"/>
        <v>1900</v>
      </c>
      <c r="M6541" s="272">
        <f t="shared" si="480"/>
        <v>1</v>
      </c>
      <c r="O6541" s="61">
        <f t="shared" si="481"/>
        <v>1900</v>
      </c>
      <c r="P6541" s="61">
        <f t="shared" si="482"/>
        <v>1</v>
      </c>
      <c r="R6541" s="272"/>
      <c r="S6541" s="272"/>
    </row>
    <row r="6542" spans="9:19">
      <c r="I6542" s="213"/>
      <c r="J6542" s="213"/>
      <c r="L6542" s="272">
        <f t="shared" si="479"/>
        <v>1900</v>
      </c>
      <c r="M6542" s="272">
        <f t="shared" si="480"/>
        <v>1</v>
      </c>
      <c r="O6542" s="61">
        <f t="shared" si="481"/>
        <v>1900</v>
      </c>
      <c r="P6542" s="61">
        <f t="shared" si="482"/>
        <v>1</v>
      </c>
      <c r="R6542" s="272"/>
      <c r="S6542" s="272"/>
    </row>
    <row r="6543" spans="9:19">
      <c r="I6543" s="213"/>
      <c r="J6543" s="213"/>
      <c r="L6543" s="272">
        <f t="shared" si="479"/>
        <v>1900</v>
      </c>
      <c r="M6543" s="272">
        <f t="shared" si="480"/>
        <v>1</v>
      </c>
      <c r="O6543" s="61">
        <f t="shared" si="481"/>
        <v>1900</v>
      </c>
      <c r="P6543" s="61">
        <f t="shared" si="482"/>
        <v>1</v>
      </c>
      <c r="R6543" s="272"/>
      <c r="S6543" s="272"/>
    </row>
    <row r="6544" spans="9:19">
      <c r="I6544" s="213"/>
      <c r="J6544" s="213"/>
      <c r="L6544" s="272">
        <f t="shared" ref="L6544:L6607" si="483">YEAR(B6544)</f>
        <v>1900</v>
      </c>
      <c r="M6544" s="272">
        <f t="shared" ref="M6544:M6607" si="484">MONTH(B6544)</f>
        <v>1</v>
      </c>
      <c r="O6544" s="61">
        <f t="shared" ref="O6544:O6607" si="485">YEAR(B6544)</f>
        <v>1900</v>
      </c>
      <c r="P6544" s="61">
        <f t="shared" ref="P6544:P6607" si="486">MONTH(B6544)</f>
        <v>1</v>
      </c>
      <c r="R6544" s="272"/>
      <c r="S6544" s="272"/>
    </row>
    <row r="6545" spans="9:19">
      <c r="I6545" s="213"/>
      <c r="J6545" s="213"/>
      <c r="L6545" s="272">
        <f t="shared" si="483"/>
        <v>1900</v>
      </c>
      <c r="M6545" s="272">
        <f t="shared" si="484"/>
        <v>1</v>
      </c>
      <c r="O6545" s="61">
        <f t="shared" si="485"/>
        <v>1900</v>
      </c>
      <c r="P6545" s="61">
        <f t="shared" si="486"/>
        <v>1</v>
      </c>
      <c r="R6545" s="272"/>
      <c r="S6545" s="272"/>
    </row>
    <row r="6546" spans="9:19">
      <c r="I6546" s="213"/>
      <c r="J6546" s="213"/>
      <c r="L6546" s="272">
        <f t="shared" si="483"/>
        <v>1900</v>
      </c>
      <c r="M6546" s="272">
        <f t="shared" si="484"/>
        <v>1</v>
      </c>
      <c r="O6546" s="61">
        <f t="shared" si="485"/>
        <v>1900</v>
      </c>
      <c r="P6546" s="61">
        <f t="shared" si="486"/>
        <v>1</v>
      </c>
      <c r="R6546" s="272"/>
      <c r="S6546" s="272"/>
    </row>
    <row r="6547" spans="9:19">
      <c r="I6547" s="213"/>
      <c r="J6547" s="213"/>
      <c r="L6547" s="272">
        <f t="shared" si="483"/>
        <v>1900</v>
      </c>
      <c r="M6547" s="272">
        <f t="shared" si="484"/>
        <v>1</v>
      </c>
      <c r="O6547" s="61">
        <f t="shared" si="485"/>
        <v>1900</v>
      </c>
      <c r="P6547" s="61">
        <f t="shared" si="486"/>
        <v>1</v>
      </c>
      <c r="R6547" s="272"/>
      <c r="S6547" s="272"/>
    </row>
    <row r="6548" spans="9:19">
      <c r="I6548" s="213"/>
      <c r="J6548" s="213"/>
      <c r="L6548" s="272">
        <f t="shared" si="483"/>
        <v>1900</v>
      </c>
      <c r="M6548" s="272">
        <f t="shared" si="484"/>
        <v>1</v>
      </c>
      <c r="O6548" s="61">
        <f t="shared" si="485"/>
        <v>1900</v>
      </c>
      <c r="P6548" s="61">
        <f t="shared" si="486"/>
        <v>1</v>
      </c>
      <c r="R6548" s="272"/>
      <c r="S6548" s="272"/>
    </row>
    <row r="6549" spans="9:19">
      <c r="I6549" s="213"/>
      <c r="J6549" s="213"/>
      <c r="L6549" s="272">
        <f t="shared" si="483"/>
        <v>1900</v>
      </c>
      <c r="M6549" s="272">
        <f t="shared" si="484"/>
        <v>1</v>
      </c>
      <c r="O6549" s="61">
        <f t="shared" si="485"/>
        <v>1900</v>
      </c>
      <c r="P6549" s="61">
        <f t="shared" si="486"/>
        <v>1</v>
      </c>
      <c r="R6549" s="272"/>
      <c r="S6549" s="272"/>
    </row>
    <row r="6550" spans="9:19">
      <c r="I6550" s="213"/>
      <c r="J6550" s="213"/>
      <c r="L6550" s="272">
        <f t="shared" si="483"/>
        <v>1900</v>
      </c>
      <c r="M6550" s="272">
        <f t="shared" si="484"/>
        <v>1</v>
      </c>
      <c r="O6550" s="61">
        <f t="shared" si="485"/>
        <v>1900</v>
      </c>
      <c r="P6550" s="61">
        <f t="shared" si="486"/>
        <v>1</v>
      </c>
      <c r="R6550" s="272"/>
      <c r="S6550" s="272"/>
    </row>
    <row r="6551" spans="9:19">
      <c r="I6551" s="213"/>
      <c r="J6551" s="213"/>
      <c r="L6551" s="272">
        <f t="shared" si="483"/>
        <v>1900</v>
      </c>
      <c r="M6551" s="272">
        <f t="shared" si="484"/>
        <v>1</v>
      </c>
      <c r="O6551" s="61">
        <f t="shared" si="485"/>
        <v>1900</v>
      </c>
      <c r="P6551" s="61">
        <f t="shared" si="486"/>
        <v>1</v>
      </c>
      <c r="R6551" s="272"/>
      <c r="S6551" s="272"/>
    </row>
    <row r="6552" spans="9:19">
      <c r="I6552" s="213"/>
      <c r="J6552" s="213"/>
      <c r="L6552" s="272">
        <f t="shared" si="483"/>
        <v>1900</v>
      </c>
      <c r="M6552" s="272">
        <f t="shared" si="484"/>
        <v>1</v>
      </c>
      <c r="O6552" s="61">
        <f t="shared" si="485"/>
        <v>1900</v>
      </c>
      <c r="P6552" s="61">
        <f t="shared" si="486"/>
        <v>1</v>
      </c>
      <c r="R6552" s="272"/>
      <c r="S6552" s="272"/>
    </row>
    <row r="6553" spans="9:19">
      <c r="I6553" s="213"/>
      <c r="J6553" s="213"/>
      <c r="L6553" s="272">
        <f t="shared" si="483"/>
        <v>1900</v>
      </c>
      <c r="M6553" s="272">
        <f t="shared" si="484"/>
        <v>1</v>
      </c>
      <c r="O6553" s="61">
        <f t="shared" si="485"/>
        <v>1900</v>
      </c>
      <c r="P6553" s="61">
        <f t="shared" si="486"/>
        <v>1</v>
      </c>
      <c r="R6553" s="272"/>
      <c r="S6553" s="272"/>
    </row>
    <row r="6554" spans="9:19">
      <c r="I6554" s="213"/>
      <c r="J6554" s="213"/>
      <c r="L6554" s="272">
        <f t="shared" si="483"/>
        <v>1900</v>
      </c>
      <c r="M6554" s="272">
        <f t="shared" si="484"/>
        <v>1</v>
      </c>
      <c r="O6554" s="61">
        <f t="shared" si="485"/>
        <v>1900</v>
      </c>
      <c r="P6554" s="61">
        <f t="shared" si="486"/>
        <v>1</v>
      </c>
      <c r="R6554" s="272"/>
      <c r="S6554" s="272"/>
    </row>
    <row r="6555" spans="9:19">
      <c r="I6555" s="213"/>
      <c r="J6555" s="213"/>
      <c r="L6555" s="272">
        <f t="shared" si="483"/>
        <v>1900</v>
      </c>
      <c r="M6555" s="272">
        <f t="shared" si="484"/>
        <v>1</v>
      </c>
      <c r="O6555" s="61">
        <f t="shared" si="485"/>
        <v>1900</v>
      </c>
      <c r="P6555" s="61">
        <f t="shared" si="486"/>
        <v>1</v>
      </c>
      <c r="R6555" s="272"/>
      <c r="S6555" s="272"/>
    </row>
    <row r="6556" spans="9:19">
      <c r="I6556" s="213"/>
      <c r="J6556" s="213"/>
      <c r="L6556" s="272">
        <f t="shared" si="483"/>
        <v>1900</v>
      </c>
      <c r="M6556" s="272">
        <f t="shared" si="484"/>
        <v>1</v>
      </c>
      <c r="O6556" s="61">
        <f t="shared" si="485"/>
        <v>1900</v>
      </c>
      <c r="P6556" s="61">
        <f t="shared" si="486"/>
        <v>1</v>
      </c>
      <c r="R6556" s="272"/>
      <c r="S6556" s="272"/>
    </row>
    <row r="6557" spans="9:19">
      <c r="I6557" s="213"/>
      <c r="J6557" s="213"/>
      <c r="L6557" s="272">
        <f t="shared" si="483"/>
        <v>1900</v>
      </c>
      <c r="M6557" s="272">
        <f t="shared" si="484"/>
        <v>1</v>
      </c>
      <c r="O6557" s="61">
        <f t="shared" si="485"/>
        <v>1900</v>
      </c>
      <c r="P6557" s="61">
        <f t="shared" si="486"/>
        <v>1</v>
      </c>
      <c r="R6557" s="272"/>
      <c r="S6557" s="272"/>
    </row>
    <row r="6558" spans="9:19">
      <c r="I6558" s="213"/>
      <c r="J6558" s="213"/>
      <c r="L6558" s="272">
        <f t="shared" si="483"/>
        <v>1900</v>
      </c>
      <c r="M6558" s="272">
        <f t="shared" si="484"/>
        <v>1</v>
      </c>
      <c r="O6558" s="61">
        <f t="shared" si="485"/>
        <v>1900</v>
      </c>
      <c r="P6558" s="61">
        <f t="shared" si="486"/>
        <v>1</v>
      </c>
      <c r="R6558" s="272"/>
      <c r="S6558" s="272"/>
    </row>
    <row r="6559" spans="9:19">
      <c r="I6559" s="213"/>
      <c r="J6559" s="213"/>
      <c r="L6559" s="272">
        <f t="shared" si="483"/>
        <v>1900</v>
      </c>
      <c r="M6559" s="272">
        <f t="shared" si="484"/>
        <v>1</v>
      </c>
      <c r="O6559" s="61">
        <f t="shared" si="485"/>
        <v>1900</v>
      </c>
      <c r="P6559" s="61">
        <f t="shared" si="486"/>
        <v>1</v>
      </c>
      <c r="R6559" s="272"/>
      <c r="S6559" s="272"/>
    </row>
    <row r="6560" spans="9:19">
      <c r="I6560" s="213"/>
      <c r="J6560" s="213"/>
      <c r="L6560" s="272">
        <f t="shared" si="483"/>
        <v>1900</v>
      </c>
      <c r="M6560" s="272">
        <f t="shared" si="484"/>
        <v>1</v>
      </c>
      <c r="O6560" s="61">
        <f t="shared" si="485"/>
        <v>1900</v>
      </c>
      <c r="P6560" s="61">
        <f t="shared" si="486"/>
        <v>1</v>
      </c>
      <c r="R6560" s="272"/>
      <c r="S6560" s="272"/>
    </row>
    <row r="6561" spans="9:19">
      <c r="I6561" s="213"/>
      <c r="J6561" s="213"/>
      <c r="L6561" s="272">
        <f t="shared" si="483"/>
        <v>1900</v>
      </c>
      <c r="M6561" s="272">
        <f t="shared" si="484"/>
        <v>1</v>
      </c>
      <c r="O6561" s="61">
        <f t="shared" si="485"/>
        <v>1900</v>
      </c>
      <c r="P6561" s="61">
        <f t="shared" si="486"/>
        <v>1</v>
      </c>
      <c r="R6561" s="272"/>
      <c r="S6561" s="272"/>
    </row>
    <row r="6562" spans="9:19">
      <c r="I6562" s="213"/>
      <c r="J6562" s="213"/>
      <c r="L6562" s="272">
        <f t="shared" si="483"/>
        <v>1900</v>
      </c>
      <c r="M6562" s="272">
        <f t="shared" si="484"/>
        <v>1</v>
      </c>
      <c r="O6562" s="61">
        <f t="shared" si="485"/>
        <v>1900</v>
      </c>
      <c r="P6562" s="61">
        <f t="shared" si="486"/>
        <v>1</v>
      </c>
      <c r="R6562" s="272"/>
      <c r="S6562" s="272"/>
    </row>
    <row r="6563" spans="9:19">
      <c r="I6563" s="213"/>
      <c r="J6563" s="213"/>
      <c r="L6563" s="272">
        <f t="shared" si="483"/>
        <v>1900</v>
      </c>
      <c r="M6563" s="272">
        <f t="shared" si="484"/>
        <v>1</v>
      </c>
      <c r="O6563" s="61">
        <f t="shared" si="485"/>
        <v>1900</v>
      </c>
      <c r="P6563" s="61">
        <f t="shared" si="486"/>
        <v>1</v>
      </c>
      <c r="R6563" s="272"/>
      <c r="S6563" s="272"/>
    </row>
    <row r="6564" spans="9:19">
      <c r="I6564" s="213"/>
      <c r="J6564" s="213"/>
      <c r="L6564" s="272">
        <f t="shared" si="483"/>
        <v>1900</v>
      </c>
      <c r="M6564" s="272">
        <f t="shared" si="484"/>
        <v>1</v>
      </c>
      <c r="O6564" s="61">
        <f t="shared" si="485"/>
        <v>1900</v>
      </c>
      <c r="P6564" s="61">
        <f t="shared" si="486"/>
        <v>1</v>
      </c>
      <c r="R6564" s="272"/>
      <c r="S6564" s="272"/>
    </row>
    <row r="6565" spans="9:19">
      <c r="I6565" s="213"/>
      <c r="J6565" s="213"/>
      <c r="L6565" s="272">
        <f t="shared" si="483"/>
        <v>1900</v>
      </c>
      <c r="M6565" s="272">
        <f t="shared" si="484"/>
        <v>1</v>
      </c>
      <c r="O6565" s="61">
        <f t="shared" si="485"/>
        <v>1900</v>
      </c>
      <c r="P6565" s="61">
        <f t="shared" si="486"/>
        <v>1</v>
      </c>
      <c r="R6565" s="272"/>
      <c r="S6565" s="272"/>
    </row>
    <row r="6566" spans="9:19">
      <c r="I6566" s="213"/>
      <c r="J6566" s="213"/>
      <c r="L6566" s="272">
        <f t="shared" si="483"/>
        <v>1900</v>
      </c>
      <c r="M6566" s="272">
        <f t="shared" si="484"/>
        <v>1</v>
      </c>
      <c r="O6566" s="61">
        <f t="shared" si="485"/>
        <v>1900</v>
      </c>
      <c r="P6566" s="61">
        <f t="shared" si="486"/>
        <v>1</v>
      </c>
      <c r="R6566" s="272"/>
      <c r="S6566" s="272"/>
    </row>
    <row r="6567" spans="9:19">
      <c r="I6567" s="213"/>
      <c r="J6567" s="213"/>
      <c r="L6567" s="272">
        <f t="shared" si="483"/>
        <v>1900</v>
      </c>
      <c r="M6567" s="272">
        <f t="shared" si="484"/>
        <v>1</v>
      </c>
      <c r="O6567" s="61">
        <f t="shared" si="485"/>
        <v>1900</v>
      </c>
      <c r="P6567" s="61">
        <f t="shared" si="486"/>
        <v>1</v>
      </c>
      <c r="R6567" s="272"/>
      <c r="S6567" s="272"/>
    </row>
    <row r="6568" spans="9:19">
      <c r="I6568" s="213"/>
      <c r="J6568" s="213"/>
      <c r="L6568" s="272">
        <f t="shared" si="483"/>
        <v>1900</v>
      </c>
      <c r="M6568" s="272">
        <f t="shared" si="484"/>
        <v>1</v>
      </c>
      <c r="O6568" s="61">
        <f t="shared" si="485"/>
        <v>1900</v>
      </c>
      <c r="P6568" s="61">
        <f t="shared" si="486"/>
        <v>1</v>
      </c>
      <c r="R6568" s="272"/>
      <c r="S6568" s="272"/>
    </row>
    <row r="6569" spans="9:19">
      <c r="I6569" s="213"/>
      <c r="J6569" s="213"/>
      <c r="L6569" s="272">
        <f t="shared" si="483"/>
        <v>1900</v>
      </c>
      <c r="M6569" s="272">
        <f t="shared" si="484"/>
        <v>1</v>
      </c>
      <c r="O6569" s="61">
        <f t="shared" si="485"/>
        <v>1900</v>
      </c>
      <c r="P6569" s="61">
        <f t="shared" si="486"/>
        <v>1</v>
      </c>
      <c r="R6569" s="272"/>
      <c r="S6569" s="272"/>
    </row>
    <row r="6570" spans="9:19">
      <c r="I6570" s="213"/>
      <c r="J6570" s="213"/>
      <c r="L6570" s="272">
        <f t="shared" si="483"/>
        <v>1900</v>
      </c>
      <c r="M6570" s="272">
        <f t="shared" si="484"/>
        <v>1</v>
      </c>
      <c r="O6570" s="61">
        <f t="shared" si="485"/>
        <v>1900</v>
      </c>
      <c r="P6570" s="61">
        <f t="shared" si="486"/>
        <v>1</v>
      </c>
      <c r="R6570" s="272"/>
      <c r="S6570" s="272"/>
    </row>
    <row r="6571" spans="9:19">
      <c r="I6571" s="213"/>
      <c r="J6571" s="213"/>
      <c r="L6571" s="272">
        <f t="shared" si="483"/>
        <v>1900</v>
      </c>
      <c r="M6571" s="272">
        <f t="shared" si="484"/>
        <v>1</v>
      </c>
      <c r="O6571" s="61">
        <f t="shared" si="485"/>
        <v>1900</v>
      </c>
      <c r="P6571" s="61">
        <f t="shared" si="486"/>
        <v>1</v>
      </c>
      <c r="R6571" s="272"/>
      <c r="S6571" s="272"/>
    </row>
    <row r="6572" spans="9:19">
      <c r="I6572" s="213"/>
      <c r="J6572" s="213"/>
      <c r="L6572" s="272">
        <f t="shared" si="483"/>
        <v>1900</v>
      </c>
      <c r="M6572" s="272">
        <f t="shared" si="484"/>
        <v>1</v>
      </c>
      <c r="O6572" s="61">
        <f t="shared" si="485"/>
        <v>1900</v>
      </c>
      <c r="P6572" s="61">
        <f t="shared" si="486"/>
        <v>1</v>
      </c>
      <c r="R6572" s="272"/>
      <c r="S6572" s="272"/>
    </row>
    <row r="6573" spans="9:19">
      <c r="I6573" s="213"/>
      <c r="J6573" s="213"/>
      <c r="L6573" s="272">
        <f t="shared" si="483"/>
        <v>1900</v>
      </c>
      <c r="M6573" s="272">
        <f t="shared" si="484"/>
        <v>1</v>
      </c>
      <c r="O6573" s="61">
        <f t="shared" si="485"/>
        <v>1900</v>
      </c>
      <c r="P6573" s="61">
        <f t="shared" si="486"/>
        <v>1</v>
      </c>
      <c r="R6573" s="272"/>
      <c r="S6573" s="272"/>
    </row>
    <row r="6574" spans="9:19">
      <c r="I6574" s="213"/>
      <c r="J6574" s="213"/>
      <c r="L6574" s="272">
        <f t="shared" si="483"/>
        <v>1900</v>
      </c>
      <c r="M6574" s="272">
        <f t="shared" si="484"/>
        <v>1</v>
      </c>
      <c r="O6574" s="61">
        <f t="shared" si="485"/>
        <v>1900</v>
      </c>
      <c r="P6574" s="61">
        <f t="shared" si="486"/>
        <v>1</v>
      </c>
      <c r="R6574" s="272"/>
      <c r="S6574" s="272"/>
    </row>
    <row r="6575" spans="9:19">
      <c r="I6575" s="213"/>
      <c r="J6575" s="213"/>
      <c r="L6575" s="272">
        <f t="shared" si="483"/>
        <v>1900</v>
      </c>
      <c r="M6575" s="272">
        <f t="shared" si="484"/>
        <v>1</v>
      </c>
      <c r="O6575" s="61">
        <f t="shared" si="485"/>
        <v>1900</v>
      </c>
      <c r="P6575" s="61">
        <f t="shared" si="486"/>
        <v>1</v>
      </c>
      <c r="R6575" s="272"/>
      <c r="S6575" s="272"/>
    </row>
    <row r="6576" spans="9:19">
      <c r="I6576" s="213"/>
      <c r="J6576" s="213"/>
      <c r="L6576" s="272">
        <f t="shared" si="483"/>
        <v>1900</v>
      </c>
      <c r="M6576" s="272">
        <f t="shared" si="484"/>
        <v>1</v>
      </c>
      <c r="O6576" s="61">
        <f t="shared" si="485"/>
        <v>1900</v>
      </c>
      <c r="P6576" s="61">
        <f t="shared" si="486"/>
        <v>1</v>
      </c>
      <c r="R6576" s="272"/>
      <c r="S6576" s="272"/>
    </row>
    <row r="6577" spans="9:19">
      <c r="I6577" s="213"/>
      <c r="J6577" s="213"/>
      <c r="L6577" s="272">
        <f t="shared" si="483"/>
        <v>1900</v>
      </c>
      <c r="M6577" s="272">
        <f t="shared" si="484"/>
        <v>1</v>
      </c>
      <c r="O6577" s="61">
        <f t="shared" si="485"/>
        <v>1900</v>
      </c>
      <c r="P6577" s="61">
        <f t="shared" si="486"/>
        <v>1</v>
      </c>
      <c r="R6577" s="272"/>
      <c r="S6577" s="272"/>
    </row>
    <row r="6578" spans="9:19">
      <c r="I6578" s="213"/>
      <c r="J6578" s="213"/>
      <c r="L6578" s="272">
        <f t="shared" si="483"/>
        <v>1900</v>
      </c>
      <c r="M6578" s="272">
        <f t="shared" si="484"/>
        <v>1</v>
      </c>
      <c r="O6578" s="61">
        <f t="shared" si="485"/>
        <v>1900</v>
      </c>
      <c r="P6578" s="61">
        <f t="shared" si="486"/>
        <v>1</v>
      </c>
      <c r="R6578" s="272"/>
      <c r="S6578" s="272"/>
    </row>
    <row r="6579" spans="9:19">
      <c r="I6579" s="213"/>
      <c r="J6579" s="213"/>
      <c r="L6579" s="272">
        <f t="shared" si="483"/>
        <v>1900</v>
      </c>
      <c r="M6579" s="272">
        <f t="shared" si="484"/>
        <v>1</v>
      </c>
      <c r="O6579" s="61">
        <f t="shared" si="485"/>
        <v>1900</v>
      </c>
      <c r="P6579" s="61">
        <f t="shared" si="486"/>
        <v>1</v>
      </c>
      <c r="R6579" s="272"/>
      <c r="S6579" s="272"/>
    </row>
    <row r="6580" spans="9:19">
      <c r="I6580" s="213"/>
      <c r="J6580" s="213"/>
      <c r="L6580" s="272">
        <f t="shared" si="483"/>
        <v>1900</v>
      </c>
      <c r="M6580" s="272">
        <f t="shared" si="484"/>
        <v>1</v>
      </c>
      <c r="O6580" s="61">
        <f t="shared" si="485"/>
        <v>1900</v>
      </c>
      <c r="P6580" s="61">
        <f t="shared" si="486"/>
        <v>1</v>
      </c>
      <c r="R6580" s="272"/>
      <c r="S6580" s="272"/>
    </row>
    <row r="6581" spans="9:19">
      <c r="I6581" s="213"/>
      <c r="J6581" s="213"/>
      <c r="L6581" s="272">
        <f t="shared" si="483"/>
        <v>1900</v>
      </c>
      <c r="M6581" s="272">
        <f t="shared" si="484"/>
        <v>1</v>
      </c>
      <c r="O6581" s="61">
        <f t="shared" si="485"/>
        <v>1900</v>
      </c>
      <c r="P6581" s="61">
        <f t="shared" si="486"/>
        <v>1</v>
      </c>
      <c r="R6581" s="272"/>
      <c r="S6581" s="272"/>
    </row>
    <row r="6582" spans="9:19">
      <c r="I6582" s="213"/>
      <c r="J6582" s="213"/>
      <c r="L6582" s="272">
        <f t="shared" si="483"/>
        <v>1900</v>
      </c>
      <c r="M6582" s="272">
        <f t="shared" si="484"/>
        <v>1</v>
      </c>
      <c r="O6582" s="61">
        <f t="shared" si="485"/>
        <v>1900</v>
      </c>
      <c r="P6582" s="61">
        <f t="shared" si="486"/>
        <v>1</v>
      </c>
      <c r="R6582" s="272"/>
      <c r="S6582" s="272"/>
    </row>
    <row r="6583" spans="9:19">
      <c r="I6583" s="213"/>
      <c r="J6583" s="213"/>
      <c r="L6583" s="272">
        <f t="shared" si="483"/>
        <v>1900</v>
      </c>
      <c r="M6583" s="272">
        <f t="shared" si="484"/>
        <v>1</v>
      </c>
      <c r="O6583" s="61">
        <f t="shared" si="485"/>
        <v>1900</v>
      </c>
      <c r="P6583" s="61">
        <f t="shared" si="486"/>
        <v>1</v>
      </c>
      <c r="R6583" s="272"/>
      <c r="S6583" s="272"/>
    </row>
    <row r="6584" spans="9:19">
      <c r="I6584" s="213"/>
      <c r="J6584" s="213"/>
      <c r="L6584" s="272">
        <f t="shared" si="483"/>
        <v>1900</v>
      </c>
      <c r="M6584" s="272">
        <f t="shared" si="484"/>
        <v>1</v>
      </c>
      <c r="O6584" s="61">
        <f t="shared" si="485"/>
        <v>1900</v>
      </c>
      <c r="P6584" s="61">
        <f t="shared" si="486"/>
        <v>1</v>
      </c>
      <c r="R6584" s="272"/>
      <c r="S6584" s="272"/>
    </row>
    <row r="6585" spans="9:19">
      <c r="I6585" s="213"/>
      <c r="J6585" s="213"/>
      <c r="L6585" s="272">
        <f t="shared" si="483"/>
        <v>1900</v>
      </c>
      <c r="M6585" s="272">
        <f t="shared" si="484"/>
        <v>1</v>
      </c>
      <c r="O6585" s="61">
        <f t="shared" si="485"/>
        <v>1900</v>
      </c>
      <c r="P6585" s="61">
        <f t="shared" si="486"/>
        <v>1</v>
      </c>
      <c r="R6585" s="272"/>
      <c r="S6585" s="272"/>
    </row>
    <row r="6586" spans="9:19">
      <c r="I6586" s="213"/>
      <c r="J6586" s="213"/>
      <c r="L6586" s="272">
        <f t="shared" si="483"/>
        <v>1900</v>
      </c>
      <c r="M6586" s="272">
        <f t="shared" si="484"/>
        <v>1</v>
      </c>
      <c r="O6586" s="61">
        <f t="shared" si="485"/>
        <v>1900</v>
      </c>
      <c r="P6586" s="61">
        <f t="shared" si="486"/>
        <v>1</v>
      </c>
      <c r="R6586" s="272"/>
      <c r="S6586" s="272"/>
    </row>
    <row r="6587" spans="9:19">
      <c r="I6587" s="213"/>
      <c r="J6587" s="213"/>
      <c r="L6587" s="272">
        <f t="shared" si="483"/>
        <v>1900</v>
      </c>
      <c r="M6587" s="272">
        <f t="shared" si="484"/>
        <v>1</v>
      </c>
      <c r="O6587" s="61">
        <f t="shared" si="485"/>
        <v>1900</v>
      </c>
      <c r="P6587" s="61">
        <f t="shared" si="486"/>
        <v>1</v>
      </c>
      <c r="R6587" s="272"/>
      <c r="S6587" s="272"/>
    </row>
    <row r="6588" spans="9:19">
      <c r="I6588" s="213"/>
      <c r="J6588" s="213"/>
      <c r="L6588" s="272">
        <f t="shared" si="483"/>
        <v>1900</v>
      </c>
      <c r="M6588" s="272">
        <f t="shared" si="484"/>
        <v>1</v>
      </c>
      <c r="O6588" s="61">
        <f t="shared" si="485"/>
        <v>1900</v>
      </c>
      <c r="P6588" s="61">
        <f t="shared" si="486"/>
        <v>1</v>
      </c>
      <c r="R6588" s="272"/>
      <c r="S6588" s="272"/>
    </row>
    <row r="6589" spans="9:19">
      <c r="I6589" s="213"/>
      <c r="J6589" s="213"/>
      <c r="L6589" s="272">
        <f t="shared" si="483"/>
        <v>1900</v>
      </c>
      <c r="M6589" s="272">
        <f t="shared" si="484"/>
        <v>1</v>
      </c>
      <c r="O6589" s="61">
        <f t="shared" si="485"/>
        <v>1900</v>
      </c>
      <c r="P6589" s="61">
        <f t="shared" si="486"/>
        <v>1</v>
      </c>
      <c r="R6589" s="272"/>
      <c r="S6589" s="272"/>
    </row>
    <row r="6590" spans="9:19">
      <c r="I6590" s="213"/>
      <c r="J6590" s="213"/>
      <c r="L6590" s="272">
        <f t="shared" si="483"/>
        <v>1900</v>
      </c>
      <c r="M6590" s="272">
        <f t="shared" si="484"/>
        <v>1</v>
      </c>
      <c r="O6590" s="61">
        <f t="shared" si="485"/>
        <v>1900</v>
      </c>
      <c r="P6590" s="61">
        <f t="shared" si="486"/>
        <v>1</v>
      </c>
      <c r="R6590" s="272"/>
      <c r="S6590" s="272"/>
    </row>
    <row r="6591" spans="9:19">
      <c r="I6591" s="213"/>
      <c r="J6591" s="213"/>
      <c r="L6591" s="272">
        <f t="shared" si="483"/>
        <v>1900</v>
      </c>
      <c r="M6591" s="272">
        <f t="shared" si="484"/>
        <v>1</v>
      </c>
      <c r="O6591" s="61">
        <f t="shared" si="485"/>
        <v>1900</v>
      </c>
      <c r="P6591" s="61">
        <f t="shared" si="486"/>
        <v>1</v>
      </c>
      <c r="R6591" s="272"/>
      <c r="S6591" s="272"/>
    </row>
    <row r="6592" spans="9:19">
      <c r="I6592" s="213"/>
      <c r="J6592" s="213"/>
      <c r="L6592" s="272">
        <f t="shared" si="483"/>
        <v>1900</v>
      </c>
      <c r="M6592" s="272">
        <f t="shared" si="484"/>
        <v>1</v>
      </c>
      <c r="O6592" s="61">
        <f t="shared" si="485"/>
        <v>1900</v>
      </c>
      <c r="P6592" s="61">
        <f t="shared" si="486"/>
        <v>1</v>
      </c>
      <c r="R6592" s="272"/>
      <c r="S6592" s="272"/>
    </row>
    <row r="6593" spans="9:19">
      <c r="I6593" s="213"/>
      <c r="J6593" s="213"/>
      <c r="L6593" s="272">
        <f t="shared" si="483"/>
        <v>1900</v>
      </c>
      <c r="M6593" s="272">
        <f t="shared" si="484"/>
        <v>1</v>
      </c>
      <c r="O6593" s="61">
        <f t="shared" si="485"/>
        <v>1900</v>
      </c>
      <c r="P6593" s="61">
        <f t="shared" si="486"/>
        <v>1</v>
      </c>
      <c r="R6593" s="272"/>
      <c r="S6593" s="272"/>
    </row>
    <row r="6594" spans="9:19">
      <c r="I6594" s="213"/>
      <c r="J6594" s="213"/>
      <c r="L6594" s="272">
        <f t="shared" si="483"/>
        <v>1900</v>
      </c>
      <c r="M6594" s="272">
        <f t="shared" si="484"/>
        <v>1</v>
      </c>
      <c r="O6594" s="61">
        <f t="shared" si="485"/>
        <v>1900</v>
      </c>
      <c r="P6594" s="61">
        <f t="shared" si="486"/>
        <v>1</v>
      </c>
      <c r="R6594" s="272"/>
      <c r="S6594" s="272"/>
    </row>
    <row r="6595" spans="9:19">
      <c r="I6595" s="213"/>
      <c r="J6595" s="213"/>
      <c r="L6595" s="272">
        <f t="shared" si="483"/>
        <v>1900</v>
      </c>
      <c r="M6595" s="272">
        <f t="shared" si="484"/>
        <v>1</v>
      </c>
      <c r="O6595" s="61">
        <f t="shared" si="485"/>
        <v>1900</v>
      </c>
      <c r="P6595" s="61">
        <f t="shared" si="486"/>
        <v>1</v>
      </c>
      <c r="R6595" s="272"/>
      <c r="S6595" s="272"/>
    </row>
    <row r="6596" spans="9:19">
      <c r="I6596" s="213"/>
      <c r="J6596" s="213"/>
      <c r="L6596" s="272">
        <f t="shared" si="483"/>
        <v>1900</v>
      </c>
      <c r="M6596" s="272">
        <f t="shared" si="484"/>
        <v>1</v>
      </c>
      <c r="O6596" s="61">
        <f t="shared" si="485"/>
        <v>1900</v>
      </c>
      <c r="P6596" s="61">
        <f t="shared" si="486"/>
        <v>1</v>
      </c>
      <c r="R6596" s="272"/>
      <c r="S6596" s="272"/>
    </row>
    <row r="6597" spans="9:19">
      <c r="I6597" s="213"/>
      <c r="J6597" s="213"/>
      <c r="L6597" s="272">
        <f t="shared" si="483"/>
        <v>1900</v>
      </c>
      <c r="M6597" s="272">
        <f t="shared" si="484"/>
        <v>1</v>
      </c>
      <c r="O6597" s="61">
        <f t="shared" si="485"/>
        <v>1900</v>
      </c>
      <c r="P6597" s="61">
        <f t="shared" si="486"/>
        <v>1</v>
      </c>
      <c r="R6597" s="272"/>
      <c r="S6597" s="272"/>
    </row>
    <row r="6598" spans="9:19">
      <c r="I6598" s="213"/>
      <c r="J6598" s="213"/>
      <c r="L6598" s="272">
        <f t="shared" si="483"/>
        <v>1900</v>
      </c>
      <c r="M6598" s="272">
        <f t="shared" si="484"/>
        <v>1</v>
      </c>
      <c r="O6598" s="61">
        <f t="shared" si="485"/>
        <v>1900</v>
      </c>
      <c r="P6598" s="61">
        <f t="shared" si="486"/>
        <v>1</v>
      </c>
      <c r="R6598" s="272"/>
      <c r="S6598" s="272"/>
    </row>
    <row r="6599" spans="9:19">
      <c r="I6599" s="213"/>
      <c r="J6599" s="213"/>
      <c r="L6599" s="272">
        <f t="shared" si="483"/>
        <v>1900</v>
      </c>
      <c r="M6599" s="272">
        <f t="shared" si="484"/>
        <v>1</v>
      </c>
      <c r="O6599" s="61">
        <f t="shared" si="485"/>
        <v>1900</v>
      </c>
      <c r="P6599" s="61">
        <f t="shared" si="486"/>
        <v>1</v>
      </c>
      <c r="R6599" s="272"/>
      <c r="S6599" s="272"/>
    </row>
    <row r="6600" spans="9:19">
      <c r="I6600" s="213"/>
      <c r="J6600" s="213"/>
      <c r="L6600" s="272">
        <f t="shared" si="483"/>
        <v>1900</v>
      </c>
      <c r="M6600" s="272">
        <f t="shared" si="484"/>
        <v>1</v>
      </c>
      <c r="O6600" s="61">
        <f t="shared" si="485"/>
        <v>1900</v>
      </c>
      <c r="P6600" s="61">
        <f t="shared" si="486"/>
        <v>1</v>
      </c>
      <c r="R6600" s="272"/>
      <c r="S6600" s="272"/>
    </row>
    <row r="6601" spans="9:19">
      <c r="I6601" s="213"/>
      <c r="J6601" s="213"/>
      <c r="L6601" s="272">
        <f t="shared" si="483"/>
        <v>1900</v>
      </c>
      <c r="M6601" s="272">
        <f t="shared" si="484"/>
        <v>1</v>
      </c>
      <c r="O6601" s="61">
        <f t="shared" si="485"/>
        <v>1900</v>
      </c>
      <c r="P6601" s="61">
        <f t="shared" si="486"/>
        <v>1</v>
      </c>
      <c r="R6601" s="272"/>
      <c r="S6601" s="272"/>
    </row>
    <row r="6602" spans="9:19">
      <c r="I6602" s="213"/>
      <c r="J6602" s="213"/>
      <c r="L6602" s="272">
        <f t="shared" si="483"/>
        <v>1900</v>
      </c>
      <c r="M6602" s="272">
        <f t="shared" si="484"/>
        <v>1</v>
      </c>
      <c r="O6602" s="61">
        <f t="shared" si="485"/>
        <v>1900</v>
      </c>
      <c r="P6602" s="61">
        <f t="shared" si="486"/>
        <v>1</v>
      </c>
      <c r="R6602" s="272"/>
      <c r="S6602" s="272"/>
    </row>
    <row r="6603" spans="9:19">
      <c r="I6603" s="213"/>
      <c r="J6603" s="213"/>
      <c r="L6603" s="272">
        <f t="shared" si="483"/>
        <v>1900</v>
      </c>
      <c r="M6603" s="272">
        <f t="shared" si="484"/>
        <v>1</v>
      </c>
      <c r="O6603" s="61">
        <f t="shared" si="485"/>
        <v>1900</v>
      </c>
      <c r="P6603" s="61">
        <f t="shared" si="486"/>
        <v>1</v>
      </c>
      <c r="R6603" s="272"/>
      <c r="S6603" s="272"/>
    </row>
    <row r="6604" spans="9:19">
      <c r="I6604" s="213"/>
      <c r="J6604" s="213"/>
      <c r="L6604" s="272">
        <f t="shared" si="483"/>
        <v>1900</v>
      </c>
      <c r="M6604" s="272">
        <f t="shared" si="484"/>
        <v>1</v>
      </c>
      <c r="O6604" s="61">
        <f t="shared" si="485"/>
        <v>1900</v>
      </c>
      <c r="P6604" s="61">
        <f t="shared" si="486"/>
        <v>1</v>
      </c>
      <c r="R6604" s="272"/>
      <c r="S6604" s="272"/>
    </row>
    <row r="6605" spans="9:19">
      <c r="I6605" s="213"/>
      <c r="J6605" s="213"/>
      <c r="L6605" s="272">
        <f t="shared" si="483"/>
        <v>1900</v>
      </c>
      <c r="M6605" s="272">
        <f t="shared" si="484"/>
        <v>1</v>
      </c>
      <c r="O6605" s="61">
        <f t="shared" si="485"/>
        <v>1900</v>
      </c>
      <c r="P6605" s="61">
        <f t="shared" si="486"/>
        <v>1</v>
      </c>
      <c r="R6605" s="272"/>
      <c r="S6605" s="272"/>
    </row>
    <row r="6606" spans="9:19">
      <c r="I6606" s="213"/>
      <c r="J6606" s="213"/>
      <c r="L6606" s="272">
        <f t="shared" si="483"/>
        <v>1900</v>
      </c>
      <c r="M6606" s="272">
        <f t="shared" si="484"/>
        <v>1</v>
      </c>
      <c r="O6606" s="61">
        <f t="shared" si="485"/>
        <v>1900</v>
      </c>
      <c r="P6606" s="61">
        <f t="shared" si="486"/>
        <v>1</v>
      </c>
      <c r="R6606" s="272"/>
      <c r="S6606" s="272"/>
    </row>
    <row r="6607" spans="9:19">
      <c r="I6607" s="213"/>
      <c r="J6607" s="213"/>
      <c r="L6607" s="272">
        <f t="shared" si="483"/>
        <v>1900</v>
      </c>
      <c r="M6607" s="272">
        <f t="shared" si="484"/>
        <v>1</v>
      </c>
      <c r="O6607" s="61">
        <f t="shared" si="485"/>
        <v>1900</v>
      </c>
      <c r="P6607" s="61">
        <f t="shared" si="486"/>
        <v>1</v>
      </c>
      <c r="R6607" s="272"/>
      <c r="S6607" s="272"/>
    </row>
    <row r="6608" spans="9:19">
      <c r="I6608" s="213"/>
      <c r="J6608" s="213"/>
      <c r="L6608" s="272">
        <f t="shared" ref="L6608:L6671" si="487">YEAR(B6608)</f>
        <v>1900</v>
      </c>
      <c r="M6608" s="272">
        <f t="shared" ref="M6608:M6671" si="488">MONTH(B6608)</f>
        <v>1</v>
      </c>
      <c r="O6608" s="61">
        <f t="shared" ref="O6608:O6671" si="489">YEAR(B6608)</f>
        <v>1900</v>
      </c>
      <c r="P6608" s="61">
        <f t="shared" ref="P6608:P6671" si="490">MONTH(B6608)</f>
        <v>1</v>
      </c>
      <c r="R6608" s="272"/>
      <c r="S6608" s="272"/>
    </row>
    <row r="6609" spans="9:19">
      <c r="I6609" s="213"/>
      <c r="J6609" s="213"/>
      <c r="L6609" s="272">
        <f t="shared" si="487"/>
        <v>1900</v>
      </c>
      <c r="M6609" s="272">
        <f t="shared" si="488"/>
        <v>1</v>
      </c>
      <c r="O6609" s="61">
        <f t="shared" si="489"/>
        <v>1900</v>
      </c>
      <c r="P6609" s="61">
        <f t="shared" si="490"/>
        <v>1</v>
      </c>
      <c r="R6609" s="272"/>
      <c r="S6609" s="272"/>
    </row>
    <row r="6610" spans="9:19">
      <c r="I6610" s="213"/>
      <c r="J6610" s="213"/>
      <c r="L6610" s="272">
        <f t="shared" si="487"/>
        <v>1900</v>
      </c>
      <c r="M6610" s="272">
        <f t="shared" si="488"/>
        <v>1</v>
      </c>
      <c r="O6610" s="61">
        <f t="shared" si="489"/>
        <v>1900</v>
      </c>
      <c r="P6610" s="61">
        <f t="shared" si="490"/>
        <v>1</v>
      </c>
      <c r="R6610" s="272"/>
      <c r="S6610" s="272"/>
    </row>
    <row r="6611" spans="9:19">
      <c r="I6611" s="213"/>
      <c r="J6611" s="213"/>
      <c r="L6611" s="272">
        <f t="shared" si="487"/>
        <v>1900</v>
      </c>
      <c r="M6611" s="272">
        <f t="shared" si="488"/>
        <v>1</v>
      </c>
      <c r="O6611" s="61">
        <f t="shared" si="489"/>
        <v>1900</v>
      </c>
      <c r="P6611" s="61">
        <f t="shared" si="490"/>
        <v>1</v>
      </c>
      <c r="R6611" s="272"/>
      <c r="S6611" s="272"/>
    </row>
    <row r="6612" spans="9:19">
      <c r="I6612" s="213"/>
      <c r="J6612" s="213"/>
      <c r="L6612" s="272">
        <f t="shared" si="487"/>
        <v>1900</v>
      </c>
      <c r="M6612" s="272">
        <f t="shared" si="488"/>
        <v>1</v>
      </c>
      <c r="O6612" s="61">
        <f t="shared" si="489"/>
        <v>1900</v>
      </c>
      <c r="P6612" s="61">
        <f t="shared" si="490"/>
        <v>1</v>
      </c>
      <c r="R6612" s="272"/>
      <c r="S6612" s="272"/>
    </row>
    <row r="6613" spans="9:19">
      <c r="I6613" s="213"/>
      <c r="J6613" s="213"/>
      <c r="L6613" s="272">
        <f t="shared" si="487"/>
        <v>1900</v>
      </c>
      <c r="M6613" s="272">
        <f t="shared" si="488"/>
        <v>1</v>
      </c>
      <c r="O6613" s="61">
        <f t="shared" si="489"/>
        <v>1900</v>
      </c>
      <c r="P6613" s="61">
        <f t="shared" si="490"/>
        <v>1</v>
      </c>
      <c r="R6613" s="272"/>
      <c r="S6613" s="272"/>
    </row>
    <row r="6614" spans="9:19">
      <c r="I6614" s="213"/>
      <c r="J6614" s="213"/>
      <c r="L6614" s="272">
        <f t="shared" si="487"/>
        <v>1900</v>
      </c>
      <c r="M6614" s="272">
        <f t="shared" si="488"/>
        <v>1</v>
      </c>
      <c r="O6614" s="61">
        <f t="shared" si="489"/>
        <v>1900</v>
      </c>
      <c r="P6614" s="61">
        <f t="shared" si="490"/>
        <v>1</v>
      </c>
      <c r="R6614" s="272"/>
      <c r="S6614" s="272"/>
    </row>
    <row r="6615" spans="9:19">
      <c r="I6615" s="213"/>
      <c r="J6615" s="213"/>
      <c r="L6615" s="272">
        <f t="shared" si="487"/>
        <v>1900</v>
      </c>
      <c r="M6615" s="272">
        <f t="shared" si="488"/>
        <v>1</v>
      </c>
      <c r="O6615" s="61">
        <f t="shared" si="489"/>
        <v>1900</v>
      </c>
      <c r="P6615" s="61">
        <f t="shared" si="490"/>
        <v>1</v>
      </c>
      <c r="R6615" s="272"/>
      <c r="S6615" s="272"/>
    </row>
    <row r="6616" spans="9:19">
      <c r="I6616" s="213"/>
      <c r="J6616" s="213"/>
      <c r="L6616" s="272">
        <f t="shared" si="487"/>
        <v>1900</v>
      </c>
      <c r="M6616" s="272">
        <f t="shared" si="488"/>
        <v>1</v>
      </c>
      <c r="O6616" s="61">
        <f t="shared" si="489"/>
        <v>1900</v>
      </c>
      <c r="P6616" s="61">
        <f t="shared" si="490"/>
        <v>1</v>
      </c>
      <c r="R6616" s="272"/>
      <c r="S6616" s="272"/>
    </row>
    <row r="6617" spans="9:19">
      <c r="I6617" s="213"/>
      <c r="J6617" s="213"/>
      <c r="L6617" s="272">
        <f t="shared" si="487"/>
        <v>1900</v>
      </c>
      <c r="M6617" s="272">
        <f t="shared" si="488"/>
        <v>1</v>
      </c>
      <c r="O6617" s="61">
        <f t="shared" si="489"/>
        <v>1900</v>
      </c>
      <c r="P6617" s="61">
        <f t="shared" si="490"/>
        <v>1</v>
      </c>
      <c r="R6617" s="272"/>
      <c r="S6617" s="272"/>
    </row>
    <row r="6618" spans="9:19">
      <c r="I6618" s="213"/>
      <c r="J6618" s="213"/>
      <c r="L6618" s="272">
        <f t="shared" si="487"/>
        <v>1900</v>
      </c>
      <c r="M6618" s="272">
        <f t="shared" si="488"/>
        <v>1</v>
      </c>
      <c r="O6618" s="61">
        <f t="shared" si="489"/>
        <v>1900</v>
      </c>
      <c r="P6618" s="61">
        <f t="shared" si="490"/>
        <v>1</v>
      </c>
      <c r="R6618" s="272"/>
      <c r="S6618" s="272"/>
    </row>
    <row r="6619" spans="9:19">
      <c r="I6619" s="213"/>
      <c r="J6619" s="213"/>
      <c r="L6619" s="272">
        <f t="shared" si="487"/>
        <v>1900</v>
      </c>
      <c r="M6619" s="272">
        <f t="shared" si="488"/>
        <v>1</v>
      </c>
      <c r="O6619" s="61">
        <f t="shared" si="489"/>
        <v>1900</v>
      </c>
      <c r="P6619" s="61">
        <f t="shared" si="490"/>
        <v>1</v>
      </c>
      <c r="R6619" s="272"/>
      <c r="S6619" s="272"/>
    </row>
    <row r="6620" spans="9:19">
      <c r="I6620" s="213"/>
      <c r="J6620" s="213"/>
      <c r="L6620" s="272">
        <f t="shared" si="487"/>
        <v>1900</v>
      </c>
      <c r="M6620" s="272">
        <f t="shared" si="488"/>
        <v>1</v>
      </c>
      <c r="O6620" s="61">
        <f t="shared" si="489"/>
        <v>1900</v>
      </c>
      <c r="P6620" s="61">
        <f t="shared" si="490"/>
        <v>1</v>
      </c>
      <c r="R6620" s="272"/>
      <c r="S6620" s="272"/>
    </row>
    <row r="6621" spans="9:19">
      <c r="I6621" s="213"/>
      <c r="J6621" s="213"/>
      <c r="L6621" s="272">
        <f t="shared" si="487"/>
        <v>1900</v>
      </c>
      <c r="M6621" s="272">
        <f t="shared" si="488"/>
        <v>1</v>
      </c>
      <c r="O6621" s="61">
        <f t="shared" si="489"/>
        <v>1900</v>
      </c>
      <c r="P6621" s="61">
        <f t="shared" si="490"/>
        <v>1</v>
      </c>
      <c r="R6621" s="272"/>
      <c r="S6621" s="272"/>
    </row>
    <row r="6622" spans="9:19">
      <c r="I6622" s="213"/>
      <c r="J6622" s="213"/>
      <c r="L6622" s="272">
        <f t="shared" si="487"/>
        <v>1900</v>
      </c>
      <c r="M6622" s="272">
        <f t="shared" si="488"/>
        <v>1</v>
      </c>
      <c r="O6622" s="61">
        <f t="shared" si="489"/>
        <v>1900</v>
      </c>
      <c r="P6622" s="61">
        <f t="shared" si="490"/>
        <v>1</v>
      </c>
      <c r="R6622" s="272"/>
      <c r="S6622" s="272"/>
    </row>
    <row r="6623" spans="9:19">
      <c r="I6623" s="213"/>
      <c r="J6623" s="213"/>
      <c r="L6623" s="272">
        <f t="shared" si="487"/>
        <v>1900</v>
      </c>
      <c r="M6623" s="272">
        <f t="shared" si="488"/>
        <v>1</v>
      </c>
      <c r="O6623" s="61">
        <f t="shared" si="489"/>
        <v>1900</v>
      </c>
      <c r="P6623" s="61">
        <f t="shared" si="490"/>
        <v>1</v>
      </c>
      <c r="R6623" s="272"/>
      <c r="S6623" s="272"/>
    </row>
    <row r="6624" spans="9:19">
      <c r="I6624" s="213"/>
      <c r="J6624" s="213"/>
      <c r="L6624" s="272">
        <f t="shared" si="487"/>
        <v>1900</v>
      </c>
      <c r="M6624" s="272">
        <f t="shared" si="488"/>
        <v>1</v>
      </c>
      <c r="O6624" s="61">
        <f t="shared" si="489"/>
        <v>1900</v>
      </c>
      <c r="P6624" s="61">
        <f t="shared" si="490"/>
        <v>1</v>
      </c>
      <c r="R6624" s="272"/>
      <c r="S6624" s="272"/>
    </row>
    <row r="6625" spans="9:19">
      <c r="I6625" s="213"/>
      <c r="J6625" s="213"/>
      <c r="L6625" s="272">
        <f t="shared" si="487"/>
        <v>1900</v>
      </c>
      <c r="M6625" s="272">
        <f t="shared" si="488"/>
        <v>1</v>
      </c>
      <c r="O6625" s="61">
        <f t="shared" si="489"/>
        <v>1900</v>
      </c>
      <c r="P6625" s="61">
        <f t="shared" si="490"/>
        <v>1</v>
      </c>
      <c r="R6625" s="272"/>
      <c r="S6625" s="272"/>
    </row>
    <row r="6626" spans="9:19">
      <c r="I6626" s="213"/>
      <c r="J6626" s="213"/>
      <c r="L6626" s="272">
        <f t="shared" si="487"/>
        <v>1900</v>
      </c>
      <c r="M6626" s="272">
        <f t="shared" si="488"/>
        <v>1</v>
      </c>
      <c r="O6626" s="61">
        <f t="shared" si="489"/>
        <v>1900</v>
      </c>
      <c r="P6626" s="61">
        <f t="shared" si="490"/>
        <v>1</v>
      </c>
      <c r="R6626" s="272"/>
      <c r="S6626" s="272"/>
    </row>
    <row r="6627" spans="9:19">
      <c r="I6627" s="213"/>
      <c r="J6627" s="213"/>
      <c r="L6627" s="272">
        <f t="shared" si="487"/>
        <v>1900</v>
      </c>
      <c r="M6627" s="272">
        <f t="shared" si="488"/>
        <v>1</v>
      </c>
      <c r="O6627" s="61">
        <f t="shared" si="489"/>
        <v>1900</v>
      </c>
      <c r="P6627" s="61">
        <f t="shared" si="490"/>
        <v>1</v>
      </c>
      <c r="R6627" s="272"/>
      <c r="S6627" s="272"/>
    </row>
    <row r="6628" spans="9:19">
      <c r="I6628" s="213"/>
      <c r="J6628" s="213"/>
      <c r="L6628" s="272">
        <f t="shared" si="487"/>
        <v>1900</v>
      </c>
      <c r="M6628" s="272">
        <f t="shared" si="488"/>
        <v>1</v>
      </c>
      <c r="O6628" s="61">
        <f t="shared" si="489"/>
        <v>1900</v>
      </c>
      <c r="P6628" s="61">
        <f t="shared" si="490"/>
        <v>1</v>
      </c>
      <c r="R6628" s="272"/>
      <c r="S6628" s="272"/>
    </row>
    <row r="6629" spans="9:19">
      <c r="I6629" s="213"/>
      <c r="J6629" s="213"/>
      <c r="L6629" s="272">
        <f t="shared" si="487"/>
        <v>1900</v>
      </c>
      <c r="M6629" s="272">
        <f t="shared" si="488"/>
        <v>1</v>
      </c>
      <c r="O6629" s="61">
        <f t="shared" si="489"/>
        <v>1900</v>
      </c>
      <c r="P6629" s="61">
        <f t="shared" si="490"/>
        <v>1</v>
      </c>
      <c r="R6629" s="272"/>
      <c r="S6629" s="272"/>
    </row>
    <row r="6630" spans="9:19">
      <c r="I6630" s="213"/>
      <c r="J6630" s="213"/>
      <c r="L6630" s="272">
        <f t="shared" si="487"/>
        <v>1900</v>
      </c>
      <c r="M6630" s="272">
        <f t="shared" si="488"/>
        <v>1</v>
      </c>
      <c r="O6630" s="61">
        <f t="shared" si="489"/>
        <v>1900</v>
      </c>
      <c r="P6630" s="61">
        <f t="shared" si="490"/>
        <v>1</v>
      </c>
      <c r="R6630" s="272"/>
      <c r="S6630" s="272"/>
    </row>
    <row r="6631" spans="9:19">
      <c r="I6631" s="213"/>
      <c r="J6631" s="213"/>
      <c r="L6631" s="272">
        <f t="shared" si="487"/>
        <v>1900</v>
      </c>
      <c r="M6631" s="272">
        <f t="shared" si="488"/>
        <v>1</v>
      </c>
      <c r="O6631" s="61">
        <f t="shared" si="489"/>
        <v>1900</v>
      </c>
      <c r="P6631" s="61">
        <f t="shared" si="490"/>
        <v>1</v>
      </c>
      <c r="R6631" s="272"/>
      <c r="S6631" s="272"/>
    </row>
    <row r="6632" spans="9:19">
      <c r="I6632" s="213"/>
      <c r="J6632" s="213"/>
      <c r="L6632" s="272">
        <f t="shared" si="487"/>
        <v>1900</v>
      </c>
      <c r="M6632" s="272">
        <f t="shared" si="488"/>
        <v>1</v>
      </c>
      <c r="O6632" s="61">
        <f t="shared" si="489"/>
        <v>1900</v>
      </c>
      <c r="P6632" s="61">
        <f t="shared" si="490"/>
        <v>1</v>
      </c>
      <c r="R6632" s="272"/>
      <c r="S6632" s="272"/>
    </row>
    <row r="6633" spans="9:19">
      <c r="I6633" s="213"/>
      <c r="J6633" s="213"/>
      <c r="L6633" s="272">
        <f t="shared" si="487"/>
        <v>1900</v>
      </c>
      <c r="M6633" s="272">
        <f t="shared" si="488"/>
        <v>1</v>
      </c>
      <c r="O6633" s="61">
        <f t="shared" si="489"/>
        <v>1900</v>
      </c>
      <c r="P6633" s="61">
        <f t="shared" si="490"/>
        <v>1</v>
      </c>
      <c r="R6633" s="272"/>
      <c r="S6633" s="272"/>
    </row>
    <row r="6634" spans="9:19">
      <c r="I6634" s="213"/>
      <c r="J6634" s="213"/>
      <c r="L6634" s="272">
        <f t="shared" si="487"/>
        <v>1900</v>
      </c>
      <c r="M6634" s="272">
        <f t="shared" si="488"/>
        <v>1</v>
      </c>
      <c r="O6634" s="61">
        <f t="shared" si="489"/>
        <v>1900</v>
      </c>
      <c r="P6634" s="61">
        <f t="shared" si="490"/>
        <v>1</v>
      </c>
      <c r="R6634" s="272"/>
      <c r="S6634" s="272"/>
    </row>
    <row r="6635" spans="9:19">
      <c r="I6635" s="213"/>
      <c r="J6635" s="213"/>
      <c r="L6635" s="272">
        <f t="shared" si="487"/>
        <v>1900</v>
      </c>
      <c r="M6635" s="272">
        <f t="shared" si="488"/>
        <v>1</v>
      </c>
      <c r="O6635" s="61">
        <f t="shared" si="489"/>
        <v>1900</v>
      </c>
      <c r="P6635" s="61">
        <f t="shared" si="490"/>
        <v>1</v>
      </c>
      <c r="R6635" s="272"/>
      <c r="S6635" s="272"/>
    </row>
    <row r="6636" spans="9:19">
      <c r="I6636" s="213"/>
      <c r="J6636" s="213"/>
      <c r="L6636" s="272">
        <f t="shared" si="487"/>
        <v>1900</v>
      </c>
      <c r="M6636" s="272">
        <f t="shared" si="488"/>
        <v>1</v>
      </c>
      <c r="O6636" s="61">
        <f t="shared" si="489"/>
        <v>1900</v>
      </c>
      <c r="P6636" s="61">
        <f t="shared" si="490"/>
        <v>1</v>
      </c>
      <c r="R6636" s="272"/>
      <c r="S6636" s="272"/>
    </row>
    <row r="6637" spans="9:19">
      <c r="I6637" s="213"/>
      <c r="J6637" s="213"/>
      <c r="L6637" s="272">
        <f t="shared" si="487"/>
        <v>1900</v>
      </c>
      <c r="M6637" s="272">
        <f t="shared" si="488"/>
        <v>1</v>
      </c>
      <c r="O6637" s="61">
        <f t="shared" si="489"/>
        <v>1900</v>
      </c>
      <c r="P6637" s="61">
        <f t="shared" si="490"/>
        <v>1</v>
      </c>
      <c r="R6637" s="272"/>
      <c r="S6637" s="272"/>
    </row>
    <row r="6638" spans="9:19">
      <c r="I6638" s="213"/>
      <c r="J6638" s="213"/>
      <c r="L6638" s="272">
        <f t="shared" si="487"/>
        <v>1900</v>
      </c>
      <c r="M6638" s="272">
        <f t="shared" si="488"/>
        <v>1</v>
      </c>
      <c r="O6638" s="61">
        <f t="shared" si="489"/>
        <v>1900</v>
      </c>
      <c r="P6638" s="61">
        <f t="shared" si="490"/>
        <v>1</v>
      </c>
      <c r="R6638" s="272"/>
      <c r="S6638" s="272"/>
    </row>
    <row r="6639" spans="9:19">
      <c r="I6639" s="213"/>
      <c r="J6639" s="213"/>
      <c r="L6639" s="272">
        <f t="shared" si="487"/>
        <v>1900</v>
      </c>
      <c r="M6639" s="272">
        <f t="shared" si="488"/>
        <v>1</v>
      </c>
      <c r="O6639" s="61">
        <f t="shared" si="489"/>
        <v>1900</v>
      </c>
      <c r="P6639" s="61">
        <f t="shared" si="490"/>
        <v>1</v>
      </c>
      <c r="R6639" s="272"/>
      <c r="S6639" s="272"/>
    </row>
    <row r="6640" spans="9:19">
      <c r="I6640" s="213"/>
      <c r="J6640" s="213"/>
      <c r="L6640" s="272">
        <f t="shared" si="487"/>
        <v>1900</v>
      </c>
      <c r="M6640" s="272">
        <f t="shared" si="488"/>
        <v>1</v>
      </c>
      <c r="O6640" s="61">
        <f t="shared" si="489"/>
        <v>1900</v>
      </c>
      <c r="P6640" s="61">
        <f t="shared" si="490"/>
        <v>1</v>
      </c>
      <c r="R6640" s="272"/>
      <c r="S6640" s="272"/>
    </row>
    <row r="6641" spans="9:19">
      <c r="I6641" s="213"/>
      <c r="J6641" s="213"/>
      <c r="L6641" s="272">
        <f t="shared" si="487"/>
        <v>1900</v>
      </c>
      <c r="M6641" s="272">
        <f t="shared" si="488"/>
        <v>1</v>
      </c>
      <c r="O6641" s="61">
        <f t="shared" si="489"/>
        <v>1900</v>
      </c>
      <c r="P6641" s="61">
        <f t="shared" si="490"/>
        <v>1</v>
      </c>
      <c r="R6641" s="272"/>
      <c r="S6641" s="272"/>
    </row>
    <row r="6642" spans="9:19">
      <c r="I6642" s="213"/>
      <c r="J6642" s="213"/>
      <c r="L6642" s="272">
        <f t="shared" si="487"/>
        <v>1900</v>
      </c>
      <c r="M6642" s="272">
        <f t="shared" si="488"/>
        <v>1</v>
      </c>
      <c r="O6642" s="61">
        <f t="shared" si="489"/>
        <v>1900</v>
      </c>
      <c r="P6642" s="61">
        <f t="shared" si="490"/>
        <v>1</v>
      </c>
      <c r="R6642" s="272"/>
      <c r="S6642" s="272"/>
    </row>
    <row r="6643" spans="9:19">
      <c r="I6643" s="213"/>
      <c r="J6643" s="213"/>
      <c r="L6643" s="272">
        <f t="shared" si="487"/>
        <v>1900</v>
      </c>
      <c r="M6643" s="272">
        <f t="shared" si="488"/>
        <v>1</v>
      </c>
      <c r="O6643" s="61">
        <f t="shared" si="489"/>
        <v>1900</v>
      </c>
      <c r="P6643" s="61">
        <f t="shared" si="490"/>
        <v>1</v>
      </c>
      <c r="R6643" s="272"/>
      <c r="S6643" s="272"/>
    </row>
    <row r="6644" spans="9:19">
      <c r="I6644" s="213"/>
      <c r="J6644" s="213"/>
      <c r="L6644" s="272">
        <f t="shared" si="487"/>
        <v>1900</v>
      </c>
      <c r="M6644" s="272">
        <f t="shared" si="488"/>
        <v>1</v>
      </c>
      <c r="O6644" s="61">
        <f t="shared" si="489"/>
        <v>1900</v>
      </c>
      <c r="P6644" s="61">
        <f t="shared" si="490"/>
        <v>1</v>
      </c>
      <c r="R6644" s="272"/>
      <c r="S6644" s="272"/>
    </row>
    <row r="6645" spans="9:19">
      <c r="I6645" s="213"/>
      <c r="J6645" s="213"/>
      <c r="L6645" s="272">
        <f t="shared" si="487"/>
        <v>1900</v>
      </c>
      <c r="M6645" s="272">
        <f t="shared" si="488"/>
        <v>1</v>
      </c>
      <c r="O6645" s="61">
        <f t="shared" si="489"/>
        <v>1900</v>
      </c>
      <c r="P6645" s="61">
        <f t="shared" si="490"/>
        <v>1</v>
      </c>
      <c r="R6645" s="272"/>
      <c r="S6645" s="272"/>
    </row>
    <row r="6646" spans="9:19">
      <c r="I6646" s="213"/>
      <c r="J6646" s="213"/>
      <c r="L6646" s="272">
        <f t="shared" si="487"/>
        <v>1900</v>
      </c>
      <c r="M6646" s="272">
        <f t="shared" si="488"/>
        <v>1</v>
      </c>
      <c r="O6646" s="61">
        <f t="shared" si="489"/>
        <v>1900</v>
      </c>
      <c r="P6646" s="61">
        <f t="shared" si="490"/>
        <v>1</v>
      </c>
      <c r="R6646" s="272"/>
      <c r="S6646" s="272"/>
    </row>
    <row r="6647" spans="9:19">
      <c r="I6647" s="213"/>
      <c r="J6647" s="213"/>
      <c r="L6647" s="272">
        <f t="shared" si="487"/>
        <v>1900</v>
      </c>
      <c r="M6647" s="272">
        <f t="shared" si="488"/>
        <v>1</v>
      </c>
      <c r="O6647" s="61">
        <f t="shared" si="489"/>
        <v>1900</v>
      </c>
      <c r="P6647" s="61">
        <f t="shared" si="490"/>
        <v>1</v>
      </c>
      <c r="R6647" s="272"/>
      <c r="S6647" s="272"/>
    </row>
    <row r="6648" spans="9:19">
      <c r="I6648" s="213"/>
      <c r="J6648" s="213"/>
      <c r="L6648" s="272">
        <f t="shared" si="487"/>
        <v>1900</v>
      </c>
      <c r="M6648" s="272">
        <f t="shared" si="488"/>
        <v>1</v>
      </c>
      <c r="O6648" s="61">
        <f t="shared" si="489"/>
        <v>1900</v>
      </c>
      <c r="P6648" s="61">
        <f t="shared" si="490"/>
        <v>1</v>
      </c>
      <c r="R6648" s="272"/>
      <c r="S6648" s="272"/>
    </row>
    <row r="6649" spans="9:19">
      <c r="I6649" s="213"/>
      <c r="J6649" s="213"/>
      <c r="L6649" s="272">
        <f t="shared" si="487"/>
        <v>1900</v>
      </c>
      <c r="M6649" s="272">
        <f t="shared" si="488"/>
        <v>1</v>
      </c>
      <c r="O6649" s="61">
        <f t="shared" si="489"/>
        <v>1900</v>
      </c>
      <c r="P6649" s="61">
        <f t="shared" si="490"/>
        <v>1</v>
      </c>
      <c r="R6649" s="272"/>
      <c r="S6649" s="272"/>
    </row>
    <row r="6650" spans="9:19">
      <c r="I6650" s="213"/>
      <c r="J6650" s="213"/>
      <c r="L6650" s="272">
        <f t="shared" si="487"/>
        <v>1900</v>
      </c>
      <c r="M6650" s="272">
        <f t="shared" si="488"/>
        <v>1</v>
      </c>
      <c r="O6650" s="61">
        <f t="shared" si="489"/>
        <v>1900</v>
      </c>
      <c r="P6650" s="61">
        <f t="shared" si="490"/>
        <v>1</v>
      </c>
      <c r="R6650" s="272"/>
      <c r="S6650" s="272"/>
    </row>
    <row r="6651" spans="9:19">
      <c r="I6651" s="213"/>
      <c r="J6651" s="213"/>
      <c r="L6651" s="272">
        <f t="shared" si="487"/>
        <v>1900</v>
      </c>
      <c r="M6651" s="272">
        <f t="shared" si="488"/>
        <v>1</v>
      </c>
      <c r="O6651" s="61">
        <f t="shared" si="489"/>
        <v>1900</v>
      </c>
      <c r="P6651" s="61">
        <f t="shared" si="490"/>
        <v>1</v>
      </c>
      <c r="R6651" s="272"/>
      <c r="S6651" s="272"/>
    </row>
    <row r="6652" spans="9:19">
      <c r="I6652" s="213"/>
      <c r="J6652" s="213"/>
      <c r="L6652" s="272">
        <f t="shared" si="487"/>
        <v>1900</v>
      </c>
      <c r="M6652" s="272">
        <f t="shared" si="488"/>
        <v>1</v>
      </c>
      <c r="O6652" s="61">
        <f t="shared" si="489"/>
        <v>1900</v>
      </c>
      <c r="P6652" s="61">
        <f t="shared" si="490"/>
        <v>1</v>
      </c>
      <c r="R6652" s="272"/>
      <c r="S6652" s="272"/>
    </row>
    <row r="6653" spans="9:19">
      <c r="I6653" s="213"/>
      <c r="J6653" s="213"/>
      <c r="L6653" s="272">
        <f t="shared" si="487"/>
        <v>1900</v>
      </c>
      <c r="M6653" s="272">
        <f t="shared" si="488"/>
        <v>1</v>
      </c>
      <c r="O6653" s="61">
        <f t="shared" si="489"/>
        <v>1900</v>
      </c>
      <c r="P6653" s="61">
        <f t="shared" si="490"/>
        <v>1</v>
      </c>
      <c r="R6653" s="272"/>
      <c r="S6653" s="272"/>
    </row>
    <row r="6654" spans="9:19">
      <c r="I6654" s="213"/>
      <c r="J6654" s="213"/>
      <c r="L6654" s="272">
        <f t="shared" si="487"/>
        <v>1900</v>
      </c>
      <c r="M6654" s="272">
        <f t="shared" si="488"/>
        <v>1</v>
      </c>
      <c r="O6654" s="61">
        <f t="shared" si="489"/>
        <v>1900</v>
      </c>
      <c r="P6654" s="61">
        <f t="shared" si="490"/>
        <v>1</v>
      </c>
      <c r="R6654" s="272"/>
      <c r="S6654" s="272"/>
    </row>
    <row r="6655" spans="9:19">
      <c r="I6655" s="213"/>
      <c r="J6655" s="213"/>
      <c r="L6655" s="272">
        <f t="shared" si="487"/>
        <v>1900</v>
      </c>
      <c r="M6655" s="272">
        <f t="shared" si="488"/>
        <v>1</v>
      </c>
      <c r="O6655" s="61">
        <f t="shared" si="489"/>
        <v>1900</v>
      </c>
      <c r="P6655" s="61">
        <f t="shared" si="490"/>
        <v>1</v>
      </c>
      <c r="R6655" s="272"/>
      <c r="S6655" s="272"/>
    </row>
    <row r="6656" spans="9:19">
      <c r="I6656" s="213"/>
      <c r="J6656" s="213"/>
      <c r="L6656" s="272">
        <f t="shared" si="487"/>
        <v>1900</v>
      </c>
      <c r="M6656" s="272">
        <f t="shared" si="488"/>
        <v>1</v>
      </c>
      <c r="O6656" s="61">
        <f t="shared" si="489"/>
        <v>1900</v>
      </c>
      <c r="P6656" s="61">
        <f t="shared" si="490"/>
        <v>1</v>
      </c>
      <c r="R6656" s="272"/>
      <c r="S6656" s="272"/>
    </row>
    <row r="6657" spans="9:19">
      <c r="I6657" s="213"/>
      <c r="J6657" s="213"/>
      <c r="L6657" s="272">
        <f t="shared" si="487"/>
        <v>1900</v>
      </c>
      <c r="M6657" s="272">
        <f t="shared" si="488"/>
        <v>1</v>
      </c>
      <c r="O6657" s="61">
        <f t="shared" si="489"/>
        <v>1900</v>
      </c>
      <c r="P6657" s="61">
        <f t="shared" si="490"/>
        <v>1</v>
      </c>
      <c r="R6657" s="272"/>
      <c r="S6657" s="272"/>
    </row>
    <row r="6658" spans="9:19">
      <c r="I6658" s="213"/>
      <c r="J6658" s="213"/>
      <c r="L6658" s="272">
        <f t="shared" si="487"/>
        <v>1900</v>
      </c>
      <c r="M6658" s="272">
        <f t="shared" si="488"/>
        <v>1</v>
      </c>
      <c r="O6658" s="61">
        <f t="shared" si="489"/>
        <v>1900</v>
      </c>
      <c r="P6658" s="61">
        <f t="shared" si="490"/>
        <v>1</v>
      </c>
      <c r="R6658" s="272"/>
      <c r="S6658" s="272"/>
    </row>
    <row r="6659" spans="9:19">
      <c r="I6659" s="213"/>
      <c r="J6659" s="213"/>
      <c r="L6659" s="272">
        <f t="shared" si="487"/>
        <v>1900</v>
      </c>
      <c r="M6659" s="272">
        <f t="shared" si="488"/>
        <v>1</v>
      </c>
      <c r="O6659" s="61">
        <f t="shared" si="489"/>
        <v>1900</v>
      </c>
      <c r="P6659" s="61">
        <f t="shared" si="490"/>
        <v>1</v>
      </c>
      <c r="R6659" s="272"/>
      <c r="S6659" s="272"/>
    </row>
    <row r="6660" spans="9:19">
      <c r="I6660" s="213"/>
      <c r="J6660" s="213"/>
      <c r="L6660" s="272">
        <f t="shared" si="487"/>
        <v>1900</v>
      </c>
      <c r="M6660" s="272">
        <f t="shared" si="488"/>
        <v>1</v>
      </c>
      <c r="O6660" s="61">
        <f t="shared" si="489"/>
        <v>1900</v>
      </c>
      <c r="P6660" s="61">
        <f t="shared" si="490"/>
        <v>1</v>
      </c>
      <c r="R6660" s="272"/>
      <c r="S6660" s="272"/>
    </row>
    <row r="6661" spans="9:19">
      <c r="I6661" s="213"/>
      <c r="J6661" s="213"/>
      <c r="L6661" s="272">
        <f t="shared" si="487"/>
        <v>1900</v>
      </c>
      <c r="M6661" s="272">
        <f t="shared" si="488"/>
        <v>1</v>
      </c>
      <c r="O6661" s="61">
        <f t="shared" si="489"/>
        <v>1900</v>
      </c>
      <c r="P6661" s="61">
        <f t="shared" si="490"/>
        <v>1</v>
      </c>
      <c r="R6661" s="272"/>
      <c r="S6661" s="272"/>
    </row>
    <row r="6662" spans="9:19">
      <c r="I6662" s="213"/>
      <c r="J6662" s="213"/>
      <c r="L6662" s="272">
        <f t="shared" si="487"/>
        <v>1900</v>
      </c>
      <c r="M6662" s="272">
        <f t="shared" si="488"/>
        <v>1</v>
      </c>
      <c r="O6662" s="61">
        <f t="shared" si="489"/>
        <v>1900</v>
      </c>
      <c r="P6662" s="61">
        <f t="shared" si="490"/>
        <v>1</v>
      </c>
      <c r="R6662" s="272"/>
      <c r="S6662" s="272"/>
    </row>
    <row r="6663" spans="9:19">
      <c r="I6663" s="213"/>
      <c r="J6663" s="213"/>
      <c r="L6663" s="272">
        <f t="shared" si="487"/>
        <v>1900</v>
      </c>
      <c r="M6663" s="272">
        <f t="shared" si="488"/>
        <v>1</v>
      </c>
      <c r="O6663" s="61">
        <f t="shared" si="489"/>
        <v>1900</v>
      </c>
      <c r="P6663" s="61">
        <f t="shared" si="490"/>
        <v>1</v>
      </c>
      <c r="R6663" s="272"/>
      <c r="S6663" s="272"/>
    </row>
    <row r="6664" spans="9:19">
      <c r="I6664" s="213"/>
      <c r="J6664" s="213"/>
      <c r="L6664" s="272">
        <f t="shared" si="487"/>
        <v>1900</v>
      </c>
      <c r="M6664" s="272">
        <f t="shared" si="488"/>
        <v>1</v>
      </c>
      <c r="O6664" s="61">
        <f t="shared" si="489"/>
        <v>1900</v>
      </c>
      <c r="P6664" s="61">
        <f t="shared" si="490"/>
        <v>1</v>
      </c>
      <c r="R6664" s="272"/>
      <c r="S6664" s="272"/>
    </row>
    <row r="6665" spans="9:19">
      <c r="I6665" s="213"/>
      <c r="J6665" s="213"/>
      <c r="L6665" s="272">
        <f t="shared" si="487"/>
        <v>1900</v>
      </c>
      <c r="M6665" s="272">
        <f t="shared" si="488"/>
        <v>1</v>
      </c>
      <c r="O6665" s="61">
        <f t="shared" si="489"/>
        <v>1900</v>
      </c>
      <c r="P6665" s="61">
        <f t="shared" si="490"/>
        <v>1</v>
      </c>
      <c r="R6665" s="272"/>
      <c r="S6665" s="272"/>
    </row>
    <row r="6666" spans="9:19">
      <c r="I6666" s="213"/>
      <c r="J6666" s="213"/>
      <c r="L6666" s="272">
        <f t="shared" si="487"/>
        <v>1900</v>
      </c>
      <c r="M6666" s="272">
        <f t="shared" si="488"/>
        <v>1</v>
      </c>
      <c r="O6666" s="61">
        <f t="shared" si="489"/>
        <v>1900</v>
      </c>
      <c r="P6666" s="61">
        <f t="shared" si="490"/>
        <v>1</v>
      </c>
      <c r="R6666" s="272"/>
      <c r="S6666" s="272"/>
    </row>
    <row r="6667" spans="9:19">
      <c r="I6667" s="213"/>
      <c r="J6667" s="213"/>
      <c r="L6667" s="272">
        <f t="shared" si="487"/>
        <v>1900</v>
      </c>
      <c r="M6667" s="272">
        <f t="shared" si="488"/>
        <v>1</v>
      </c>
      <c r="O6667" s="61">
        <f t="shared" si="489"/>
        <v>1900</v>
      </c>
      <c r="P6667" s="61">
        <f t="shared" si="490"/>
        <v>1</v>
      </c>
      <c r="R6667" s="272"/>
      <c r="S6667" s="272"/>
    </row>
    <row r="6668" spans="9:19">
      <c r="I6668" s="213"/>
      <c r="J6668" s="213"/>
      <c r="L6668" s="272">
        <f t="shared" si="487"/>
        <v>1900</v>
      </c>
      <c r="M6668" s="272">
        <f t="shared" si="488"/>
        <v>1</v>
      </c>
      <c r="O6668" s="61">
        <f t="shared" si="489"/>
        <v>1900</v>
      </c>
      <c r="P6668" s="61">
        <f t="shared" si="490"/>
        <v>1</v>
      </c>
      <c r="R6668" s="272"/>
      <c r="S6668" s="272"/>
    </row>
    <row r="6669" spans="9:19">
      <c r="I6669" s="213"/>
      <c r="J6669" s="213"/>
      <c r="L6669" s="272">
        <f t="shared" si="487"/>
        <v>1900</v>
      </c>
      <c r="M6669" s="272">
        <f t="shared" si="488"/>
        <v>1</v>
      </c>
      <c r="O6669" s="61">
        <f t="shared" si="489"/>
        <v>1900</v>
      </c>
      <c r="P6669" s="61">
        <f t="shared" si="490"/>
        <v>1</v>
      </c>
      <c r="R6669" s="272"/>
      <c r="S6669" s="272"/>
    </row>
    <row r="6670" spans="9:19">
      <c r="I6670" s="213"/>
      <c r="J6670" s="213"/>
      <c r="L6670" s="272">
        <f t="shared" si="487"/>
        <v>1900</v>
      </c>
      <c r="M6670" s="272">
        <f t="shared" si="488"/>
        <v>1</v>
      </c>
      <c r="O6670" s="61">
        <f t="shared" si="489"/>
        <v>1900</v>
      </c>
      <c r="P6670" s="61">
        <f t="shared" si="490"/>
        <v>1</v>
      </c>
      <c r="R6670" s="272"/>
      <c r="S6670" s="272"/>
    </row>
    <row r="6671" spans="9:19">
      <c r="I6671" s="213"/>
      <c r="J6671" s="213"/>
      <c r="L6671" s="272">
        <f t="shared" si="487"/>
        <v>1900</v>
      </c>
      <c r="M6671" s="272">
        <f t="shared" si="488"/>
        <v>1</v>
      </c>
      <c r="O6671" s="61">
        <f t="shared" si="489"/>
        <v>1900</v>
      </c>
      <c r="P6671" s="61">
        <f t="shared" si="490"/>
        <v>1</v>
      </c>
      <c r="R6671" s="272"/>
      <c r="S6671" s="272"/>
    </row>
    <row r="6672" spans="9:19">
      <c r="I6672" s="213"/>
      <c r="J6672" s="213"/>
      <c r="L6672" s="272">
        <f t="shared" ref="L6672:L6735" si="491">YEAR(B6672)</f>
        <v>1900</v>
      </c>
      <c r="M6672" s="272">
        <f t="shared" ref="M6672:M6735" si="492">MONTH(B6672)</f>
        <v>1</v>
      </c>
      <c r="O6672" s="61">
        <f t="shared" ref="O6672:O6735" si="493">YEAR(B6672)</f>
        <v>1900</v>
      </c>
      <c r="P6672" s="61">
        <f t="shared" ref="P6672:P6735" si="494">MONTH(B6672)</f>
        <v>1</v>
      </c>
      <c r="R6672" s="272"/>
      <c r="S6672" s="272"/>
    </row>
    <row r="6673" spans="9:19">
      <c r="I6673" s="213"/>
      <c r="J6673" s="213"/>
      <c r="L6673" s="272">
        <f t="shared" si="491"/>
        <v>1900</v>
      </c>
      <c r="M6673" s="272">
        <f t="shared" si="492"/>
        <v>1</v>
      </c>
      <c r="O6673" s="61">
        <f t="shared" si="493"/>
        <v>1900</v>
      </c>
      <c r="P6673" s="61">
        <f t="shared" si="494"/>
        <v>1</v>
      </c>
      <c r="R6673" s="272"/>
      <c r="S6673" s="272"/>
    </row>
    <row r="6674" spans="9:19">
      <c r="I6674" s="213"/>
      <c r="J6674" s="213"/>
      <c r="L6674" s="272">
        <f t="shared" si="491"/>
        <v>1900</v>
      </c>
      <c r="M6674" s="272">
        <f t="shared" si="492"/>
        <v>1</v>
      </c>
      <c r="O6674" s="61">
        <f t="shared" si="493"/>
        <v>1900</v>
      </c>
      <c r="P6674" s="61">
        <f t="shared" si="494"/>
        <v>1</v>
      </c>
      <c r="R6674" s="272"/>
      <c r="S6674" s="272"/>
    </row>
    <row r="6675" spans="9:19">
      <c r="I6675" s="213"/>
      <c r="J6675" s="213"/>
      <c r="L6675" s="272">
        <f t="shared" si="491"/>
        <v>1900</v>
      </c>
      <c r="M6675" s="272">
        <f t="shared" si="492"/>
        <v>1</v>
      </c>
      <c r="O6675" s="61">
        <f t="shared" si="493"/>
        <v>1900</v>
      </c>
      <c r="P6675" s="61">
        <f t="shared" si="494"/>
        <v>1</v>
      </c>
      <c r="R6675" s="272"/>
      <c r="S6675" s="272"/>
    </row>
    <row r="6676" spans="9:19">
      <c r="I6676" s="213"/>
      <c r="J6676" s="213"/>
      <c r="L6676" s="272">
        <f t="shared" si="491"/>
        <v>1900</v>
      </c>
      <c r="M6676" s="272">
        <f t="shared" si="492"/>
        <v>1</v>
      </c>
      <c r="O6676" s="61">
        <f t="shared" si="493"/>
        <v>1900</v>
      </c>
      <c r="P6676" s="61">
        <f t="shared" si="494"/>
        <v>1</v>
      </c>
      <c r="R6676" s="272"/>
      <c r="S6676" s="272"/>
    </row>
    <row r="6677" spans="9:19">
      <c r="I6677" s="213"/>
      <c r="J6677" s="213"/>
      <c r="L6677" s="272">
        <f t="shared" si="491"/>
        <v>1900</v>
      </c>
      <c r="M6677" s="272">
        <f t="shared" si="492"/>
        <v>1</v>
      </c>
      <c r="O6677" s="61">
        <f t="shared" si="493"/>
        <v>1900</v>
      </c>
      <c r="P6677" s="61">
        <f t="shared" si="494"/>
        <v>1</v>
      </c>
      <c r="R6677" s="272"/>
      <c r="S6677" s="272"/>
    </row>
    <row r="6678" spans="9:19">
      <c r="I6678" s="213"/>
      <c r="J6678" s="213"/>
      <c r="L6678" s="272">
        <f t="shared" si="491"/>
        <v>1900</v>
      </c>
      <c r="M6678" s="272">
        <f t="shared" si="492"/>
        <v>1</v>
      </c>
      <c r="O6678" s="61">
        <f t="shared" si="493"/>
        <v>1900</v>
      </c>
      <c r="P6678" s="61">
        <f t="shared" si="494"/>
        <v>1</v>
      </c>
      <c r="R6678" s="272"/>
      <c r="S6678" s="272"/>
    </row>
    <row r="6679" spans="9:19">
      <c r="I6679" s="213"/>
      <c r="J6679" s="213"/>
      <c r="L6679" s="272">
        <f t="shared" si="491"/>
        <v>1900</v>
      </c>
      <c r="M6679" s="272">
        <f t="shared" si="492"/>
        <v>1</v>
      </c>
      <c r="O6679" s="61">
        <f t="shared" si="493"/>
        <v>1900</v>
      </c>
      <c r="P6679" s="61">
        <f t="shared" si="494"/>
        <v>1</v>
      </c>
      <c r="R6679" s="272"/>
      <c r="S6679" s="272"/>
    </row>
    <row r="6680" spans="9:19">
      <c r="I6680" s="213"/>
      <c r="J6680" s="213"/>
      <c r="L6680" s="272">
        <f t="shared" si="491"/>
        <v>1900</v>
      </c>
      <c r="M6680" s="272">
        <f t="shared" si="492"/>
        <v>1</v>
      </c>
      <c r="O6680" s="61">
        <f t="shared" si="493"/>
        <v>1900</v>
      </c>
      <c r="P6680" s="61">
        <f t="shared" si="494"/>
        <v>1</v>
      </c>
      <c r="R6680" s="272"/>
      <c r="S6680" s="272"/>
    </row>
    <row r="6681" spans="9:19">
      <c r="I6681" s="213"/>
      <c r="J6681" s="213"/>
      <c r="L6681" s="272">
        <f t="shared" si="491"/>
        <v>1900</v>
      </c>
      <c r="M6681" s="272">
        <f t="shared" si="492"/>
        <v>1</v>
      </c>
      <c r="O6681" s="61">
        <f t="shared" si="493"/>
        <v>1900</v>
      </c>
      <c r="P6681" s="61">
        <f t="shared" si="494"/>
        <v>1</v>
      </c>
      <c r="R6681" s="272"/>
      <c r="S6681" s="272"/>
    </row>
    <row r="6682" spans="9:19">
      <c r="I6682" s="213"/>
      <c r="J6682" s="213"/>
      <c r="L6682" s="272">
        <f t="shared" si="491"/>
        <v>1900</v>
      </c>
      <c r="M6682" s="272">
        <f t="shared" si="492"/>
        <v>1</v>
      </c>
      <c r="O6682" s="61">
        <f t="shared" si="493"/>
        <v>1900</v>
      </c>
      <c r="P6682" s="61">
        <f t="shared" si="494"/>
        <v>1</v>
      </c>
      <c r="R6682" s="272"/>
      <c r="S6682" s="272"/>
    </row>
    <row r="6683" spans="9:19">
      <c r="I6683" s="213"/>
      <c r="J6683" s="213"/>
      <c r="L6683" s="272">
        <f t="shared" si="491"/>
        <v>1900</v>
      </c>
      <c r="M6683" s="272">
        <f t="shared" si="492"/>
        <v>1</v>
      </c>
      <c r="O6683" s="61">
        <f t="shared" si="493"/>
        <v>1900</v>
      </c>
      <c r="P6683" s="61">
        <f t="shared" si="494"/>
        <v>1</v>
      </c>
      <c r="R6683" s="272"/>
      <c r="S6683" s="272"/>
    </row>
    <row r="6684" spans="9:19">
      <c r="I6684" s="213"/>
      <c r="J6684" s="213"/>
      <c r="L6684" s="272">
        <f t="shared" si="491"/>
        <v>1900</v>
      </c>
      <c r="M6684" s="272">
        <f t="shared" si="492"/>
        <v>1</v>
      </c>
      <c r="O6684" s="61">
        <f t="shared" si="493"/>
        <v>1900</v>
      </c>
      <c r="P6684" s="61">
        <f t="shared" si="494"/>
        <v>1</v>
      </c>
      <c r="R6684" s="272"/>
      <c r="S6684" s="272"/>
    </row>
    <row r="6685" spans="9:19">
      <c r="I6685" s="213"/>
      <c r="J6685" s="213"/>
      <c r="L6685" s="272">
        <f t="shared" si="491"/>
        <v>1900</v>
      </c>
      <c r="M6685" s="272">
        <f t="shared" si="492"/>
        <v>1</v>
      </c>
      <c r="O6685" s="61">
        <f t="shared" si="493"/>
        <v>1900</v>
      </c>
      <c r="P6685" s="61">
        <f t="shared" si="494"/>
        <v>1</v>
      </c>
      <c r="R6685" s="272"/>
      <c r="S6685" s="272"/>
    </row>
    <row r="6686" spans="9:19">
      <c r="I6686" s="213"/>
      <c r="J6686" s="213"/>
      <c r="L6686" s="272">
        <f t="shared" si="491"/>
        <v>1900</v>
      </c>
      <c r="M6686" s="272">
        <f t="shared" si="492"/>
        <v>1</v>
      </c>
      <c r="O6686" s="61">
        <f t="shared" si="493"/>
        <v>1900</v>
      </c>
      <c r="P6686" s="61">
        <f t="shared" si="494"/>
        <v>1</v>
      </c>
      <c r="R6686" s="272"/>
      <c r="S6686" s="272"/>
    </row>
    <row r="6687" spans="9:19">
      <c r="I6687" s="213"/>
      <c r="J6687" s="213"/>
      <c r="L6687" s="272">
        <f t="shared" si="491"/>
        <v>1900</v>
      </c>
      <c r="M6687" s="272">
        <f t="shared" si="492"/>
        <v>1</v>
      </c>
      <c r="O6687" s="61">
        <f t="shared" si="493"/>
        <v>1900</v>
      </c>
      <c r="P6687" s="61">
        <f t="shared" si="494"/>
        <v>1</v>
      </c>
      <c r="R6687" s="272"/>
      <c r="S6687" s="272"/>
    </row>
    <row r="6688" spans="9:19">
      <c r="I6688" s="213"/>
      <c r="J6688" s="213"/>
      <c r="L6688" s="272">
        <f t="shared" si="491"/>
        <v>1900</v>
      </c>
      <c r="M6688" s="272">
        <f t="shared" si="492"/>
        <v>1</v>
      </c>
      <c r="O6688" s="61">
        <f t="shared" si="493"/>
        <v>1900</v>
      </c>
      <c r="P6688" s="61">
        <f t="shared" si="494"/>
        <v>1</v>
      </c>
      <c r="R6688" s="272"/>
      <c r="S6688" s="272"/>
    </row>
    <row r="6689" spans="9:19">
      <c r="I6689" s="213"/>
      <c r="J6689" s="213"/>
      <c r="L6689" s="272">
        <f t="shared" si="491"/>
        <v>1900</v>
      </c>
      <c r="M6689" s="272">
        <f t="shared" si="492"/>
        <v>1</v>
      </c>
      <c r="O6689" s="61">
        <f t="shared" si="493"/>
        <v>1900</v>
      </c>
      <c r="P6689" s="61">
        <f t="shared" si="494"/>
        <v>1</v>
      </c>
      <c r="R6689" s="272"/>
      <c r="S6689" s="272"/>
    </row>
    <row r="6690" spans="9:19">
      <c r="I6690" s="213"/>
      <c r="J6690" s="213"/>
      <c r="L6690" s="272">
        <f t="shared" si="491"/>
        <v>1900</v>
      </c>
      <c r="M6690" s="272">
        <f t="shared" si="492"/>
        <v>1</v>
      </c>
      <c r="O6690" s="61">
        <f t="shared" si="493"/>
        <v>1900</v>
      </c>
      <c r="P6690" s="61">
        <f t="shared" si="494"/>
        <v>1</v>
      </c>
      <c r="R6690" s="272"/>
      <c r="S6690" s="272"/>
    </row>
    <row r="6691" spans="9:19">
      <c r="I6691" s="213"/>
      <c r="J6691" s="213"/>
      <c r="L6691" s="272">
        <f t="shared" si="491"/>
        <v>1900</v>
      </c>
      <c r="M6691" s="272">
        <f t="shared" si="492"/>
        <v>1</v>
      </c>
      <c r="O6691" s="61">
        <f t="shared" si="493"/>
        <v>1900</v>
      </c>
      <c r="P6691" s="61">
        <f t="shared" si="494"/>
        <v>1</v>
      </c>
      <c r="R6691" s="272"/>
      <c r="S6691" s="272"/>
    </row>
    <row r="6692" spans="9:19">
      <c r="I6692" s="213"/>
      <c r="J6692" s="213"/>
      <c r="L6692" s="272">
        <f t="shared" si="491"/>
        <v>1900</v>
      </c>
      <c r="M6692" s="272">
        <f t="shared" si="492"/>
        <v>1</v>
      </c>
      <c r="O6692" s="61">
        <f t="shared" si="493"/>
        <v>1900</v>
      </c>
      <c r="P6692" s="61">
        <f t="shared" si="494"/>
        <v>1</v>
      </c>
      <c r="R6692" s="272"/>
      <c r="S6692" s="272"/>
    </row>
    <row r="6693" spans="9:19">
      <c r="I6693" s="213"/>
      <c r="J6693" s="213"/>
      <c r="L6693" s="272">
        <f t="shared" si="491"/>
        <v>1900</v>
      </c>
      <c r="M6693" s="272">
        <f t="shared" si="492"/>
        <v>1</v>
      </c>
      <c r="O6693" s="61">
        <f t="shared" si="493"/>
        <v>1900</v>
      </c>
      <c r="P6693" s="61">
        <f t="shared" si="494"/>
        <v>1</v>
      </c>
      <c r="R6693" s="272"/>
      <c r="S6693" s="272"/>
    </row>
    <row r="6694" spans="9:19">
      <c r="I6694" s="213"/>
      <c r="J6694" s="213"/>
      <c r="L6694" s="272">
        <f t="shared" si="491"/>
        <v>1900</v>
      </c>
      <c r="M6694" s="272">
        <f t="shared" si="492"/>
        <v>1</v>
      </c>
      <c r="O6694" s="61">
        <f t="shared" si="493"/>
        <v>1900</v>
      </c>
      <c r="P6694" s="61">
        <f t="shared" si="494"/>
        <v>1</v>
      </c>
      <c r="R6694" s="272"/>
      <c r="S6694" s="272"/>
    </row>
    <row r="6695" spans="9:19">
      <c r="I6695" s="213"/>
      <c r="J6695" s="213"/>
      <c r="L6695" s="272">
        <f t="shared" si="491"/>
        <v>1900</v>
      </c>
      <c r="M6695" s="272">
        <f t="shared" si="492"/>
        <v>1</v>
      </c>
      <c r="O6695" s="61">
        <f t="shared" si="493"/>
        <v>1900</v>
      </c>
      <c r="P6695" s="61">
        <f t="shared" si="494"/>
        <v>1</v>
      </c>
      <c r="R6695" s="272"/>
      <c r="S6695" s="272"/>
    </row>
    <row r="6696" spans="9:19">
      <c r="I6696" s="213"/>
      <c r="J6696" s="213"/>
      <c r="L6696" s="272">
        <f t="shared" si="491"/>
        <v>1900</v>
      </c>
      <c r="M6696" s="272">
        <f t="shared" si="492"/>
        <v>1</v>
      </c>
      <c r="O6696" s="61">
        <f t="shared" si="493"/>
        <v>1900</v>
      </c>
      <c r="P6696" s="61">
        <f t="shared" si="494"/>
        <v>1</v>
      </c>
      <c r="R6696" s="272"/>
      <c r="S6696" s="272"/>
    </row>
    <row r="6697" spans="9:19">
      <c r="I6697" s="213"/>
      <c r="J6697" s="213"/>
      <c r="L6697" s="272">
        <f t="shared" si="491"/>
        <v>1900</v>
      </c>
      <c r="M6697" s="272">
        <f t="shared" si="492"/>
        <v>1</v>
      </c>
      <c r="O6697" s="61">
        <f t="shared" si="493"/>
        <v>1900</v>
      </c>
      <c r="P6697" s="61">
        <f t="shared" si="494"/>
        <v>1</v>
      </c>
      <c r="R6697" s="272"/>
      <c r="S6697" s="272"/>
    </row>
    <row r="6698" spans="9:19">
      <c r="I6698" s="213"/>
      <c r="J6698" s="213"/>
      <c r="L6698" s="272">
        <f t="shared" si="491"/>
        <v>1900</v>
      </c>
      <c r="M6698" s="272">
        <f t="shared" si="492"/>
        <v>1</v>
      </c>
      <c r="O6698" s="61">
        <f t="shared" si="493"/>
        <v>1900</v>
      </c>
      <c r="P6698" s="61">
        <f t="shared" si="494"/>
        <v>1</v>
      </c>
      <c r="R6698" s="272"/>
      <c r="S6698" s="272"/>
    </row>
    <row r="6699" spans="9:19">
      <c r="I6699" s="213"/>
      <c r="J6699" s="213"/>
      <c r="L6699" s="272">
        <f t="shared" si="491"/>
        <v>1900</v>
      </c>
      <c r="M6699" s="272">
        <f t="shared" si="492"/>
        <v>1</v>
      </c>
      <c r="O6699" s="61">
        <f t="shared" si="493"/>
        <v>1900</v>
      </c>
      <c r="P6699" s="61">
        <f t="shared" si="494"/>
        <v>1</v>
      </c>
      <c r="R6699" s="272"/>
      <c r="S6699" s="272"/>
    </row>
    <row r="6700" spans="9:19">
      <c r="I6700" s="213"/>
      <c r="J6700" s="213"/>
      <c r="L6700" s="272">
        <f t="shared" si="491"/>
        <v>1900</v>
      </c>
      <c r="M6700" s="272">
        <f t="shared" si="492"/>
        <v>1</v>
      </c>
      <c r="O6700" s="61">
        <f t="shared" si="493"/>
        <v>1900</v>
      </c>
      <c r="P6700" s="61">
        <f t="shared" si="494"/>
        <v>1</v>
      </c>
      <c r="R6700" s="272"/>
      <c r="S6700" s="272"/>
    </row>
    <row r="6701" spans="9:19">
      <c r="I6701" s="213"/>
      <c r="J6701" s="213"/>
      <c r="L6701" s="272">
        <f t="shared" si="491"/>
        <v>1900</v>
      </c>
      <c r="M6701" s="272">
        <f t="shared" si="492"/>
        <v>1</v>
      </c>
      <c r="O6701" s="61">
        <f t="shared" si="493"/>
        <v>1900</v>
      </c>
      <c r="P6701" s="61">
        <f t="shared" si="494"/>
        <v>1</v>
      </c>
      <c r="R6701" s="272"/>
      <c r="S6701" s="272"/>
    </row>
    <row r="6702" spans="9:19">
      <c r="I6702" s="213"/>
      <c r="J6702" s="213"/>
      <c r="L6702" s="272">
        <f t="shared" si="491"/>
        <v>1900</v>
      </c>
      <c r="M6702" s="272">
        <f t="shared" si="492"/>
        <v>1</v>
      </c>
      <c r="O6702" s="61">
        <f t="shared" si="493"/>
        <v>1900</v>
      </c>
      <c r="P6702" s="61">
        <f t="shared" si="494"/>
        <v>1</v>
      </c>
      <c r="R6702" s="272"/>
      <c r="S6702" s="272"/>
    </row>
    <row r="6703" spans="9:19">
      <c r="I6703" s="213"/>
      <c r="J6703" s="213"/>
      <c r="L6703" s="272">
        <f t="shared" si="491"/>
        <v>1900</v>
      </c>
      <c r="M6703" s="272">
        <f t="shared" si="492"/>
        <v>1</v>
      </c>
      <c r="O6703" s="61">
        <f t="shared" si="493"/>
        <v>1900</v>
      </c>
      <c r="P6703" s="61">
        <f t="shared" si="494"/>
        <v>1</v>
      </c>
      <c r="R6703" s="272"/>
      <c r="S6703" s="272"/>
    </row>
    <row r="6704" spans="9:19">
      <c r="I6704" s="213"/>
      <c r="J6704" s="213"/>
      <c r="L6704" s="272">
        <f t="shared" si="491"/>
        <v>1900</v>
      </c>
      <c r="M6704" s="272">
        <f t="shared" si="492"/>
        <v>1</v>
      </c>
      <c r="O6704" s="61">
        <f t="shared" si="493"/>
        <v>1900</v>
      </c>
      <c r="P6704" s="61">
        <f t="shared" si="494"/>
        <v>1</v>
      </c>
      <c r="R6704" s="272"/>
      <c r="S6704" s="272"/>
    </row>
    <row r="6705" spans="9:19">
      <c r="I6705" s="213"/>
      <c r="J6705" s="213"/>
      <c r="L6705" s="272">
        <f t="shared" si="491"/>
        <v>1900</v>
      </c>
      <c r="M6705" s="272">
        <f t="shared" si="492"/>
        <v>1</v>
      </c>
      <c r="O6705" s="61">
        <f t="shared" si="493"/>
        <v>1900</v>
      </c>
      <c r="P6705" s="61">
        <f t="shared" si="494"/>
        <v>1</v>
      </c>
      <c r="R6705" s="272"/>
      <c r="S6705" s="272"/>
    </row>
    <row r="6706" spans="9:19">
      <c r="I6706" s="213"/>
      <c r="J6706" s="213"/>
      <c r="L6706" s="272">
        <f t="shared" si="491"/>
        <v>1900</v>
      </c>
      <c r="M6706" s="272">
        <f t="shared" si="492"/>
        <v>1</v>
      </c>
      <c r="O6706" s="61">
        <f t="shared" si="493"/>
        <v>1900</v>
      </c>
      <c r="P6706" s="61">
        <f t="shared" si="494"/>
        <v>1</v>
      </c>
      <c r="R6706" s="272"/>
      <c r="S6706" s="272"/>
    </row>
    <row r="6707" spans="9:19">
      <c r="I6707" s="213"/>
      <c r="J6707" s="213"/>
      <c r="L6707" s="272">
        <f t="shared" si="491"/>
        <v>1900</v>
      </c>
      <c r="M6707" s="272">
        <f t="shared" si="492"/>
        <v>1</v>
      </c>
      <c r="O6707" s="61">
        <f t="shared" si="493"/>
        <v>1900</v>
      </c>
      <c r="P6707" s="61">
        <f t="shared" si="494"/>
        <v>1</v>
      </c>
      <c r="R6707" s="272"/>
      <c r="S6707" s="272"/>
    </row>
    <row r="6708" spans="9:19">
      <c r="I6708" s="213"/>
      <c r="J6708" s="213"/>
      <c r="L6708" s="272">
        <f t="shared" si="491"/>
        <v>1900</v>
      </c>
      <c r="M6708" s="272">
        <f t="shared" si="492"/>
        <v>1</v>
      </c>
      <c r="O6708" s="61">
        <f t="shared" si="493"/>
        <v>1900</v>
      </c>
      <c r="P6708" s="61">
        <f t="shared" si="494"/>
        <v>1</v>
      </c>
      <c r="R6708" s="272"/>
      <c r="S6708" s="272"/>
    </row>
    <row r="6709" spans="9:19">
      <c r="I6709" s="213"/>
      <c r="J6709" s="213"/>
      <c r="L6709" s="272">
        <f t="shared" si="491"/>
        <v>1900</v>
      </c>
      <c r="M6709" s="272">
        <f t="shared" si="492"/>
        <v>1</v>
      </c>
      <c r="O6709" s="61">
        <f t="shared" si="493"/>
        <v>1900</v>
      </c>
      <c r="P6709" s="61">
        <f t="shared" si="494"/>
        <v>1</v>
      </c>
      <c r="R6709" s="272"/>
      <c r="S6709" s="272"/>
    </row>
    <row r="6710" spans="9:19">
      <c r="I6710" s="213"/>
      <c r="J6710" s="213"/>
      <c r="L6710" s="272">
        <f t="shared" si="491"/>
        <v>1900</v>
      </c>
      <c r="M6710" s="272">
        <f t="shared" si="492"/>
        <v>1</v>
      </c>
      <c r="O6710" s="61">
        <f t="shared" si="493"/>
        <v>1900</v>
      </c>
      <c r="P6710" s="61">
        <f t="shared" si="494"/>
        <v>1</v>
      </c>
      <c r="R6710" s="272"/>
      <c r="S6710" s="272"/>
    </row>
    <row r="6711" spans="9:19">
      <c r="I6711" s="213"/>
      <c r="J6711" s="213"/>
      <c r="L6711" s="272">
        <f t="shared" si="491"/>
        <v>1900</v>
      </c>
      <c r="M6711" s="272">
        <f t="shared" si="492"/>
        <v>1</v>
      </c>
      <c r="O6711" s="61">
        <f t="shared" si="493"/>
        <v>1900</v>
      </c>
      <c r="P6711" s="61">
        <f t="shared" si="494"/>
        <v>1</v>
      </c>
      <c r="R6711" s="272"/>
      <c r="S6711" s="272"/>
    </row>
    <row r="6712" spans="9:19">
      <c r="I6712" s="213"/>
      <c r="J6712" s="213"/>
      <c r="L6712" s="272">
        <f t="shared" si="491"/>
        <v>1900</v>
      </c>
      <c r="M6712" s="272">
        <f t="shared" si="492"/>
        <v>1</v>
      </c>
      <c r="O6712" s="61">
        <f t="shared" si="493"/>
        <v>1900</v>
      </c>
      <c r="P6712" s="61">
        <f t="shared" si="494"/>
        <v>1</v>
      </c>
      <c r="R6712" s="272"/>
      <c r="S6712" s="272"/>
    </row>
    <row r="6713" spans="9:19">
      <c r="I6713" s="213"/>
      <c r="J6713" s="213"/>
      <c r="L6713" s="272">
        <f t="shared" si="491"/>
        <v>1900</v>
      </c>
      <c r="M6713" s="272">
        <f t="shared" si="492"/>
        <v>1</v>
      </c>
      <c r="O6713" s="61">
        <f t="shared" si="493"/>
        <v>1900</v>
      </c>
      <c r="P6713" s="61">
        <f t="shared" si="494"/>
        <v>1</v>
      </c>
      <c r="R6713" s="272"/>
      <c r="S6713" s="272"/>
    </row>
    <row r="6714" spans="9:19">
      <c r="I6714" s="213"/>
      <c r="J6714" s="213"/>
      <c r="L6714" s="272">
        <f t="shared" si="491"/>
        <v>1900</v>
      </c>
      <c r="M6714" s="272">
        <f t="shared" si="492"/>
        <v>1</v>
      </c>
      <c r="O6714" s="61">
        <f t="shared" si="493"/>
        <v>1900</v>
      </c>
      <c r="P6714" s="61">
        <f t="shared" si="494"/>
        <v>1</v>
      </c>
      <c r="R6714" s="272"/>
      <c r="S6714" s="272"/>
    </row>
    <row r="6715" spans="9:19">
      <c r="I6715" s="213"/>
      <c r="J6715" s="213"/>
      <c r="L6715" s="272">
        <f t="shared" si="491"/>
        <v>1900</v>
      </c>
      <c r="M6715" s="272">
        <f t="shared" si="492"/>
        <v>1</v>
      </c>
      <c r="O6715" s="61">
        <f t="shared" si="493"/>
        <v>1900</v>
      </c>
      <c r="P6715" s="61">
        <f t="shared" si="494"/>
        <v>1</v>
      </c>
      <c r="R6715" s="272"/>
      <c r="S6715" s="272"/>
    </row>
    <row r="6716" spans="9:19">
      <c r="I6716" s="213"/>
      <c r="J6716" s="213"/>
      <c r="L6716" s="272">
        <f t="shared" si="491"/>
        <v>1900</v>
      </c>
      <c r="M6716" s="272">
        <f t="shared" si="492"/>
        <v>1</v>
      </c>
      <c r="O6716" s="61">
        <f t="shared" si="493"/>
        <v>1900</v>
      </c>
      <c r="P6716" s="61">
        <f t="shared" si="494"/>
        <v>1</v>
      </c>
      <c r="R6716" s="272"/>
      <c r="S6716" s="272"/>
    </row>
    <row r="6717" spans="9:19">
      <c r="I6717" s="213"/>
      <c r="J6717" s="213"/>
      <c r="L6717" s="272">
        <f t="shared" si="491"/>
        <v>1900</v>
      </c>
      <c r="M6717" s="272">
        <f t="shared" si="492"/>
        <v>1</v>
      </c>
      <c r="O6717" s="61">
        <f t="shared" si="493"/>
        <v>1900</v>
      </c>
      <c r="P6717" s="61">
        <f t="shared" si="494"/>
        <v>1</v>
      </c>
      <c r="R6717" s="272"/>
      <c r="S6717" s="272"/>
    </row>
    <row r="6718" spans="9:19">
      <c r="I6718" s="213"/>
      <c r="J6718" s="213"/>
      <c r="L6718" s="272">
        <f t="shared" si="491"/>
        <v>1900</v>
      </c>
      <c r="M6718" s="272">
        <f t="shared" si="492"/>
        <v>1</v>
      </c>
      <c r="O6718" s="61">
        <f t="shared" si="493"/>
        <v>1900</v>
      </c>
      <c r="P6718" s="61">
        <f t="shared" si="494"/>
        <v>1</v>
      </c>
      <c r="R6718" s="272"/>
      <c r="S6718" s="272"/>
    </row>
    <row r="6719" spans="9:19">
      <c r="I6719" s="213"/>
      <c r="J6719" s="213"/>
      <c r="L6719" s="272">
        <f t="shared" si="491"/>
        <v>1900</v>
      </c>
      <c r="M6719" s="272">
        <f t="shared" si="492"/>
        <v>1</v>
      </c>
      <c r="O6719" s="61">
        <f t="shared" si="493"/>
        <v>1900</v>
      </c>
      <c r="P6719" s="61">
        <f t="shared" si="494"/>
        <v>1</v>
      </c>
      <c r="R6719" s="272"/>
      <c r="S6719" s="272"/>
    </row>
    <row r="6720" spans="9:19">
      <c r="I6720" s="213"/>
      <c r="J6720" s="213"/>
      <c r="L6720" s="272">
        <f t="shared" si="491"/>
        <v>1900</v>
      </c>
      <c r="M6720" s="272">
        <f t="shared" si="492"/>
        <v>1</v>
      </c>
      <c r="O6720" s="61">
        <f t="shared" si="493"/>
        <v>1900</v>
      </c>
      <c r="P6720" s="61">
        <f t="shared" si="494"/>
        <v>1</v>
      </c>
      <c r="R6720" s="272"/>
      <c r="S6720" s="272"/>
    </row>
    <row r="6721" spans="9:19">
      <c r="I6721" s="213"/>
      <c r="J6721" s="213"/>
      <c r="L6721" s="272">
        <f t="shared" si="491"/>
        <v>1900</v>
      </c>
      <c r="M6721" s="272">
        <f t="shared" si="492"/>
        <v>1</v>
      </c>
      <c r="O6721" s="61">
        <f t="shared" si="493"/>
        <v>1900</v>
      </c>
      <c r="P6721" s="61">
        <f t="shared" si="494"/>
        <v>1</v>
      </c>
      <c r="R6721" s="272"/>
      <c r="S6721" s="272"/>
    </row>
    <row r="6722" spans="9:19">
      <c r="I6722" s="213"/>
      <c r="J6722" s="213"/>
      <c r="L6722" s="272">
        <f t="shared" si="491"/>
        <v>1900</v>
      </c>
      <c r="M6722" s="272">
        <f t="shared" si="492"/>
        <v>1</v>
      </c>
      <c r="O6722" s="61">
        <f t="shared" si="493"/>
        <v>1900</v>
      </c>
      <c r="P6722" s="61">
        <f t="shared" si="494"/>
        <v>1</v>
      </c>
      <c r="R6722" s="272"/>
      <c r="S6722" s="272"/>
    </row>
    <row r="6723" spans="9:19">
      <c r="I6723" s="213"/>
      <c r="J6723" s="213"/>
      <c r="L6723" s="272">
        <f t="shared" si="491"/>
        <v>1900</v>
      </c>
      <c r="M6723" s="272">
        <f t="shared" si="492"/>
        <v>1</v>
      </c>
      <c r="O6723" s="61">
        <f t="shared" si="493"/>
        <v>1900</v>
      </c>
      <c r="P6723" s="61">
        <f t="shared" si="494"/>
        <v>1</v>
      </c>
      <c r="R6723" s="272"/>
      <c r="S6723" s="272"/>
    </row>
    <row r="6724" spans="9:19">
      <c r="I6724" s="213"/>
      <c r="J6724" s="213"/>
      <c r="L6724" s="272">
        <f t="shared" si="491"/>
        <v>1900</v>
      </c>
      <c r="M6724" s="272">
        <f t="shared" si="492"/>
        <v>1</v>
      </c>
      <c r="O6724" s="61">
        <f t="shared" si="493"/>
        <v>1900</v>
      </c>
      <c r="P6724" s="61">
        <f t="shared" si="494"/>
        <v>1</v>
      </c>
      <c r="R6724" s="272"/>
      <c r="S6724" s="272"/>
    </row>
    <row r="6725" spans="9:19">
      <c r="I6725" s="213"/>
      <c r="J6725" s="213"/>
      <c r="L6725" s="272">
        <f t="shared" si="491"/>
        <v>1900</v>
      </c>
      <c r="M6725" s="272">
        <f t="shared" si="492"/>
        <v>1</v>
      </c>
      <c r="O6725" s="61">
        <f t="shared" si="493"/>
        <v>1900</v>
      </c>
      <c r="P6725" s="61">
        <f t="shared" si="494"/>
        <v>1</v>
      </c>
      <c r="R6725" s="272"/>
      <c r="S6725" s="272"/>
    </row>
    <row r="6726" spans="9:19">
      <c r="I6726" s="213"/>
      <c r="J6726" s="213"/>
      <c r="L6726" s="272">
        <f t="shared" si="491"/>
        <v>1900</v>
      </c>
      <c r="M6726" s="272">
        <f t="shared" si="492"/>
        <v>1</v>
      </c>
      <c r="O6726" s="61">
        <f t="shared" si="493"/>
        <v>1900</v>
      </c>
      <c r="P6726" s="61">
        <f t="shared" si="494"/>
        <v>1</v>
      </c>
      <c r="R6726" s="272"/>
      <c r="S6726" s="272"/>
    </row>
    <row r="6727" spans="9:19">
      <c r="I6727" s="213"/>
      <c r="J6727" s="213"/>
      <c r="L6727" s="272">
        <f t="shared" si="491"/>
        <v>1900</v>
      </c>
      <c r="M6727" s="272">
        <f t="shared" si="492"/>
        <v>1</v>
      </c>
      <c r="O6727" s="61">
        <f t="shared" si="493"/>
        <v>1900</v>
      </c>
      <c r="P6727" s="61">
        <f t="shared" si="494"/>
        <v>1</v>
      </c>
      <c r="R6727" s="272"/>
      <c r="S6727" s="272"/>
    </row>
    <row r="6728" spans="9:19">
      <c r="I6728" s="213"/>
      <c r="J6728" s="213"/>
      <c r="L6728" s="272">
        <f t="shared" si="491"/>
        <v>1900</v>
      </c>
      <c r="M6728" s="272">
        <f t="shared" si="492"/>
        <v>1</v>
      </c>
      <c r="O6728" s="61">
        <f t="shared" si="493"/>
        <v>1900</v>
      </c>
      <c r="P6728" s="61">
        <f t="shared" si="494"/>
        <v>1</v>
      </c>
      <c r="R6728" s="272"/>
      <c r="S6728" s="272"/>
    </row>
    <row r="6729" spans="9:19">
      <c r="I6729" s="213"/>
      <c r="J6729" s="213"/>
      <c r="L6729" s="272">
        <f t="shared" si="491"/>
        <v>1900</v>
      </c>
      <c r="M6729" s="272">
        <f t="shared" si="492"/>
        <v>1</v>
      </c>
      <c r="O6729" s="61">
        <f t="shared" si="493"/>
        <v>1900</v>
      </c>
      <c r="P6729" s="61">
        <f t="shared" si="494"/>
        <v>1</v>
      </c>
      <c r="R6729" s="272"/>
      <c r="S6729" s="272"/>
    </row>
    <row r="6730" spans="9:19">
      <c r="I6730" s="213"/>
      <c r="J6730" s="213"/>
      <c r="L6730" s="272">
        <f t="shared" si="491"/>
        <v>1900</v>
      </c>
      <c r="M6730" s="272">
        <f t="shared" si="492"/>
        <v>1</v>
      </c>
      <c r="O6730" s="61">
        <f t="shared" si="493"/>
        <v>1900</v>
      </c>
      <c r="P6730" s="61">
        <f t="shared" si="494"/>
        <v>1</v>
      </c>
      <c r="R6730" s="272"/>
      <c r="S6730" s="272"/>
    </row>
    <row r="6731" spans="9:19">
      <c r="I6731" s="213"/>
      <c r="J6731" s="213"/>
      <c r="L6731" s="272">
        <f t="shared" si="491"/>
        <v>1900</v>
      </c>
      <c r="M6731" s="272">
        <f t="shared" si="492"/>
        <v>1</v>
      </c>
      <c r="O6731" s="61">
        <f t="shared" si="493"/>
        <v>1900</v>
      </c>
      <c r="P6731" s="61">
        <f t="shared" si="494"/>
        <v>1</v>
      </c>
      <c r="R6731" s="272"/>
      <c r="S6731" s="272"/>
    </row>
    <row r="6732" spans="9:19">
      <c r="I6732" s="213"/>
      <c r="J6732" s="213"/>
      <c r="L6732" s="272">
        <f t="shared" si="491"/>
        <v>1900</v>
      </c>
      <c r="M6732" s="272">
        <f t="shared" si="492"/>
        <v>1</v>
      </c>
      <c r="O6732" s="61">
        <f t="shared" si="493"/>
        <v>1900</v>
      </c>
      <c r="P6732" s="61">
        <f t="shared" si="494"/>
        <v>1</v>
      </c>
      <c r="R6732" s="272"/>
      <c r="S6732" s="272"/>
    </row>
    <row r="6733" spans="9:19">
      <c r="I6733" s="213"/>
      <c r="J6733" s="213"/>
      <c r="L6733" s="272">
        <f t="shared" si="491"/>
        <v>1900</v>
      </c>
      <c r="M6733" s="272">
        <f t="shared" si="492"/>
        <v>1</v>
      </c>
      <c r="O6733" s="61">
        <f t="shared" si="493"/>
        <v>1900</v>
      </c>
      <c r="P6733" s="61">
        <f t="shared" si="494"/>
        <v>1</v>
      </c>
      <c r="R6733" s="272"/>
      <c r="S6733" s="272"/>
    </row>
    <row r="6734" spans="9:19">
      <c r="I6734" s="213"/>
      <c r="J6734" s="213"/>
      <c r="L6734" s="272">
        <f t="shared" si="491"/>
        <v>1900</v>
      </c>
      <c r="M6734" s="272">
        <f t="shared" si="492"/>
        <v>1</v>
      </c>
      <c r="O6734" s="61">
        <f t="shared" si="493"/>
        <v>1900</v>
      </c>
      <c r="P6734" s="61">
        <f t="shared" si="494"/>
        <v>1</v>
      </c>
      <c r="R6734" s="272"/>
      <c r="S6734" s="272"/>
    </row>
    <row r="6735" spans="9:19">
      <c r="I6735" s="213"/>
      <c r="J6735" s="213"/>
      <c r="L6735" s="272">
        <f t="shared" si="491"/>
        <v>1900</v>
      </c>
      <c r="M6735" s="272">
        <f t="shared" si="492"/>
        <v>1</v>
      </c>
      <c r="O6735" s="61">
        <f t="shared" si="493"/>
        <v>1900</v>
      </c>
      <c r="P6735" s="61">
        <f t="shared" si="494"/>
        <v>1</v>
      </c>
      <c r="R6735" s="272"/>
      <c r="S6735" s="272"/>
    </row>
    <row r="6736" spans="9:19">
      <c r="I6736" s="213"/>
      <c r="J6736" s="213"/>
      <c r="L6736" s="272">
        <f t="shared" ref="L6736:L6799" si="495">YEAR(B6736)</f>
        <v>1900</v>
      </c>
      <c r="M6736" s="272">
        <f t="shared" ref="M6736:M6799" si="496">MONTH(B6736)</f>
        <v>1</v>
      </c>
      <c r="O6736" s="61">
        <f t="shared" ref="O6736:O6799" si="497">YEAR(B6736)</f>
        <v>1900</v>
      </c>
      <c r="P6736" s="61">
        <f t="shared" ref="P6736:P6799" si="498">MONTH(B6736)</f>
        <v>1</v>
      </c>
      <c r="R6736" s="272"/>
      <c r="S6736" s="272"/>
    </row>
    <row r="6737" spans="9:19">
      <c r="I6737" s="213"/>
      <c r="J6737" s="213"/>
      <c r="L6737" s="272">
        <f t="shared" si="495"/>
        <v>1900</v>
      </c>
      <c r="M6737" s="272">
        <f t="shared" si="496"/>
        <v>1</v>
      </c>
      <c r="O6737" s="61">
        <f t="shared" si="497"/>
        <v>1900</v>
      </c>
      <c r="P6737" s="61">
        <f t="shared" si="498"/>
        <v>1</v>
      </c>
      <c r="R6737" s="272"/>
      <c r="S6737" s="272"/>
    </row>
    <row r="6738" spans="9:19">
      <c r="I6738" s="213"/>
      <c r="J6738" s="213"/>
      <c r="L6738" s="272">
        <f t="shared" si="495"/>
        <v>1900</v>
      </c>
      <c r="M6738" s="272">
        <f t="shared" si="496"/>
        <v>1</v>
      </c>
      <c r="O6738" s="61">
        <f t="shared" si="497"/>
        <v>1900</v>
      </c>
      <c r="P6738" s="61">
        <f t="shared" si="498"/>
        <v>1</v>
      </c>
      <c r="R6738" s="272"/>
      <c r="S6738" s="272"/>
    </row>
    <row r="6739" spans="9:19">
      <c r="I6739" s="213"/>
      <c r="J6739" s="213"/>
      <c r="L6739" s="272">
        <f t="shared" si="495"/>
        <v>1900</v>
      </c>
      <c r="M6739" s="272">
        <f t="shared" si="496"/>
        <v>1</v>
      </c>
      <c r="O6739" s="61">
        <f t="shared" si="497"/>
        <v>1900</v>
      </c>
      <c r="P6739" s="61">
        <f t="shared" si="498"/>
        <v>1</v>
      </c>
      <c r="R6739" s="272"/>
      <c r="S6739" s="272"/>
    </row>
    <row r="6740" spans="9:19">
      <c r="I6740" s="213"/>
      <c r="J6740" s="213"/>
      <c r="L6740" s="272">
        <f t="shared" si="495"/>
        <v>1900</v>
      </c>
      <c r="M6740" s="272">
        <f t="shared" si="496"/>
        <v>1</v>
      </c>
      <c r="O6740" s="61">
        <f t="shared" si="497"/>
        <v>1900</v>
      </c>
      <c r="P6740" s="61">
        <f t="shared" si="498"/>
        <v>1</v>
      </c>
      <c r="R6740" s="272"/>
      <c r="S6740" s="272"/>
    </row>
    <row r="6741" spans="9:19">
      <c r="I6741" s="213"/>
      <c r="J6741" s="213"/>
      <c r="L6741" s="272">
        <f t="shared" si="495"/>
        <v>1900</v>
      </c>
      <c r="M6741" s="272">
        <f t="shared" si="496"/>
        <v>1</v>
      </c>
      <c r="O6741" s="61">
        <f t="shared" si="497"/>
        <v>1900</v>
      </c>
      <c r="P6741" s="61">
        <f t="shared" si="498"/>
        <v>1</v>
      </c>
      <c r="R6741" s="272"/>
      <c r="S6741" s="272"/>
    </row>
    <row r="6742" spans="9:19">
      <c r="I6742" s="213"/>
      <c r="J6742" s="213"/>
      <c r="L6742" s="272">
        <f t="shared" si="495"/>
        <v>1900</v>
      </c>
      <c r="M6742" s="272">
        <f t="shared" si="496"/>
        <v>1</v>
      </c>
      <c r="O6742" s="61">
        <f t="shared" si="497"/>
        <v>1900</v>
      </c>
      <c r="P6742" s="61">
        <f t="shared" si="498"/>
        <v>1</v>
      </c>
      <c r="R6742" s="272"/>
      <c r="S6742" s="272"/>
    </row>
    <row r="6743" spans="9:19">
      <c r="I6743" s="213"/>
      <c r="J6743" s="213"/>
      <c r="L6743" s="272">
        <f t="shared" si="495"/>
        <v>1900</v>
      </c>
      <c r="M6743" s="272">
        <f t="shared" si="496"/>
        <v>1</v>
      </c>
      <c r="O6743" s="61">
        <f t="shared" si="497"/>
        <v>1900</v>
      </c>
      <c r="P6743" s="61">
        <f t="shared" si="498"/>
        <v>1</v>
      </c>
      <c r="R6743" s="272"/>
      <c r="S6743" s="272"/>
    </row>
    <row r="6744" spans="9:19">
      <c r="I6744" s="213"/>
      <c r="J6744" s="213"/>
      <c r="L6744" s="272">
        <f t="shared" si="495"/>
        <v>1900</v>
      </c>
      <c r="M6744" s="272">
        <f t="shared" si="496"/>
        <v>1</v>
      </c>
      <c r="O6744" s="61">
        <f t="shared" si="497"/>
        <v>1900</v>
      </c>
      <c r="P6744" s="61">
        <f t="shared" si="498"/>
        <v>1</v>
      </c>
      <c r="R6744" s="272"/>
      <c r="S6744" s="272"/>
    </row>
    <row r="6745" spans="9:19">
      <c r="I6745" s="213"/>
      <c r="J6745" s="213"/>
      <c r="L6745" s="272">
        <f t="shared" si="495"/>
        <v>1900</v>
      </c>
      <c r="M6745" s="272">
        <f t="shared" si="496"/>
        <v>1</v>
      </c>
      <c r="O6745" s="61">
        <f t="shared" si="497"/>
        <v>1900</v>
      </c>
      <c r="P6745" s="61">
        <f t="shared" si="498"/>
        <v>1</v>
      </c>
      <c r="R6745" s="272"/>
      <c r="S6745" s="272"/>
    </row>
    <row r="6746" spans="9:19">
      <c r="I6746" s="213"/>
      <c r="J6746" s="213"/>
      <c r="L6746" s="272">
        <f t="shared" si="495"/>
        <v>1900</v>
      </c>
      <c r="M6746" s="272">
        <f t="shared" si="496"/>
        <v>1</v>
      </c>
      <c r="O6746" s="61">
        <f t="shared" si="497"/>
        <v>1900</v>
      </c>
      <c r="P6746" s="61">
        <f t="shared" si="498"/>
        <v>1</v>
      </c>
      <c r="R6746" s="272"/>
      <c r="S6746" s="272"/>
    </row>
    <row r="6747" spans="9:19">
      <c r="I6747" s="213"/>
      <c r="J6747" s="213"/>
      <c r="L6747" s="272">
        <f t="shared" si="495"/>
        <v>1900</v>
      </c>
      <c r="M6747" s="272">
        <f t="shared" si="496"/>
        <v>1</v>
      </c>
      <c r="O6747" s="61">
        <f t="shared" si="497"/>
        <v>1900</v>
      </c>
      <c r="P6747" s="61">
        <f t="shared" si="498"/>
        <v>1</v>
      </c>
      <c r="R6747" s="272"/>
      <c r="S6747" s="272"/>
    </row>
    <row r="6748" spans="9:19">
      <c r="I6748" s="213"/>
      <c r="J6748" s="213"/>
      <c r="L6748" s="272">
        <f t="shared" si="495"/>
        <v>1900</v>
      </c>
      <c r="M6748" s="272">
        <f t="shared" si="496"/>
        <v>1</v>
      </c>
      <c r="O6748" s="61">
        <f t="shared" si="497"/>
        <v>1900</v>
      </c>
      <c r="P6748" s="61">
        <f t="shared" si="498"/>
        <v>1</v>
      </c>
      <c r="R6748" s="272"/>
      <c r="S6748" s="272"/>
    </row>
    <row r="6749" spans="9:19">
      <c r="I6749" s="213"/>
      <c r="J6749" s="213"/>
      <c r="L6749" s="272">
        <f t="shared" si="495"/>
        <v>1900</v>
      </c>
      <c r="M6749" s="272">
        <f t="shared" si="496"/>
        <v>1</v>
      </c>
      <c r="O6749" s="61">
        <f t="shared" si="497"/>
        <v>1900</v>
      </c>
      <c r="P6749" s="61">
        <f t="shared" si="498"/>
        <v>1</v>
      </c>
      <c r="R6749" s="272"/>
      <c r="S6749" s="272"/>
    </row>
    <row r="6750" spans="9:19">
      <c r="I6750" s="213"/>
      <c r="J6750" s="213"/>
      <c r="L6750" s="272">
        <f t="shared" si="495"/>
        <v>1900</v>
      </c>
      <c r="M6750" s="272">
        <f t="shared" si="496"/>
        <v>1</v>
      </c>
      <c r="O6750" s="61">
        <f t="shared" si="497"/>
        <v>1900</v>
      </c>
      <c r="P6750" s="61">
        <f t="shared" si="498"/>
        <v>1</v>
      </c>
      <c r="R6750" s="272"/>
      <c r="S6750" s="272"/>
    </row>
    <row r="6751" spans="9:19">
      <c r="I6751" s="213"/>
      <c r="J6751" s="213"/>
      <c r="L6751" s="272">
        <f t="shared" si="495"/>
        <v>1900</v>
      </c>
      <c r="M6751" s="272">
        <f t="shared" si="496"/>
        <v>1</v>
      </c>
      <c r="O6751" s="61">
        <f t="shared" si="497"/>
        <v>1900</v>
      </c>
      <c r="P6751" s="61">
        <f t="shared" si="498"/>
        <v>1</v>
      </c>
      <c r="R6751" s="272"/>
      <c r="S6751" s="272"/>
    </row>
    <row r="6752" spans="9:19">
      <c r="I6752" s="213"/>
      <c r="J6752" s="213"/>
      <c r="L6752" s="272">
        <f t="shared" si="495"/>
        <v>1900</v>
      </c>
      <c r="M6752" s="272">
        <f t="shared" si="496"/>
        <v>1</v>
      </c>
      <c r="O6752" s="61">
        <f t="shared" si="497"/>
        <v>1900</v>
      </c>
      <c r="P6752" s="61">
        <f t="shared" si="498"/>
        <v>1</v>
      </c>
      <c r="R6752" s="272"/>
      <c r="S6752" s="272"/>
    </row>
    <row r="6753" spans="9:19">
      <c r="I6753" s="213"/>
      <c r="J6753" s="213"/>
      <c r="L6753" s="272">
        <f t="shared" si="495"/>
        <v>1900</v>
      </c>
      <c r="M6753" s="272">
        <f t="shared" si="496"/>
        <v>1</v>
      </c>
      <c r="O6753" s="61">
        <f t="shared" si="497"/>
        <v>1900</v>
      </c>
      <c r="P6753" s="61">
        <f t="shared" si="498"/>
        <v>1</v>
      </c>
      <c r="R6753" s="272"/>
      <c r="S6753" s="272"/>
    </row>
    <row r="6754" spans="9:19">
      <c r="I6754" s="213"/>
      <c r="J6754" s="213"/>
      <c r="L6754" s="272">
        <f t="shared" si="495"/>
        <v>1900</v>
      </c>
      <c r="M6754" s="272">
        <f t="shared" si="496"/>
        <v>1</v>
      </c>
      <c r="O6754" s="61">
        <f t="shared" si="497"/>
        <v>1900</v>
      </c>
      <c r="P6754" s="61">
        <f t="shared" si="498"/>
        <v>1</v>
      </c>
      <c r="R6754" s="272"/>
      <c r="S6754" s="272"/>
    </row>
    <row r="6755" spans="9:19">
      <c r="I6755" s="213"/>
      <c r="J6755" s="213"/>
      <c r="L6755" s="272">
        <f t="shared" si="495"/>
        <v>1900</v>
      </c>
      <c r="M6755" s="272">
        <f t="shared" si="496"/>
        <v>1</v>
      </c>
      <c r="O6755" s="61">
        <f t="shared" si="497"/>
        <v>1900</v>
      </c>
      <c r="P6755" s="61">
        <f t="shared" si="498"/>
        <v>1</v>
      </c>
      <c r="R6755" s="272"/>
      <c r="S6755" s="272"/>
    </row>
    <row r="6756" spans="9:19">
      <c r="I6756" s="213"/>
      <c r="J6756" s="213"/>
      <c r="L6756" s="272">
        <f t="shared" si="495"/>
        <v>1900</v>
      </c>
      <c r="M6756" s="272">
        <f t="shared" si="496"/>
        <v>1</v>
      </c>
      <c r="O6756" s="61">
        <f t="shared" si="497"/>
        <v>1900</v>
      </c>
      <c r="P6756" s="61">
        <f t="shared" si="498"/>
        <v>1</v>
      </c>
      <c r="R6756" s="272"/>
      <c r="S6756" s="272"/>
    </row>
    <row r="6757" spans="9:19">
      <c r="I6757" s="213"/>
      <c r="J6757" s="213"/>
      <c r="L6757" s="272">
        <f t="shared" si="495"/>
        <v>1900</v>
      </c>
      <c r="M6757" s="272">
        <f t="shared" si="496"/>
        <v>1</v>
      </c>
      <c r="O6757" s="61">
        <f t="shared" si="497"/>
        <v>1900</v>
      </c>
      <c r="P6757" s="61">
        <f t="shared" si="498"/>
        <v>1</v>
      </c>
      <c r="R6757" s="272"/>
      <c r="S6757" s="272"/>
    </row>
    <row r="6758" spans="9:19">
      <c r="I6758" s="213"/>
      <c r="J6758" s="213"/>
      <c r="L6758" s="272">
        <f t="shared" si="495"/>
        <v>1900</v>
      </c>
      <c r="M6758" s="272">
        <f t="shared" si="496"/>
        <v>1</v>
      </c>
      <c r="O6758" s="61">
        <f t="shared" si="497"/>
        <v>1900</v>
      </c>
      <c r="P6758" s="61">
        <f t="shared" si="498"/>
        <v>1</v>
      </c>
      <c r="R6758" s="272"/>
      <c r="S6758" s="272"/>
    </row>
    <row r="6759" spans="9:19">
      <c r="I6759" s="213"/>
      <c r="J6759" s="213"/>
      <c r="L6759" s="272">
        <f t="shared" si="495"/>
        <v>1900</v>
      </c>
      <c r="M6759" s="272">
        <f t="shared" si="496"/>
        <v>1</v>
      </c>
      <c r="O6759" s="61">
        <f t="shared" si="497"/>
        <v>1900</v>
      </c>
      <c r="P6759" s="61">
        <f t="shared" si="498"/>
        <v>1</v>
      </c>
      <c r="R6759" s="272"/>
      <c r="S6759" s="272"/>
    </row>
    <row r="6760" spans="9:19">
      <c r="I6760" s="213"/>
      <c r="J6760" s="213"/>
      <c r="L6760" s="272">
        <f t="shared" si="495"/>
        <v>1900</v>
      </c>
      <c r="M6760" s="272">
        <f t="shared" si="496"/>
        <v>1</v>
      </c>
      <c r="O6760" s="61">
        <f t="shared" si="497"/>
        <v>1900</v>
      </c>
      <c r="P6760" s="61">
        <f t="shared" si="498"/>
        <v>1</v>
      </c>
      <c r="R6760" s="272"/>
      <c r="S6760" s="272"/>
    </row>
    <row r="6761" spans="9:19">
      <c r="I6761" s="213"/>
      <c r="J6761" s="213"/>
      <c r="L6761" s="272">
        <f t="shared" si="495"/>
        <v>1900</v>
      </c>
      <c r="M6761" s="272">
        <f t="shared" si="496"/>
        <v>1</v>
      </c>
      <c r="O6761" s="61">
        <f t="shared" si="497"/>
        <v>1900</v>
      </c>
      <c r="P6761" s="61">
        <f t="shared" si="498"/>
        <v>1</v>
      </c>
      <c r="R6761" s="272"/>
      <c r="S6761" s="272"/>
    </row>
    <row r="6762" spans="9:19">
      <c r="I6762" s="213"/>
      <c r="J6762" s="213"/>
      <c r="L6762" s="272">
        <f t="shared" si="495"/>
        <v>1900</v>
      </c>
      <c r="M6762" s="272">
        <f t="shared" si="496"/>
        <v>1</v>
      </c>
      <c r="O6762" s="61">
        <f t="shared" si="497"/>
        <v>1900</v>
      </c>
      <c r="P6762" s="61">
        <f t="shared" si="498"/>
        <v>1</v>
      </c>
      <c r="R6762" s="272"/>
      <c r="S6762" s="272"/>
    </row>
    <row r="6763" spans="9:19">
      <c r="I6763" s="213"/>
      <c r="J6763" s="213"/>
      <c r="L6763" s="272">
        <f t="shared" si="495"/>
        <v>1900</v>
      </c>
      <c r="M6763" s="272">
        <f t="shared" si="496"/>
        <v>1</v>
      </c>
      <c r="O6763" s="61">
        <f t="shared" si="497"/>
        <v>1900</v>
      </c>
      <c r="P6763" s="61">
        <f t="shared" si="498"/>
        <v>1</v>
      </c>
      <c r="R6763" s="272"/>
      <c r="S6763" s="272"/>
    </row>
    <row r="6764" spans="9:19">
      <c r="I6764" s="213"/>
      <c r="J6764" s="213"/>
      <c r="L6764" s="272">
        <f t="shared" si="495"/>
        <v>1900</v>
      </c>
      <c r="M6764" s="272">
        <f t="shared" si="496"/>
        <v>1</v>
      </c>
      <c r="O6764" s="61">
        <f t="shared" si="497"/>
        <v>1900</v>
      </c>
      <c r="P6764" s="61">
        <f t="shared" si="498"/>
        <v>1</v>
      </c>
      <c r="R6764" s="272"/>
      <c r="S6764" s="272"/>
    </row>
    <row r="6765" spans="9:19">
      <c r="I6765" s="213"/>
      <c r="J6765" s="213"/>
      <c r="L6765" s="272">
        <f t="shared" si="495"/>
        <v>1900</v>
      </c>
      <c r="M6765" s="272">
        <f t="shared" si="496"/>
        <v>1</v>
      </c>
      <c r="O6765" s="61">
        <f t="shared" si="497"/>
        <v>1900</v>
      </c>
      <c r="P6765" s="61">
        <f t="shared" si="498"/>
        <v>1</v>
      </c>
      <c r="R6765" s="272"/>
      <c r="S6765" s="272"/>
    </row>
    <row r="6766" spans="9:19">
      <c r="I6766" s="213"/>
      <c r="J6766" s="213"/>
      <c r="L6766" s="272">
        <f t="shared" si="495"/>
        <v>1900</v>
      </c>
      <c r="M6766" s="272">
        <f t="shared" si="496"/>
        <v>1</v>
      </c>
      <c r="O6766" s="61">
        <f t="shared" si="497"/>
        <v>1900</v>
      </c>
      <c r="P6766" s="61">
        <f t="shared" si="498"/>
        <v>1</v>
      </c>
      <c r="R6766" s="272"/>
      <c r="S6766" s="272"/>
    </row>
    <row r="6767" spans="9:19">
      <c r="I6767" s="213"/>
      <c r="J6767" s="213"/>
      <c r="L6767" s="272">
        <f t="shared" si="495"/>
        <v>1900</v>
      </c>
      <c r="M6767" s="272">
        <f t="shared" si="496"/>
        <v>1</v>
      </c>
      <c r="O6767" s="61">
        <f t="shared" si="497"/>
        <v>1900</v>
      </c>
      <c r="P6767" s="61">
        <f t="shared" si="498"/>
        <v>1</v>
      </c>
      <c r="R6767" s="272"/>
      <c r="S6767" s="272"/>
    </row>
    <row r="6768" spans="9:19">
      <c r="I6768" s="213"/>
      <c r="J6768" s="213"/>
      <c r="L6768" s="272">
        <f t="shared" si="495"/>
        <v>1900</v>
      </c>
      <c r="M6768" s="272">
        <f t="shared" si="496"/>
        <v>1</v>
      </c>
      <c r="O6768" s="61">
        <f t="shared" si="497"/>
        <v>1900</v>
      </c>
      <c r="P6768" s="61">
        <f t="shared" si="498"/>
        <v>1</v>
      </c>
      <c r="R6768" s="272"/>
      <c r="S6768" s="272"/>
    </row>
    <row r="6769" spans="9:19">
      <c r="I6769" s="213"/>
      <c r="J6769" s="213"/>
      <c r="L6769" s="272">
        <f t="shared" si="495"/>
        <v>1900</v>
      </c>
      <c r="M6769" s="272">
        <f t="shared" si="496"/>
        <v>1</v>
      </c>
      <c r="O6769" s="61">
        <f t="shared" si="497"/>
        <v>1900</v>
      </c>
      <c r="P6769" s="61">
        <f t="shared" si="498"/>
        <v>1</v>
      </c>
      <c r="R6769" s="272"/>
      <c r="S6769" s="272"/>
    </row>
    <row r="6770" spans="9:19">
      <c r="I6770" s="213"/>
      <c r="J6770" s="213"/>
      <c r="L6770" s="272">
        <f t="shared" si="495"/>
        <v>1900</v>
      </c>
      <c r="M6770" s="272">
        <f t="shared" si="496"/>
        <v>1</v>
      </c>
      <c r="O6770" s="61">
        <f t="shared" si="497"/>
        <v>1900</v>
      </c>
      <c r="P6770" s="61">
        <f t="shared" si="498"/>
        <v>1</v>
      </c>
      <c r="R6770" s="272"/>
      <c r="S6770" s="272"/>
    </row>
    <row r="6771" spans="9:19">
      <c r="I6771" s="213"/>
      <c r="J6771" s="213"/>
      <c r="L6771" s="272">
        <f t="shared" si="495"/>
        <v>1900</v>
      </c>
      <c r="M6771" s="272">
        <f t="shared" si="496"/>
        <v>1</v>
      </c>
      <c r="O6771" s="61">
        <f t="shared" si="497"/>
        <v>1900</v>
      </c>
      <c r="P6771" s="61">
        <f t="shared" si="498"/>
        <v>1</v>
      </c>
      <c r="R6771" s="272"/>
      <c r="S6771" s="272"/>
    </row>
    <row r="6772" spans="9:19">
      <c r="I6772" s="213"/>
      <c r="J6772" s="213"/>
      <c r="L6772" s="272">
        <f t="shared" si="495"/>
        <v>1900</v>
      </c>
      <c r="M6772" s="272">
        <f t="shared" si="496"/>
        <v>1</v>
      </c>
      <c r="O6772" s="61">
        <f t="shared" si="497"/>
        <v>1900</v>
      </c>
      <c r="P6772" s="61">
        <f t="shared" si="498"/>
        <v>1</v>
      </c>
      <c r="R6772" s="272"/>
      <c r="S6772" s="272"/>
    </row>
    <row r="6773" spans="9:19">
      <c r="I6773" s="213"/>
      <c r="J6773" s="213"/>
      <c r="L6773" s="272">
        <f t="shared" si="495"/>
        <v>1900</v>
      </c>
      <c r="M6773" s="272">
        <f t="shared" si="496"/>
        <v>1</v>
      </c>
      <c r="O6773" s="61">
        <f t="shared" si="497"/>
        <v>1900</v>
      </c>
      <c r="P6773" s="61">
        <f t="shared" si="498"/>
        <v>1</v>
      </c>
      <c r="R6773" s="272"/>
      <c r="S6773" s="272"/>
    </row>
    <row r="6774" spans="9:19">
      <c r="I6774" s="213"/>
      <c r="J6774" s="213"/>
      <c r="L6774" s="272">
        <f t="shared" si="495"/>
        <v>1900</v>
      </c>
      <c r="M6774" s="272">
        <f t="shared" si="496"/>
        <v>1</v>
      </c>
      <c r="O6774" s="61">
        <f t="shared" si="497"/>
        <v>1900</v>
      </c>
      <c r="P6774" s="61">
        <f t="shared" si="498"/>
        <v>1</v>
      </c>
      <c r="R6774" s="272"/>
      <c r="S6774" s="272"/>
    </row>
    <row r="6775" spans="9:19">
      <c r="I6775" s="213"/>
      <c r="J6775" s="213"/>
      <c r="L6775" s="272">
        <f t="shared" si="495"/>
        <v>1900</v>
      </c>
      <c r="M6775" s="272">
        <f t="shared" si="496"/>
        <v>1</v>
      </c>
      <c r="O6775" s="61">
        <f t="shared" si="497"/>
        <v>1900</v>
      </c>
      <c r="P6775" s="61">
        <f t="shared" si="498"/>
        <v>1</v>
      </c>
      <c r="R6775" s="272"/>
      <c r="S6775" s="272"/>
    </row>
    <row r="6776" spans="9:19">
      <c r="I6776" s="213"/>
      <c r="J6776" s="213"/>
      <c r="L6776" s="272">
        <f t="shared" si="495"/>
        <v>1900</v>
      </c>
      <c r="M6776" s="272">
        <f t="shared" si="496"/>
        <v>1</v>
      </c>
      <c r="O6776" s="61">
        <f t="shared" si="497"/>
        <v>1900</v>
      </c>
      <c r="P6776" s="61">
        <f t="shared" si="498"/>
        <v>1</v>
      </c>
      <c r="R6776" s="272"/>
      <c r="S6776" s="272"/>
    </row>
    <row r="6777" spans="9:19">
      <c r="I6777" s="213"/>
      <c r="J6777" s="213"/>
      <c r="L6777" s="272">
        <f t="shared" si="495"/>
        <v>1900</v>
      </c>
      <c r="M6777" s="272">
        <f t="shared" si="496"/>
        <v>1</v>
      </c>
      <c r="O6777" s="61">
        <f t="shared" si="497"/>
        <v>1900</v>
      </c>
      <c r="P6777" s="61">
        <f t="shared" si="498"/>
        <v>1</v>
      </c>
      <c r="R6777" s="272"/>
      <c r="S6777" s="272"/>
    </row>
    <row r="6778" spans="9:19">
      <c r="I6778" s="213"/>
      <c r="J6778" s="213"/>
      <c r="L6778" s="272">
        <f t="shared" si="495"/>
        <v>1900</v>
      </c>
      <c r="M6778" s="272">
        <f t="shared" si="496"/>
        <v>1</v>
      </c>
      <c r="O6778" s="61">
        <f t="shared" si="497"/>
        <v>1900</v>
      </c>
      <c r="P6778" s="61">
        <f t="shared" si="498"/>
        <v>1</v>
      </c>
      <c r="R6778" s="272"/>
      <c r="S6778" s="272"/>
    </row>
    <row r="6779" spans="9:19">
      <c r="I6779" s="213"/>
      <c r="J6779" s="213"/>
      <c r="L6779" s="272">
        <f t="shared" si="495"/>
        <v>1900</v>
      </c>
      <c r="M6779" s="272">
        <f t="shared" si="496"/>
        <v>1</v>
      </c>
      <c r="O6779" s="61">
        <f t="shared" si="497"/>
        <v>1900</v>
      </c>
      <c r="P6779" s="61">
        <f t="shared" si="498"/>
        <v>1</v>
      </c>
      <c r="R6779" s="272"/>
      <c r="S6779" s="272"/>
    </row>
    <row r="6780" spans="9:19">
      <c r="I6780" s="213"/>
      <c r="J6780" s="213"/>
      <c r="L6780" s="272">
        <f t="shared" si="495"/>
        <v>1900</v>
      </c>
      <c r="M6780" s="272">
        <f t="shared" si="496"/>
        <v>1</v>
      </c>
      <c r="O6780" s="61">
        <f t="shared" si="497"/>
        <v>1900</v>
      </c>
      <c r="P6780" s="61">
        <f t="shared" si="498"/>
        <v>1</v>
      </c>
      <c r="R6780" s="272"/>
      <c r="S6780" s="272"/>
    </row>
    <row r="6781" spans="9:19">
      <c r="I6781" s="213"/>
      <c r="J6781" s="213"/>
      <c r="L6781" s="272">
        <f t="shared" si="495"/>
        <v>1900</v>
      </c>
      <c r="M6781" s="272">
        <f t="shared" si="496"/>
        <v>1</v>
      </c>
      <c r="O6781" s="61">
        <f t="shared" si="497"/>
        <v>1900</v>
      </c>
      <c r="P6781" s="61">
        <f t="shared" si="498"/>
        <v>1</v>
      </c>
      <c r="R6781" s="272"/>
      <c r="S6781" s="272"/>
    </row>
    <row r="6782" spans="9:19">
      <c r="I6782" s="213"/>
      <c r="J6782" s="213"/>
      <c r="L6782" s="272">
        <f t="shared" si="495"/>
        <v>1900</v>
      </c>
      <c r="M6782" s="272">
        <f t="shared" si="496"/>
        <v>1</v>
      </c>
      <c r="O6782" s="61">
        <f t="shared" si="497"/>
        <v>1900</v>
      </c>
      <c r="P6782" s="61">
        <f t="shared" si="498"/>
        <v>1</v>
      </c>
      <c r="R6782" s="272"/>
      <c r="S6782" s="272"/>
    </row>
    <row r="6783" spans="9:19">
      <c r="I6783" s="213"/>
      <c r="J6783" s="213"/>
      <c r="L6783" s="272">
        <f t="shared" si="495"/>
        <v>1900</v>
      </c>
      <c r="M6783" s="272">
        <f t="shared" si="496"/>
        <v>1</v>
      </c>
      <c r="O6783" s="61">
        <f t="shared" si="497"/>
        <v>1900</v>
      </c>
      <c r="P6783" s="61">
        <f t="shared" si="498"/>
        <v>1</v>
      </c>
      <c r="R6783" s="272"/>
      <c r="S6783" s="272"/>
    </row>
    <row r="6784" spans="9:19">
      <c r="I6784" s="213"/>
      <c r="J6784" s="213"/>
      <c r="L6784" s="272">
        <f t="shared" si="495"/>
        <v>1900</v>
      </c>
      <c r="M6784" s="272">
        <f t="shared" si="496"/>
        <v>1</v>
      </c>
      <c r="O6784" s="61">
        <f t="shared" si="497"/>
        <v>1900</v>
      </c>
      <c r="P6784" s="61">
        <f t="shared" si="498"/>
        <v>1</v>
      </c>
      <c r="R6784" s="272"/>
      <c r="S6784" s="272"/>
    </row>
    <row r="6785" spans="9:19">
      <c r="I6785" s="213"/>
      <c r="J6785" s="213"/>
      <c r="L6785" s="272">
        <f t="shared" si="495"/>
        <v>1900</v>
      </c>
      <c r="M6785" s="272">
        <f t="shared" si="496"/>
        <v>1</v>
      </c>
      <c r="O6785" s="61">
        <f t="shared" si="497"/>
        <v>1900</v>
      </c>
      <c r="P6785" s="61">
        <f t="shared" si="498"/>
        <v>1</v>
      </c>
      <c r="R6785" s="272"/>
      <c r="S6785" s="272"/>
    </row>
    <row r="6786" spans="9:19">
      <c r="I6786" s="213"/>
      <c r="J6786" s="213"/>
      <c r="L6786" s="272">
        <f t="shared" si="495"/>
        <v>1900</v>
      </c>
      <c r="M6786" s="272">
        <f t="shared" si="496"/>
        <v>1</v>
      </c>
      <c r="O6786" s="61">
        <f t="shared" si="497"/>
        <v>1900</v>
      </c>
      <c r="P6786" s="61">
        <f t="shared" si="498"/>
        <v>1</v>
      </c>
      <c r="R6786" s="272"/>
      <c r="S6786" s="272"/>
    </row>
    <row r="6787" spans="9:19">
      <c r="I6787" s="213"/>
      <c r="J6787" s="213"/>
      <c r="L6787" s="272">
        <f t="shared" si="495"/>
        <v>1900</v>
      </c>
      <c r="M6787" s="272">
        <f t="shared" si="496"/>
        <v>1</v>
      </c>
      <c r="O6787" s="61">
        <f t="shared" si="497"/>
        <v>1900</v>
      </c>
      <c r="P6787" s="61">
        <f t="shared" si="498"/>
        <v>1</v>
      </c>
      <c r="R6787" s="272"/>
      <c r="S6787" s="272"/>
    </row>
    <row r="6788" spans="9:19">
      <c r="I6788" s="213"/>
      <c r="J6788" s="213"/>
      <c r="L6788" s="272">
        <f t="shared" si="495"/>
        <v>1900</v>
      </c>
      <c r="M6788" s="272">
        <f t="shared" si="496"/>
        <v>1</v>
      </c>
      <c r="O6788" s="61">
        <f t="shared" si="497"/>
        <v>1900</v>
      </c>
      <c r="P6788" s="61">
        <f t="shared" si="498"/>
        <v>1</v>
      </c>
      <c r="R6788" s="272"/>
      <c r="S6788" s="272"/>
    </row>
    <row r="6789" spans="9:19">
      <c r="I6789" s="213"/>
      <c r="J6789" s="213"/>
      <c r="L6789" s="272">
        <f t="shared" si="495"/>
        <v>1900</v>
      </c>
      <c r="M6789" s="272">
        <f t="shared" si="496"/>
        <v>1</v>
      </c>
      <c r="O6789" s="61">
        <f t="shared" si="497"/>
        <v>1900</v>
      </c>
      <c r="P6789" s="61">
        <f t="shared" si="498"/>
        <v>1</v>
      </c>
      <c r="R6789" s="272"/>
      <c r="S6789" s="272"/>
    </row>
    <row r="6790" spans="9:19">
      <c r="I6790" s="213"/>
      <c r="J6790" s="213"/>
      <c r="L6790" s="272">
        <f t="shared" si="495"/>
        <v>1900</v>
      </c>
      <c r="M6790" s="272">
        <f t="shared" si="496"/>
        <v>1</v>
      </c>
      <c r="O6790" s="61">
        <f t="shared" si="497"/>
        <v>1900</v>
      </c>
      <c r="P6790" s="61">
        <f t="shared" si="498"/>
        <v>1</v>
      </c>
      <c r="R6790" s="272"/>
      <c r="S6790" s="272"/>
    </row>
    <row r="6791" spans="9:19">
      <c r="I6791" s="213"/>
      <c r="J6791" s="213"/>
      <c r="L6791" s="272">
        <f t="shared" si="495"/>
        <v>1900</v>
      </c>
      <c r="M6791" s="272">
        <f t="shared" si="496"/>
        <v>1</v>
      </c>
      <c r="O6791" s="61">
        <f t="shared" si="497"/>
        <v>1900</v>
      </c>
      <c r="P6791" s="61">
        <f t="shared" si="498"/>
        <v>1</v>
      </c>
      <c r="R6791" s="272"/>
      <c r="S6791" s="272"/>
    </row>
    <row r="6792" spans="9:19">
      <c r="I6792" s="213"/>
      <c r="J6792" s="213"/>
      <c r="L6792" s="272">
        <f t="shared" si="495"/>
        <v>1900</v>
      </c>
      <c r="M6792" s="272">
        <f t="shared" si="496"/>
        <v>1</v>
      </c>
      <c r="O6792" s="61">
        <f t="shared" si="497"/>
        <v>1900</v>
      </c>
      <c r="P6792" s="61">
        <f t="shared" si="498"/>
        <v>1</v>
      </c>
      <c r="R6792" s="272"/>
      <c r="S6792" s="272"/>
    </row>
    <row r="6793" spans="9:19">
      <c r="I6793" s="213"/>
      <c r="J6793" s="213"/>
      <c r="L6793" s="272">
        <f t="shared" si="495"/>
        <v>1900</v>
      </c>
      <c r="M6793" s="272">
        <f t="shared" si="496"/>
        <v>1</v>
      </c>
      <c r="O6793" s="61">
        <f t="shared" si="497"/>
        <v>1900</v>
      </c>
      <c r="P6793" s="61">
        <f t="shared" si="498"/>
        <v>1</v>
      </c>
      <c r="R6793" s="272"/>
      <c r="S6793" s="272"/>
    </row>
    <row r="6794" spans="9:19">
      <c r="I6794" s="213"/>
      <c r="J6794" s="213"/>
      <c r="L6794" s="272">
        <f t="shared" si="495"/>
        <v>1900</v>
      </c>
      <c r="M6794" s="272">
        <f t="shared" si="496"/>
        <v>1</v>
      </c>
      <c r="O6794" s="61">
        <f t="shared" si="497"/>
        <v>1900</v>
      </c>
      <c r="P6794" s="61">
        <f t="shared" si="498"/>
        <v>1</v>
      </c>
      <c r="R6794" s="272"/>
      <c r="S6794" s="272"/>
    </row>
    <row r="6795" spans="9:19">
      <c r="I6795" s="213"/>
      <c r="J6795" s="213"/>
      <c r="L6795" s="272">
        <f t="shared" si="495"/>
        <v>1900</v>
      </c>
      <c r="M6795" s="272">
        <f t="shared" si="496"/>
        <v>1</v>
      </c>
      <c r="O6795" s="61">
        <f t="shared" si="497"/>
        <v>1900</v>
      </c>
      <c r="P6795" s="61">
        <f t="shared" si="498"/>
        <v>1</v>
      </c>
      <c r="R6795" s="272"/>
      <c r="S6795" s="272"/>
    </row>
    <row r="6796" spans="9:19">
      <c r="I6796" s="213"/>
      <c r="J6796" s="213"/>
      <c r="L6796" s="272">
        <f t="shared" si="495"/>
        <v>1900</v>
      </c>
      <c r="M6796" s="272">
        <f t="shared" si="496"/>
        <v>1</v>
      </c>
      <c r="O6796" s="61">
        <f t="shared" si="497"/>
        <v>1900</v>
      </c>
      <c r="P6796" s="61">
        <f t="shared" si="498"/>
        <v>1</v>
      </c>
      <c r="R6796" s="272"/>
      <c r="S6796" s="272"/>
    </row>
    <row r="6797" spans="9:19">
      <c r="I6797" s="213"/>
      <c r="J6797" s="213"/>
      <c r="L6797" s="272">
        <f t="shared" si="495"/>
        <v>1900</v>
      </c>
      <c r="M6797" s="272">
        <f t="shared" si="496"/>
        <v>1</v>
      </c>
      <c r="O6797" s="61">
        <f t="shared" si="497"/>
        <v>1900</v>
      </c>
      <c r="P6797" s="61">
        <f t="shared" si="498"/>
        <v>1</v>
      </c>
      <c r="R6797" s="272"/>
      <c r="S6797" s="272"/>
    </row>
    <row r="6798" spans="9:19">
      <c r="I6798" s="213"/>
      <c r="J6798" s="213"/>
      <c r="L6798" s="272">
        <f t="shared" si="495"/>
        <v>1900</v>
      </c>
      <c r="M6798" s="272">
        <f t="shared" si="496"/>
        <v>1</v>
      </c>
      <c r="O6798" s="61">
        <f t="shared" si="497"/>
        <v>1900</v>
      </c>
      <c r="P6798" s="61">
        <f t="shared" si="498"/>
        <v>1</v>
      </c>
      <c r="R6798" s="272"/>
      <c r="S6798" s="272"/>
    </row>
    <row r="6799" spans="9:19">
      <c r="I6799" s="213"/>
      <c r="J6799" s="213"/>
      <c r="L6799" s="272">
        <f t="shared" si="495"/>
        <v>1900</v>
      </c>
      <c r="M6799" s="272">
        <f t="shared" si="496"/>
        <v>1</v>
      </c>
      <c r="O6799" s="61">
        <f t="shared" si="497"/>
        <v>1900</v>
      </c>
      <c r="P6799" s="61">
        <f t="shared" si="498"/>
        <v>1</v>
      </c>
      <c r="R6799" s="272"/>
      <c r="S6799" s="272"/>
    </row>
    <row r="6800" spans="9:19">
      <c r="I6800" s="213"/>
      <c r="J6800" s="213"/>
      <c r="L6800" s="272">
        <f t="shared" ref="L6800:L6863" si="499">YEAR(B6800)</f>
        <v>1900</v>
      </c>
      <c r="M6800" s="272">
        <f t="shared" ref="M6800:M6863" si="500">MONTH(B6800)</f>
        <v>1</v>
      </c>
      <c r="O6800" s="61">
        <f t="shared" ref="O6800:O6863" si="501">YEAR(B6800)</f>
        <v>1900</v>
      </c>
      <c r="P6800" s="61">
        <f t="shared" ref="P6800:P6863" si="502">MONTH(B6800)</f>
        <v>1</v>
      </c>
      <c r="R6800" s="272"/>
      <c r="S6800" s="272"/>
    </row>
    <row r="6801" spans="9:19">
      <c r="I6801" s="213"/>
      <c r="J6801" s="213"/>
      <c r="L6801" s="272">
        <f t="shared" si="499"/>
        <v>1900</v>
      </c>
      <c r="M6801" s="272">
        <f t="shared" si="500"/>
        <v>1</v>
      </c>
      <c r="O6801" s="61">
        <f t="shared" si="501"/>
        <v>1900</v>
      </c>
      <c r="P6801" s="61">
        <f t="shared" si="502"/>
        <v>1</v>
      </c>
      <c r="R6801" s="272"/>
      <c r="S6801" s="272"/>
    </row>
    <row r="6802" spans="9:19">
      <c r="I6802" s="213"/>
      <c r="J6802" s="213"/>
      <c r="L6802" s="272">
        <f t="shared" si="499"/>
        <v>1900</v>
      </c>
      <c r="M6802" s="272">
        <f t="shared" si="500"/>
        <v>1</v>
      </c>
      <c r="O6802" s="61">
        <f t="shared" si="501"/>
        <v>1900</v>
      </c>
      <c r="P6802" s="61">
        <f t="shared" si="502"/>
        <v>1</v>
      </c>
      <c r="R6802" s="272"/>
      <c r="S6802" s="272"/>
    </row>
    <row r="6803" spans="9:19">
      <c r="I6803" s="213"/>
      <c r="J6803" s="213"/>
      <c r="L6803" s="272">
        <f t="shared" si="499"/>
        <v>1900</v>
      </c>
      <c r="M6803" s="272">
        <f t="shared" si="500"/>
        <v>1</v>
      </c>
      <c r="O6803" s="61">
        <f t="shared" si="501"/>
        <v>1900</v>
      </c>
      <c r="P6803" s="61">
        <f t="shared" si="502"/>
        <v>1</v>
      </c>
      <c r="R6803" s="272"/>
      <c r="S6803" s="272"/>
    </row>
    <row r="6804" spans="9:19">
      <c r="I6804" s="213"/>
      <c r="J6804" s="213"/>
      <c r="L6804" s="272">
        <f t="shared" si="499"/>
        <v>1900</v>
      </c>
      <c r="M6804" s="272">
        <f t="shared" si="500"/>
        <v>1</v>
      </c>
      <c r="O6804" s="61">
        <f t="shared" si="501"/>
        <v>1900</v>
      </c>
      <c r="P6804" s="61">
        <f t="shared" si="502"/>
        <v>1</v>
      </c>
      <c r="R6804" s="272"/>
      <c r="S6804" s="272"/>
    </row>
    <row r="6805" spans="9:19">
      <c r="I6805" s="213"/>
      <c r="J6805" s="213"/>
      <c r="L6805" s="272">
        <f t="shared" si="499"/>
        <v>1900</v>
      </c>
      <c r="M6805" s="272">
        <f t="shared" si="500"/>
        <v>1</v>
      </c>
      <c r="O6805" s="61">
        <f t="shared" si="501"/>
        <v>1900</v>
      </c>
      <c r="P6805" s="61">
        <f t="shared" si="502"/>
        <v>1</v>
      </c>
      <c r="R6805" s="272"/>
      <c r="S6805" s="272"/>
    </row>
    <row r="6806" spans="9:19">
      <c r="I6806" s="213"/>
      <c r="J6806" s="213"/>
      <c r="L6806" s="272">
        <f t="shared" si="499"/>
        <v>1900</v>
      </c>
      <c r="M6806" s="272">
        <f t="shared" si="500"/>
        <v>1</v>
      </c>
      <c r="O6806" s="61">
        <f t="shared" si="501"/>
        <v>1900</v>
      </c>
      <c r="P6806" s="61">
        <f t="shared" si="502"/>
        <v>1</v>
      </c>
      <c r="R6806" s="272"/>
      <c r="S6806" s="272"/>
    </row>
    <row r="6807" spans="9:19">
      <c r="I6807" s="213"/>
      <c r="J6807" s="213"/>
      <c r="L6807" s="272">
        <f t="shared" si="499"/>
        <v>1900</v>
      </c>
      <c r="M6807" s="272">
        <f t="shared" si="500"/>
        <v>1</v>
      </c>
      <c r="O6807" s="61">
        <f t="shared" si="501"/>
        <v>1900</v>
      </c>
      <c r="P6807" s="61">
        <f t="shared" si="502"/>
        <v>1</v>
      </c>
      <c r="R6807" s="272"/>
      <c r="S6807" s="272"/>
    </row>
    <row r="6808" spans="9:19">
      <c r="I6808" s="213"/>
      <c r="J6808" s="213"/>
      <c r="L6808" s="272">
        <f t="shared" si="499"/>
        <v>1900</v>
      </c>
      <c r="M6808" s="272">
        <f t="shared" si="500"/>
        <v>1</v>
      </c>
      <c r="O6808" s="61">
        <f t="shared" si="501"/>
        <v>1900</v>
      </c>
      <c r="P6808" s="61">
        <f t="shared" si="502"/>
        <v>1</v>
      </c>
      <c r="R6808" s="272"/>
      <c r="S6808" s="272"/>
    </row>
    <row r="6809" spans="9:19">
      <c r="I6809" s="213"/>
      <c r="J6809" s="213"/>
      <c r="L6809" s="272">
        <f t="shared" si="499"/>
        <v>1900</v>
      </c>
      <c r="M6809" s="272">
        <f t="shared" si="500"/>
        <v>1</v>
      </c>
      <c r="O6809" s="61">
        <f t="shared" si="501"/>
        <v>1900</v>
      </c>
      <c r="P6809" s="61">
        <f t="shared" si="502"/>
        <v>1</v>
      </c>
      <c r="R6809" s="272"/>
      <c r="S6809" s="272"/>
    </row>
    <row r="6810" spans="9:19">
      <c r="I6810" s="213"/>
      <c r="J6810" s="213"/>
      <c r="L6810" s="272">
        <f t="shared" si="499"/>
        <v>1900</v>
      </c>
      <c r="M6810" s="272">
        <f t="shared" si="500"/>
        <v>1</v>
      </c>
      <c r="O6810" s="61">
        <f t="shared" si="501"/>
        <v>1900</v>
      </c>
      <c r="P6810" s="61">
        <f t="shared" si="502"/>
        <v>1</v>
      </c>
      <c r="R6810" s="272"/>
      <c r="S6810" s="272"/>
    </row>
    <row r="6811" spans="9:19">
      <c r="I6811" s="213"/>
      <c r="J6811" s="213"/>
      <c r="L6811" s="272">
        <f t="shared" si="499"/>
        <v>1900</v>
      </c>
      <c r="M6811" s="272">
        <f t="shared" si="500"/>
        <v>1</v>
      </c>
      <c r="O6811" s="61">
        <f t="shared" si="501"/>
        <v>1900</v>
      </c>
      <c r="P6811" s="61">
        <f t="shared" si="502"/>
        <v>1</v>
      </c>
      <c r="R6811" s="272"/>
      <c r="S6811" s="272"/>
    </row>
    <row r="6812" spans="9:19">
      <c r="I6812" s="213"/>
      <c r="J6812" s="213"/>
      <c r="L6812" s="272">
        <f t="shared" si="499"/>
        <v>1900</v>
      </c>
      <c r="M6812" s="272">
        <f t="shared" si="500"/>
        <v>1</v>
      </c>
      <c r="O6812" s="61">
        <f t="shared" si="501"/>
        <v>1900</v>
      </c>
      <c r="P6812" s="61">
        <f t="shared" si="502"/>
        <v>1</v>
      </c>
      <c r="R6812" s="272"/>
      <c r="S6812" s="272"/>
    </row>
    <row r="6813" spans="9:19">
      <c r="I6813" s="213"/>
      <c r="J6813" s="213"/>
      <c r="L6813" s="272">
        <f t="shared" si="499"/>
        <v>1900</v>
      </c>
      <c r="M6813" s="272">
        <f t="shared" si="500"/>
        <v>1</v>
      </c>
      <c r="O6813" s="61">
        <f t="shared" si="501"/>
        <v>1900</v>
      </c>
      <c r="P6813" s="61">
        <f t="shared" si="502"/>
        <v>1</v>
      </c>
      <c r="R6813" s="272"/>
      <c r="S6813" s="272"/>
    </row>
    <row r="6814" spans="9:19">
      <c r="I6814" s="213"/>
      <c r="J6814" s="213"/>
      <c r="L6814" s="272">
        <f t="shared" si="499"/>
        <v>1900</v>
      </c>
      <c r="M6814" s="272">
        <f t="shared" si="500"/>
        <v>1</v>
      </c>
      <c r="O6814" s="61">
        <f t="shared" si="501"/>
        <v>1900</v>
      </c>
      <c r="P6814" s="61">
        <f t="shared" si="502"/>
        <v>1</v>
      </c>
      <c r="R6814" s="272"/>
      <c r="S6814" s="272"/>
    </row>
    <row r="6815" spans="9:19">
      <c r="I6815" s="213"/>
      <c r="J6815" s="213"/>
      <c r="L6815" s="272">
        <f t="shared" si="499"/>
        <v>1900</v>
      </c>
      <c r="M6815" s="272">
        <f t="shared" si="500"/>
        <v>1</v>
      </c>
      <c r="O6815" s="61">
        <f t="shared" si="501"/>
        <v>1900</v>
      </c>
      <c r="P6815" s="61">
        <f t="shared" si="502"/>
        <v>1</v>
      </c>
      <c r="R6815" s="272"/>
      <c r="S6815" s="272"/>
    </row>
    <row r="6816" spans="9:19">
      <c r="I6816" s="213"/>
      <c r="J6816" s="213"/>
      <c r="L6816" s="272">
        <f t="shared" si="499"/>
        <v>1900</v>
      </c>
      <c r="M6816" s="272">
        <f t="shared" si="500"/>
        <v>1</v>
      </c>
      <c r="O6816" s="61">
        <f t="shared" si="501"/>
        <v>1900</v>
      </c>
      <c r="P6816" s="61">
        <f t="shared" si="502"/>
        <v>1</v>
      </c>
      <c r="R6816" s="272"/>
      <c r="S6816" s="272"/>
    </row>
    <row r="6817" spans="9:19">
      <c r="I6817" s="213"/>
      <c r="J6817" s="213"/>
      <c r="L6817" s="272">
        <f t="shared" si="499"/>
        <v>1900</v>
      </c>
      <c r="M6817" s="272">
        <f t="shared" si="500"/>
        <v>1</v>
      </c>
      <c r="O6817" s="61">
        <f t="shared" si="501"/>
        <v>1900</v>
      </c>
      <c r="P6817" s="61">
        <f t="shared" si="502"/>
        <v>1</v>
      </c>
      <c r="R6817" s="272"/>
      <c r="S6817" s="272"/>
    </row>
    <row r="6818" spans="9:19">
      <c r="I6818" s="213"/>
      <c r="J6818" s="213"/>
      <c r="L6818" s="272">
        <f t="shared" si="499"/>
        <v>1900</v>
      </c>
      <c r="M6818" s="272">
        <f t="shared" si="500"/>
        <v>1</v>
      </c>
      <c r="O6818" s="61">
        <f t="shared" si="501"/>
        <v>1900</v>
      </c>
      <c r="P6818" s="61">
        <f t="shared" si="502"/>
        <v>1</v>
      </c>
      <c r="R6818" s="272"/>
      <c r="S6818" s="272"/>
    </row>
    <row r="6819" spans="9:19">
      <c r="I6819" s="213"/>
      <c r="J6819" s="213"/>
      <c r="L6819" s="272">
        <f t="shared" si="499"/>
        <v>1900</v>
      </c>
      <c r="M6819" s="272">
        <f t="shared" si="500"/>
        <v>1</v>
      </c>
      <c r="O6819" s="61">
        <f t="shared" si="501"/>
        <v>1900</v>
      </c>
      <c r="P6819" s="61">
        <f t="shared" si="502"/>
        <v>1</v>
      </c>
      <c r="R6819" s="272"/>
      <c r="S6819" s="272"/>
    </row>
    <row r="6820" spans="9:19">
      <c r="I6820" s="213"/>
      <c r="J6820" s="213"/>
      <c r="L6820" s="272">
        <f t="shared" si="499"/>
        <v>1900</v>
      </c>
      <c r="M6820" s="272">
        <f t="shared" si="500"/>
        <v>1</v>
      </c>
      <c r="O6820" s="61">
        <f t="shared" si="501"/>
        <v>1900</v>
      </c>
      <c r="P6820" s="61">
        <f t="shared" si="502"/>
        <v>1</v>
      </c>
      <c r="R6820" s="272"/>
      <c r="S6820" s="272"/>
    </row>
    <row r="6821" spans="9:19">
      <c r="I6821" s="213"/>
      <c r="J6821" s="213"/>
      <c r="L6821" s="272">
        <f t="shared" si="499"/>
        <v>1900</v>
      </c>
      <c r="M6821" s="272">
        <f t="shared" si="500"/>
        <v>1</v>
      </c>
      <c r="O6821" s="61">
        <f t="shared" si="501"/>
        <v>1900</v>
      </c>
      <c r="P6821" s="61">
        <f t="shared" si="502"/>
        <v>1</v>
      </c>
      <c r="R6821" s="272"/>
      <c r="S6821" s="272"/>
    </row>
    <row r="6822" spans="9:19">
      <c r="I6822" s="213"/>
      <c r="J6822" s="213"/>
      <c r="L6822" s="272">
        <f t="shared" si="499"/>
        <v>1900</v>
      </c>
      <c r="M6822" s="272">
        <f t="shared" si="500"/>
        <v>1</v>
      </c>
      <c r="O6822" s="61">
        <f t="shared" si="501"/>
        <v>1900</v>
      </c>
      <c r="P6822" s="61">
        <f t="shared" si="502"/>
        <v>1</v>
      </c>
      <c r="R6822" s="272"/>
      <c r="S6822" s="272"/>
    </row>
    <row r="6823" spans="9:19">
      <c r="I6823" s="213"/>
      <c r="J6823" s="213"/>
      <c r="L6823" s="272">
        <f t="shared" si="499"/>
        <v>1900</v>
      </c>
      <c r="M6823" s="272">
        <f t="shared" si="500"/>
        <v>1</v>
      </c>
      <c r="O6823" s="61">
        <f t="shared" si="501"/>
        <v>1900</v>
      </c>
      <c r="P6823" s="61">
        <f t="shared" si="502"/>
        <v>1</v>
      </c>
      <c r="R6823" s="272"/>
      <c r="S6823" s="272"/>
    </row>
    <row r="6824" spans="9:19">
      <c r="I6824" s="213"/>
      <c r="J6824" s="213"/>
      <c r="L6824" s="272">
        <f t="shared" si="499"/>
        <v>1900</v>
      </c>
      <c r="M6824" s="272">
        <f t="shared" si="500"/>
        <v>1</v>
      </c>
      <c r="O6824" s="61">
        <f t="shared" si="501"/>
        <v>1900</v>
      </c>
      <c r="P6824" s="61">
        <f t="shared" si="502"/>
        <v>1</v>
      </c>
      <c r="R6824" s="272"/>
      <c r="S6824" s="272"/>
    </row>
    <row r="6825" spans="9:19">
      <c r="I6825" s="213"/>
      <c r="J6825" s="213"/>
      <c r="L6825" s="272">
        <f t="shared" si="499"/>
        <v>1900</v>
      </c>
      <c r="M6825" s="272">
        <f t="shared" si="500"/>
        <v>1</v>
      </c>
      <c r="O6825" s="61">
        <f t="shared" si="501"/>
        <v>1900</v>
      </c>
      <c r="P6825" s="61">
        <f t="shared" si="502"/>
        <v>1</v>
      </c>
      <c r="R6825" s="272"/>
      <c r="S6825" s="272"/>
    </row>
    <row r="6826" spans="9:19">
      <c r="I6826" s="213"/>
      <c r="J6826" s="213"/>
      <c r="L6826" s="272">
        <f t="shared" si="499"/>
        <v>1900</v>
      </c>
      <c r="M6826" s="272">
        <f t="shared" si="500"/>
        <v>1</v>
      </c>
      <c r="O6826" s="61">
        <f t="shared" si="501"/>
        <v>1900</v>
      </c>
      <c r="P6826" s="61">
        <f t="shared" si="502"/>
        <v>1</v>
      </c>
      <c r="R6826" s="272"/>
      <c r="S6826" s="272"/>
    </row>
    <row r="6827" spans="9:19">
      <c r="I6827" s="213"/>
      <c r="J6827" s="213"/>
      <c r="L6827" s="272">
        <f t="shared" si="499"/>
        <v>1900</v>
      </c>
      <c r="M6827" s="272">
        <f t="shared" si="500"/>
        <v>1</v>
      </c>
      <c r="O6827" s="61">
        <f t="shared" si="501"/>
        <v>1900</v>
      </c>
      <c r="P6827" s="61">
        <f t="shared" si="502"/>
        <v>1</v>
      </c>
      <c r="R6827" s="272"/>
      <c r="S6827" s="272"/>
    </row>
    <row r="6828" spans="9:19">
      <c r="I6828" s="213"/>
      <c r="J6828" s="213"/>
      <c r="L6828" s="272">
        <f t="shared" si="499"/>
        <v>1900</v>
      </c>
      <c r="M6828" s="272">
        <f t="shared" si="500"/>
        <v>1</v>
      </c>
      <c r="O6828" s="61">
        <f t="shared" si="501"/>
        <v>1900</v>
      </c>
      <c r="P6828" s="61">
        <f t="shared" si="502"/>
        <v>1</v>
      </c>
      <c r="R6828" s="272"/>
      <c r="S6828" s="272"/>
    </row>
    <row r="6829" spans="9:19">
      <c r="I6829" s="213"/>
      <c r="J6829" s="213"/>
      <c r="L6829" s="272">
        <f t="shared" si="499"/>
        <v>1900</v>
      </c>
      <c r="M6829" s="272">
        <f t="shared" si="500"/>
        <v>1</v>
      </c>
      <c r="O6829" s="61">
        <f t="shared" si="501"/>
        <v>1900</v>
      </c>
      <c r="P6829" s="61">
        <f t="shared" si="502"/>
        <v>1</v>
      </c>
      <c r="R6829" s="272"/>
      <c r="S6829" s="272"/>
    </row>
    <row r="6830" spans="9:19">
      <c r="I6830" s="213"/>
      <c r="J6830" s="213"/>
      <c r="L6830" s="272">
        <f t="shared" si="499"/>
        <v>1900</v>
      </c>
      <c r="M6830" s="272">
        <f t="shared" si="500"/>
        <v>1</v>
      </c>
      <c r="O6830" s="61">
        <f t="shared" si="501"/>
        <v>1900</v>
      </c>
      <c r="P6830" s="61">
        <f t="shared" si="502"/>
        <v>1</v>
      </c>
      <c r="R6830" s="272"/>
      <c r="S6830" s="272"/>
    </row>
    <row r="6831" spans="9:19">
      <c r="I6831" s="213"/>
      <c r="J6831" s="213"/>
      <c r="L6831" s="272">
        <f t="shared" si="499"/>
        <v>1900</v>
      </c>
      <c r="M6831" s="272">
        <f t="shared" si="500"/>
        <v>1</v>
      </c>
      <c r="O6831" s="61">
        <f t="shared" si="501"/>
        <v>1900</v>
      </c>
      <c r="P6831" s="61">
        <f t="shared" si="502"/>
        <v>1</v>
      </c>
      <c r="R6831" s="272"/>
      <c r="S6831" s="272"/>
    </row>
    <row r="6832" spans="9:19">
      <c r="I6832" s="213"/>
      <c r="J6832" s="213"/>
      <c r="L6832" s="272">
        <f t="shared" si="499"/>
        <v>1900</v>
      </c>
      <c r="M6832" s="272">
        <f t="shared" si="500"/>
        <v>1</v>
      </c>
      <c r="O6832" s="61">
        <f t="shared" si="501"/>
        <v>1900</v>
      </c>
      <c r="P6832" s="61">
        <f t="shared" si="502"/>
        <v>1</v>
      </c>
      <c r="R6832" s="272"/>
      <c r="S6832" s="272"/>
    </row>
    <row r="6833" spans="9:19">
      <c r="I6833" s="213"/>
      <c r="J6833" s="213"/>
      <c r="L6833" s="272">
        <f t="shared" si="499"/>
        <v>1900</v>
      </c>
      <c r="M6833" s="272">
        <f t="shared" si="500"/>
        <v>1</v>
      </c>
      <c r="O6833" s="61">
        <f t="shared" si="501"/>
        <v>1900</v>
      </c>
      <c r="P6833" s="61">
        <f t="shared" si="502"/>
        <v>1</v>
      </c>
      <c r="R6833" s="272"/>
      <c r="S6833" s="272"/>
    </row>
    <row r="6834" spans="9:19">
      <c r="I6834" s="213"/>
      <c r="J6834" s="213"/>
      <c r="L6834" s="272">
        <f t="shared" si="499"/>
        <v>1900</v>
      </c>
      <c r="M6834" s="272">
        <f t="shared" si="500"/>
        <v>1</v>
      </c>
      <c r="O6834" s="61">
        <f t="shared" si="501"/>
        <v>1900</v>
      </c>
      <c r="P6834" s="61">
        <f t="shared" si="502"/>
        <v>1</v>
      </c>
      <c r="R6834" s="272"/>
      <c r="S6834" s="272"/>
    </row>
    <row r="6835" spans="9:19">
      <c r="I6835" s="213"/>
      <c r="J6835" s="213"/>
      <c r="L6835" s="272">
        <f t="shared" si="499"/>
        <v>1900</v>
      </c>
      <c r="M6835" s="272">
        <f t="shared" si="500"/>
        <v>1</v>
      </c>
      <c r="O6835" s="61">
        <f t="shared" si="501"/>
        <v>1900</v>
      </c>
      <c r="P6835" s="61">
        <f t="shared" si="502"/>
        <v>1</v>
      </c>
      <c r="R6835" s="272"/>
      <c r="S6835" s="272"/>
    </row>
    <row r="6836" spans="9:19">
      <c r="I6836" s="213"/>
      <c r="J6836" s="213"/>
      <c r="L6836" s="272">
        <f t="shared" si="499"/>
        <v>1900</v>
      </c>
      <c r="M6836" s="272">
        <f t="shared" si="500"/>
        <v>1</v>
      </c>
      <c r="O6836" s="61">
        <f t="shared" si="501"/>
        <v>1900</v>
      </c>
      <c r="P6836" s="61">
        <f t="shared" si="502"/>
        <v>1</v>
      </c>
      <c r="R6836" s="272"/>
      <c r="S6836" s="272"/>
    </row>
    <row r="6837" spans="9:19">
      <c r="I6837" s="213"/>
      <c r="J6837" s="213"/>
      <c r="L6837" s="272">
        <f t="shared" si="499"/>
        <v>1900</v>
      </c>
      <c r="M6837" s="272">
        <f t="shared" si="500"/>
        <v>1</v>
      </c>
      <c r="O6837" s="61">
        <f t="shared" si="501"/>
        <v>1900</v>
      </c>
      <c r="P6837" s="61">
        <f t="shared" si="502"/>
        <v>1</v>
      </c>
      <c r="R6837" s="272"/>
      <c r="S6837" s="272"/>
    </row>
    <row r="6838" spans="9:19">
      <c r="I6838" s="213"/>
      <c r="J6838" s="213"/>
      <c r="L6838" s="272">
        <f t="shared" si="499"/>
        <v>1900</v>
      </c>
      <c r="M6838" s="272">
        <f t="shared" si="500"/>
        <v>1</v>
      </c>
      <c r="O6838" s="61">
        <f t="shared" si="501"/>
        <v>1900</v>
      </c>
      <c r="P6838" s="61">
        <f t="shared" si="502"/>
        <v>1</v>
      </c>
      <c r="R6838" s="272"/>
      <c r="S6838" s="272"/>
    </row>
    <row r="6839" spans="9:19">
      <c r="I6839" s="213"/>
      <c r="J6839" s="213"/>
      <c r="L6839" s="272">
        <f t="shared" si="499"/>
        <v>1900</v>
      </c>
      <c r="M6839" s="272">
        <f t="shared" si="500"/>
        <v>1</v>
      </c>
      <c r="O6839" s="61">
        <f t="shared" si="501"/>
        <v>1900</v>
      </c>
      <c r="P6839" s="61">
        <f t="shared" si="502"/>
        <v>1</v>
      </c>
      <c r="R6839" s="272"/>
      <c r="S6839" s="272"/>
    </row>
    <row r="6840" spans="9:19">
      <c r="I6840" s="213"/>
      <c r="J6840" s="213"/>
      <c r="L6840" s="272">
        <f t="shared" si="499"/>
        <v>1900</v>
      </c>
      <c r="M6840" s="272">
        <f t="shared" si="500"/>
        <v>1</v>
      </c>
      <c r="O6840" s="61">
        <f t="shared" si="501"/>
        <v>1900</v>
      </c>
      <c r="P6840" s="61">
        <f t="shared" si="502"/>
        <v>1</v>
      </c>
      <c r="R6840" s="272"/>
      <c r="S6840" s="272"/>
    </row>
    <row r="6841" spans="9:19">
      <c r="I6841" s="213"/>
      <c r="J6841" s="213"/>
      <c r="L6841" s="272">
        <f t="shared" si="499"/>
        <v>1900</v>
      </c>
      <c r="M6841" s="272">
        <f t="shared" si="500"/>
        <v>1</v>
      </c>
      <c r="O6841" s="61">
        <f t="shared" si="501"/>
        <v>1900</v>
      </c>
      <c r="P6841" s="61">
        <f t="shared" si="502"/>
        <v>1</v>
      </c>
      <c r="R6841" s="272"/>
      <c r="S6841" s="272"/>
    </row>
    <row r="6842" spans="9:19">
      <c r="I6842" s="213"/>
      <c r="J6842" s="213"/>
      <c r="L6842" s="272">
        <f t="shared" si="499"/>
        <v>1900</v>
      </c>
      <c r="M6842" s="272">
        <f t="shared" si="500"/>
        <v>1</v>
      </c>
      <c r="O6842" s="61">
        <f t="shared" si="501"/>
        <v>1900</v>
      </c>
      <c r="P6842" s="61">
        <f t="shared" si="502"/>
        <v>1</v>
      </c>
      <c r="R6842" s="272"/>
      <c r="S6842" s="272"/>
    </row>
    <row r="6843" spans="9:19">
      <c r="I6843" s="213"/>
      <c r="J6843" s="213"/>
      <c r="L6843" s="272">
        <f t="shared" si="499"/>
        <v>1900</v>
      </c>
      <c r="M6843" s="272">
        <f t="shared" si="500"/>
        <v>1</v>
      </c>
      <c r="O6843" s="61">
        <f t="shared" si="501"/>
        <v>1900</v>
      </c>
      <c r="P6843" s="61">
        <f t="shared" si="502"/>
        <v>1</v>
      </c>
      <c r="R6843" s="272"/>
      <c r="S6843" s="272"/>
    </row>
    <row r="6844" spans="9:19">
      <c r="I6844" s="213"/>
      <c r="J6844" s="213"/>
      <c r="L6844" s="272">
        <f t="shared" si="499"/>
        <v>1900</v>
      </c>
      <c r="M6844" s="272">
        <f t="shared" si="500"/>
        <v>1</v>
      </c>
      <c r="O6844" s="61">
        <f t="shared" si="501"/>
        <v>1900</v>
      </c>
      <c r="P6844" s="61">
        <f t="shared" si="502"/>
        <v>1</v>
      </c>
      <c r="R6844" s="272"/>
      <c r="S6844" s="272"/>
    </row>
    <row r="6845" spans="9:19">
      <c r="I6845" s="213"/>
      <c r="J6845" s="213"/>
      <c r="L6845" s="272">
        <f t="shared" si="499"/>
        <v>1900</v>
      </c>
      <c r="M6845" s="272">
        <f t="shared" si="500"/>
        <v>1</v>
      </c>
      <c r="O6845" s="61">
        <f t="shared" si="501"/>
        <v>1900</v>
      </c>
      <c r="P6845" s="61">
        <f t="shared" si="502"/>
        <v>1</v>
      </c>
      <c r="R6845" s="272"/>
      <c r="S6845" s="272"/>
    </row>
    <row r="6846" spans="9:19">
      <c r="I6846" s="213"/>
      <c r="J6846" s="213"/>
      <c r="L6846" s="272">
        <f t="shared" si="499"/>
        <v>1900</v>
      </c>
      <c r="M6846" s="272">
        <f t="shared" si="500"/>
        <v>1</v>
      </c>
      <c r="O6846" s="61">
        <f t="shared" si="501"/>
        <v>1900</v>
      </c>
      <c r="P6846" s="61">
        <f t="shared" si="502"/>
        <v>1</v>
      </c>
      <c r="R6846" s="272"/>
      <c r="S6846" s="272"/>
    </row>
    <row r="6847" spans="9:19">
      <c r="I6847" s="213"/>
      <c r="J6847" s="213"/>
      <c r="L6847" s="272">
        <f t="shared" si="499"/>
        <v>1900</v>
      </c>
      <c r="M6847" s="272">
        <f t="shared" si="500"/>
        <v>1</v>
      </c>
      <c r="O6847" s="61">
        <f t="shared" si="501"/>
        <v>1900</v>
      </c>
      <c r="P6847" s="61">
        <f t="shared" si="502"/>
        <v>1</v>
      </c>
      <c r="R6847" s="272"/>
      <c r="S6847" s="272"/>
    </row>
    <row r="6848" spans="9:19">
      <c r="I6848" s="213"/>
      <c r="J6848" s="213"/>
      <c r="L6848" s="272">
        <f t="shared" si="499"/>
        <v>1900</v>
      </c>
      <c r="M6848" s="272">
        <f t="shared" si="500"/>
        <v>1</v>
      </c>
      <c r="O6848" s="61">
        <f t="shared" si="501"/>
        <v>1900</v>
      </c>
      <c r="P6848" s="61">
        <f t="shared" si="502"/>
        <v>1</v>
      </c>
      <c r="R6848" s="272"/>
      <c r="S6848" s="272"/>
    </row>
    <row r="6849" spans="9:19">
      <c r="I6849" s="213"/>
      <c r="J6849" s="213"/>
      <c r="L6849" s="272">
        <f t="shared" si="499"/>
        <v>1900</v>
      </c>
      <c r="M6849" s="272">
        <f t="shared" si="500"/>
        <v>1</v>
      </c>
      <c r="O6849" s="61">
        <f t="shared" si="501"/>
        <v>1900</v>
      </c>
      <c r="P6849" s="61">
        <f t="shared" si="502"/>
        <v>1</v>
      </c>
      <c r="R6849" s="272"/>
      <c r="S6849" s="272"/>
    </row>
    <row r="6850" spans="9:19">
      <c r="I6850" s="213"/>
      <c r="J6850" s="213"/>
      <c r="L6850" s="272">
        <f t="shared" si="499"/>
        <v>1900</v>
      </c>
      <c r="M6850" s="272">
        <f t="shared" si="500"/>
        <v>1</v>
      </c>
      <c r="O6850" s="61">
        <f t="shared" si="501"/>
        <v>1900</v>
      </c>
      <c r="P6850" s="61">
        <f t="shared" si="502"/>
        <v>1</v>
      </c>
      <c r="R6850" s="272"/>
      <c r="S6850" s="272"/>
    </row>
    <row r="6851" spans="9:19">
      <c r="I6851" s="213"/>
      <c r="J6851" s="213"/>
      <c r="L6851" s="272">
        <f t="shared" si="499"/>
        <v>1900</v>
      </c>
      <c r="M6851" s="272">
        <f t="shared" si="500"/>
        <v>1</v>
      </c>
      <c r="O6851" s="61">
        <f t="shared" si="501"/>
        <v>1900</v>
      </c>
      <c r="P6851" s="61">
        <f t="shared" si="502"/>
        <v>1</v>
      </c>
      <c r="R6851" s="272"/>
      <c r="S6851" s="272"/>
    </row>
    <row r="6852" spans="9:19">
      <c r="I6852" s="213"/>
      <c r="J6852" s="213"/>
      <c r="L6852" s="272">
        <f t="shared" si="499"/>
        <v>1900</v>
      </c>
      <c r="M6852" s="272">
        <f t="shared" si="500"/>
        <v>1</v>
      </c>
      <c r="O6852" s="61">
        <f t="shared" si="501"/>
        <v>1900</v>
      </c>
      <c r="P6852" s="61">
        <f t="shared" si="502"/>
        <v>1</v>
      </c>
      <c r="R6852" s="272"/>
      <c r="S6852" s="272"/>
    </row>
    <row r="6853" spans="9:19">
      <c r="I6853" s="213"/>
      <c r="J6853" s="213"/>
      <c r="L6853" s="272">
        <f t="shared" si="499"/>
        <v>1900</v>
      </c>
      <c r="M6853" s="272">
        <f t="shared" si="500"/>
        <v>1</v>
      </c>
      <c r="O6853" s="61">
        <f t="shared" si="501"/>
        <v>1900</v>
      </c>
      <c r="P6853" s="61">
        <f t="shared" si="502"/>
        <v>1</v>
      </c>
      <c r="R6853" s="272"/>
      <c r="S6853" s="272"/>
    </row>
    <row r="6854" spans="9:19">
      <c r="I6854" s="213"/>
      <c r="J6854" s="213"/>
      <c r="L6854" s="272">
        <f t="shared" si="499"/>
        <v>1900</v>
      </c>
      <c r="M6854" s="272">
        <f t="shared" si="500"/>
        <v>1</v>
      </c>
      <c r="O6854" s="61">
        <f t="shared" si="501"/>
        <v>1900</v>
      </c>
      <c r="P6854" s="61">
        <f t="shared" si="502"/>
        <v>1</v>
      </c>
      <c r="R6854" s="272"/>
      <c r="S6854" s="272"/>
    </row>
    <row r="6855" spans="9:19">
      <c r="I6855" s="213"/>
      <c r="J6855" s="213"/>
      <c r="L6855" s="272">
        <f t="shared" si="499"/>
        <v>1900</v>
      </c>
      <c r="M6855" s="272">
        <f t="shared" si="500"/>
        <v>1</v>
      </c>
      <c r="O6855" s="61">
        <f t="shared" si="501"/>
        <v>1900</v>
      </c>
      <c r="P6855" s="61">
        <f t="shared" si="502"/>
        <v>1</v>
      </c>
      <c r="R6855" s="272"/>
      <c r="S6855" s="272"/>
    </row>
    <row r="6856" spans="9:19">
      <c r="I6856" s="213"/>
      <c r="J6856" s="213"/>
      <c r="L6856" s="272">
        <f t="shared" si="499"/>
        <v>1900</v>
      </c>
      <c r="M6856" s="272">
        <f t="shared" si="500"/>
        <v>1</v>
      </c>
      <c r="O6856" s="61">
        <f t="shared" si="501"/>
        <v>1900</v>
      </c>
      <c r="P6856" s="61">
        <f t="shared" si="502"/>
        <v>1</v>
      </c>
      <c r="R6856" s="272"/>
      <c r="S6856" s="272"/>
    </row>
    <row r="6857" spans="9:19">
      <c r="I6857" s="213"/>
      <c r="J6857" s="213"/>
      <c r="L6857" s="272">
        <f t="shared" si="499"/>
        <v>1900</v>
      </c>
      <c r="M6857" s="272">
        <f t="shared" si="500"/>
        <v>1</v>
      </c>
      <c r="O6857" s="61">
        <f t="shared" si="501"/>
        <v>1900</v>
      </c>
      <c r="P6857" s="61">
        <f t="shared" si="502"/>
        <v>1</v>
      </c>
      <c r="R6857" s="272"/>
      <c r="S6857" s="272"/>
    </row>
    <row r="6858" spans="9:19">
      <c r="I6858" s="213"/>
      <c r="J6858" s="213"/>
      <c r="L6858" s="272">
        <f t="shared" si="499"/>
        <v>1900</v>
      </c>
      <c r="M6858" s="272">
        <f t="shared" si="500"/>
        <v>1</v>
      </c>
      <c r="O6858" s="61">
        <f t="shared" si="501"/>
        <v>1900</v>
      </c>
      <c r="P6858" s="61">
        <f t="shared" si="502"/>
        <v>1</v>
      </c>
      <c r="R6858" s="272"/>
      <c r="S6858" s="272"/>
    </row>
    <row r="6859" spans="9:19">
      <c r="I6859" s="213"/>
      <c r="J6859" s="213"/>
      <c r="L6859" s="272">
        <f t="shared" si="499"/>
        <v>1900</v>
      </c>
      <c r="M6859" s="272">
        <f t="shared" si="500"/>
        <v>1</v>
      </c>
      <c r="O6859" s="61">
        <f t="shared" si="501"/>
        <v>1900</v>
      </c>
      <c r="P6859" s="61">
        <f t="shared" si="502"/>
        <v>1</v>
      </c>
      <c r="R6859" s="272"/>
      <c r="S6859" s="272"/>
    </row>
    <row r="6860" spans="9:19">
      <c r="I6860" s="213"/>
      <c r="J6860" s="213"/>
      <c r="L6860" s="272">
        <f t="shared" si="499"/>
        <v>1900</v>
      </c>
      <c r="M6860" s="272">
        <f t="shared" si="500"/>
        <v>1</v>
      </c>
      <c r="O6860" s="61">
        <f t="shared" si="501"/>
        <v>1900</v>
      </c>
      <c r="P6860" s="61">
        <f t="shared" si="502"/>
        <v>1</v>
      </c>
      <c r="R6860" s="272"/>
      <c r="S6860" s="272"/>
    </row>
    <row r="6861" spans="9:19">
      <c r="I6861" s="213"/>
      <c r="J6861" s="213"/>
      <c r="L6861" s="272">
        <f t="shared" si="499"/>
        <v>1900</v>
      </c>
      <c r="M6861" s="272">
        <f t="shared" si="500"/>
        <v>1</v>
      </c>
      <c r="O6861" s="61">
        <f t="shared" si="501"/>
        <v>1900</v>
      </c>
      <c r="P6861" s="61">
        <f t="shared" si="502"/>
        <v>1</v>
      </c>
      <c r="R6861" s="272"/>
      <c r="S6861" s="272"/>
    </row>
    <row r="6862" spans="9:19">
      <c r="I6862" s="213"/>
      <c r="J6862" s="213"/>
      <c r="L6862" s="272">
        <f t="shared" si="499"/>
        <v>1900</v>
      </c>
      <c r="M6862" s="272">
        <f t="shared" si="500"/>
        <v>1</v>
      </c>
      <c r="O6862" s="61">
        <f t="shared" si="501"/>
        <v>1900</v>
      </c>
      <c r="P6862" s="61">
        <f t="shared" si="502"/>
        <v>1</v>
      </c>
      <c r="R6862" s="272"/>
      <c r="S6862" s="272"/>
    </row>
    <row r="6863" spans="9:19">
      <c r="I6863" s="213"/>
      <c r="J6863" s="213"/>
      <c r="L6863" s="272">
        <f t="shared" si="499"/>
        <v>1900</v>
      </c>
      <c r="M6863" s="272">
        <f t="shared" si="500"/>
        <v>1</v>
      </c>
      <c r="O6863" s="61">
        <f t="shared" si="501"/>
        <v>1900</v>
      </c>
      <c r="P6863" s="61">
        <f t="shared" si="502"/>
        <v>1</v>
      </c>
      <c r="R6863" s="272"/>
      <c r="S6863" s="272"/>
    </row>
    <row r="6864" spans="9:19">
      <c r="I6864" s="213"/>
      <c r="J6864" s="213"/>
      <c r="L6864" s="272">
        <f t="shared" ref="L6864:L6927" si="503">YEAR(B6864)</f>
        <v>1900</v>
      </c>
      <c r="M6864" s="272">
        <f t="shared" ref="M6864:M6927" si="504">MONTH(B6864)</f>
        <v>1</v>
      </c>
      <c r="O6864" s="61">
        <f t="shared" ref="O6864:O6927" si="505">YEAR(B6864)</f>
        <v>1900</v>
      </c>
      <c r="P6864" s="61">
        <f t="shared" ref="P6864:P6927" si="506">MONTH(B6864)</f>
        <v>1</v>
      </c>
      <c r="R6864" s="272"/>
      <c r="S6864" s="272"/>
    </row>
    <row r="6865" spans="9:19">
      <c r="I6865" s="213"/>
      <c r="J6865" s="213"/>
      <c r="L6865" s="272">
        <f t="shared" si="503"/>
        <v>1900</v>
      </c>
      <c r="M6865" s="272">
        <f t="shared" si="504"/>
        <v>1</v>
      </c>
      <c r="O6865" s="61">
        <f t="shared" si="505"/>
        <v>1900</v>
      </c>
      <c r="P6865" s="61">
        <f t="shared" si="506"/>
        <v>1</v>
      </c>
      <c r="R6865" s="272"/>
      <c r="S6865" s="272"/>
    </row>
    <row r="6866" spans="9:19">
      <c r="I6866" s="213"/>
      <c r="J6866" s="213"/>
      <c r="L6866" s="272">
        <f t="shared" si="503"/>
        <v>1900</v>
      </c>
      <c r="M6866" s="272">
        <f t="shared" si="504"/>
        <v>1</v>
      </c>
      <c r="O6866" s="61">
        <f t="shared" si="505"/>
        <v>1900</v>
      </c>
      <c r="P6866" s="61">
        <f t="shared" si="506"/>
        <v>1</v>
      </c>
      <c r="R6866" s="272"/>
      <c r="S6866" s="272"/>
    </row>
    <row r="6867" spans="9:19">
      <c r="I6867" s="213"/>
      <c r="J6867" s="213"/>
      <c r="L6867" s="272">
        <f t="shared" si="503"/>
        <v>1900</v>
      </c>
      <c r="M6867" s="272">
        <f t="shared" si="504"/>
        <v>1</v>
      </c>
      <c r="O6867" s="61">
        <f t="shared" si="505"/>
        <v>1900</v>
      </c>
      <c r="P6867" s="61">
        <f t="shared" si="506"/>
        <v>1</v>
      </c>
      <c r="R6867" s="272"/>
      <c r="S6867" s="272"/>
    </row>
    <row r="6868" spans="9:19">
      <c r="I6868" s="213"/>
      <c r="J6868" s="213"/>
      <c r="L6868" s="272">
        <f t="shared" si="503"/>
        <v>1900</v>
      </c>
      <c r="M6868" s="272">
        <f t="shared" si="504"/>
        <v>1</v>
      </c>
      <c r="O6868" s="61">
        <f t="shared" si="505"/>
        <v>1900</v>
      </c>
      <c r="P6868" s="61">
        <f t="shared" si="506"/>
        <v>1</v>
      </c>
      <c r="R6868" s="272"/>
      <c r="S6868" s="272"/>
    </row>
    <row r="6869" spans="9:19">
      <c r="I6869" s="213"/>
      <c r="J6869" s="213"/>
      <c r="L6869" s="272">
        <f t="shared" si="503"/>
        <v>1900</v>
      </c>
      <c r="M6869" s="272">
        <f t="shared" si="504"/>
        <v>1</v>
      </c>
      <c r="O6869" s="61">
        <f t="shared" si="505"/>
        <v>1900</v>
      </c>
      <c r="P6869" s="61">
        <f t="shared" si="506"/>
        <v>1</v>
      </c>
      <c r="R6869" s="272"/>
      <c r="S6869" s="272"/>
    </row>
    <row r="6870" spans="9:19">
      <c r="I6870" s="213"/>
      <c r="J6870" s="213"/>
      <c r="L6870" s="272">
        <f t="shared" si="503"/>
        <v>1900</v>
      </c>
      <c r="M6870" s="272">
        <f t="shared" si="504"/>
        <v>1</v>
      </c>
      <c r="O6870" s="61">
        <f t="shared" si="505"/>
        <v>1900</v>
      </c>
      <c r="P6870" s="61">
        <f t="shared" si="506"/>
        <v>1</v>
      </c>
      <c r="R6870" s="272"/>
      <c r="S6870" s="272"/>
    </row>
    <row r="6871" spans="9:19">
      <c r="I6871" s="213"/>
      <c r="J6871" s="213"/>
      <c r="L6871" s="272">
        <f t="shared" si="503"/>
        <v>1900</v>
      </c>
      <c r="M6871" s="272">
        <f t="shared" si="504"/>
        <v>1</v>
      </c>
      <c r="O6871" s="61">
        <f t="shared" si="505"/>
        <v>1900</v>
      </c>
      <c r="P6871" s="61">
        <f t="shared" si="506"/>
        <v>1</v>
      </c>
      <c r="R6871" s="272"/>
      <c r="S6871" s="272"/>
    </row>
    <row r="6872" spans="9:19">
      <c r="I6872" s="213"/>
      <c r="J6872" s="213"/>
      <c r="L6872" s="272">
        <f t="shared" si="503"/>
        <v>1900</v>
      </c>
      <c r="M6872" s="272">
        <f t="shared" si="504"/>
        <v>1</v>
      </c>
      <c r="O6872" s="61">
        <f t="shared" si="505"/>
        <v>1900</v>
      </c>
      <c r="P6872" s="61">
        <f t="shared" si="506"/>
        <v>1</v>
      </c>
      <c r="R6872" s="272"/>
      <c r="S6872" s="272"/>
    </row>
    <row r="6873" spans="9:19">
      <c r="I6873" s="213"/>
      <c r="J6873" s="213"/>
      <c r="L6873" s="272">
        <f t="shared" si="503"/>
        <v>1900</v>
      </c>
      <c r="M6873" s="272">
        <f t="shared" si="504"/>
        <v>1</v>
      </c>
      <c r="O6873" s="61">
        <f t="shared" si="505"/>
        <v>1900</v>
      </c>
      <c r="P6873" s="61">
        <f t="shared" si="506"/>
        <v>1</v>
      </c>
      <c r="R6873" s="272"/>
      <c r="S6873" s="272"/>
    </row>
    <row r="6874" spans="9:19">
      <c r="I6874" s="213"/>
      <c r="J6874" s="213"/>
      <c r="L6874" s="272">
        <f t="shared" si="503"/>
        <v>1900</v>
      </c>
      <c r="M6874" s="272">
        <f t="shared" si="504"/>
        <v>1</v>
      </c>
      <c r="O6874" s="61">
        <f t="shared" si="505"/>
        <v>1900</v>
      </c>
      <c r="P6874" s="61">
        <f t="shared" si="506"/>
        <v>1</v>
      </c>
      <c r="R6874" s="272"/>
      <c r="S6874" s="272"/>
    </row>
    <row r="6875" spans="9:19">
      <c r="I6875" s="213"/>
      <c r="J6875" s="213"/>
      <c r="L6875" s="272">
        <f t="shared" si="503"/>
        <v>1900</v>
      </c>
      <c r="M6875" s="272">
        <f t="shared" si="504"/>
        <v>1</v>
      </c>
      <c r="O6875" s="61">
        <f t="shared" si="505"/>
        <v>1900</v>
      </c>
      <c r="P6875" s="61">
        <f t="shared" si="506"/>
        <v>1</v>
      </c>
      <c r="R6875" s="272"/>
      <c r="S6875" s="272"/>
    </row>
    <row r="6876" spans="9:19">
      <c r="I6876" s="213"/>
      <c r="J6876" s="213"/>
      <c r="L6876" s="272">
        <f t="shared" si="503"/>
        <v>1900</v>
      </c>
      <c r="M6876" s="272">
        <f t="shared" si="504"/>
        <v>1</v>
      </c>
      <c r="O6876" s="61">
        <f t="shared" si="505"/>
        <v>1900</v>
      </c>
      <c r="P6876" s="61">
        <f t="shared" si="506"/>
        <v>1</v>
      </c>
      <c r="R6876" s="272"/>
      <c r="S6876" s="272"/>
    </row>
    <row r="6877" spans="9:19">
      <c r="I6877" s="213"/>
      <c r="J6877" s="213"/>
      <c r="L6877" s="272">
        <f t="shared" si="503"/>
        <v>1900</v>
      </c>
      <c r="M6877" s="272">
        <f t="shared" si="504"/>
        <v>1</v>
      </c>
      <c r="O6877" s="61">
        <f t="shared" si="505"/>
        <v>1900</v>
      </c>
      <c r="P6877" s="61">
        <f t="shared" si="506"/>
        <v>1</v>
      </c>
      <c r="R6877" s="272"/>
      <c r="S6877" s="272"/>
    </row>
    <row r="6878" spans="9:19">
      <c r="I6878" s="213"/>
      <c r="J6878" s="213"/>
      <c r="L6878" s="272">
        <f t="shared" si="503"/>
        <v>1900</v>
      </c>
      <c r="M6878" s="272">
        <f t="shared" si="504"/>
        <v>1</v>
      </c>
      <c r="O6878" s="61">
        <f t="shared" si="505"/>
        <v>1900</v>
      </c>
      <c r="P6878" s="61">
        <f t="shared" si="506"/>
        <v>1</v>
      </c>
      <c r="R6878" s="272"/>
      <c r="S6878" s="272"/>
    </row>
    <row r="6879" spans="9:19">
      <c r="I6879" s="213"/>
      <c r="J6879" s="213"/>
      <c r="L6879" s="272">
        <f t="shared" si="503"/>
        <v>1900</v>
      </c>
      <c r="M6879" s="272">
        <f t="shared" si="504"/>
        <v>1</v>
      </c>
      <c r="O6879" s="61">
        <f t="shared" si="505"/>
        <v>1900</v>
      </c>
      <c r="P6879" s="61">
        <f t="shared" si="506"/>
        <v>1</v>
      </c>
      <c r="R6879" s="272"/>
      <c r="S6879" s="272"/>
    </row>
    <row r="6880" spans="9:19">
      <c r="I6880" s="213"/>
      <c r="J6880" s="213"/>
      <c r="L6880" s="272">
        <f t="shared" si="503"/>
        <v>1900</v>
      </c>
      <c r="M6880" s="272">
        <f t="shared" si="504"/>
        <v>1</v>
      </c>
      <c r="O6880" s="61">
        <f t="shared" si="505"/>
        <v>1900</v>
      </c>
      <c r="P6880" s="61">
        <f t="shared" si="506"/>
        <v>1</v>
      </c>
      <c r="R6880" s="272"/>
      <c r="S6880" s="272"/>
    </row>
    <row r="6881" spans="9:19">
      <c r="I6881" s="213"/>
      <c r="J6881" s="213"/>
      <c r="L6881" s="272">
        <f t="shared" si="503"/>
        <v>1900</v>
      </c>
      <c r="M6881" s="272">
        <f t="shared" si="504"/>
        <v>1</v>
      </c>
      <c r="O6881" s="61">
        <f t="shared" si="505"/>
        <v>1900</v>
      </c>
      <c r="P6881" s="61">
        <f t="shared" si="506"/>
        <v>1</v>
      </c>
      <c r="R6881" s="272"/>
      <c r="S6881" s="272"/>
    </row>
    <row r="6882" spans="9:19">
      <c r="I6882" s="213"/>
      <c r="J6882" s="213"/>
      <c r="L6882" s="272">
        <f t="shared" si="503"/>
        <v>1900</v>
      </c>
      <c r="M6882" s="272">
        <f t="shared" si="504"/>
        <v>1</v>
      </c>
      <c r="O6882" s="61">
        <f t="shared" si="505"/>
        <v>1900</v>
      </c>
      <c r="P6882" s="61">
        <f t="shared" si="506"/>
        <v>1</v>
      </c>
      <c r="R6882" s="272"/>
      <c r="S6882" s="272"/>
    </row>
    <row r="6883" spans="9:19">
      <c r="I6883" s="213"/>
      <c r="J6883" s="213"/>
      <c r="L6883" s="272">
        <f t="shared" si="503"/>
        <v>1900</v>
      </c>
      <c r="M6883" s="272">
        <f t="shared" si="504"/>
        <v>1</v>
      </c>
      <c r="O6883" s="61">
        <f t="shared" si="505"/>
        <v>1900</v>
      </c>
      <c r="P6883" s="61">
        <f t="shared" si="506"/>
        <v>1</v>
      </c>
      <c r="R6883" s="272"/>
      <c r="S6883" s="272"/>
    </row>
    <row r="6884" spans="9:19">
      <c r="I6884" s="213"/>
      <c r="J6884" s="213"/>
      <c r="L6884" s="272">
        <f t="shared" si="503"/>
        <v>1900</v>
      </c>
      <c r="M6884" s="272">
        <f t="shared" si="504"/>
        <v>1</v>
      </c>
      <c r="O6884" s="61">
        <f t="shared" si="505"/>
        <v>1900</v>
      </c>
      <c r="P6884" s="61">
        <f t="shared" si="506"/>
        <v>1</v>
      </c>
      <c r="R6884" s="272"/>
      <c r="S6884" s="272"/>
    </row>
    <row r="6885" spans="9:19">
      <c r="I6885" s="213"/>
      <c r="J6885" s="213"/>
      <c r="L6885" s="272">
        <f t="shared" si="503"/>
        <v>1900</v>
      </c>
      <c r="M6885" s="272">
        <f t="shared" si="504"/>
        <v>1</v>
      </c>
      <c r="O6885" s="61">
        <f t="shared" si="505"/>
        <v>1900</v>
      </c>
      <c r="P6885" s="61">
        <f t="shared" si="506"/>
        <v>1</v>
      </c>
      <c r="R6885" s="272"/>
      <c r="S6885" s="272"/>
    </row>
    <row r="6886" spans="9:19">
      <c r="I6886" s="213"/>
      <c r="J6886" s="213"/>
      <c r="L6886" s="272">
        <f t="shared" si="503"/>
        <v>1900</v>
      </c>
      <c r="M6886" s="272">
        <f t="shared" si="504"/>
        <v>1</v>
      </c>
      <c r="O6886" s="61">
        <f t="shared" si="505"/>
        <v>1900</v>
      </c>
      <c r="P6886" s="61">
        <f t="shared" si="506"/>
        <v>1</v>
      </c>
      <c r="R6886" s="272"/>
      <c r="S6886" s="272"/>
    </row>
    <row r="6887" spans="9:19">
      <c r="I6887" s="213"/>
      <c r="J6887" s="213"/>
      <c r="L6887" s="272">
        <f t="shared" si="503"/>
        <v>1900</v>
      </c>
      <c r="M6887" s="272">
        <f t="shared" si="504"/>
        <v>1</v>
      </c>
      <c r="O6887" s="61">
        <f t="shared" si="505"/>
        <v>1900</v>
      </c>
      <c r="P6887" s="61">
        <f t="shared" si="506"/>
        <v>1</v>
      </c>
      <c r="R6887" s="272"/>
      <c r="S6887" s="272"/>
    </row>
    <row r="6888" spans="9:19">
      <c r="I6888" s="213"/>
      <c r="J6888" s="213"/>
      <c r="L6888" s="272">
        <f t="shared" si="503"/>
        <v>1900</v>
      </c>
      <c r="M6888" s="272">
        <f t="shared" si="504"/>
        <v>1</v>
      </c>
      <c r="O6888" s="61">
        <f t="shared" si="505"/>
        <v>1900</v>
      </c>
      <c r="P6888" s="61">
        <f t="shared" si="506"/>
        <v>1</v>
      </c>
      <c r="R6888" s="272"/>
      <c r="S6888" s="272"/>
    </row>
    <row r="6889" spans="9:19">
      <c r="I6889" s="213"/>
      <c r="J6889" s="213"/>
      <c r="L6889" s="272">
        <f t="shared" si="503"/>
        <v>1900</v>
      </c>
      <c r="M6889" s="272">
        <f t="shared" si="504"/>
        <v>1</v>
      </c>
      <c r="O6889" s="61">
        <f t="shared" si="505"/>
        <v>1900</v>
      </c>
      <c r="P6889" s="61">
        <f t="shared" si="506"/>
        <v>1</v>
      </c>
      <c r="R6889" s="272"/>
      <c r="S6889" s="272"/>
    </row>
    <row r="6890" spans="9:19">
      <c r="I6890" s="213"/>
      <c r="J6890" s="213"/>
      <c r="L6890" s="272">
        <f t="shared" si="503"/>
        <v>1900</v>
      </c>
      <c r="M6890" s="272">
        <f t="shared" si="504"/>
        <v>1</v>
      </c>
      <c r="O6890" s="61">
        <f t="shared" si="505"/>
        <v>1900</v>
      </c>
      <c r="P6890" s="61">
        <f t="shared" si="506"/>
        <v>1</v>
      </c>
      <c r="R6890" s="272"/>
      <c r="S6890" s="272"/>
    </row>
    <row r="6891" spans="9:19">
      <c r="I6891" s="213"/>
      <c r="J6891" s="213"/>
      <c r="L6891" s="272">
        <f t="shared" si="503"/>
        <v>1900</v>
      </c>
      <c r="M6891" s="272">
        <f t="shared" si="504"/>
        <v>1</v>
      </c>
      <c r="O6891" s="61">
        <f t="shared" si="505"/>
        <v>1900</v>
      </c>
      <c r="P6891" s="61">
        <f t="shared" si="506"/>
        <v>1</v>
      </c>
      <c r="R6891" s="272"/>
      <c r="S6891" s="272"/>
    </row>
    <row r="6892" spans="9:19">
      <c r="I6892" s="213"/>
      <c r="J6892" s="213"/>
      <c r="L6892" s="272">
        <f t="shared" si="503"/>
        <v>1900</v>
      </c>
      <c r="M6892" s="272">
        <f t="shared" si="504"/>
        <v>1</v>
      </c>
      <c r="O6892" s="61">
        <f t="shared" si="505"/>
        <v>1900</v>
      </c>
      <c r="P6892" s="61">
        <f t="shared" si="506"/>
        <v>1</v>
      </c>
      <c r="R6892" s="272"/>
      <c r="S6892" s="272"/>
    </row>
    <row r="6893" spans="9:19">
      <c r="I6893" s="213"/>
      <c r="J6893" s="213"/>
      <c r="L6893" s="272">
        <f t="shared" si="503"/>
        <v>1900</v>
      </c>
      <c r="M6893" s="272">
        <f t="shared" si="504"/>
        <v>1</v>
      </c>
      <c r="O6893" s="61">
        <f t="shared" si="505"/>
        <v>1900</v>
      </c>
      <c r="P6893" s="61">
        <f t="shared" si="506"/>
        <v>1</v>
      </c>
      <c r="R6893" s="272"/>
      <c r="S6893" s="272"/>
    </row>
    <row r="6894" spans="9:19">
      <c r="I6894" s="213"/>
      <c r="J6894" s="213"/>
      <c r="L6894" s="272">
        <f t="shared" si="503"/>
        <v>1900</v>
      </c>
      <c r="M6894" s="272">
        <f t="shared" si="504"/>
        <v>1</v>
      </c>
      <c r="O6894" s="61">
        <f t="shared" si="505"/>
        <v>1900</v>
      </c>
      <c r="P6894" s="61">
        <f t="shared" si="506"/>
        <v>1</v>
      </c>
      <c r="R6894" s="272"/>
      <c r="S6894" s="272"/>
    </row>
    <row r="6895" spans="9:19">
      <c r="I6895" s="213"/>
      <c r="J6895" s="213"/>
      <c r="L6895" s="272">
        <f t="shared" si="503"/>
        <v>1900</v>
      </c>
      <c r="M6895" s="272">
        <f t="shared" si="504"/>
        <v>1</v>
      </c>
      <c r="O6895" s="61">
        <f t="shared" si="505"/>
        <v>1900</v>
      </c>
      <c r="P6895" s="61">
        <f t="shared" si="506"/>
        <v>1</v>
      </c>
      <c r="R6895" s="272"/>
      <c r="S6895" s="272"/>
    </row>
    <row r="6896" spans="9:19">
      <c r="I6896" s="213"/>
      <c r="J6896" s="213"/>
      <c r="L6896" s="272">
        <f t="shared" si="503"/>
        <v>1900</v>
      </c>
      <c r="M6896" s="272">
        <f t="shared" si="504"/>
        <v>1</v>
      </c>
      <c r="O6896" s="61">
        <f t="shared" si="505"/>
        <v>1900</v>
      </c>
      <c r="P6896" s="61">
        <f t="shared" si="506"/>
        <v>1</v>
      </c>
      <c r="R6896" s="272"/>
      <c r="S6896" s="272"/>
    </row>
    <row r="6897" spans="9:19">
      <c r="I6897" s="213"/>
      <c r="J6897" s="213"/>
      <c r="L6897" s="272">
        <f t="shared" si="503"/>
        <v>1900</v>
      </c>
      <c r="M6897" s="272">
        <f t="shared" si="504"/>
        <v>1</v>
      </c>
      <c r="O6897" s="61">
        <f t="shared" si="505"/>
        <v>1900</v>
      </c>
      <c r="P6897" s="61">
        <f t="shared" si="506"/>
        <v>1</v>
      </c>
      <c r="R6897" s="272"/>
      <c r="S6897" s="272"/>
    </row>
    <row r="6898" spans="9:19">
      <c r="I6898" s="213"/>
      <c r="J6898" s="213"/>
      <c r="L6898" s="272">
        <f t="shared" si="503"/>
        <v>1900</v>
      </c>
      <c r="M6898" s="272">
        <f t="shared" si="504"/>
        <v>1</v>
      </c>
      <c r="O6898" s="61">
        <f t="shared" si="505"/>
        <v>1900</v>
      </c>
      <c r="P6898" s="61">
        <f t="shared" si="506"/>
        <v>1</v>
      </c>
      <c r="R6898" s="272"/>
      <c r="S6898" s="272"/>
    </row>
    <row r="6899" spans="9:19">
      <c r="I6899" s="213"/>
      <c r="J6899" s="213"/>
      <c r="L6899" s="272">
        <f t="shared" si="503"/>
        <v>1900</v>
      </c>
      <c r="M6899" s="272">
        <f t="shared" si="504"/>
        <v>1</v>
      </c>
      <c r="O6899" s="61">
        <f t="shared" si="505"/>
        <v>1900</v>
      </c>
      <c r="P6899" s="61">
        <f t="shared" si="506"/>
        <v>1</v>
      </c>
      <c r="R6899" s="272"/>
      <c r="S6899" s="272"/>
    </row>
    <row r="6900" spans="9:19">
      <c r="I6900" s="213"/>
      <c r="J6900" s="213"/>
      <c r="L6900" s="272">
        <f t="shared" si="503"/>
        <v>1900</v>
      </c>
      <c r="M6900" s="272">
        <f t="shared" si="504"/>
        <v>1</v>
      </c>
      <c r="O6900" s="61">
        <f t="shared" si="505"/>
        <v>1900</v>
      </c>
      <c r="P6900" s="61">
        <f t="shared" si="506"/>
        <v>1</v>
      </c>
      <c r="R6900" s="272"/>
      <c r="S6900" s="272"/>
    </row>
    <row r="6901" spans="9:19">
      <c r="I6901" s="213"/>
      <c r="J6901" s="213"/>
      <c r="L6901" s="272">
        <f t="shared" si="503"/>
        <v>1900</v>
      </c>
      <c r="M6901" s="272">
        <f t="shared" si="504"/>
        <v>1</v>
      </c>
      <c r="O6901" s="61">
        <f t="shared" si="505"/>
        <v>1900</v>
      </c>
      <c r="P6901" s="61">
        <f t="shared" si="506"/>
        <v>1</v>
      </c>
      <c r="R6901" s="272"/>
      <c r="S6901" s="272"/>
    </row>
    <row r="6902" spans="9:19">
      <c r="I6902" s="213"/>
      <c r="J6902" s="213"/>
      <c r="L6902" s="272">
        <f t="shared" si="503"/>
        <v>1900</v>
      </c>
      <c r="M6902" s="272">
        <f t="shared" si="504"/>
        <v>1</v>
      </c>
      <c r="O6902" s="61">
        <f t="shared" si="505"/>
        <v>1900</v>
      </c>
      <c r="P6902" s="61">
        <f t="shared" si="506"/>
        <v>1</v>
      </c>
      <c r="R6902" s="272"/>
      <c r="S6902" s="272"/>
    </row>
    <row r="6903" spans="9:19">
      <c r="I6903" s="213"/>
      <c r="J6903" s="213"/>
      <c r="L6903" s="272">
        <f t="shared" si="503"/>
        <v>1900</v>
      </c>
      <c r="M6903" s="272">
        <f t="shared" si="504"/>
        <v>1</v>
      </c>
      <c r="O6903" s="61">
        <f t="shared" si="505"/>
        <v>1900</v>
      </c>
      <c r="P6903" s="61">
        <f t="shared" si="506"/>
        <v>1</v>
      </c>
      <c r="R6903" s="272"/>
      <c r="S6903" s="272"/>
    </row>
    <row r="6904" spans="9:19">
      <c r="I6904" s="213"/>
      <c r="J6904" s="213"/>
      <c r="L6904" s="272">
        <f t="shared" si="503"/>
        <v>1900</v>
      </c>
      <c r="M6904" s="272">
        <f t="shared" si="504"/>
        <v>1</v>
      </c>
      <c r="O6904" s="61">
        <f t="shared" si="505"/>
        <v>1900</v>
      </c>
      <c r="P6904" s="61">
        <f t="shared" si="506"/>
        <v>1</v>
      </c>
      <c r="R6904" s="272"/>
      <c r="S6904" s="272"/>
    </row>
    <row r="6905" spans="9:19">
      <c r="I6905" s="213"/>
      <c r="J6905" s="213"/>
      <c r="L6905" s="272">
        <f t="shared" si="503"/>
        <v>1900</v>
      </c>
      <c r="M6905" s="272">
        <f t="shared" si="504"/>
        <v>1</v>
      </c>
      <c r="O6905" s="61">
        <f t="shared" si="505"/>
        <v>1900</v>
      </c>
      <c r="P6905" s="61">
        <f t="shared" si="506"/>
        <v>1</v>
      </c>
      <c r="R6905" s="272"/>
      <c r="S6905" s="272"/>
    </row>
    <row r="6906" spans="9:19">
      <c r="I6906" s="213"/>
      <c r="J6906" s="213"/>
      <c r="L6906" s="272">
        <f t="shared" si="503"/>
        <v>1900</v>
      </c>
      <c r="M6906" s="272">
        <f t="shared" si="504"/>
        <v>1</v>
      </c>
      <c r="O6906" s="61">
        <f t="shared" si="505"/>
        <v>1900</v>
      </c>
      <c r="P6906" s="61">
        <f t="shared" si="506"/>
        <v>1</v>
      </c>
      <c r="R6906" s="272"/>
      <c r="S6906" s="272"/>
    </row>
    <row r="6907" spans="9:19">
      <c r="I6907" s="213"/>
      <c r="J6907" s="213"/>
      <c r="L6907" s="272">
        <f t="shared" si="503"/>
        <v>1900</v>
      </c>
      <c r="M6907" s="272">
        <f t="shared" si="504"/>
        <v>1</v>
      </c>
      <c r="O6907" s="61">
        <f t="shared" si="505"/>
        <v>1900</v>
      </c>
      <c r="P6907" s="61">
        <f t="shared" si="506"/>
        <v>1</v>
      </c>
      <c r="R6907" s="272"/>
      <c r="S6907" s="272"/>
    </row>
    <row r="6908" spans="9:19">
      <c r="I6908" s="213"/>
      <c r="J6908" s="213"/>
      <c r="L6908" s="272">
        <f t="shared" si="503"/>
        <v>1900</v>
      </c>
      <c r="M6908" s="272">
        <f t="shared" si="504"/>
        <v>1</v>
      </c>
      <c r="O6908" s="61">
        <f t="shared" si="505"/>
        <v>1900</v>
      </c>
      <c r="P6908" s="61">
        <f t="shared" si="506"/>
        <v>1</v>
      </c>
      <c r="R6908" s="272"/>
      <c r="S6908" s="272"/>
    </row>
    <row r="6909" spans="9:19">
      <c r="I6909" s="213"/>
      <c r="J6909" s="213"/>
      <c r="L6909" s="272">
        <f t="shared" si="503"/>
        <v>1900</v>
      </c>
      <c r="M6909" s="272">
        <f t="shared" si="504"/>
        <v>1</v>
      </c>
      <c r="O6909" s="61">
        <f t="shared" si="505"/>
        <v>1900</v>
      </c>
      <c r="P6909" s="61">
        <f t="shared" si="506"/>
        <v>1</v>
      </c>
      <c r="R6909" s="272"/>
      <c r="S6909" s="272"/>
    </row>
    <row r="6910" spans="9:19">
      <c r="I6910" s="213"/>
      <c r="J6910" s="213"/>
      <c r="L6910" s="272">
        <f t="shared" si="503"/>
        <v>1900</v>
      </c>
      <c r="M6910" s="272">
        <f t="shared" si="504"/>
        <v>1</v>
      </c>
      <c r="O6910" s="61">
        <f t="shared" si="505"/>
        <v>1900</v>
      </c>
      <c r="P6910" s="61">
        <f t="shared" si="506"/>
        <v>1</v>
      </c>
      <c r="R6910" s="272"/>
      <c r="S6910" s="272"/>
    </row>
    <row r="6911" spans="9:19">
      <c r="I6911" s="213"/>
      <c r="J6911" s="213"/>
      <c r="L6911" s="272">
        <f t="shared" si="503"/>
        <v>1900</v>
      </c>
      <c r="M6911" s="272">
        <f t="shared" si="504"/>
        <v>1</v>
      </c>
      <c r="O6911" s="61">
        <f t="shared" si="505"/>
        <v>1900</v>
      </c>
      <c r="P6911" s="61">
        <f t="shared" si="506"/>
        <v>1</v>
      </c>
      <c r="R6911" s="272"/>
      <c r="S6911" s="272"/>
    </row>
    <row r="6912" spans="9:19">
      <c r="I6912" s="213"/>
      <c r="J6912" s="213"/>
      <c r="L6912" s="272">
        <f t="shared" si="503"/>
        <v>1900</v>
      </c>
      <c r="M6912" s="272">
        <f t="shared" si="504"/>
        <v>1</v>
      </c>
      <c r="O6912" s="61">
        <f t="shared" si="505"/>
        <v>1900</v>
      </c>
      <c r="P6912" s="61">
        <f t="shared" si="506"/>
        <v>1</v>
      </c>
      <c r="R6912" s="272"/>
      <c r="S6912" s="272"/>
    </row>
    <row r="6913" spans="9:19">
      <c r="I6913" s="213"/>
      <c r="J6913" s="213"/>
      <c r="L6913" s="272">
        <f t="shared" si="503"/>
        <v>1900</v>
      </c>
      <c r="M6913" s="272">
        <f t="shared" si="504"/>
        <v>1</v>
      </c>
      <c r="O6913" s="61">
        <f t="shared" si="505"/>
        <v>1900</v>
      </c>
      <c r="P6913" s="61">
        <f t="shared" si="506"/>
        <v>1</v>
      </c>
      <c r="R6913" s="272"/>
      <c r="S6913" s="272"/>
    </row>
    <row r="6914" spans="9:19">
      <c r="I6914" s="213"/>
      <c r="J6914" s="213"/>
      <c r="L6914" s="272">
        <f t="shared" si="503"/>
        <v>1900</v>
      </c>
      <c r="M6914" s="272">
        <f t="shared" si="504"/>
        <v>1</v>
      </c>
      <c r="O6914" s="61">
        <f t="shared" si="505"/>
        <v>1900</v>
      </c>
      <c r="P6914" s="61">
        <f t="shared" si="506"/>
        <v>1</v>
      </c>
      <c r="R6914" s="272"/>
      <c r="S6914" s="272"/>
    </row>
    <row r="6915" spans="9:19">
      <c r="I6915" s="213"/>
      <c r="J6915" s="213"/>
      <c r="L6915" s="272">
        <f t="shared" si="503"/>
        <v>1900</v>
      </c>
      <c r="M6915" s="272">
        <f t="shared" si="504"/>
        <v>1</v>
      </c>
      <c r="O6915" s="61">
        <f t="shared" si="505"/>
        <v>1900</v>
      </c>
      <c r="P6915" s="61">
        <f t="shared" si="506"/>
        <v>1</v>
      </c>
      <c r="R6915" s="272"/>
      <c r="S6915" s="272"/>
    </row>
    <row r="6916" spans="9:19">
      <c r="I6916" s="213"/>
      <c r="J6916" s="213"/>
      <c r="L6916" s="272">
        <f t="shared" si="503"/>
        <v>1900</v>
      </c>
      <c r="M6916" s="272">
        <f t="shared" si="504"/>
        <v>1</v>
      </c>
      <c r="O6916" s="61">
        <f t="shared" si="505"/>
        <v>1900</v>
      </c>
      <c r="P6916" s="61">
        <f t="shared" si="506"/>
        <v>1</v>
      </c>
      <c r="R6916" s="272"/>
      <c r="S6916" s="272"/>
    </row>
    <row r="6917" spans="9:19">
      <c r="I6917" s="213"/>
      <c r="J6917" s="213"/>
      <c r="L6917" s="272">
        <f t="shared" si="503"/>
        <v>1900</v>
      </c>
      <c r="M6917" s="272">
        <f t="shared" si="504"/>
        <v>1</v>
      </c>
      <c r="O6917" s="61">
        <f t="shared" si="505"/>
        <v>1900</v>
      </c>
      <c r="P6917" s="61">
        <f t="shared" si="506"/>
        <v>1</v>
      </c>
      <c r="R6917" s="272"/>
      <c r="S6917" s="272"/>
    </row>
    <row r="6918" spans="9:19">
      <c r="I6918" s="213"/>
      <c r="J6918" s="213"/>
      <c r="L6918" s="272">
        <f t="shared" si="503"/>
        <v>1900</v>
      </c>
      <c r="M6918" s="272">
        <f t="shared" si="504"/>
        <v>1</v>
      </c>
      <c r="O6918" s="61">
        <f t="shared" si="505"/>
        <v>1900</v>
      </c>
      <c r="P6918" s="61">
        <f t="shared" si="506"/>
        <v>1</v>
      </c>
      <c r="R6918" s="272"/>
      <c r="S6918" s="272"/>
    </row>
    <row r="6919" spans="9:19">
      <c r="I6919" s="213"/>
      <c r="J6919" s="213"/>
      <c r="L6919" s="272">
        <f t="shared" si="503"/>
        <v>1900</v>
      </c>
      <c r="M6919" s="272">
        <f t="shared" si="504"/>
        <v>1</v>
      </c>
      <c r="O6919" s="61">
        <f t="shared" si="505"/>
        <v>1900</v>
      </c>
      <c r="P6919" s="61">
        <f t="shared" si="506"/>
        <v>1</v>
      </c>
      <c r="R6919" s="272"/>
      <c r="S6919" s="272"/>
    </row>
    <row r="6920" spans="9:19">
      <c r="I6920" s="213"/>
      <c r="J6920" s="213"/>
      <c r="L6920" s="272">
        <f t="shared" si="503"/>
        <v>1900</v>
      </c>
      <c r="M6920" s="272">
        <f t="shared" si="504"/>
        <v>1</v>
      </c>
      <c r="O6920" s="61">
        <f t="shared" si="505"/>
        <v>1900</v>
      </c>
      <c r="P6920" s="61">
        <f t="shared" si="506"/>
        <v>1</v>
      </c>
      <c r="R6920" s="272"/>
      <c r="S6920" s="272"/>
    </row>
    <row r="6921" spans="9:19">
      <c r="I6921" s="213"/>
      <c r="J6921" s="213"/>
      <c r="L6921" s="272">
        <f t="shared" si="503"/>
        <v>1900</v>
      </c>
      <c r="M6921" s="272">
        <f t="shared" si="504"/>
        <v>1</v>
      </c>
      <c r="O6921" s="61">
        <f t="shared" si="505"/>
        <v>1900</v>
      </c>
      <c r="P6921" s="61">
        <f t="shared" si="506"/>
        <v>1</v>
      </c>
      <c r="R6921" s="272"/>
      <c r="S6921" s="272"/>
    </row>
    <row r="6922" spans="9:19">
      <c r="I6922" s="213"/>
      <c r="J6922" s="213"/>
      <c r="L6922" s="272">
        <f t="shared" si="503"/>
        <v>1900</v>
      </c>
      <c r="M6922" s="272">
        <f t="shared" si="504"/>
        <v>1</v>
      </c>
      <c r="O6922" s="61">
        <f t="shared" si="505"/>
        <v>1900</v>
      </c>
      <c r="P6922" s="61">
        <f t="shared" si="506"/>
        <v>1</v>
      </c>
      <c r="R6922" s="272"/>
      <c r="S6922" s="272"/>
    </row>
    <row r="6923" spans="9:19">
      <c r="I6923" s="213"/>
      <c r="J6923" s="213"/>
      <c r="L6923" s="272">
        <f t="shared" si="503"/>
        <v>1900</v>
      </c>
      <c r="M6923" s="272">
        <f t="shared" si="504"/>
        <v>1</v>
      </c>
      <c r="O6923" s="61">
        <f t="shared" si="505"/>
        <v>1900</v>
      </c>
      <c r="P6923" s="61">
        <f t="shared" si="506"/>
        <v>1</v>
      </c>
      <c r="R6923" s="272"/>
      <c r="S6923" s="272"/>
    </row>
    <row r="6924" spans="9:19">
      <c r="I6924" s="213"/>
      <c r="J6924" s="213"/>
      <c r="L6924" s="272">
        <f t="shared" si="503"/>
        <v>1900</v>
      </c>
      <c r="M6924" s="272">
        <f t="shared" si="504"/>
        <v>1</v>
      </c>
      <c r="O6924" s="61">
        <f t="shared" si="505"/>
        <v>1900</v>
      </c>
      <c r="P6924" s="61">
        <f t="shared" si="506"/>
        <v>1</v>
      </c>
      <c r="R6924" s="272"/>
      <c r="S6924" s="272"/>
    </row>
    <row r="6925" spans="9:19">
      <c r="I6925" s="213"/>
      <c r="J6925" s="213"/>
      <c r="L6925" s="272">
        <f t="shared" si="503"/>
        <v>1900</v>
      </c>
      <c r="M6925" s="272">
        <f t="shared" si="504"/>
        <v>1</v>
      </c>
      <c r="O6925" s="61">
        <f t="shared" si="505"/>
        <v>1900</v>
      </c>
      <c r="P6925" s="61">
        <f t="shared" si="506"/>
        <v>1</v>
      </c>
    </row>
    <row r="6926" spans="9:19">
      <c r="I6926" s="213"/>
      <c r="J6926" s="213"/>
      <c r="L6926" s="272">
        <f t="shared" si="503"/>
        <v>1900</v>
      </c>
      <c r="M6926" s="272">
        <f t="shared" si="504"/>
        <v>1</v>
      </c>
      <c r="O6926" s="61">
        <f t="shared" si="505"/>
        <v>1900</v>
      </c>
      <c r="P6926" s="61">
        <f t="shared" si="506"/>
        <v>1</v>
      </c>
    </row>
    <row r="6927" spans="9:19">
      <c r="I6927" s="213"/>
      <c r="J6927" s="213"/>
      <c r="L6927" s="272">
        <f t="shared" si="503"/>
        <v>1900</v>
      </c>
      <c r="M6927" s="272">
        <f t="shared" si="504"/>
        <v>1</v>
      </c>
      <c r="O6927" s="61">
        <f t="shared" si="505"/>
        <v>1900</v>
      </c>
      <c r="P6927" s="61">
        <f t="shared" si="506"/>
        <v>1</v>
      </c>
    </row>
    <row r="6928" spans="9:19">
      <c r="I6928" s="213"/>
      <c r="J6928" s="213"/>
      <c r="L6928" s="272">
        <f t="shared" ref="L6928:L6991" si="507">YEAR(B6928)</f>
        <v>1900</v>
      </c>
      <c r="M6928" s="272">
        <f t="shared" ref="M6928:M6991" si="508">MONTH(B6928)</f>
        <v>1</v>
      </c>
      <c r="O6928" s="61">
        <f t="shared" ref="O6928:O6991" si="509">YEAR(B6928)</f>
        <v>1900</v>
      </c>
      <c r="P6928" s="61">
        <f t="shared" ref="P6928:P6991" si="510">MONTH(B6928)</f>
        <v>1</v>
      </c>
    </row>
    <row r="6929" spans="9:16">
      <c r="I6929" s="213"/>
      <c r="J6929" s="213"/>
      <c r="L6929" s="272">
        <f t="shared" si="507"/>
        <v>1900</v>
      </c>
      <c r="M6929" s="272">
        <f t="shared" si="508"/>
        <v>1</v>
      </c>
      <c r="O6929" s="61">
        <f t="shared" si="509"/>
        <v>1900</v>
      </c>
      <c r="P6929" s="61">
        <f t="shared" si="510"/>
        <v>1</v>
      </c>
    </row>
    <row r="6930" spans="9:16">
      <c r="I6930" s="213"/>
      <c r="J6930" s="213"/>
      <c r="L6930" s="272">
        <f t="shared" si="507"/>
        <v>1900</v>
      </c>
      <c r="M6930" s="272">
        <f t="shared" si="508"/>
        <v>1</v>
      </c>
      <c r="O6930" s="61">
        <f t="shared" si="509"/>
        <v>1900</v>
      </c>
      <c r="P6930" s="61">
        <f t="shared" si="510"/>
        <v>1</v>
      </c>
    </row>
    <row r="6931" spans="9:16">
      <c r="I6931" s="213"/>
      <c r="J6931" s="213"/>
      <c r="L6931" s="272">
        <f t="shared" si="507"/>
        <v>1900</v>
      </c>
      <c r="M6931" s="272">
        <f t="shared" si="508"/>
        <v>1</v>
      </c>
      <c r="O6931" s="61">
        <f t="shared" si="509"/>
        <v>1900</v>
      </c>
      <c r="P6931" s="61">
        <f t="shared" si="510"/>
        <v>1</v>
      </c>
    </row>
    <row r="6932" spans="9:16">
      <c r="I6932" s="213"/>
      <c r="J6932" s="213"/>
      <c r="L6932" s="272">
        <f t="shared" si="507"/>
        <v>1900</v>
      </c>
      <c r="M6932" s="272">
        <f t="shared" si="508"/>
        <v>1</v>
      </c>
      <c r="O6932" s="61">
        <f t="shared" si="509"/>
        <v>1900</v>
      </c>
      <c r="P6932" s="61">
        <f t="shared" si="510"/>
        <v>1</v>
      </c>
    </row>
    <row r="6933" spans="9:16">
      <c r="I6933" s="213"/>
      <c r="J6933" s="213"/>
      <c r="L6933" s="272">
        <f t="shared" si="507"/>
        <v>1900</v>
      </c>
      <c r="M6933" s="272">
        <f t="shared" si="508"/>
        <v>1</v>
      </c>
      <c r="O6933" s="61">
        <f t="shared" si="509"/>
        <v>1900</v>
      </c>
      <c r="P6933" s="61">
        <f t="shared" si="510"/>
        <v>1</v>
      </c>
    </row>
    <row r="6934" spans="9:16">
      <c r="I6934" s="213"/>
      <c r="J6934" s="213"/>
      <c r="L6934" s="272">
        <f t="shared" si="507"/>
        <v>1900</v>
      </c>
      <c r="M6934" s="272">
        <f t="shared" si="508"/>
        <v>1</v>
      </c>
      <c r="O6934" s="61">
        <f t="shared" si="509"/>
        <v>1900</v>
      </c>
      <c r="P6934" s="61">
        <f t="shared" si="510"/>
        <v>1</v>
      </c>
    </row>
    <row r="6935" spans="9:16">
      <c r="I6935" s="213"/>
      <c r="J6935" s="213"/>
      <c r="L6935" s="272">
        <f t="shared" si="507"/>
        <v>1900</v>
      </c>
      <c r="M6935" s="272">
        <f t="shared" si="508"/>
        <v>1</v>
      </c>
      <c r="O6935" s="61">
        <f t="shared" si="509"/>
        <v>1900</v>
      </c>
      <c r="P6935" s="61">
        <f t="shared" si="510"/>
        <v>1</v>
      </c>
    </row>
    <row r="6936" spans="9:16">
      <c r="I6936" s="213"/>
      <c r="J6936" s="213"/>
      <c r="L6936" s="272">
        <f t="shared" si="507"/>
        <v>1900</v>
      </c>
      <c r="M6936" s="272">
        <f t="shared" si="508"/>
        <v>1</v>
      </c>
      <c r="O6936" s="61">
        <f t="shared" si="509"/>
        <v>1900</v>
      </c>
      <c r="P6936" s="61">
        <f t="shared" si="510"/>
        <v>1</v>
      </c>
    </row>
    <row r="6937" spans="9:16">
      <c r="I6937" s="213"/>
      <c r="J6937" s="213"/>
      <c r="L6937" s="272">
        <f t="shared" si="507"/>
        <v>1900</v>
      </c>
      <c r="M6937" s="272">
        <f t="shared" si="508"/>
        <v>1</v>
      </c>
      <c r="O6937" s="61">
        <f t="shared" si="509"/>
        <v>1900</v>
      </c>
      <c r="P6937" s="61">
        <f t="shared" si="510"/>
        <v>1</v>
      </c>
    </row>
    <row r="6938" spans="9:16">
      <c r="I6938" s="213"/>
      <c r="J6938" s="213"/>
      <c r="L6938" s="272">
        <f t="shared" si="507"/>
        <v>1900</v>
      </c>
      <c r="M6938" s="272">
        <f t="shared" si="508"/>
        <v>1</v>
      </c>
      <c r="O6938" s="61">
        <f t="shared" si="509"/>
        <v>1900</v>
      </c>
      <c r="P6938" s="61">
        <f t="shared" si="510"/>
        <v>1</v>
      </c>
    </row>
    <row r="6939" spans="9:16">
      <c r="I6939" s="213"/>
      <c r="J6939" s="213"/>
      <c r="L6939" s="272">
        <f t="shared" si="507"/>
        <v>1900</v>
      </c>
      <c r="M6939" s="272">
        <f t="shared" si="508"/>
        <v>1</v>
      </c>
      <c r="O6939" s="61">
        <f t="shared" si="509"/>
        <v>1900</v>
      </c>
      <c r="P6939" s="61">
        <f t="shared" si="510"/>
        <v>1</v>
      </c>
    </row>
    <row r="6940" spans="9:16">
      <c r="I6940" s="213"/>
      <c r="J6940" s="213"/>
      <c r="L6940" s="272">
        <f t="shared" si="507"/>
        <v>1900</v>
      </c>
      <c r="M6940" s="272">
        <f t="shared" si="508"/>
        <v>1</v>
      </c>
      <c r="O6940" s="61">
        <f t="shared" si="509"/>
        <v>1900</v>
      </c>
      <c r="P6940" s="61">
        <f t="shared" si="510"/>
        <v>1</v>
      </c>
    </row>
    <row r="6941" spans="9:16">
      <c r="I6941" s="213"/>
      <c r="J6941" s="213"/>
      <c r="L6941" s="272">
        <f t="shared" si="507"/>
        <v>1900</v>
      </c>
      <c r="M6941" s="272">
        <f t="shared" si="508"/>
        <v>1</v>
      </c>
      <c r="O6941" s="61">
        <f t="shared" si="509"/>
        <v>1900</v>
      </c>
      <c r="P6941" s="61">
        <f t="shared" si="510"/>
        <v>1</v>
      </c>
    </row>
    <row r="6942" spans="9:16">
      <c r="I6942" s="213"/>
      <c r="J6942" s="213"/>
      <c r="L6942" s="272">
        <f t="shared" si="507"/>
        <v>1900</v>
      </c>
      <c r="M6942" s="272">
        <f t="shared" si="508"/>
        <v>1</v>
      </c>
      <c r="O6942" s="61">
        <f t="shared" si="509"/>
        <v>1900</v>
      </c>
      <c r="P6942" s="61">
        <f t="shared" si="510"/>
        <v>1</v>
      </c>
    </row>
    <row r="6943" spans="9:16">
      <c r="I6943" s="213"/>
      <c r="J6943" s="213"/>
      <c r="L6943" s="272">
        <f t="shared" si="507"/>
        <v>1900</v>
      </c>
      <c r="M6943" s="272">
        <f t="shared" si="508"/>
        <v>1</v>
      </c>
      <c r="O6943" s="61">
        <f t="shared" si="509"/>
        <v>1900</v>
      </c>
      <c r="P6943" s="61">
        <f t="shared" si="510"/>
        <v>1</v>
      </c>
    </row>
    <row r="6944" spans="9:16">
      <c r="I6944" s="213"/>
      <c r="J6944" s="213"/>
      <c r="L6944" s="272">
        <f t="shared" si="507"/>
        <v>1900</v>
      </c>
      <c r="M6944" s="272">
        <f t="shared" si="508"/>
        <v>1</v>
      </c>
      <c r="O6944" s="61">
        <f t="shared" si="509"/>
        <v>1900</v>
      </c>
      <c r="P6944" s="61">
        <f t="shared" si="510"/>
        <v>1</v>
      </c>
    </row>
    <row r="6945" spans="9:16">
      <c r="I6945" s="213"/>
      <c r="J6945" s="213"/>
      <c r="L6945" s="272">
        <f t="shared" si="507"/>
        <v>1900</v>
      </c>
      <c r="M6945" s="272">
        <f t="shared" si="508"/>
        <v>1</v>
      </c>
      <c r="O6945" s="61">
        <f t="shared" si="509"/>
        <v>1900</v>
      </c>
      <c r="P6945" s="61">
        <f t="shared" si="510"/>
        <v>1</v>
      </c>
    </row>
    <row r="6946" spans="9:16">
      <c r="I6946" s="213"/>
      <c r="J6946" s="213"/>
      <c r="L6946" s="272">
        <f t="shared" si="507"/>
        <v>1900</v>
      </c>
      <c r="M6946" s="272">
        <f t="shared" si="508"/>
        <v>1</v>
      </c>
      <c r="O6946" s="61">
        <f t="shared" si="509"/>
        <v>1900</v>
      </c>
      <c r="P6946" s="61">
        <f t="shared" si="510"/>
        <v>1</v>
      </c>
    </row>
    <row r="6947" spans="9:16">
      <c r="I6947" s="213"/>
      <c r="J6947" s="213"/>
      <c r="L6947" s="272">
        <f t="shared" si="507"/>
        <v>1900</v>
      </c>
      <c r="M6947" s="272">
        <f t="shared" si="508"/>
        <v>1</v>
      </c>
      <c r="O6947" s="61">
        <f t="shared" si="509"/>
        <v>1900</v>
      </c>
      <c r="P6947" s="61">
        <f t="shared" si="510"/>
        <v>1</v>
      </c>
    </row>
    <row r="6948" spans="9:16">
      <c r="I6948" s="213"/>
      <c r="J6948" s="213"/>
      <c r="L6948" s="272">
        <f t="shared" si="507"/>
        <v>1900</v>
      </c>
      <c r="M6948" s="272">
        <f t="shared" si="508"/>
        <v>1</v>
      </c>
      <c r="O6948" s="61">
        <f t="shared" si="509"/>
        <v>1900</v>
      </c>
      <c r="P6948" s="61">
        <f t="shared" si="510"/>
        <v>1</v>
      </c>
    </row>
    <row r="6949" spans="9:16">
      <c r="I6949" s="213"/>
      <c r="J6949" s="213"/>
      <c r="L6949" s="272">
        <f t="shared" si="507"/>
        <v>1900</v>
      </c>
      <c r="M6949" s="272">
        <f t="shared" si="508"/>
        <v>1</v>
      </c>
      <c r="O6949" s="61">
        <f t="shared" si="509"/>
        <v>1900</v>
      </c>
      <c r="P6949" s="61">
        <f t="shared" si="510"/>
        <v>1</v>
      </c>
    </row>
    <row r="6950" spans="9:16">
      <c r="I6950" s="213"/>
      <c r="J6950" s="213"/>
      <c r="L6950" s="272">
        <f t="shared" si="507"/>
        <v>1900</v>
      </c>
      <c r="M6950" s="272">
        <f t="shared" si="508"/>
        <v>1</v>
      </c>
      <c r="O6950" s="61">
        <f t="shared" si="509"/>
        <v>1900</v>
      </c>
      <c r="P6950" s="61">
        <f t="shared" si="510"/>
        <v>1</v>
      </c>
    </row>
    <row r="6951" spans="9:16">
      <c r="I6951" s="213"/>
      <c r="J6951" s="213"/>
      <c r="L6951" s="272">
        <f t="shared" si="507"/>
        <v>1900</v>
      </c>
      <c r="M6951" s="272">
        <f t="shared" si="508"/>
        <v>1</v>
      </c>
      <c r="O6951" s="61">
        <f t="shared" si="509"/>
        <v>1900</v>
      </c>
      <c r="P6951" s="61">
        <f t="shared" si="510"/>
        <v>1</v>
      </c>
    </row>
    <row r="6952" spans="9:16">
      <c r="I6952" s="213"/>
      <c r="J6952" s="213"/>
      <c r="L6952" s="272">
        <f t="shared" si="507"/>
        <v>1900</v>
      </c>
      <c r="M6952" s="272">
        <f t="shared" si="508"/>
        <v>1</v>
      </c>
      <c r="O6952" s="61">
        <f t="shared" si="509"/>
        <v>1900</v>
      </c>
      <c r="P6952" s="61">
        <f t="shared" si="510"/>
        <v>1</v>
      </c>
    </row>
    <row r="6953" spans="9:16">
      <c r="I6953" s="213"/>
      <c r="J6953" s="213"/>
      <c r="L6953" s="272">
        <f t="shared" si="507"/>
        <v>1900</v>
      </c>
      <c r="M6953" s="272">
        <f t="shared" si="508"/>
        <v>1</v>
      </c>
      <c r="O6953" s="61">
        <f t="shared" si="509"/>
        <v>1900</v>
      </c>
      <c r="P6953" s="61">
        <f t="shared" si="510"/>
        <v>1</v>
      </c>
    </row>
    <row r="6954" spans="9:16">
      <c r="I6954" s="213"/>
      <c r="J6954" s="213"/>
      <c r="L6954" s="272">
        <f t="shared" si="507"/>
        <v>1900</v>
      </c>
      <c r="M6954" s="272">
        <f t="shared" si="508"/>
        <v>1</v>
      </c>
      <c r="O6954" s="61">
        <f t="shared" si="509"/>
        <v>1900</v>
      </c>
      <c r="P6954" s="61">
        <f t="shared" si="510"/>
        <v>1</v>
      </c>
    </row>
    <row r="6955" spans="9:16">
      <c r="I6955" s="213"/>
      <c r="J6955" s="213"/>
      <c r="L6955" s="272">
        <f t="shared" si="507"/>
        <v>1900</v>
      </c>
      <c r="M6955" s="272">
        <f t="shared" si="508"/>
        <v>1</v>
      </c>
      <c r="O6955" s="61">
        <f t="shared" si="509"/>
        <v>1900</v>
      </c>
      <c r="P6955" s="61">
        <f t="shared" si="510"/>
        <v>1</v>
      </c>
    </row>
    <row r="6956" spans="9:16">
      <c r="I6956" s="213"/>
      <c r="J6956" s="213"/>
      <c r="L6956" s="272">
        <f t="shared" si="507"/>
        <v>1900</v>
      </c>
      <c r="M6956" s="272">
        <f t="shared" si="508"/>
        <v>1</v>
      </c>
      <c r="O6956" s="61">
        <f t="shared" si="509"/>
        <v>1900</v>
      </c>
      <c r="P6956" s="61">
        <f t="shared" si="510"/>
        <v>1</v>
      </c>
    </row>
    <row r="6957" spans="9:16">
      <c r="I6957" s="213"/>
      <c r="J6957" s="213"/>
      <c r="L6957" s="272">
        <f t="shared" si="507"/>
        <v>1900</v>
      </c>
      <c r="M6957" s="272">
        <f t="shared" si="508"/>
        <v>1</v>
      </c>
      <c r="O6957" s="61">
        <f t="shared" si="509"/>
        <v>1900</v>
      </c>
      <c r="P6957" s="61">
        <f t="shared" si="510"/>
        <v>1</v>
      </c>
    </row>
    <row r="6958" spans="9:16">
      <c r="I6958" s="213"/>
      <c r="J6958" s="213"/>
      <c r="L6958" s="272">
        <f t="shared" si="507"/>
        <v>1900</v>
      </c>
      <c r="M6958" s="272">
        <f t="shared" si="508"/>
        <v>1</v>
      </c>
      <c r="O6958" s="61">
        <f t="shared" si="509"/>
        <v>1900</v>
      </c>
      <c r="P6958" s="61">
        <f t="shared" si="510"/>
        <v>1</v>
      </c>
    </row>
    <row r="6959" spans="9:16">
      <c r="I6959" s="213"/>
      <c r="J6959" s="213"/>
      <c r="L6959" s="272">
        <f t="shared" si="507"/>
        <v>1900</v>
      </c>
      <c r="M6959" s="272">
        <f t="shared" si="508"/>
        <v>1</v>
      </c>
      <c r="O6959" s="61">
        <f t="shared" si="509"/>
        <v>1900</v>
      </c>
      <c r="P6959" s="61">
        <f t="shared" si="510"/>
        <v>1</v>
      </c>
    </row>
    <row r="6960" spans="9:16">
      <c r="I6960" s="213"/>
      <c r="J6960" s="213"/>
      <c r="L6960" s="272">
        <f t="shared" si="507"/>
        <v>1900</v>
      </c>
      <c r="M6960" s="272">
        <f t="shared" si="508"/>
        <v>1</v>
      </c>
      <c r="O6960" s="61">
        <f t="shared" si="509"/>
        <v>1900</v>
      </c>
      <c r="P6960" s="61">
        <f t="shared" si="510"/>
        <v>1</v>
      </c>
    </row>
    <row r="6961" spans="9:16">
      <c r="I6961" s="213"/>
      <c r="J6961" s="213"/>
      <c r="L6961" s="272">
        <f t="shared" si="507"/>
        <v>1900</v>
      </c>
      <c r="M6961" s="272">
        <f t="shared" si="508"/>
        <v>1</v>
      </c>
      <c r="O6961" s="61">
        <f t="shared" si="509"/>
        <v>1900</v>
      </c>
      <c r="P6961" s="61">
        <f t="shared" si="510"/>
        <v>1</v>
      </c>
    </row>
    <row r="6962" spans="9:16">
      <c r="I6962" s="213"/>
      <c r="J6962" s="213"/>
      <c r="L6962" s="272">
        <f t="shared" si="507"/>
        <v>1900</v>
      </c>
      <c r="M6962" s="272">
        <f t="shared" si="508"/>
        <v>1</v>
      </c>
      <c r="O6962" s="61">
        <f t="shared" si="509"/>
        <v>1900</v>
      </c>
      <c r="P6962" s="61">
        <f t="shared" si="510"/>
        <v>1</v>
      </c>
    </row>
    <row r="6963" spans="9:16">
      <c r="I6963" s="213"/>
      <c r="J6963" s="213"/>
      <c r="L6963" s="272">
        <f t="shared" si="507"/>
        <v>1900</v>
      </c>
      <c r="M6963" s="272">
        <f t="shared" si="508"/>
        <v>1</v>
      </c>
      <c r="O6963" s="61">
        <f t="shared" si="509"/>
        <v>1900</v>
      </c>
      <c r="P6963" s="61">
        <f t="shared" si="510"/>
        <v>1</v>
      </c>
    </row>
    <row r="6964" spans="9:16">
      <c r="I6964" s="213"/>
      <c r="J6964" s="213"/>
      <c r="L6964" s="272">
        <f t="shared" si="507"/>
        <v>1900</v>
      </c>
      <c r="M6964" s="272">
        <f t="shared" si="508"/>
        <v>1</v>
      </c>
      <c r="O6964" s="61">
        <f t="shared" si="509"/>
        <v>1900</v>
      </c>
      <c r="P6964" s="61">
        <f t="shared" si="510"/>
        <v>1</v>
      </c>
    </row>
    <row r="6965" spans="9:16">
      <c r="I6965" s="213"/>
      <c r="J6965" s="213"/>
      <c r="L6965" s="272">
        <f t="shared" si="507"/>
        <v>1900</v>
      </c>
      <c r="M6965" s="272">
        <f t="shared" si="508"/>
        <v>1</v>
      </c>
      <c r="O6965" s="61">
        <f t="shared" si="509"/>
        <v>1900</v>
      </c>
      <c r="P6965" s="61">
        <f t="shared" si="510"/>
        <v>1</v>
      </c>
    </row>
    <row r="6966" spans="9:16">
      <c r="I6966" s="213"/>
      <c r="J6966" s="213"/>
      <c r="L6966" s="272">
        <f t="shared" si="507"/>
        <v>1900</v>
      </c>
      <c r="M6966" s="272">
        <f t="shared" si="508"/>
        <v>1</v>
      </c>
      <c r="O6966" s="61">
        <f t="shared" si="509"/>
        <v>1900</v>
      </c>
      <c r="P6966" s="61">
        <f t="shared" si="510"/>
        <v>1</v>
      </c>
    </row>
    <row r="6967" spans="9:16">
      <c r="I6967" s="213"/>
      <c r="J6967" s="213"/>
      <c r="L6967" s="272">
        <f t="shared" si="507"/>
        <v>1900</v>
      </c>
      <c r="M6967" s="272">
        <f t="shared" si="508"/>
        <v>1</v>
      </c>
      <c r="O6967" s="61">
        <f t="shared" si="509"/>
        <v>1900</v>
      </c>
      <c r="P6967" s="61">
        <f t="shared" si="510"/>
        <v>1</v>
      </c>
    </row>
    <row r="6968" spans="9:16">
      <c r="I6968" s="213"/>
      <c r="J6968" s="213"/>
      <c r="L6968" s="272">
        <f t="shared" si="507"/>
        <v>1900</v>
      </c>
      <c r="M6968" s="272">
        <f t="shared" si="508"/>
        <v>1</v>
      </c>
      <c r="O6968" s="61">
        <f t="shared" si="509"/>
        <v>1900</v>
      </c>
      <c r="P6968" s="61">
        <f t="shared" si="510"/>
        <v>1</v>
      </c>
    </row>
    <row r="6969" spans="9:16">
      <c r="I6969" s="213"/>
      <c r="J6969" s="213"/>
      <c r="L6969" s="272">
        <f t="shared" si="507"/>
        <v>1900</v>
      </c>
      <c r="M6969" s="272">
        <f t="shared" si="508"/>
        <v>1</v>
      </c>
      <c r="O6969" s="61">
        <f t="shared" si="509"/>
        <v>1900</v>
      </c>
      <c r="P6969" s="61">
        <f t="shared" si="510"/>
        <v>1</v>
      </c>
    </row>
    <row r="6970" spans="9:16">
      <c r="I6970" s="213"/>
      <c r="J6970" s="213"/>
      <c r="L6970" s="272">
        <f t="shared" si="507"/>
        <v>1900</v>
      </c>
      <c r="M6970" s="272">
        <f t="shared" si="508"/>
        <v>1</v>
      </c>
      <c r="O6970" s="61">
        <f t="shared" si="509"/>
        <v>1900</v>
      </c>
      <c r="P6970" s="61">
        <f t="shared" si="510"/>
        <v>1</v>
      </c>
    </row>
    <row r="6971" spans="9:16">
      <c r="I6971" s="213"/>
      <c r="J6971" s="213"/>
      <c r="L6971" s="272">
        <f t="shared" si="507"/>
        <v>1900</v>
      </c>
      <c r="M6971" s="272">
        <f t="shared" si="508"/>
        <v>1</v>
      </c>
      <c r="O6971" s="61">
        <f t="shared" si="509"/>
        <v>1900</v>
      </c>
      <c r="P6971" s="61">
        <f t="shared" si="510"/>
        <v>1</v>
      </c>
    </row>
    <row r="6972" spans="9:16">
      <c r="I6972" s="213"/>
      <c r="J6972" s="213"/>
      <c r="L6972" s="272">
        <f t="shared" si="507"/>
        <v>1900</v>
      </c>
      <c r="M6972" s="272">
        <f t="shared" si="508"/>
        <v>1</v>
      </c>
      <c r="O6972" s="61">
        <f t="shared" si="509"/>
        <v>1900</v>
      </c>
      <c r="P6972" s="61">
        <f t="shared" si="510"/>
        <v>1</v>
      </c>
    </row>
    <row r="6973" spans="9:16">
      <c r="I6973" s="213"/>
      <c r="J6973" s="213"/>
      <c r="L6973" s="272">
        <f t="shared" si="507"/>
        <v>1900</v>
      </c>
      <c r="M6973" s="272">
        <f t="shared" si="508"/>
        <v>1</v>
      </c>
      <c r="O6973" s="61">
        <f t="shared" si="509"/>
        <v>1900</v>
      </c>
      <c r="P6973" s="61">
        <f t="shared" si="510"/>
        <v>1</v>
      </c>
    </row>
    <row r="6974" spans="9:16">
      <c r="I6974" s="213"/>
      <c r="J6974" s="213"/>
      <c r="L6974" s="272">
        <f t="shared" si="507"/>
        <v>1900</v>
      </c>
      <c r="M6974" s="272">
        <f t="shared" si="508"/>
        <v>1</v>
      </c>
      <c r="O6974" s="61">
        <f t="shared" si="509"/>
        <v>1900</v>
      </c>
      <c r="P6974" s="61">
        <f t="shared" si="510"/>
        <v>1</v>
      </c>
    </row>
    <row r="6975" spans="9:16">
      <c r="I6975" s="213"/>
      <c r="J6975" s="213"/>
      <c r="L6975" s="272">
        <f t="shared" si="507"/>
        <v>1900</v>
      </c>
      <c r="M6975" s="272">
        <f t="shared" si="508"/>
        <v>1</v>
      </c>
      <c r="O6975" s="61">
        <f t="shared" si="509"/>
        <v>1900</v>
      </c>
      <c r="P6975" s="61">
        <f t="shared" si="510"/>
        <v>1</v>
      </c>
    </row>
    <row r="6976" spans="9:16">
      <c r="I6976" s="213"/>
      <c r="J6976" s="213"/>
      <c r="L6976" s="272">
        <f t="shared" si="507"/>
        <v>1900</v>
      </c>
      <c r="M6976" s="272">
        <f t="shared" si="508"/>
        <v>1</v>
      </c>
      <c r="O6976" s="61">
        <f t="shared" si="509"/>
        <v>1900</v>
      </c>
      <c r="P6976" s="61">
        <f t="shared" si="510"/>
        <v>1</v>
      </c>
    </row>
    <row r="6977" spans="9:16">
      <c r="I6977" s="213"/>
      <c r="J6977" s="213"/>
      <c r="L6977" s="272">
        <f t="shared" si="507"/>
        <v>1900</v>
      </c>
      <c r="M6977" s="272">
        <f t="shared" si="508"/>
        <v>1</v>
      </c>
      <c r="O6977" s="61">
        <f t="shared" si="509"/>
        <v>1900</v>
      </c>
      <c r="P6977" s="61">
        <f t="shared" si="510"/>
        <v>1</v>
      </c>
    </row>
    <row r="6978" spans="9:16">
      <c r="I6978" s="213"/>
      <c r="J6978" s="213"/>
      <c r="L6978" s="272">
        <f t="shared" si="507"/>
        <v>1900</v>
      </c>
      <c r="M6978" s="272">
        <f t="shared" si="508"/>
        <v>1</v>
      </c>
      <c r="O6978" s="61">
        <f t="shared" si="509"/>
        <v>1900</v>
      </c>
      <c r="P6978" s="61">
        <f t="shared" si="510"/>
        <v>1</v>
      </c>
    </row>
    <row r="6979" spans="9:16">
      <c r="I6979" s="213"/>
      <c r="J6979" s="213"/>
      <c r="L6979" s="272">
        <f t="shared" si="507"/>
        <v>1900</v>
      </c>
      <c r="M6979" s="272">
        <f t="shared" si="508"/>
        <v>1</v>
      </c>
      <c r="O6979" s="61">
        <f t="shared" si="509"/>
        <v>1900</v>
      </c>
      <c r="P6979" s="61">
        <f t="shared" si="510"/>
        <v>1</v>
      </c>
    </row>
    <row r="6980" spans="9:16">
      <c r="I6980" s="213"/>
      <c r="J6980" s="213"/>
      <c r="L6980" s="272">
        <f t="shared" si="507"/>
        <v>1900</v>
      </c>
      <c r="M6980" s="272">
        <f t="shared" si="508"/>
        <v>1</v>
      </c>
      <c r="O6980" s="61">
        <f t="shared" si="509"/>
        <v>1900</v>
      </c>
      <c r="P6980" s="61">
        <f t="shared" si="510"/>
        <v>1</v>
      </c>
    </row>
    <row r="6981" spans="9:16">
      <c r="I6981" s="213"/>
      <c r="J6981" s="213"/>
      <c r="L6981" s="272">
        <f t="shared" si="507"/>
        <v>1900</v>
      </c>
      <c r="M6981" s="272">
        <f t="shared" si="508"/>
        <v>1</v>
      </c>
      <c r="O6981" s="61">
        <f t="shared" si="509"/>
        <v>1900</v>
      </c>
      <c r="P6981" s="61">
        <f t="shared" si="510"/>
        <v>1</v>
      </c>
    </row>
    <row r="6982" spans="9:16">
      <c r="I6982" s="213"/>
      <c r="J6982" s="213"/>
      <c r="L6982" s="272">
        <f t="shared" si="507"/>
        <v>1900</v>
      </c>
      <c r="M6982" s="272">
        <f t="shared" si="508"/>
        <v>1</v>
      </c>
      <c r="O6982" s="61">
        <f t="shared" si="509"/>
        <v>1900</v>
      </c>
      <c r="P6982" s="61">
        <f t="shared" si="510"/>
        <v>1</v>
      </c>
    </row>
    <row r="6983" spans="9:16">
      <c r="I6983" s="213"/>
      <c r="J6983" s="213"/>
      <c r="L6983" s="272">
        <f t="shared" si="507"/>
        <v>1900</v>
      </c>
      <c r="M6983" s="272">
        <f t="shared" si="508"/>
        <v>1</v>
      </c>
      <c r="O6983" s="61">
        <f t="shared" si="509"/>
        <v>1900</v>
      </c>
      <c r="P6983" s="61">
        <f t="shared" si="510"/>
        <v>1</v>
      </c>
    </row>
    <row r="6984" spans="9:16">
      <c r="I6984" s="213"/>
      <c r="J6984" s="213"/>
      <c r="L6984" s="272">
        <f t="shared" si="507"/>
        <v>1900</v>
      </c>
      <c r="M6984" s="272">
        <f t="shared" si="508"/>
        <v>1</v>
      </c>
      <c r="O6984" s="61">
        <f t="shared" si="509"/>
        <v>1900</v>
      </c>
      <c r="P6984" s="61">
        <f t="shared" si="510"/>
        <v>1</v>
      </c>
    </row>
    <row r="6985" spans="9:16">
      <c r="I6985" s="213"/>
      <c r="J6985" s="213"/>
      <c r="L6985" s="272">
        <f t="shared" si="507"/>
        <v>1900</v>
      </c>
      <c r="M6985" s="272">
        <f t="shared" si="508"/>
        <v>1</v>
      </c>
      <c r="O6985" s="61">
        <f t="shared" si="509"/>
        <v>1900</v>
      </c>
      <c r="P6985" s="61">
        <f t="shared" si="510"/>
        <v>1</v>
      </c>
    </row>
    <row r="6986" spans="9:16">
      <c r="I6986" s="213"/>
      <c r="J6986" s="213"/>
      <c r="L6986" s="272">
        <f t="shared" si="507"/>
        <v>1900</v>
      </c>
      <c r="M6986" s="272">
        <f t="shared" si="508"/>
        <v>1</v>
      </c>
      <c r="O6986" s="61">
        <f t="shared" si="509"/>
        <v>1900</v>
      </c>
      <c r="P6986" s="61">
        <f t="shared" si="510"/>
        <v>1</v>
      </c>
    </row>
    <row r="6987" spans="9:16">
      <c r="I6987" s="213"/>
      <c r="J6987" s="213"/>
      <c r="L6987" s="272">
        <f t="shared" si="507"/>
        <v>1900</v>
      </c>
      <c r="M6987" s="272">
        <f t="shared" si="508"/>
        <v>1</v>
      </c>
      <c r="O6987" s="61">
        <f t="shared" si="509"/>
        <v>1900</v>
      </c>
      <c r="P6987" s="61">
        <f t="shared" si="510"/>
        <v>1</v>
      </c>
    </row>
    <row r="6988" spans="9:16">
      <c r="I6988" s="213"/>
      <c r="J6988" s="213"/>
      <c r="L6988" s="272">
        <f t="shared" si="507"/>
        <v>1900</v>
      </c>
      <c r="M6988" s="272">
        <f t="shared" si="508"/>
        <v>1</v>
      </c>
      <c r="O6988" s="61">
        <f t="shared" si="509"/>
        <v>1900</v>
      </c>
      <c r="P6988" s="61">
        <f t="shared" si="510"/>
        <v>1</v>
      </c>
    </row>
    <row r="6989" spans="9:16">
      <c r="I6989" s="213"/>
      <c r="J6989" s="213"/>
      <c r="L6989" s="272">
        <f t="shared" si="507"/>
        <v>1900</v>
      </c>
      <c r="M6989" s="272">
        <f t="shared" si="508"/>
        <v>1</v>
      </c>
      <c r="O6989" s="61">
        <f t="shared" si="509"/>
        <v>1900</v>
      </c>
      <c r="P6989" s="61">
        <f t="shared" si="510"/>
        <v>1</v>
      </c>
    </row>
    <row r="6990" spans="9:16">
      <c r="I6990" s="213"/>
      <c r="J6990" s="213"/>
      <c r="L6990" s="272">
        <f t="shared" si="507"/>
        <v>1900</v>
      </c>
      <c r="M6990" s="272">
        <f t="shared" si="508"/>
        <v>1</v>
      </c>
      <c r="O6990" s="61">
        <f t="shared" si="509"/>
        <v>1900</v>
      </c>
      <c r="P6990" s="61">
        <f t="shared" si="510"/>
        <v>1</v>
      </c>
    </row>
    <row r="6991" spans="9:16">
      <c r="I6991" s="213"/>
      <c r="J6991" s="213"/>
      <c r="L6991" s="272">
        <f t="shared" si="507"/>
        <v>1900</v>
      </c>
      <c r="M6991" s="272">
        <f t="shared" si="508"/>
        <v>1</v>
      </c>
      <c r="O6991" s="61">
        <f t="shared" si="509"/>
        <v>1900</v>
      </c>
      <c r="P6991" s="61">
        <f t="shared" si="510"/>
        <v>1</v>
      </c>
    </row>
    <row r="6992" spans="9:16">
      <c r="I6992" s="213"/>
      <c r="J6992" s="213"/>
      <c r="L6992" s="272">
        <f t="shared" ref="L6992:L7055" si="511">YEAR(B6992)</f>
        <v>1900</v>
      </c>
      <c r="M6992" s="272">
        <f t="shared" ref="M6992:M7055" si="512">MONTH(B6992)</f>
        <v>1</v>
      </c>
      <c r="O6992" s="61">
        <f t="shared" ref="O6992:O7055" si="513">YEAR(B6992)</f>
        <v>1900</v>
      </c>
      <c r="P6992" s="61">
        <f t="shared" ref="P6992:P7055" si="514">MONTH(B6992)</f>
        <v>1</v>
      </c>
    </row>
    <row r="6993" spans="9:16">
      <c r="I6993" s="213"/>
      <c r="J6993" s="213"/>
      <c r="L6993" s="272">
        <f t="shared" si="511"/>
        <v>1900</v>
      </c>
      <c r="M6993" s="272">
        <f t="shared" si="512"/>
        <v>1</v>
      </c>
      <c r="O6993" s="61">
        <f t="shared" si="513"/>
        <v>1900</v>
      </c>
      <c r="P6993" s="61">
        <f t="shared" si="514"/>
        <v>1</v>
      </c>
    </row>
    <row r="6994" spans="9:16">
      <c r="I6994" s="213"/>
      <c r="J6994" s="213"/>
      <c r="L6994" s="272">
        <f t="shared" si="511"/>
        <v>1900</v>
      </c>
      <c r="M6994" s="272">
        <f t="shared" si="512"/>
        <v>1</v>
      </c>
      <c r="O6994" s="61">
        <f t="shared" si="513"/>
        <v>1900</v>
      </c>
      <c r="P6994" s="61">
        <f t="shared" si="514"/>
        <v>1</v>
      </c>
    </row>
    <row r="6995" spans="9:16">
      <c r="I6995" s="213"/>
      <c r="J6995" s="213"/>
      <c r="L6995" s="272">
        <f t="shared" si="511"/>
        <v>1900</v>
      </c>
      <c r="M6995" s="272">
        <f t="shared" si="512"/>
        <v>1</v>
      </c>
      <c r="O6995" s="61">
        <f t="shared" si="513"/>
        <v>1900</v>
      </c>
      <c r="P6995" s="61">
        <f t="shared" si="514"/>
        <v>1</v>
      </c>
    </row>
    <row r="6996" spans="9:16">
      <c r="I6996" s="213"/>
      <c r="J6996" s="213"/>
      <c r="L6996" s="272">
        <f t="shared" si="511"/>
        <v>1900</v>
      </c>
      <c r="M6996" s="272">
        <f t="shared" si="512"/>
        <v>1</v>
      </c>
      <c r="O6996" s="61">
        <f t="shared" si="513"/>
        <v>1900</v>
      </c>
      <c r="P6996" s="61">
        <f t="shared" si="514"/>
        <v>1</v>
      </c>
    </row>
    <row r="6997" spans="9:16">
      <c r="I6997" s="213"/>
      <c r="J6997" s="213"/>
      <c r="L6997" s="272">
        <f t="shared" si="511"/>
        <v>1900</v>
      </c>
      <c r="M6997" s="272">
        <f t="shared" si="512"/>
        <v>1</v>
      </c>
      <c r="O6997" s="61">
        <f t="shared" si="513"/>
        <v>1900</v>
      </c>
      <c r="P6997" s="61">
        <f t="shared" si="514"/>
        <v>1</v>
      </c>
    </row>
    <row r="6998" spans="9:16">
      <c r="I6998" s="213"/>
      <c r="J6998" s="213"/>
      <c r="L6998" s="272">
        <f t="shared" si="511"/>
        <v>1900</v>
      </c>
      <c r="M6998" s="272">
        <f t="shared" si="512"/>
        <v>1</v>
      </c>
      <c r="O6998" s="61">
        <f t="shared" si="513"/>
        <v>1900</v>
      </c>
      <c r="P6998" s="61">
        <f t="shared" si="514"/>
        <v>1</v>
      </c>
    </row>
    <row r="6999" spans="9:16">
      <c r="I6999" s="213"/>
      <c r="J6999" s="213"/>
      <c r="L6999" s="272">
        <f t="shared" si="511"/>
        <v>1900</v>
      </c>
      <c r="M6999" s="272">
        <f t="shared" si="512"/>
        <v>1</v>
      </c>
      <c r="O6999" s="61">
        <f t="shared" si="513"/>
        <v>1900</v>
      </c>
      <c r="P6999" s="61">
        <f t="shared" si="514"/>
        <v>1</v>
      </c>
    </row>
    <row r="7000" spans="9:16">
      <c r="I7000" s="213"/>
      <c r="J7000" s="213"/>
      <c r="L7000" s="272">
        <f t="shared" si="511"/>
        <v>1900</v>
      </c>
      <c r="M7000" s="272">
        <f t="shared" si="512"/>
        <v>1</v>
      </c>
      <c r="O7000" s="61">
        <f t="shared" si="513"/>
        <v>1900</v>
      </c>
      <c r="P7000" s="61">
        <f t="shared" si="514"/>
        <v>1</v>
      </c>
    </row>
    <row r="7001" spans="9:16">
      <c r="I7001" s="213"/>
      <c r="J7001" s="213"/>
      <c r="L7001" s="272">
        <f t="shared" si="511"/>
        <v>1900</v>
      </c>
      <c r="M7001" s="272">
        <f t="shared" si="512"/>
        <v>1</v>
      </c>
      <c r="O7001" s="61">
        <f t="shared" si="513"/>
        <v>1900</v>
      </c>
      <c r="P7001" s="61">
        <f t="shared" si="514"/>
        <v>1</v>
      </c>
    </row>
    <row r="7002" spans="9:16">
      <c r="I7002" s="213"/>
      <c r="J7002" s="213"/>
      <c r="L7002" s="272">
        <f t="shared" si="511"/>
        <v>1900</v>
      </c>
      <c r="M7002" s="272">
        <f t="shared" si="512"/>
        <v>1</v>
      </c>
      <c r="O7002" s="61">
        <f t="shared" si="513"/>
        <v>1900</v>
      </c>
      <c r="P7002" s="61">
        <f t="shared" si="514"/>
        <v>1</v>
      </c>
    </row>
    <row r="7003" spans="9:16">
      <c r="I7003" s="213"/>
      <c r="J7003" s="213"/>
      <c r="L7003" s="272">
        <f t="shared" si="511"/>
        <v>1900</v>
      </c>
      <c r="M7003" s="272">
        <f t="shared" si="512"/>
        <v>1</v>
      </c>
      <c r="O7003" s="61">
        <f t="shared" si="513"/>
        <v>1900</v>
      </c>
      <c r="P7003" s="61">
        <f t="shared" si="514"/>
        <v>1</v>
      </c>
    </row>
    <row r="7004" spans="9:16">
      <c r="I7004" s="213"/>
      <c r="J7004" s="213"/>
      <c r="L7004" s="272">
        <f t="shared" si="511"/>
        <v>1900</v>
      </c>
      <c r="M7004" s="272">
        <f t="shared" si="512"/>
        <v>1</v>
      </c>
      <c r="O7004" s="61">
        <f t="shared" si="513"/>
        <v>1900</v>
      </c>
      <c r="P7004" s="61">
        <f t="shared" si="514"/>
        <v>1</v>
      </c>
    </row>
    <row r="7005" spans="9:16">
      <c r="I7005" s="213"/>
      <c r="J7005" s="213"/>
      <c r="L7005" s="272">
        <f t="shared" si="511"/>
        <v>1900</v>
      </c>
      <c r="M7005" s="272">
        <f t="shared" si="512"/>
        <v>1</v>
      </c>
      <c r="O7005" s="61">
        <f t="shared" si="513"/>
        <v>1900</v>
      </c>
      <c r="P7005" s="61">
        <f t="shared" si="514"/>
        <v>1</v>
      </c>
    </row>
    <row r="7006" spans="9:16">
      <c r="I7006" s="213"/>
      <c r="J7006" s="213"/>
      <c r="L7006" s="272">
        <f t="shared" si="511"/>
        <v>1900</v>
      </c>
      <c r="M7006" s="272">
        <f t="shared" si="512"/>
        <v>1</v>
      </c>
      <c r="O7006" s="61">
        <f t="shared" si="513"/>
        <v>1900</v>
      </c>
      <c r="P7006" s="61">
        <f t="shared" si="514"/>
        <v>1</v>
      </c>
    </row>
    <row r="7007" spans="9:16">
      <c r="I7007" s="213"/>
      <c r="J7007" s="213"/>
      <c r="L7007" s="272">
        <f t="shared" si="511"/>
        <v>1900</v>
      </c>
      <c r="M7007" s="272">
        <f t="shared" si="512"/>
        <v>1</v>
      </c>
      <c r="O7007" s="61">
        <f t="shared" si="513"/>
        <v>1900</v>
      </c>
      <c r="P7007" s="61">
        <f t="shared" si="514"/>
        <v>1</v>
      </c>
    </row>
    <row r="7008" spans="9:16">
      <c r="I7008" s="213"/>
      <c r="J7008" s="213"/>
      <c r="L7008" s="272">
        <f t="shared" si="511"/>
        <v>1900</v>
      </c>
      <c r="M7008" s="272">
        <f t="shared" si="512"/>
        <v>1</v>
      </c>
      <c r="O7008" s="61">
        <f t="shared" si="513"/>
        <v>1900</v>
      </c>
      <c r="P7008" s="61">
        <f t="shared" si="514"/>
        <v>1</v>
      </c>
    </row>
    <row r="7009" spans="9:16">
      <c r="I7009" s="213"/>
      <c r="J7009" s="213"/>
      <c r="L7009" s="272">
        <f t="shared" si="511"/>
        <v>1900</v>
      </c>
      <c r="M7009" s="272">
        <f t="shared" si="512"/>
        <v>1</v>
      </c>
      <c r="O7009" s="61">
        <f t="shared" si="513"/>
        <v>1900</v>
      </c>
      <c r="P7009" s="61">
        <f t="shared" si="514"/>
        <v>1</v>
      </c>
    </row>
    <row r="7010" spans="9:16">
      <c r="I7010" s="213"/>
      <c r="J7010" s="213"/>
      <c r="L7010" s="272">
        <f t="shared" si="511"/>
        <v>1900</v>
      </c>
      <c r="M7010" s="272">
        <f t="shared" si="512"/>
        <v>1</v>
      </c>
      <c r="O7010" s="61">
        <f t="shared" si="513"/>
        <v>1900</v>
      </c>
      <c r="P7010" s="61">
        <f t="shared" si="514"/>
        <v>1</v>
      </c>
    </row>
    <row r="7011" spans="9:16">
      <c r="I7011" s="213"/>
      <c r="J7011" s="213"/>
      <c r="L7011" s="272">
        <f t="shared" si="511"/>
        <v>1900</v>
      </c>
      <c r="M7011" s="272">
        <f t="shared" si="512"/>
        <v>1</v>
      </c>
      <c r="O7011" s="61">
        <f t="shared" si="513"/>
        <v>1900</v>
      </c>
      <c r="P7011" s="61">
        <f t="shared" si="514"/>
        <v>1</v>
      </c>
    </row>
    <row r="7012" spans="9:16">
      <c r="I7012" s="213"/>
      <c r="J7012" s="213"/>
      <c r="L7012" s="272">
        <f t="shared" si="511"/>
        <v>1900</v>
      </c>
      <c r="M7012" s="272">
        <f t="shared" si="512"/>
        <v>1</v>
      </c>
      <c r="O7012" s="61">
        <f t="shared" si="513"/>
        <v>1900</v>
      </c>
      <c r="P7012" s="61">
        <f t="shared" si="514"/>
        <v>1</v>
      </c>
    </row>
    <row r="7013" spans="9:16">
      <c r="I7013" s="213"/>
      <c r="J7013" s="213"/>
      <c r="L7013" s="272">
        <f t="shared" si="511"/>
        <v>1900</v>
      </c>
      <c r="M7013" s="272">
        <f t="shared" si="512"/>
        <v>1</v>
      </c>
      <c r="O7013" s="61">
        <f t="shared" si="513"/>
        <v>1900</v>
      </c>
      <c r="P7013" s="61">
        <f t="shared" si="514"/>
        <v>1</v>
      </c>
    </row>
    <row r="7014" spans="9:16">
      <c r="I7014" s="213"/>
      <c r="J7014" s="213"/>
      <c r="L7014" s="272">
        <f t="shared" si="511"/>
        <v>1900</v>
      </c>
      <c r="M7014" s="272">
        <f t="shared" si="512"/>
        <v>1</v>
      </c>
      <c r="O7014" s="61">
        <f t="shared" si="513"/>
        <v>1900</v>
      </c>
      <c r="P7014" s="61">
        <f t="shared" si="514"/>
        <v>1</v>
      </c>
    </row>
    <row r="7015" spans="9:16">
      <c r="I7015" s="213"/>
      <c r="J7015" s="213"/>
      <c r="L7015" s="272">
        <f t="shared" si="511"/>
        <v>1900</v>
      </c>
      <c r="M7015" s="272">
        <f t="shared" si="512"/>
        <v>1</v>
      </c>
      <c r="O7015" s="61">
        <f t="shared" si="513"/>
        <v>1900</v>
      </c>
      <c r="P7015" s="61">
        <f t="shared" si="514"/>
        <v>1</v>
      </c>
    </row>
    <row r="7016" spans="9:16">
      <c r="I7016" s="213"/>
      <c r="J7016" s="213"/>
      <c r="L7016" s="272">
        <f t="shared" si="511"/>
        <v>1900</v>
      </c>
      <c r="M7016" s="272">
        <f t="shared" si="512"/>
        <v>1</v>
      </c>
      <c r="O7016" s="61">
        <f t="shared" si="513"/>
        <v>1900</v>
      </c>
      <c r="P7016" s="61">
        <f t="shared" si="514"/>
        <v>1</v>
      </c>
    </row>
    <row r="7017" spans="9:16">
      <c r="I7017" s="213"/>
      <c r="J7017" s="213"/>
      <c r="L7017" s="272">
        <f t="shared" si="511"/>
        <v>1900</v>
      </c>
      <c r="M7017" s="272">
        <f t="shared" si="512"/>
        <v>1</v>
      </c>
      <c r="O7017" s="61">
        <f t="shared" si="513"/>
        <v>1900</v>
      </c>
      <c r="P7017" s="61">
        <f t="shared" si="514"/>
        <v>1</v>
      </c>
    </row>
    <row r="7018" spans="9:16">
      <c r="I7018" s="213"/>
      <c r="J7018" s="213"/>
      <c r="L7018" s="272">
        <f t="shared" si="511"/>
        <v>1900</v>
      </c>
      <c r="M7018" s="272">
        <f t="shared" si="512"/>
        <v>1</v>
      </c>
      <c r="O7018" s="61">
        <f t="shared" si="513"/>
        <v>1900</v>
      </c>
      <c r="P7018" s="61">
        <f t="shared" si="514"/>
        <v>1</v>
      </c>
    </row>
    <row r="7019" spans="9:16">
      <c r="I7019" s="213"/>
      <c r="J7019" s="213"/>
      <c r="L7019" s="272">
        <f t="shared" si="511"/>
        <v>1900</v>
      </c>
      <c r="M7019" s="272">
        <f t="shared" si="512"/>
        <v>1</v>
      </c>
      <c r="O7019" s="61">
        <f t="shared" si="513"/>
        <v>1900</v>
      </c>
      <c r="P7019" s="61">
        <f t="shared" si="514"/>
        <v>1</v>
      </c>
    </row>
    <row r="7020" spans="9:16">
      <c r="I7020" s="213"/>
      <c r="J7020" s="213"/>
      <c r="L7020" s="272">
        <f t="shared" si="511"/>
        <v>1900</v>
      </c>
      <c r="M7020" s="272">
        <f t="shared" si="512"/>
        <v>1</v>
      </c>
      <c r="O7020" s="61">
        <f t="shared" si="513"/>
        <v>1900</v>
      </c>
      <c r="P7020" s="61">
        <f t="shared" si="514"/>
        <v>1</v>
      </c>
    </row>
    <row r="7021" spans="9:16">
      <c r="I7021" s="213"/>
      <c r="J7021" s="213"/>
      <c r="L7021" s="272">
        <f t="shared" si="511"/>
        <v>1900</v>
      </c>
      <c r="M7021" s="272">
        <f t="shared" si="512"/>
        <v>1</v>
      </c>
      <c r="O7021" s="61">
        <f t="shared" si="513"/>
        <v>1900</v>
      </c>
      <c r="P7021" s="61">
        <f t="shared" si="514"/>
        <v>1</v>
      </c>
    </row>
    <row r="7022" spans="9:16">
      <c r="I7022" s="213"/>
      <c r="J7022" s="213"/>
      <c r="L7022" s="272">
        <f t="shared" si="511"/>
        <v>1900</v>
      </c>
      <c r="M7022" s="272">
        <f t="shared" si="512"/>
        <v>1</v>
      </c>
      <c r="O7022" s="61">
        <f t="shared" si="513"/>
        <v>1900</v>
      </c>
      <c r="P7022" s="61">
        <f t="shared" si="514"/>
        <v>1</v>
      </c>
    </row>
    <row r="7023" spans="9:16">
      <c r="I7023" s="213"/>
      <c r="J7023" s="213"/>
      <c r="L7023" s="272">
        <f t="shared" si="511"/>
        <v>1900</v>
      </c>
      <c r="M7023" s="272">
        <f t="shared" si="512"/>
        <v>1</v>
      </c>
      <c r="O7023" s="61">
        <f t="shared" si="513"/>
        <v>1900</v>
      </c>
      <c r="P7023" s="61">
        <f t="shared" si="514"/>
        <v>1</v>
      </c>
    </row>
    <row r="7024" spans="9:16">
      <c r="I7024" s="213"/>
      <c r="J7024" s="213"/>
      <c r="L7024" s="272">
        <f t="shared" si="511"/>
        <v>1900</v>
      </c>
      <c r="M7024" s="272">
        <f t="shared" si="512"/>
        <v>1</v>
      </c>
      <c r="O7024" s="61">
        <f t="shared" si="513"/>
        <v>1900</v>
      </c>
      <c r="P7024" s="61">
        <f t="shared" si="514"/>
        <v>1</v>
      </c>
    </row>
    <row r="7025" spans="9:16">
      <c r="I7025" s="213"/>
      <c r="J7025" s="213"/>
      <c r="L7025" s="272">
        <f t="shared" si="511"/>
        <v>1900</v>
      </c>
      <c r="M7025" s="272">
        <f t="shared" si="512"/>
        <v>1</v>
      </c>
      <c r="O7025" s="61">
        <f t="shared" si="513"/>
        <v>1900</v>
      </c>
      <c r="P7025" s="61">
        <f t="shared" si="514"/>
        <v>1</v>
      </c>
    </row>
    <row r="7026" spans="9:16">
      <c r="I7026" s="213"/>
      <c r="J7026" s="213"/>
      <c r="L7026" s="272">
        <f t="shared" si="511"/>
        <v>1900</v>
      </c>
      <c r="M7026" s="272">
        <f t="shared" si="512"/>
        <v>1</v>
      </c>
      <c r="O7026" s="61">
        <f t="shared" si="513"/>
        <v>1900</v>
      </c>
      <c r="P7026" s="61">
        <f t="shared" si="514"/>
        <v>1</v>
      </c>
    </row>
    <row r="7027" spans="9:16">
      <c r="I7027" s="213"/>
      <c r="J7027" s="213"/>
      <c r="L7027" s="272">
        <f t="shared" si="511"/>
        <v>1900</v>
      </c>
      <c r="M7027" s="272">
        <f t="shared" si="512"/>
        <v>1</v>
      </c>
      <c r="O7027" s="61">
        <f t="shared" si="513"/>
        <v>1900</v>
      </c>
      <c r="P7027" s="61">
        <f t="shared" si="514"/>
        <v>1</v>
      </c>
    </row>
    <row r="7028" spans="9:16">
      <c r="I7028" s="213"/>
      <c r="J7028" s="213"/>
      <c r="L7028" s="272">
        <f t="shared" si="511"/>
        <v>1900</v>
      </c>
      <c r="M7028" s="272">
        <f t="shared" si="512"/>
        <v>1</v>
      </c>
      <c r="O7028" s="61">
        <f t="shared" si="513"/>
        <v>1900</v>
      </c>
      <c r="P7028" s="61">
        <f t="shared" si="514"/>
        <v>1</v>
      </c>
    </row>
    <row r="7029" spans="9:16">
      <c r="I7029" s="213"/>
      <c r="J7029" s="213"/>
      <c r="L7029" s="272">
        <f t="shared" si="511"/>
        <v>1900</v>
      </c>
      <c r="M7029" s="272">
        <f t="shared" si="512"/>
        <v>1</v>
      </c>
      <c r="O7029" s="61">
        <f t="shared" si="513"/>
        <v>1900</v>
      </c>
      <c r="P7029" s="61">
        <f t="shared" si="514"/>
        <v>1</v>
      </c>
    </row>
    <row r="7030" spans="9:16">
      <c r="I7030" s="213"/>
      <c r="J7030" s="213"/>
      <c r="L7030" s="272">
        <f t="shared" si="511"/>
        <v>1900</v>
      </c>
      <c r="M7030" s="272">
        <f t="shared" si="512"/>
        <v>1</v>
      </c>
      <c r="O7030" s="61">
        <f t="shared" si="513"/>
        <v>1900</v>
      </c>
      <c r="P7030" s="61">
        <f t="shared" si="514"/>
        <v>1</v>
      </c>
    </row>
    <row r="7031" spans="9:16">
      <c r="I7031" s="213"/>
      <c r="J7031" s="213"/>
      <c r="L7031" s="272">
        <f t="shared" si="511"/>
        <v>1900</v>
      </c>
      <c r="M7031" s="272">
        <f t="shared" si="512"/>
        <v>1</v>
      </c>
      <c r="O7031" s="61">
        <f t="shared" si="513"/>
        <v>1900</v>
      </c>
      <c r="P7031" s="61">
        <f t="shared" si="514"/>
        <v>1</v>
      </c>
    </row>
    <row r="7032" spans="9:16">
      <c r="I7032" s="213"/>
      <c r="J7032" s="213"/>
      <c r="L7032" s="272">
        <f t="shared" si="511"/>
        <v>1900</v>
      </c>
      <c r="M7032" s="272">
        <f t="shared" si="512"/>
        <v>1</v>
      </c>
      <c r="O7032" s="61">
        <f t="shared" si="513"/>
        <v>1900</v>
      </c>
      <c r="P7032" s="61">
        <f t="shared" si="514"/>
        <v>1</v>
      </c>
    </row>
    <row r="7033" spans="9:16">
      <c r="I7033" s="213"/>
      <c r="J7033" s="213"/>
      <c r="L7033" s="272">
        <f t="shared" si="511"/>
        <v>1900</v>
      </c>
      <c r="M7033" s="272">
        <f t="shared" si="512"/>
        <v>1</v>
      </c>
      <c r="O7033" s="61">
        <f t="shared" si="513"/>
        <v>1900</v>
      </c>
      <c r="P7033" s="61">
        <f t="shared" si="514"/>
        <v>1</v>
      </c>
    </row>
    <row r="7034" spans="9:16">
      <c r="I7034" s="213"/>
      <c r="J7034" s="213"/>
      <c r="L7034" s="272">
        <f t="shared" si="511"/>
        <v>1900</v>
      </c>
      <c r="M7034" s="272">
        <f t="shared" si="512"/>
        <v>1</v>
      </c>
      <c r="O7034" s="61">
        <f t="shared" si="513"/>
        <v>1900</v>
      </c>
      <c r="P7034" s="61">
        <f t="shared" si="514"/>
        <v>1</v>
      </c>
    </row>
    <row r="7035" spans="9:16">
      <c r="I7035" s="213"/>
      <c r="J7035" s="213"/>
      <c r="L7035" s="272">
        <f t="shared" si="511"/>
        <v>1900</v>
      </c>
      <c r="M7035" s="272">
        <f t="shared" si="512"/>
        <v>1</v>
      </c>
      <c r="O7035" s="61">
        <f t="shared" si="513"/>
        <v>1900</v>
      </c>
      <c r="P7035" s="61">
        <f t="shared" si="514"/>
        <v>1</v>
      </c>
    </row>
    <row r="7036" spans="9:16">
      <c r="I7036" s="213"/>
      <c r="J7036" s="213"/>
      <c r="L7036" s="272">
        <f t="shared" si="511"/>
        <v>1900</v>
      </c>
      <c r="M7036" s="272">
        <f t="shared" si="512"/>
        <v>1</v>
      </c>
      <c r="O7036" s="61">
        <f t="shared" si="513"/>
        <v>1900</v>
      </c>
      <c r="P7036" s="61">
        <f t="shared" si="514"/>
        <v>1</v>
      </c>
    </row>
    <row r="7037" spans="9:16">
      <c r="I7037" s="213"/>
      <c r="J7037" s="213"/>
      <c r="L7037" s="272">
        <f t="shared" si="511"/>
        <v>1900</v>
      </c>
      <c r="M7037" s="272">
        <f t="shared" si="512"/>
        <v>1</v>
      </c>
      <c r="O7037" s="61">
        <f t="shared" si="513"/>
        <v>1900</v>
      </c>
      <c r="P7037" s="61">
        <f t="shared" si="514"/>
        <v>1</v>
      </c>
    </row>
    <row r="7038" spans="9:16">
      <c r="I7038" s="213"/>
      <c r="J7038" s="213"/>
      <c r="L7038" s="272">
        <f t="shared" si="511"/>
        <v>1900</v>
      </c>
      <c r="M7038" s="272">
        <f t="shared" si="512"/>
        <v>1</v>
      </c>
      <c r="O7038" s="61">
        <f t="shared" si="513"/>
        <v>1900</v>
      </c>
      <c r="P7038" s="61">
        <f t="shared" si="514"/>
        <v>1</v>
      </c>
    </row>
    <row r="7039" spans="9:16">
      <c r="I7039" s="213"/>
      <c r="J7039" s="213"/>
      <c r="L7039" s="272">
        <f t="shared" si="511"/>
        <v>1900</v>
      </c>
      <c r="M7039" s="272">
        <f t="shared" si="512"/>
        <v>1</v>
      </c>
      <c r="O7039" s="61">
        <f t="shared" si="513"/>
        <v>1900</v>
      </c>
      <c r="P7039" s="61">
        <f t="shared" si="514"/>
        <v>1</v>
      </c>
    </row>
    <row r="7040" spans="9:16">
      <c r="I7040" s="213"/>
      <c r="J7040" s="213"/>
      <c r="L7040" s="272">
        <f t="shared" si="511"/>
        <v>1900</v>
      </c>
      <c r="M7040" s="272">
        <f t="shared" si="512"/>
        <v>1</v>
      </c>
      <c r="O7040" s="61">
        <f t="shared" si="513"/>
        <v>1900</v>
      </c>
      <c r="P7040" s="61">
        <f t="shared" si="514"/>
        <v>1</v>
      </c>
    </row>
    <row r="7041" spans="9:16">
      <c r="I7041" s="213"/>
      <c r="J7041" s="213"/>
      <c r="L7041" s="272">
        <f t="shared" si="511"/>
        <v>1900</v>
      </c>
      <c r="M7041" s="272">
        <f t="shared" si="512"/>
        <v>1</v>
      </c>
      <c r="O7041" s="61">
        <f t="shared" si="513"/>
        <v>1900</v>
      </c>
      <c r="P7041" s="61">
        <f t="shared" si="514"/>
        <v>1</v>
      </c>
    </row>
    <row r="7042" spans="9:16">
      <c r="I7042" s="213"/>
      <c r="J7042" s="213"/>
      <c r="L7042" s="272">
        <f t="shared" si="511"/>
        <v>1900</v>
      </c>
      <c r="M7042" s="272">
        <f t="shared" si="512"/>
        <v>1</v>
      </c>
      <c r="O7042" s="61">
        <f t="shared" si="513"/>
        <v>1900</v>
      </c>
      <c r="P7042" s="61">
        <f t="shared" si="514"/>
        <v>1</v>
      </c>
    </row>
    <row r="7043" spans="9:16">
      <c r="I7043" s="213"/>
      <c r="J7043" s="213"/>
      <c r="L7043" s="272">
        <f t="shared" si="511"/>
        <v>1900</v>
      </c>
      <c r="M7043" s="272">
        <f t="shared" si="512"/>
        <v>1</v>
      </c>
      <c r="O7043" s="61">
        <f t="shared" si="513"/>
        <v>1900</v>
      </c>
      <c r="P7043" s="61">
        <f t="shared" si="514"/>
        <v>1</v>
      </c>
    </row>
    <row r="7044" spans="9:16">
      <c r="I7044" s="213"/>
      <c r="J7044" s="213"/>
      <c r="L7044" s="272">
        <f t="shared" si="511"/>
        <v>1900</v>
      </c>
      <c r="M7044" s="272">
        <f t="shared" si="512"/>
        <v>1</v>
      </c>
      <c r="O7044" s="61">
        <f t="shared" si="513"/>
        <v>1900</v>
      </c>
      <c r="P7044" s="61">
        <f t="shared" si="514"/>
        <v>1</v>
      </c>
    </row>
    <row r="7045" spans="9:16">
      <c r="I7045" s="213"/>
      <c r="J7045" s="213"/>
      <c r="L7045" s="272">
        <f t="shared" si="511"/>
        <v>1900</v>
      </c>
      <c r="M7045" s="272">
        <f t="shared" si="512"/>
        <v>1</v>
      </c>
      <c r="O7045" s="61">
        <f t="shared" si="513"/>
        <v>1900</v>
      </c>
      <c r="P7045" s="61">
        <f t="shared" si="514"/>
        <v>1</v>
      </c>
    </row>
    <row r="7046" spans="9:16">
      <c r="I7046" s="213"/>
      <c r="J7046" s="213"/>
      <c r="L7046" s="272">
        <f t="shared" si="511"/>
        <v>1900</v>
      </c>
      <c r="M7046" s="272">
        <f t="shared" si="512"/>
        <v>1</v>
      </c>
      <c r="O7046" s="61">
        <f t="shared" si="513"/>
        <v>1900</v>
      </c>
      <c r="P7046" s="61">
        <f t="shared" si="514"/>
        <v>1</v>
      </c>
    </row>
    <row r="7047" spans="9:16">
      <c r="I7047" s="213"/>
      <c r="J7047" s="213"/>
      <c r="L7047" s="272">
        <f t="shared" si="511"/>
        <v>1900</v>
      </c>
      <c r="M7047" s="272">
        <f t="shared" si="512"/>
        <v>1</v>
      </c>
      <c r="O7047" s="61">
        <f t="shared" si="513"/>
        <v>1900</v>
      </c>
      <c r="P7047" s="61">
        <f t="shared" si="514"/>
        <v>1</v>
      </c>
    </row>
    <row r="7048" spans="9:16">
      <c r="I7048" s="213"/>
      <c r="J7048" s="213"/>
      <c r="L7048" s="272">
        <f t="shared" si="511"/>
        <v>1900</v>
      </c>
      <c r="M7048" s="272">
        <f t="shared" si="512"/>
        <v>1</v>
      </c>
      <c r="O7048" s="61">
        <f t="shared" si="513"/>
        <v>1900</v>
      </c>
      <c r="P7048" s="61">
        <f t="shared" si="514"/>
        <v>1</v>
      </c>
    </row>
    <row r="7049" spans="9:16">
      <c r="I7049" s="213"/>
      <c r="J7049" s="213"/>
      <c r="L7049" s="272">
        <f t="shared" si="511"/>
        <v>1900</v>
      </c>
      <c r="M7049" s="272">
        <f t="shared" si="512"/>
        <v>1</v>
      </c>
      <c r="O7049" s="61">
        <f t="shared" si="513"/>
        <v>1900</v>
      </c>
      <c r="P7049" s="61">
        <f t="shared" si="514"/>
        <v>1</v>
      </c>
    </row>
    <row r="7050" spans="9:16">
      <c r="I7050" s="213"/>
      <c r="J7050" s="213"/>
      <c r="L7050" s="272">
        <f t="shared" si="511"/>
        <v>1900</v>
      </c>
      <c r="M7050" s="272">
        <f t="shared" si="512"/>
        <v>1</v>
      </c>
      <c r="O7050" s="61">
        <f t="shared" si="513"/>
        <v>1900</v>
      </c>
      <c r="P7050" s="61">
        <f t="shared" si="514"/>
        <v>1</v>
      </c>
    </row>
    <row r="7051" spans="9:16">
      <c r="I7051" s="213"/>
      <c r="J7051" s="213"/>
      <c r="L7051" s="272">
        <f t="shared" si="511"/>
        <v>1900</v>
      </c>
      <c r="M7051" s="272">
        <f t="shared" si="512"/>
        <v>1</v>
      </c>
      <c r="O7051" s="61">
        <f t="shared" si="513"/>
        <v>1900</v>
      </c>
      <c r="P7051" s="61">
        <f t="shared" si="514"/>
        <v>1</v>
      </c>
    </row>
    <row r="7052" spans="9:16">
      <c r="I7052" s="213"/>
      <c r="J7052" s="213"/>
      <c r="L7052" s="272">
        <f t="shared" si="511"/>
        <v>1900</v>
      </c>
      <c r="M7052" s="272">
        <f t="shared" si="512"/>
        <v>1</v>
      </c>
      <c r="O7052" s="61">
        <f t="shared" si="513"/>
        <v>1900</v>
      </c>
      <c r="P7052" s="61">
        <f t="shared" si="514"/>
        <v>1</v>
      </c>
    </row>
    <row r="7053" spans="9:16">
      <c r="I7053" s="213"/>
      <c r="J7053" s="213"/>
      <c r="L7053" s="272">
        <f t="shared" si="511"/>
        <v>1900</v>
      </c>
      <c r="M7053" s="272">
        <f t="shared" si="512"/>
        <v>1</v>
      </c>
      <c r="O7053" s="61">
        <f t="shared" si="513"/>
        <v>1900</v>
      </c>
      <c r="P7053" s="61">
        <f t="shared" si="514"/>
        <v>1</v>
      </c>
    </row>
    <row r="7054" spans="9:16">
      <c r="I7054" s="213"/>
      <c r="J7054" s="213"/>
      <c r="L7054" s="272">
        <f t="shared" si="511"/>
        <v>1900</v>
      </c>
      <c r="M7054" s="272">
        <f t="shared" si="512"/>
        <v>1</v>
      </c>
      <c r="O7054" s="61">
        <f t="shared" si="513"/>
        <v>1900</v>
      </c>
      <c r="P7054" s="61">
        <f t="shared" si="514"/>
        <v>1</v>
      </c>
    </row>
    <row r="7055" spans="9:16">
      <c r="I7055" s="213"/>
      <c r="J7055" s="213"/>
      <c r="L7055" s="272">
        <f t="shared" si="511"/>
        <v>1900</v>
      </c>
      <c r="M7055" s="272">
        <f t="shared" si="512"/>
        <v>1</v>
      </c>
      <c r="O7055" s="61">
        <f t="shared" si="513"/>
        <v>1900</v>
      </c>
      <c r="P7055" s="61">
        <f t="shared" si="514"/>
        <v>1</v>
      </c>
    </row>
    <row r="7056" spans="9:16">
      <c r="I7056" s="213"/>
      <c r="J7056" s="213"/>
      <c r="L7056" s="272">
        <f t="shared" ref="L7056:L7119" si="515">YEAR(B7056)</f>
        <v>1900</v>
      </c>
      <c r="M7056" s="272">
        <f t="shared" ref="M7056:M7119" si="516">MONTH(B7056)</f>
        <v>1</v>
      </c>
      <c r="O7056" s="61">
        <f t="shared" ref="O7056:O7119" si="517">YEAR(B7056)</f>
        <v>1900</v>
      </c>
      <c r="P7056" s="61">
        <f t="shared" ref="P7056:P7119" si="518">MONTH(B7056)</f>
        <v>1</v>
      </c>
    </row>
    <row r="7057" spans="9:16">
      <c r="I7057" s="213"/>
      <c r="J7057" s="213"/>
      <c r="L7057" s="272">
        <f t="shared" si="515"/>
        <v>1900</v>
      </c>
      <c r="M7057" s="272">
        <f t="shared" si="516"/>
        <v>1</v>
      </c>
      <c r="O7057" s="61">
        <f t="shared" si="517"/>
        <v>1900</v>
      </c>
      <c r="P7057" s="61">
        <f t="shared" si="518"/>
        <v>1</v>
      </c>
    </row>
    <row r="7058" spans="9:16">
      <c r="I7058" s="213"/>
      <c r="J7058" s="213"/>
      <c r="L7058" s="272">
        <f t="shared" si="515"/>
        <v>1900</v>
      </c>
      <c r="M7058" s="272">
        <f t="shared" si="516"/>
        <v>1</v>
      </c>
      <c r="O7058" s="61">
        <f t="shared" si="517"/>
        <v>1900</v>
      </c>
      <c r="P7058" s="61">
        <f t="shared" si="518"/>
        <v>1</v>
      </c>
    </row>
    <row r="7059" spans="9:16">
      <c r="I7059" s="213"/>
      <c r="J7059" s="213"/>
      <c r="L7059" s="272">
        <f t="shared" si="515"/>
        <v>1900</v>
      </c>
      <c r="M7059" s="272">
        <f t="shared" si="516"/>
        <v>1</v>
      </c>
      <c r="O7059" s="61">
        <f t="shared" si="517"/>
        <v>1900</v>
      </c>
      <c r="P7059" s="61">
        <f t="shared" si="518"/>
        <v>1</v>
      </c>
    </row>
    <row r="7060" spans="9:16">
      <c r="I7060" s="213"/>
      <c r="J7060" s="213"/>
      <c r="L7060" s="272">
        <f t="shared" si="515"/>
        <v>1900</v>
      </c>
      <c r="M7060" s="272">
        <f t="shared" si="516"/>
        <v>1</v>
      </c>
      <c r="O7060" s="61">
        <f t="shared" si="517"/>
        <v>1900</v>
      </c>
      <c r="P7060" s="61">
        <f t="shared" si="518"/>
        <v>1</v>
      </c>
    </row>
    <row r="7061" spans="9:16">
      <c r="I7061" s="213"/>
      <c r="J7061" s="213"/>
      <c r="L7061" s="272">
        <f t="shared" si="515"/>
        <v>1900</v>
      </c>
      <c r="M7061" s="272">
        <f t="shared" si="516"/>
        <v>1</v>
      </c>
      <c r="O7061" s="61">
        <f t="shared" si="517"/>
        <v>1900</v>
      </c>
      <c r="P7061" s="61">
        <f t="shared" si="518"/>
        <v>1</v>
      </c>
    </row>
    <row r="7062" spans="9:16">
      <c r="I7062" s="213"/>
      <c r="J7062" s="213"/>
      <c r="L7062" s="272">
        <f t="shared" si="515"/>
        <v>1900</v>
      </c>
      <c r="M7062" s="272">
        <f t="shared" si="516"/>
        <v>1</v>
      </c>
      <c r="O7062" s="61">
        <f t="shared" si="517"/>
        <v>1900</v>
      </c>
      <c r="P7062" s="61">
        <f t="shared" si="518"/>
        <v>1</v>
      </c>
    </row>
    <row r="7063" spans="9:16">
      <c r="I7063" s="213"/>
      <c r="J7063" s="213"/>
      <c r="L7063" s="272">
        <f t="shared" si="515"/>
        <v>1900</v>
      </c>
      <c r="M7063" s="272">
        <f t="shared" si="516"/>
        <v>1</v>
      </c>
      <c r="O7063" s="61">
        <f t="shared" si="517"/>
        <v>1900</v>
      </c>
      <c r="P7063" s="61">
        <f t="shared" si="518"/>
        <v>1</v>
      </c>
    </row>
    <row r="7064" spans="9:16">
      <c r="I7064" s="213"/>
      <c r="J7064" s="213"/>
      <c r="L7064" s="272">
        <f t="shared" si="515"/>
        <v>1900</v>
      </c>
      <c r="M7064" s="272">
        <f t="shared" si="516"/>
        <v>1</v>
      </c>
      <c r="O7064" s="61">
        <f t="shared" si="517"/>
        <v>1900</v>
      </c>
      <c r="P7064" s="61">
        <f t="shared" si="518"/>
        <v>1</v>
      </c>
    </row>
    <row r="7065" spans="9:16">
      <c r="I7065" s="213"/>
      <c r="J7065" s="213"/>
      <c r="L7065" s="272">
        <f t="shared" si="515"/>
        <v>1900</v>
      </c>
      <c r="M7065" s="272">
        <f t="shared" si="516"/>
        <v>1</v>
      </c>
      <c r="O7065" s="61">
        <f t="shared" si="517"/>
        <v>1900</v>
      </c>
      <c r="P7065" s="61">
        <f t="shared" si="518"/>
        <v>1</v>
      </c>
    </row>
    <row r="7066" spans="9:16">
      <c r="I7066" s="213"/>
      <c r="J7066" s="213"/>
      <c r="L7066" s="272">
        <f t="shared" si="515"/>
        <v>1900</v>
      </c>
      <c r="M7066" s="272">
        <f t="shared" si="516"/>
        <v>1</v>
      </c>
      <c r="O7066" s="61">
        <f t="shared" si="517"/>
        <v>1900</v>
      </c>
      <c r="P7066" s="61">
        <f t="shared" si="518"/>
        <v>1</v>
      </c>
    </row>
    <row r="7067" spans="9:16">
      <c r="I7067" s="213"/>
      <c r="J7067" s="213"/>
      <c r="L7067" s="272">
        <f t="shared" si="515"/>
        <v>1900</v>
      </c>
      <c r="M7067" s="272">
        <f t="shared" si="516"/>
        <v>1</v>
      </c>
      <c r="O7067" s="61">
        <f t="shared" si="517"/>
        <v>1900</v>
      </c>
      <c r="P7067" s="61">
        <f t="shared" si="518"/>
        <v>1</v>
      </c>
    </row>
    <row r="7068" spans="9:16">
      <c r="I7068" s="213"/>
      <c r="J7068" s="213"/>
      <c r="L7068" s="272">
        <f t="shared" si="515"/>
        <v>1900</v>
      </c>
      <c r="M7068" s="272">
        <f t="shared" si="516"/>
        <v>1</v>
      </c>
      <c r="O7068" s="61">
        <f t="shared" si="517"/>
        <v>1900</v>
      </c>
      <c r="P7068" s="61">
        <f t="shared" si="518"/>
        <v>1</v>
      </c>
    </row>
    <row r="7069" spans="9:16">
      <c r="I7069" s="213"/>
      <c r="J7069" s="213"/>
      <c r="L7069" s="272">
        <f t="shared" si="515"/>
        <v>1900</v>
      </c>
      <c r="M7069" s="272">
        <f t="shared" si="516"/>
        <v>1</v>
      </c>
      <c r="O7069" s="61">
        <f t="shared" si="517"/>
        <v>1900</v>
      </c>
      <c r="P7069" s="61">
        <f t="shared" si="518"/>
        <v>1</v>
      </c>
    </row>
    <row r="7070" spans="9:16">
      <c r="I7070" s="213"/>
      <c r="J7070" s="213"/>
      <c r="L7070" s="272">
        <f t="shared" si="515"/>
        <v>1900</v>
      </c>
      <c r="M7070" s="272">
        <f t="shared" si="516"/>
        <v>1</v>
      </c>
      <c r="O7070" s="61">
        <f t="shared" si="517"/>
        <v>1900</v>
      </c>
      <c r="P7070" s="61">
        <f t="shared" si="518"/>
        <v>1</v>
      </c>
    </row>
    <row r="7071" spans="9:16">
      <c r="I7071" s="213"/>
      <c r="J7071" s="213"/>
      <c r="L7071" s="272">
        <f t="shared" si="515"/>
        <v>1900</v>
      </c>
      <c r="M7071" s="272">
        <f t="shared" si="516"/>
        <v>1</v>
      </c>
      <c r="O7071" s="61">
        <f t="shared" si="517"/>
        <v>1900</v>
      </c>
      <c r="P7071" s="61">
        <f t="shared" si="518"/>
        <v>1</v>
      </c>
    </row>
    <row r="7072" spans="9:16">
      <c r="I7072" s="213"/>
      <c r="J7072" s="213"/>
      <c r="L7072" s="272">
        <f t="shared" si="515"/>
        <v>1900</v>
      </c>
      <c r="M7072" s="272">
        <f t="shared" si="516"/>
        <v>1</v>
      </c>
      <c r="O7072" s="61">
        <f t="shared" si="517"/>
        <v>1900</v>
      </c>
      <c r="P7072" s="61">
        <f t="shared" si="518"/>
        <v>1</v>
      </c>
    </row>
    <row r="7073" spans="9:16">
      <c r="I7073" s="213"/>
      <c r="J7073" s="213"/>
      <c r="L7073" s="272">
        <f t="shared" si="515"/>
        <v>1900</v>
      </c>
      <c r="M7073" s="272">
        <f t="shared" si="516"/>
        <v>1</v>
      </c>
      <c r="O7073" s="61">
        <f t="shared" si="517"/>
        <v>1900</v>
      </c>
      <c r="P7073" s="61">
        <f t="shared" si="518"/>
        <v>1</v>
      </c>
    </row>
    <row r="7074" spans="9:16">
      <c r="I7074" s="213"/>
      <c r="J7074" s="213"/>
      <c r="L7074" s="272">
        <f t="shared" si="515"/>
        <v>1900</v>
      </c>
      <c r="M7074" s="272">
        <f t="shared" si="516"/>
        <v>1</v>
      </c>
      <c r="O7074" s="61">
        <f t="shared" si="517"/>
        <v>1900</v>
      </c>
      <c r="P7074" s="61">
        <f t="shared" si="518"/>
        <v>1</v>
      </c>
    </row>
    <row r="7075" spans="9:16">
      <c r="I7075" s="213"/>
      <c r="J7075" s="213"/>
      <c r="L7075" s="272">
        <f t="shared" si="515"/>
        <v>1900</v>
      </c>
      <c r="M7075" s="272">
        <f t="shared" si="516"/>
        <v>1</v>
      </c>
      <c r="O7075" s="61">
        <f t="shared" si="517"/>
        <v>1900</v>
      </c>
      <c r="P7075" s="61">
        <f t="shared" si="518"/>
        <v>1</v>
      </c>
    </row>
    <row r="7076" spans="9:16">
      <c r="I7076" s="213"/>
      <c r="J7076" s="213"/>
      <c r="L7076" s="272">
        <f t="shared" si="515"/>
        <v>1900</v>
      </c>
      <c r="M7076" s="272">
        <f t="shared" si="516"/>
        <v>1</v>
      </c>
      <c r="O7076" s="61">
        <f t="shared" si="517"/>
        <v>1900</v>
      </c>
      <c r="P7076" s="61">
        <f t="shared" si="518"/>
        <v>1</v>
      </c>
    </row>
    <row r="7077" spans="9:16">
      <c r="I7077" s="213"/>
      <c r="J7077" s="213"/>
      <c r="L7077" s="272">
        <f t="shared" si="515"/>
        <v>1900</v>
      </c>
      <c r="M7077" s="272">
        <f t="shared" si="516"/>
        <v>1</v>
      </c>
      <c r="O7077" s="61">
        <f t="shared" si="517"/>
        <v>1900</v>
      </c>
      <c r="P7077" s="61">
        <f t="shared" si="518"/>
        <v>1</v>
      </c>
    </row>
    <row r="7078" spans="9:16">
      <c r="I7078" s="213"/>
      <c r="J7078" s="213"/>
      <c r="L7078" s="272">
        <f t="shared" si="515"/>
        <v>1900</v>
      </c>
      <c r="M7078" s="272">
        <f t="shared" si="516"/>
        <v>1</v>
      </c>
      <c r="O7078" s="61">
        <f t="shared" si="517"/>
        <v>1900</v>
      </c>
      <c r="P7078" s="61">
        <f t="shared" si="518"/>
        <v>1</v>
      </c>
    </row>
    <row r="7079" spans="9:16">
      <c r="I7079" s="213"/>
      <c r="J7079" s="213"/>
      <c r="L7079" s="272">
        <f t="shared" si="515"/>
        <v>1900</v>
      </c>
      <c r="M7079" s="272">
        <f t="shared" si="516"/>
        <v>1</v>
      </c>
      <c r="O7079" s="61">
        <f t="shared" si="517"/>
        <v>1900</v>
      </c>
      <c r="P7079" s="61">
        <f t="shared" si="518"/>
        <v>1</v>
      </c>
    </row>
    <row r="7080" spans="9:16">
      <c r="I7080" s="213"/>
      <c r="J7080" s="213"/>
      <c r="L7080" s="272">
        <f t="shared" si="515"/>
        <v>1900</v>
      </c>
      <c r="M7080" s="272">
        <f t="shared" si="516"/>
        <v>1</v>
      </c>
      <c r="O7080" s="61">
        <f t="shared" si="517"/>
        <v>1900</v>
      </c>
      <c r="P7080" s="61">
        <f t="shared" si="518"/>
        <v>1</v>
      </c>
    </row>
    <row r="7081" spans="9:16">
      <c r="I7081" s="213"/>
      <c r="J7081" s="213"/>
      <c r="L7081" s="272">
        <f t="shared" si="515"/>
        <v>1900</v>
      </c>
      <c r="M7081" s="272">
        <f t="shared" si="516"/>
        <v>1</v>
      </c>
      <c r="O7081" s="61">
        <f t="shared" si="517"/>
        <v>1900</v>
      </c>
      <c r="P7081" s="61">
        <f t="shared" si="518"/>
        <v>1</v>
      </c>
    </row>
    <row r="7082" spans="9:16">
      <c r="I7082" s="213"/>
      <c r="J7082" s="213"/>
      <c r="L7082" s="272">
        <f t="shared" si="515"/>
        <v>1900</v>
      </c>
      <c r="M7082" s="272">
        <f t="shared" si="516"/>
        <v>1</v>
      </c>
      <c r="O7082" s="61">
        <f t="shared" si="517"/>
        <v>1900</v>
      </c>
      <c r="P7082" s="61">
        <f t="shared" si="518"/>
        <v>1</v>
      </c>
    </row>
    <row r="7083" spans="9:16">
      <c r="I7083" s="213"/>
      <c r="J7083" s="213"/>
      <c r="L7083" s="272">
        <f t="shared" si="515"/>
        <v>1900</v>
      </c>
      <c r="M7083" s="272">
        <f t="shared" si="516"/>
        <v>1</v>
      </c>
      <c r="O7083" s="61">
        <f t="shared" si="517"/>
        <v>1900</v>
      </c>
      <c r="P7083" s="61">
        <f t="shared" si="518"/>
        <v>1</v>
      </c>
    </row>
    <row r="7084" spans="9:16">
      <c r="I7084" s="213"/>
      <c r="J7084" s="213"/>
      <c r="L7084" s="272">
        <f t="shared" si="515"/>
        <v>1900</v>
      </c>
      <c r="M7084" s="272">
        <f t="shared" si="516"/>
        <v>1</v>
      </c>
      <c r="O7084" s="61">
        <f t="shared" si="517"/>
        <v>1900</v>
      </c>
      <c r="P7084" s="61">
        <f t="shared" si="518"/>
        <v>1</v>
      </c>
    </row>
    <row r="7085" spans="9:16">
      <c r="I7085" s="213"/>
      <c r="J7085" s="213"/>
      <c r="L7085" s="272">
        <f t="shared" si="515"/>
        <v>1900</v>
      </c>
      <c r="M7085" s="272">
        <f t="shared" si="516"/>
        <v>1</v>
      </c>
      <c r="O7085" s="61">
        <f t="shared" si="517"/>
        <v>1900</v>
      </c>
      <c r="P7085" s="61">
        <f t="shared" si="518"/>
        <v>1</v>
      </c>
    </row>
    <row r="7086" spans="9:16">
      <c r="I7086" s="213"/>
      <c r="J7086" s="213"/>
      <c r="L7086" s="272">
        <f t="shared" si="515"/>
        <v>1900</v>
      </c>
      <c r="M7086" s="272">
        <f t="shared" si="516"/>
        <v>1</v>
      </c>
      <c r="O7086" s="61">
        <f t="shared" si="517"/>
        <v>1900</v>
      </c>
      <c r="P7086" s="61">
        <f t="shared" si="518"/>
        <v>1</v>
      </c>
    </row>
    <row r="7087" spans="9:16">
      <c r="I7087" s="213"/>
      <c r="J7087" s="213"/>
      <c r="L7087" s="272">
        <f t="shared" si="515"/>
        <v>1900</v>
      </c>
      <c r="M7087" s="272">
        <f t="shared" si="516"/>
        <v>1</v>
      </c>
      <c r="O7087" s="61">
        <f t="shared" si="517"/>
        <v>1900</v>
      </c>
      <c r="P7087" s="61">
        <f t="shared" si="518"/>
        <v>1</v>
      </c>
    </row>
    <row r="7088" spans="9:16">
      <c r="I7088" s="213"/>
      <c r="J7088" s="213"/>
      <c r="L7088" s="272">
        <f t="shared" si="515"/>
        <v>1900</v>
      </c>
      <c r="M7088" s="272">
        <f t="shared" si="516"/>
        <v>1</v>
      </c>
      <c r="O7088" s="61">
        <f t="shared" si="517"/>
        <v>1900</v>
      </c>
      <c r="P7088" s="61">
        <f t="shared" si="518"/>
        <v>1</v>
      </c>
    </row>
    <row r="7089" spans="9:16">
      <c r="I7089" s="213"/>
      <c r="J7089" s="213"/>
      <c r="L7089" s="272">
        <f t="shared" si="515"/>
        <v>1900</v>
      </c>
      <c r="M7089" s="272">
        <f t="shared" si="516"/>
        <v>1</v>
      </c>
      <c r="O7089" s="61">
        <f t="shared" si="517"/>
        <v>1900</v>
      </c>
      <c r="P7089" s="61">
        <f t="shared" si="518"/>
        <v>1</v>
      </c>
    </row>
    <row r="7090" spans="9:16">
      <c r="I7090" s="213"/>
      <c r="J7090" s="213"/>
      <c r="L7090" s="272">
        <f t="shared" si="515"/>
        <v>1900</v>
      </c>
      <c r="M7090" s="272">
        <f t="shared" si="516"/>
        <v>1</v>
      </c>
      <c r="O7090" s="61">
        <f t="shared" si="517"/>
        <v>1900</v>
      </c>
      <c r="P7090" s="61">
        <f t="shared" si="518"/>
        <v>1</v>
      </c>
    </row>
    <row r="7091" spans="9:16">
      <c r="I7091" s="213"/>
      <c r="J7091" s="213"/>
      <c r="L7091" s="272">
        <f t="shared" si="515"/>
        <v>1900</v>
      </c>
      <c r="M7091" s="272">
        <f t="shared" si="516"/>
        <v>1</v>
      </c>
      <c r="O7091" s="61">
        <f t="shared" si="517"/>
        <v>1900</v>
      </c>
      <c r="P7091" s="61">
        <f t="shared" si="518"/>
        <v>1</v>
      </c>
    </row>
    <row r="7092" spans="9:16">
      <c r="I7092" s="213"/>
      <c r="J7092" s="213"/>
      <c r="L7092" s="272">
        <f t="shared" si="515"/>
        <v>1900</v>
      </c>
      <c r="M7092" s="272">
        <f t="shared" si="516"/>
        <v>1</v>
      </c>
      <c r="O7092" s="61">
        <f t="shared" si="517"/>
        <v>1900</v>
      </c>
      <c r="P7092" s="61">
        <f t="shared" si="518"/>
        <v>1</v>
      </c>
    </row>
    <row r="7093" spans="9:16">
      <c r="I7093" s="213"/>
      <c r="J7093" s="213"/>
      <c r="L7093" s="272">
        <f t="shared" si="515"/>
        <v>1900</v>
      </c>
      <c r="M7093" s="272">
        <f t="shared" si="516"/>
        <v>1</v>
      </c>
      <c r="O7093" s="61">
        <f t="shared" si="517"/>
        <v>1900</v>
      </c>
      <c r="P7093" s="61">
        <f t="shared" si="518"/>
        <v>1</v>
      </c>
    </row>
    <row r="7094" spans="9:16">
      <c r="I7094" s="213"/>
      <c r="J7094" s="213"/>
      <c r="L7094" s="272">
        <f t="shared" si="515"/>
        <v>1900</v>
      </c>
      <c r="M7094" s="272">
        <f t="shared" si="516"/>
        <v>1</v>
      </c>
      <c r="O7094" s="61">
        <f t="shared" si="517"/>
        <v>1900</v>
      </c>
      <c r="P7094" s="61">
        <f t="shared" si="518"/>
        <v>1</v>
      </c>
    </row>
    <row r="7095" spans="9:16">
      <c r="I7095" s="213"/>
      <c r="J7095" s="213"/>
      <c r="L7095" s="272">
        <f t="shared" si="515"/>
        <v>1900</v>
      </c>
      <c r="M7095" s="272">
        <f t="shared" si="516"/>
        <v>1</v>
      </c>
      <c r="O7095" s="61">
        <f t="shared" si="517"/>
        <v>1900</v>
      </c>
      <c r="P7095" s="61">
        <f t="shared" si="518"/>
        <v>1</v>
      </c>
    </row>
    <row r="7096" spans="9:16">
      <c r="I7096" s="213"/>
      <c r="J7096" s="213"/>
      <c r="L7096" s="272">
        <f t="shared" si="515"/>
        <v>1900</v>
      </c>
      <c r="M7096" s="272">
        <f t="shared" si="516"/>
        <v>1</v>
      </c>
      <c r="O7096" s="61">
        <f t="shared" si="517"/>
        <v>1900</v>
      </c>
      <c r="P7096" s="61">
        <f t="shared" si="518"/>
        <v>1</v>
      </c>
    </row>
    <row r="7097" spans="9:16">
      <c r="I7097" s="213"/>
      <c r="J7097" s="213"/>
      <c r="L7097" s="272">
        <f t="shared" si="515"/>
        <v>1900</v>
      </c>
      <c r="M7097" s="272">
        <f t="shared" si="516"/>
        <v>1</v>
      </c>
      <c r="O7097" s="61">
        <f t="shared" si="517"/>
        <v>1900</v>
      </c>
      <c r="P7097" s="61">
        <f t="shared" si="518"/>
        <v>1</v>
      </c>
    </row>
    <row r="7098" spans="9:16">
      <c r="I7098" s="213"/>
      <c r="J7098" s="213"/>
      <c r="L7098" s="272">
        <f t="shared" si="515"/>
        <v>1900</v>
      </c>
      <c r="M7098" s="272">
        <f t="shared" si="516"/>
        <v>1</v>
      </c>
      <c r="O7098" s="61">
        <f t="shared" si="517"/>
        <v>1900</v>
      </c>
      <c r="P7098" s="61">
        <f t="shared" si="518"/>
        <v>1</v>
      </c>
    </row>
    <row r="7099" spans="9:16">
      <c r="I7099" s="213"/>
      <c r="J7099" s="213"/>
      <c r="L7099" s="272">
        <f t="shared" si="515"/>
        <v>1900</v>
      </c>
      <c r="M7099" s="272">
        <f t="shared" si="516"/>
        <v>1</v>
      </c>
      <c r="O7099" s="61">
        <f t="shared" si="517"/>
        <v>1900</v>
      </c>
      <c r="P7099" s="61">
        <f t="shared" si="518"/>
        <v>1</v>
      </c>
    </row>
    <row r="7100" spans="9:16">
      <c r="I7100" s="213"/>
      <c r="J7100" s="213"/>
      <c r="L7100" s="272">
        <f t="shared" si="515"/>
        <v>1900</v>
      </c>
      <c r="M7100" s="272">
        <f t="shared" si="516"/>
        <v>1</v>
      </c>
      <c r="O7100" s="61">
        <f t="shared" si="517"/>
        <v>1900</v>
      </c>
      <c r="P7100" s="61">
        <f t="shared" si="518"/>
        <v>1</v>
      </c>
    </row>
    <row r="7101" spans="9:16">
      <c r="I7101" s="213"/>
      <c r="J7101" s="213"/>
      <c r="L7101" s="272">
        <f t="shared" si="515"/>
        <v>1900</v>
      </c>
      <c r="M7101" s="272">
        <f t="shared" si="516"/>
        <v>1</v>
      </c>
      <c r="O7101" s="61">
        <f t="shared" si="517"/>
        <v>1900</v>
      </c>
      <c r="P7101" s="61">
        <f t="shared" si="518"/>
        <v>1</v>
      </c>
    </row>
    <row r="7102" spans="9:16">
      <c r="I7102" s="213"/>
      <c r="J7102" s="213"/>
      <c r="L7102" s="272">
        <f t="shared" si="515"/>
        <v>1900</v>
      </c>
      <c r="M7102" s="272">
        <f t="shared" si="516"/>
        <v>1</v>
      </c>
      <c r="O7102" s="61">
        <f t="shared" si="517"/>
        <v>1900</v>
      </c>
      <c r="P7102" s="61">
        <f t="shared" si="518"/>
        <v>1</v>
      </c>
    </row>
    <row r="7103" spans="9:16">
      <c r="I7103" s="213"/>
      <c r="J7103" s="213"/>
      <c r="L7103" s="272">
        <f t="shared" si="515"/>
        <v>1900</v>
      </c>
      <c r="M7103" s="272">
        <f t="shared" si="516"/>
        <v>1</v>
      </c>
      <c r="O7103" s="61">
        <f t="shared" si="517"/>
        <v>1900</v>
      </c>
      <c r="P7103" s="61">
        <f t="shared" si="518"/>
        <v>1</v>
      </c>
    </row>
    <row r="7104" spans="9:16">
      <c r="I7104" s="213"/>
      <c r="J7104" s="213"/>
      <c r="L7104" s="272">
        <f t="shared" si="515"/>
        <v>1900</v>
      </c>
      <c r="M7104" s="272">
        <f t="shared" si="516"/>
        <v>1</v>
      </c>
      <c r="O7104" s="61">
        <f t="shared" si="517"/>
        <v>1900</v>
      </c>
      <c r="P7104" s="61">
        <f t="shared" si="518"/>
        <v>1</v>
      </c>
    </row>
    <row r="7105" spans="9:16">
      <c r="I7105" s="213"/>
      <c r="J7105" s="213"/>
      <c r="L7105" s="272">
        <f t="shared" si="515"/>
        <v>1900</v>
      </c>
      <c r="M7105" s="272">
        <f t="shared" si="516"/>
        <v>1</v>
      </c>
      <c r="O7105" s="61">
        <f t="shared" si="517"/>
        <v>1900</v>
      </c>
      <c r="P7105" s="61">
        <f t="shared" si="518"/>
        <v>1</v>
      </c>
    </row>
    <row r="7106" spans="9:16">
      <c r="I7106" s="213"/>
      <c r="J7106" s="213"/>
      <c r="L7106" s="272">
        <f t="shared" si="515"/>
        <v>1900</v>
      </c>
      <c r="M7106" s="272">
        <f t="shared" si="516"/>
        <v>1</v>
      </c>
      <c r="O7106" s="61">
        <f t="shared" si="517"/>
        <v>1900</v>
      </c>
      <c r="P7106" s="61">
        <f t="shared" si="518"/>
        <v>1</v>
      </c>
    </row>
    <row r="7107" spans="9:16">
      <c r="I7107" s="213"/>
      <c r="J7107" s="213"/>
      <c r="L7107" s="272">
        <f t="shared" si="515"/>
        <v>1900</v>
      </c>
      <c r="M7107" s="272">
        <f t="shared" si="516"/>
        <v>1</v>
      </c>
      <c r="O7107" s="61">
        <f t="shared" si="517"/>
        <v>1900</v>
      </c>
      <c r="P7107" s="61">
        <f t="shared" si="518"/>
        <v>1</v>
      </c>
    </row>
    <row r="7108" spans="9:16">
      <c r="I7108" s="213"/>
      <c r="J7108" s="213"/>
      <c r="L7108" s="272">
        <f t="shared" si="515"/>
        <v>1900</v>
      </c>
      <c r="M7108" s="272">
        <f t="shared" si="516"/>
        <v>1</v>
      </c>
      <c r="O7108" s="61">
        <f t="shared" si="517"/>
        <v>1900</v>
      </c>
      <c r="P7108" s="61">
        <f t="shared" si="518"/>
        <v>1</v>
      </c>
    </row>
    <row r="7109" spans="9:16">
      <c r="I7109" s="213"/>
      <c r="J7109" s="213"/>
      <c r="L7109" s="272">
        <f t="shared" si="515"/>
        <v>1900</v>
      </c>
      <c r="M7109" s="272">
        <f t="shared" si="516"/>
        <v>1</v>
      </c>
      <c r="O7109" s="61">
        <f t="shared" si="517"/>
        <v>1900</v>
      </c>
      <c r="P7109" s="61">
        <f t="shared" si="518"/>
        <v>1</v>
      </c>
    </row>
    <row r="7110" spans="9:16">
      <c r="I7110" s="213"/>
      <c r="J7110" s="213"/>
      <c r="L7110" s="272">
        <f t="shared" si="515"/>
        <v>1900</v>
      </c>
      <c r="M7110" s="272">
        <f t="shared" si="516"/>
        <v>1</v>
      </c>
      <c r="O7110" s="61">
        <f t="shared" si="517"/>
        <v>1900</v>
      </c>
      <c r="P7110" s="61">
        <f t="shared" si="518"/>
        <v>1</v>
      </c>
    </row>
    <row r="7111" spans="9:16">
      <c r="I7111" s="213"/>
      <c r="J7111" s="213"/>
      <c r="L7111" s="272">
        <f t="shared" si="515"/>
        <v>1900</v>
      </c>
      <c r="M7111" s="272">
        <f t="shared" si="516"/>
        <v>1</v>
      </c>
      <c r="O7111" s="61">
        <f t="shared" si="517"/>
        <v>1900</v>
      </c>
      <c r="P7111" s="61">
        <f t="shared" si="518"/>
        <v>1</v>
      </c>
    </row>
    <row r="7112" spans="9:16">
      <c r="I7112" s="213"/>
      <c r="J7112" s="213"/>
      <c r="L7112" s="272">
        <f t="shared" si="515"/>
        <v>1900</v>
      </c>
      <c r="M7112" s="272">
        <f t="shared" si="516"/>
        <v>1</v>
      </c>
      <c r="O7112" s="61">
        <f t="shared" si="517"/>
        <v>1900</v>
      </c>
      <c r="P7112" s="61">
        <f t="shared" si="518"/>
        <v>1</v>
      </c>
    </row>
    <row r="7113" spans="9:16">
      <c r="I7113" s="213"/>
      <c r="J7113" s="213"/>
      <c r="L7113" s="272">
        <f t="shared" si="515"/>
        <v>1900</v>
      </c>
      <c r="M7113" s="272">
        <f t="shared" si="516"/>
        <v>1</v>
      </c>
      <c r="O7113" s="61">
        <f t="shared" si="517"/>
        <v>1900</v>
      </c>
      <c r="P7113" s="61">
        <f t="shared" si="518"/>
        <v>1</v>
      </c>
    </row>
    <row r="7114" spans="9:16">
      <c r="I7114" s="213"/>
      <c r="J7114" s="213"/>
      <c r="L7114" s="272">
        <f t="shared" si="515"/>
        <v>1900</v>
      </c>
      <c r="M7114" s="272">
        <f t="shared" si="516"/>
        <v>1</v>
      </c>
      <c r="O7114" s="61">
        <f t="shared" si="517"/>
        <v>1900</v>
      </c>
      <c r="P7114" s="61">
        <f t="shared" si="518"/>
        <v>1</v>
      </c>
    </row>
    <row r="7115" spans="9:16">
      <c r="I7115" s="213"/>
      <c r="J7115" s="213"/>
      <c r="L7115" s="272">
        <f t="shared" si="515"/>
        <v>1900</v>
      </c>
      <c r="M7115" s="272">
        <f t="shared" si="516"/>
        <v>1</v>
      </c>
      <c r="O7115" s="61">
        <f t="shared" si="517"/>
        <v>1900</v>
      </c>
      <c r="P7115" s="61">
        <f t="shared" si="518"/>
        <v>1</v>
      </c>
    </row>
    <row r="7116" spans="9:16">
      <c r="I7116" s="213"/>
      <c r="J7116" s="213"/>
      <c r="L7116" s="272">
        <f t="shared" si="515"/>
        <v>1900</v>
      </c>
      <c r="M7116" s="272">
        <f t="shared" si="516"/>
        <v>1</v>
      </c>
      <c r="O7116" s="61">
        <f t="shared" si="517"/>
        <v>1900</v>
      </c>
      <c r="P7116" s="61">
        <f t="shared" si="518"/>
        <v>1</v>
      </c>
    </row>
    <row r="7117" spans="9:16">
      <c r="I7117" s="213"/>
      <c r="J7117" s="213"/>
      <c r="L7117" s="272">
        <f t="shared" si="515"/>
        <v>1900</v>
      </c>
      <c r="M7117" s="272">
        <f t="shared" si="516"/>
        <v>1</v>
      </c>
      <c r="O7117" s="61">
        <f t="shared" si="517"/>
        <v>1900</v>
      </c>
      <c r="P7117" s="61">
        <f t="shared" si="518"/>
        <v>1</v>
      </c>
    </row>
    <row r="7118" spans="9:16">
      <c r="I7118" s="213"/>
      <c r="J7118" s="213"/>
      <c r="L7118" s="272">
        <f t="shared" si="515"/>
        <v>1900</v>
      </c>
      <c r="M7118" s="272">
        <f t="shared" si="516"/>
        <v>1</v>
      </c>
      <c r="O7118" s="61">
        <f t="shared" si="517"/>
        <v>1900</v>
      </c>
      <c r="P7118" s="61">
        <f t="shared" si="518"/>
        <v>1</v>
      </c>
    </row>
    <row r="7119" spans="9:16">
      <c r="I7119" s="213"/>
      <c r="J7119" s="213"/>
      <c r="L7119" s="272">
        <f t="shared" si="515"/>
        <v>1900</v>
      </c>
      <c r="M7119" s="272">
        <f t="shared" si="516"/>
        <v>1</v>
      </c>
      <c r="O7119" s="61">
        <f t="shared" si="517"/>
        <v>1900</v>
      </c>
      <c r="P7119" s="61">
        <f t="shared" si="518"/>
        <v>1</v>
      </c>
    </row>
    <row r="7120" spans="9:16">
      <c r="I7120" s="213"/>
      <c r="J7120" s="213"/>
      <c r="L7120" s="272">
        <f t="shared" ref="L7120:L7183" si="519">YEAR(B7120)</f>
        <v>1900</v>
      </c>
      <c r="M7120" s="272">
        <f t="shared" ref="M7120:M7183" si="520">MONTH(B7120)</f>
        <v>1</v>
      </c>
      <c r="O7120" s="61">
        <f t="shared" ref="O7120:O7183" si="521">YEAR(B7120)</f>
        <v>1900</v>
      </c>
      <c r="P7120" s="61">
        <f t="shared" ref="P7120:P7183" si="522">MONTH(B7120)</f>
        <v>1</v>
      </c>
    </row>
    <row r="7121" spans="9:16">
      <c r="I7121" s="213"/>
      <c r="J7121" s="213"/>
      <c r="L7121" s="272">
        <f t="shared" si="519"/>
        <v>1900</v>
      </c>
      <c r="M7121" s="272">
        <f t="shared" si="520"/>
        <v>1</v>
      </c>
      <c r="O7121" s="61">
        <f t="shared" si="521"/>
        <v>1900</v>
      </c>
      <c r="P7121" s="61">
        <f t="shared" si="522"/>
        <v>1</v>
      </c>
    </row>
    <row r="7122" spans="9:16">
      <c r="I7122" s="213"/>
      <c r="J7122" s="213"/>
      <c r="L7122" s="272">
        <f t="shared" si="519"/>
        <v>1900</v>
      </c>
      <c r="M7122" s="272">
        <f t="shared" si="520"/>
        <v>1</v>
      </c>
      <c r="O7122" s="61">
        <f t="shared" si="521"/>
        <v>1900</v>
      </c>
      <c r="P7122" s="61">
        <f t="shared" si="522"/>
        <v>1</v>
      </c>
    </row>
    <row r="7123" spans="9:16">
      <c r="I7123" s="213"/>
      <c r="J7123" s="213"/>
      <c r="L7123" s="272">
        <f t="shared" si="519"/>
        <v>1900</v>
      </c>
      <c r="M7123" s="272">
        <f t="shared" si="520"/>
        <v>1</v>
      </c>
      <c r="O7123" s="61">
        <f t="shared" si="521"/>
        <v>1900</v>
      </c>
      <c r="P7123" s="61">
        <f t="shared" si="522"/>
        <v>1</v>
      </c>
    </row>
    <row r="7124" spans="9:16">
      <c r="I7124" s="213"/>
      <c r="J7124" s="213"/>
      <c r="L7124" s="272">
        <f t="shared" si="519"/>
        <v>1900</v>
      </c>
      <c r="M7124" s="272">
        <f t="shared" si="520"/>
        <v>1</v>
      </c>
      <c r="O7124" s="61">
        <f t="shared" si="521"/>
        <v>1900</v>
      </c>
      <c r="P7124" s="61">
        <f t="shared" si="522"/>
        <v>1</v>
      </c>
    </row>
    <row r="7125" spans="9:16">
      <c r="I7125" s="213"/>
      <c r="J7125" s="213"/>
      <c r="L7125" s="272">
        <f t="shared" si="519"/>
        <v>1900</v>
      </c>
      <c r="M7125" s="272">
        <f t="shared" si="520"/>
        <v>1</v>
      </c>
      <c r="O7125" s="61">
        <f t="shared" si="521"/>
        <v>1900</v>
      </c>
      <c r="P7125" s="61">
        <f t="shared" si="522"/>
        <v>1</v>
      </c>
    </row>
    <row r="7126" spans="9:16">
      <c r="I7126" s="213"/>
      <c r="J7126" s="213"/>
      <c r="L7126" s="272">
        <f t="shared" si="519"/>
        <v>1900</v>
      </c>
      <c r="M7126" s="272">
        <f t="shared" si="520"/>
        <v>1</v>
      </c>
      <c r="O7126" s="61">
        <f t="shared" si="521"/>
        <v>1900</v>
      </c>
      <c r="P7126" s="61">
        <f t="shared" si="522"/>
        <v>1</v>
      </c>
    </row>
    <row r="7127" spans="9:16">
      <c r="I7127" s="213"/>
      <c r="J7127" s="213"/>
      <c r="L7127" s="272">
        <f t="shared" si="519"/>
        <v>1900</v>
      </c>
      <c r="M7127" s="272">
        <f t="shared" si="520"/>
        <v>1</v>
      </c>
      <c r="O7127" s="61">
        <f t="shared" si="521"/>
        <v>1900</v>
      </c>
      <c r="P7127" s="61">
        <f t="shared" si="522"/>
        <v>1</v>
      </c>
    </row>
    <row r="7128" spans="9:16">
      <c r="I7128" s="213"/>
      <c r="J7128" s="213"/>
      <c r="L7128" s="272">
        <f t="shared" si="519"/>
        <v>1900</v>
      </c>
      <c r="M7128" s="272">
        <f t="shared" si="520"/>
        <v>1</v>
      </c>
      <c r="O7128" s="61">
        <f t="shared" si="521"/>
        <v>1900</v>
      </c>
      <c r="P7128" s="61">
        <f t="shared" si="522"/>
        <v>1</v>
      </c>
    </row>
    <row r="7129" spans="9:16">
      <c r="I7129" s="213"/>
      <c r="J7129" s="213"/>
      <c r="L7129" s="272">
        <f t="shared" si="519"/>
        <v>1900</v>
      </c>
      <c r="M7129" s="272">
        <f t="shared" si="520"/>
        <v>1</v>
      </c>
      <c r="O7129" s="61">
        <f t="shared" si="521"/>
        <v>1900</v>
      </c>
      <c r="P7129" s="61">
        <f t="shared" si="522"/>
        <v>1</v>
      </c>
    </row>
    <row r="7130" spans="9:16">
      <c r="I7130" s="213"/>
      <c r="J7130" s="213"/>
      <c r="L7130" s="272">
        <f t="shared" si="519"/>
        <v>1900</v>
      </c>
      <c r="M7130" s="272">
        <f t="shared" si="520"/>
        <v>1</v>
      </c>
      <c r="O7130" s="61">
        <f t="shared" si="521"/>
        <v>1900</v>
      </c>
      <c r="P7130" s="61">
        <f t="shared" si="522"/>
        <v>1</v>
      </c>
    </row>
    <row r="7131" spans="9:16">
      <c r="I7131" s="213"/>
      <c r="J7131" s="213"/>
      <c r="L7131" s="272">
        <f t="shared" si="519"/>
        <v>1900</v>
      </c>
      <c r="M7131" s="272">
        <f t="shared" si="520"/>
        <v>1</v>
      </c>
      <c r="O7131" s="61">
        <f t="shared" si="521"/>
        <v>1900</v>
      </c>
      <c r="P7131" s="61">
        <f t="shared" si="522"/>
        <v>1</v>
      </c>
    </row>
    <row r="7132" spans="9:16">
      <c r="I7132" s="213"/>
      <c r="J7132" s="213"/>
      <c r="L7132" s="272">
        <f t="shared" si="519"/>
        <v>1900</v>
      </c>
      <c r="M7132" s="272">
        <f t="shared" si="520"/>
        <v>1</v>
      </c>
      <c r="O7132" s="61">
        <f t="shared" si="521"/>
        <v>1900</v>
      </c>
      <c r="P7132" s="61">
        <f t="shared" si="522"/>
        <v>1</v>
      </c>
    </row>
    <row r="7133" spans="9:16">
      <c r="I7133" s="213"/>
      <c r="J7133" s="213"/>
      <c r="L7133" s="272">
        <f t="shared" si="519"/>
        <v>1900</v>
      </c>
      <c r="M7133" s="272">
        <f t="shared" si="520"/>
        <v>1</v>
      </c>
      <c r="O7133" s="61">
        <f t="shared" si="521"/>
        <v>1900</v>
      </c>
      <c r="P7133" s="61">
        <f t="shared" si="522"/>
        <v>1</v>
      </c>
    </row>
    <row r="7134" spans="9:16">
      <c r="I7134" s="213"/>
      <c r="J7134" s="213"/>
      <c r="L7134" s="272">
        <f t="shared" si="519"/>
        <v>1900</v>
      </c>
      <c r="M7134" s="272">
        <f t="shared" si="520"/>
        <v>1</v>
      </c>
      <c r="O7134" s="61">
        <f t="shared" si="521"/>
        <v>1900</v>
      </c>
      <c r="P7134" s="61">
        <f t="shared" si="522"/>
        <v>1</v>
      </c>
    </row>
    <row r="7135" spans="9:16">
      <c r="I7135" s="213"/>
      <c r="J7135" s="213"/>
      <c r="L7135" s="272">
        <f t="shared" si="519"/>
        <v>1900</v>
      </c>
      <c r="M7135" s="272">
        <f t="shared" si="520"/>
        <v>1</v>
      </c>
      <c r="O7135" s="61">
        <f t="shared" si="521"/>
        <v>1900</v>
      </c>
      <c r="P7135" s="61">
        <f t="shared" si="522"/>
        <v>1</v>
      </c>
    </row>
    <row r="7136" spans="9:16">
      <c r="I7136" s="213"/>
      <c r="J7136" s="213"/>
      <c r="L7136" s="272">
        <f t="shared" si="519"/>
        <v>1900</v>
      </c>
      <c r="M7136" s="272">
        <f t="shared" si="520"/>
        <v>1</v>
      </c>
      <c r="O7136" s="61">
        <f t="shared" si="521"/>
        <v>1900</v>
      </c>
      <c r="P7136" s="61">
        <f t="shared" si="522"/>
        <v>1</v>
      </c>
    </row>
    <row r="7137" spans="9:16">
      <c r="I7137" s="213"/>
      <c r="J7137" s="213"/>
      <c r="L7137" s="272">
        <f t="shared" si="519"/>
        <v>1900</v>
      </c>
      <c r="M7137" s="272">
        <f t="shared" si="520"/>
        <v>1</v>
      </c>
      <c r="O7137" s="61">
        <f t="shared" si="521"/>
        <v>1900</v>
      </c>
      <c r="P7137" s="61">
        <f t="shared" si="522"/>
        <v>1</v>
      </c>
    </row>
    <row r="7138" spans="9:16">
      <c r="I7138" s="213"/>
      <c r="J7138" s="213"/>
      <c r="L7138" s="272">
        <f t="shared" si="519"/>
        <v>1900</v>
      </c>
      <c r="M7138" s="272">
        <f t="shared" si="520"/>
        <v>1</v>
      </c>
      <c r="O7138" s="61">
        <f t="shared" si="521"/>
        <v>1900</v>
      </c>
      <c r="P7138" s="61">
        <f t="shared" si="522"/>
        <v>1</v>
      </c>
    </row>
    <row r="7139" spans="9:16">
      <c r="I7139" s="213"/>
      <c r="J7139" s="213"/>
      <c r="L7139" s="272">
        <f t="shared" si="519"/>
        <v>1900</v>
      </c>
      <c r="M7139" s="272">
        <f t="shared" si="520"/>
        <v>1</v>
      </c>
      <c r="O7139" s="61">
        <f t="shared" si="521"/>
        <v>1900</v>
      </c>
      <c r="P7139" s="61">
        <f t="shared" si="522"/>
        <v>1</v>
      </c>
    </row>
    <row r="7140" spans="9:16">
      <c r="I7140" s="213"/>
      <c r="J7140" s="213"/>
      <c r="L7140" s="272">
        <f t="shared" si="519"/>
        <v>1900</v>
      </c>
      <c r="M7140" s="272">
        <f t="shared" si="520"/>
        <v>1</v>
      </c>
      <c r="O7140" s="61">
        <f t="shared" si="521"/>
        <v>1900</v>
      </c>
      <c r="P7140" s="61">
        <f t="shared" si="522"/>
        <v>1</v>
      </c>
    </row>
    <row r="7141" spans="9:16">
      <c r="I7141" s="213"/>
      <c r="J7141" s="213"/>
      <c r="L7141" s="272">
        <f t="shared" si="519"/>
        <v>1900</v>
      </c>
      <c r="M7141" s="272">
        <f t="shared" si="520"/>
        <v>1</v>
      </c>
      <c r="O7141" s="61">
        <f t="shared" si="521"/>
        <v>1900</v>
      </c>
      <c r="P7141" s="61">
        <f t="shared" si="522"/>
        <v>1</v>
      </c>
    </row>
    <row r="7142" spans="9:16">
      <c r="I7142" s="213"/>
      <c r="J7142" s="213"/>
      <c r="L7142" s="272">
        <f t="shared" si="519"/>
        <v>1900</v>
      </c>
      <c r="M7142" s="272">
        <f t="shared" si="520"/>
        <v>1</v>
      </c>
      <c r="O7142" s="61">
        <f t="shared" si="521"/>
        <v>1900</v>
      </c>
      <c r="P7142" s="61">
        <f t="shared" si="522"/>
        <v>1</v>
      </c>
    </row>
    <row r="7143" spans="9:16">
      <c r="I7143" s="213"/>
      <c r="J7143" s="213"/>
      <c r="L7143" s="272">
        <f t="shared" si="519"/>
        <v>1900</v>
      </c>
      <c r="M7143" s="272">
        <f t="shared" si="520"/>
        <v>1</v>
      </c>
      <c r="O7143" s="61">
        <f t="shared" si="521"/>
        <v>1900</v>
      </c>
      <c r="P7143" s="61">
        <f t="shared" si="522"/>
        <v>1</v>
      </c>
    </row>
    <row r="7144" spans="9:16">
      <c r="I7144" s="213"/>
      <c r="J7144" s="213"/>
      <c r="L7144" s="272">
        <f t="shared" si="519"/>
        <v>1900</v>
      </c>
      <c r="M7144" s="272">
        <f t="shared" si="520"/>
        <v>1</v>
      </c>
      <c r="O7144" s="61">
        <f t="shared" si="521"/>
        <v>1900</v>
      </c>
      <c r="P7144" s="61">
        <f t="shared" si="522"/>
        <v>1</v>
      </c>
    </row>
    <row r="7145" spans="9:16">
      <c r="I7145" s="213"/>
      <c r="J7145" s="213"/>
      <c r="L7145" s="272">
        <f t="shared" si="519"/>
        <v>1900</v>
      </c>
      <c r="M7145" s="272">
        <f t="shared" si="520"/>
        <v>1</v>
      </c>
      <c r="O7145" s="61">
        <f t="shared" si="521"/>
        <v>1900</v>
      </c>
      <c r="P7145" s="61">
        <f t="shared" si="522"/>
        <v>1</v>
      </c>
    </row>
    <row r="7146" spans="9:16">
      <c r="I7146" s="213"/>
      <c r="J7146" s="213"/>
      <c r="L7146" s="272">
        <f t="shared" si="519"/>
        <v>1900</v>
      </c>
      <c r="M7146" s="272">
        <f t="shared" si="520"/>
        <v>1</v>
      </c>
      <c r="O7146" s="61">
        <f t="shared" si="521"/>
        <v>1900</v>
      </c>
      <c r="P7146" s="61">
        <f t="shared" si="522"/>
        <v>1</v>
      </c>
    </row>
    <row r="7147" spans="9:16">
      <c r="I7147" s="213"/>
      <c r="J7147" s="213"/>
      <c r="L7147" s="272">
        <f t="shared" si="519"/>
        <v>1900</v>
      </c>
      <c r="M7147" s="272">
        <f t="shared" si="520"/>
        <v>1</v>
      </c>
      <c r="O7147" s="61">
        <f t="shared" si="521"/>
        <v>1900</v>
      </c>
      <c r="P7147" s="61">
        <f t="shared" si="522"/>
        <v>1</v>
      </c>
    </row>
    <row r="7148" spans="9:16">
      <c r="I7148" s="213"/>
      <c r="J7148" s="213"/>
      <c r="L7148" s="272">
        <f t="shared" si="519"/>
        <v>1900</v>
      </c>
      <c r="M7148" s="272">
        <f t="shared" si="520"/>
        <v>1</v>
      </c>
      <c r="O7148" s="61">
        <f t="shared" si="521"/>
        <v>1900</v>
      </c>
      <c r="P7148" s="61">
        <f t="shared" si="522"/>
        <v>1</v>
      </c>
    </row>
    <row r="7149" spans="9:16">
      <c r="I7149" s="213"/>
      <c r="J7149" s="213"/>
      <c r="L7149" s="272">
        <f t="shared" si="519"/>
        <v>1900</v>
      </c>
      <c r="M7149" s="272">
        <f t="shared" si="520"/>
        <v>1</v>
      </c>
      <c r="O7149" s="61">
        <f t="shared" si="521"/>
        <v>1900</v>
      </c>
      <c r="P7149" s="61">
        <f t="shared" si="522"/>
        <v>1</v>
      </c>
    </row>
    <row r="7150" spans="9:16">
      <c r="I7150" s="213"/>
      <c r="J7150" s="213"/>
      <c r="L7150" s="272">
        <f t="shared" si="519"/>
        <v>1900</v>
      </c>
      <c r="M7150" s="272">
        <f t="shared" si="520"/>
        <v>1</v>
      </c>
      <c r="O7150" s="61">
        <f t="shared" si="521"/>
        <v>1900</v>
      </c>
      <c r="P7150" s="61">
        <f t="shared" si="522"/>
        <v>1</v>
      </c>
    </row>
    <row r="7151" spans="9:16">
      <c r="I7151" s="213"/>
      <c r="J7151" s="213"/>
      <c r="L7151" s="272">
        <f t="shared" si="519"/>
        <v>1900</v>
      </c>
      <c r="M7151" s="272">
        <f t="shared" si="520"/>
        <v>1</v>
      </c>
      <c r="O7151" s="61">
        <f t="shared" si="521"/>
        <v>1900</v>
      </c>
      <c r="P7151" s="61">
        <f t="shared" si="522"/>
        <v>1</v>
      </c>
    </row>
    <row r="7152" spans="9:16">
      <c r="I7152" s="213"/>
      <c r="J7152" s="213"/>
      <c r="L7152" s="272">
        <f t="shared" si="519"/>
        <v>1900</v>
      </c>
      <c r="M7152" s="272">
        <f t="shared" si="520"/>
        <v>1</v>
      </c>
      <c r="O7152" s="61">
        <f t="shared" si="521"/>
        <v>1900</v>
      </c>
      <c r="P7152" s="61">
        <f t="shared" si="522"/>
        <v>1</v>
      </c>
    </row>
    <row r="7153" spans="9:16">
      <c r="I7153" s="213"/>
      <c r="J7153" s="213"/>
      <c r="L7153" s="272">
        <f t="shared" si="519"/>
        <v>1900</v>
      </c>
      <c r="M7153" s="272">
        <f t="shared" si="520"/>
        <v>1</v>
      </c>
      <c r="O7153" s="61">
        <f t="shared" si="521"/>
        <v>1900</v>
      </c>
      <c r="P7153" s="61">
        <f t="shared" si="522"/>
        <v>1</v>
      </c>
    </row>
    <row r="7154" spans="9:16">
      <c r="I7154" s="213"/>
      <c r="J7154" s="213"/>
      <c r="L7154" s="272">
        <f t="shared" si="519"/>
        <v>1900</v>
      </c>
      <c r="M7154" s="272">
        <f t="shared" si="520"/>
        <v>1</v>
      </c>
      <c r="O7154" s="61">
        <f t="shared" si="521"/>
        <v>1900</v>
      </c>
      <c r="P7154" s="61">
        <f t="shared" si="522"/>
        <v>1</v>
      </c>
    </row>
    <row r="7155" spans="9:16">
      <c r="I7155" s="213"/>
      <c r="J7155" s="213"/>
      <c r="L7155" s="272">
        <f t="shared" si="519"/>
        <v>1900</v>
      </c>
      <c r="M7155" s="272">
        <f t="shared" si="520"/>
        <v>1</v>
      </c>
      <c r="O7155" s="61">
        <f t="shared" si="521"/>
        <v>1900</v>
      </c>
      <c r="P7155" s="61">
        <f t="shared" si="522"/>
        <v>1</v>
      </c>
    </row>
    <row r="7156" spans="9:16">
      <c r="I7156" s="213"/>
      <c r="J7156" s="213"/>
      <c r="L7156" s="272">
        <f t="shared" si="519"/>
        <v>1900</v>
      </c>
      <c r="M7156" s="272">
        <f t="shared" si="520"/>
        <v>1</v>
      </c>
      <c r="O7156" s="61">
        <f t="shared" si="521"/>
        <v>1900</v>
      </c>
      <c r="P7156" s="61">
        <f t="shared" si="522"/>
        <v>1</v>
      </c>
    </row>
    <row r="7157" spans="9:16">
      <c r="I7157" s="213"/>
      <c r="J7157" s="213"/>
      <c r="L7157" s="272">
        <f t="shared" si="519"/>
        <v>1900</v>
      </c>
      <c r="M7157" s="272">
        <f t="shared" si="520"/>
        <v>1</v>
      </c>
      <c r="O7157" s="61">
        <f t="shared" si="521"/>
        <v>1900</v>
      </c>
      <c r="P7157" s="61">
        <f t="shared" si="522"/>
        <v>1</v>
      </c>
    </row>
    <row r="7158" spans="9:16">
      <c r="I7158" s="213"/>
      <c r="J7158" s="213"/>
      <c r="L7158" s="272">
        <f t="shared" si="519"/>
        <v>1900</v>
      </c>
      <c r="M7158" s="272">
        <f t="shared" si="520"/>
        <v>1</v>
      </c>
      <c r="O7158" s="61">
        <f t="shared" si="521"/>
        <v>1900</v>
      </c>
      <c r="P7158" s="61">
        <f t="shared" si="522"/>
        <v>1</v>
      </c>
    </row>
    <row r="7159" spans="9:16">
      <c r="I7159" s="213"/>
      <c r="J7159" s="213"/>
      <c r="L7159" s="272">
        <f t="shared" si="519"/>
        <v>1900</v>
      </c>
      <c r="M7159" s="272">
        <f t="shared" si="520"/>
        <v>1</v>
      </c>
      <c r="O7159" s="61">
        <f t="shared" si="521"/>
        <v>1900</v>
      </c>
      <c r="P7159" s="61">
        <f t="shared" si="522"/>
        <v>1</v>
      </c>
    </row>
    <row r="7160" spans="9:16">
      <c r="I7160" s="213"/>
      <c r="J7160" s="213"/>
      <c r="L7160" s="272">
        <f t="shared" si="519"/>
        <v>1900</v>
      </c>
      <c r="M7160" s="272">
        <f t="shared" si="520"/>
        <v>1</v>
      </c>
      <c r="O7160" s="61">
        <f t="shared" si="521"/>
        <v>1900</v>
      </c>
      <c r="P7160" s="61">
        <f t="shared" si="522"/>
        <v>1</v>
      </c>
    </row>
    <row r="7161" spans="9:16">
      <c r="I7161" s="213"/>
      <c r="J7161" s="213"/>
      <c r="L7161" s="272">
        <f t="shared" si="519"/>
        <v>1900</v>
      </c>
      <c r="M7161" s="272">
        <f t="shared" si="520"/>
        <v>1</v>
      </c>
      <c r="O7161" s="61">
        <f t="shared" si="521"/>
        <v>1900</v>
      </c>
      <c r="P7161" s="61">
        <f t="shared" si="522"/>
        <v>1</v>
      </c>
    </row>
    <row r="7162" spans="9:16">
      <c r="I7162" s="213"/>
      <c r="J7162" s="213"/>
      <c r="L7162" s="272">
        <f t="shared" si="519"/>
        <v>1900</v>
      </c>
      <c r="M7162" s="272">
        <f t="shared" si="520"/>
        <v>1</v>
      </c>
      <c r="O7162" s="61">
        <f t="shared" si="521"/>
        <v>1900</v>
      </c>
      <c r="P7162" s="61">
        <f t="shared" si="522"/>
        <v>1</v>
      </c>
    </row>
    <row r="7163" spans="9:16">
      <c r="I7163" s="213"/>
      <c r="J7163" s="213"/>
      <c r="L7163" s="272">
        <f t="shared" si="519"/>
        <v>1900</v>
      </c>
      <c r="M7163" s="272">
        <f t="shared" si="520"/>
        <v>1</v>
      </c>
      <c r="O7163" s="61">
        <f t="shared" si="521"/>
        <v>1900</v>
      </c>
      <c r="P7163" s="61">
        <f t="shared" si="522"/>
        <v>1</v>
      </c>
    </row>
    <row r="7164" spans="9:16">
      <c r="I7164" s="213"/>
      <c r="J7164" s="213"/>
      <c r="L7164" s="272">
        <f t="shared" si="519"/>
        <v>1900</v>
      </c>
      <c r="M7164" s="272">
        <f t="shared" si="520"/>
        <v>1</v>
      </c>
      <c r="O7164" s="61">
        <f t="shared" si="521"/>
        <v>1900</v>
      </c>
      <c r="P7164" s="61">
        <f t="shared" si="522"/>
        <v>1</v>
      </c>
    </row>
    <row r="7165" spans="9:16">
      <c r="I7165" s="213"/>
      <c r="J7165" s="213"/>
      <c r="L7165" s="272">
        <f t="shared" si="519"/>
        <v>1900</v>
      </c>
      <c r="M7165" s="272">
        <f t="shared" si="520"/>
        <v>1</v>
      </c>
      <c r="O7165" s="61">
        <f t="shared" si="521"/>
        <v>1900</v>
      </c>
      <c r="P7165" s="61">
        <f t="shared" si="522"/>
        <v>1</v>
      </c>
    </row>
    <row r="7166" spans="9:16">
      <c r="I7166" s="213"/>
      <c r="J7166" s="213"/>
      <c r="L7166" s="272">
        <f t="shared" si="519"/>
        <v>1900</v>
      </c>
      <c r="M7166" s="272">
        <f t="shared" si="520"/>
        <v>1</v>
      </c>
      <c r="O7166" s="61">
        <f t="shared" si="521"/>
        <v>1900</v>
      </c>
      <c r="P7166" s="61">
        <f t="shared" si="522"/>
        <v>1</v>
      </c>
    </row>
    <row r="7167" spans="9:16">
      <c r="I7167" s="213"/>
      <c r="J7167" s="213"/>
      <c r="L7167" s="272">
        <f t="shared" si="519"/>
        <v>1900</v>
      </c>
      <c r="M7167" s="272">
        <f t="shared" si="520"/>
        <v>1</v>
      </c>
      <c r="O7167" s="61">
        <f t="shared" si="521"/>
        <v>1900</v>
      </c>
      <c r="P7167" s="61">
        <f t="shared" si="522"/>
        <v>1</v>
      </c>
    </row>
    <row r="7168" spans="9:16">
      <c r="I7168" s="213"/>
      <c r="J7168" s="213"/>
      <c r="L7168" s="272">
        <f t="shared" si="519"/>
        <v>1900</v>
      </c>
      <c r="M7168" s="272">
        <f t="shared" si="520"/>
        <v>1</v>
      </c>
      <c r="O7168" s="61">
        <f t="shared" si="521"/>
        <v>1900</v>
      </c>
      <c r="P7168" s="61">
        <f t="shared" si="522"/>
        <v>1</v>
      </c>
    </row>
    <row r="7169" spans="9:16">
      <c r="I7169" s="213"/>
      <c r="J7169" s="213"/>
      <c r="L7169" s="272">
        <f t="shared" si="519"/>
        <v>1900</v>
      </c>
      <c r="M7169" s="272">
        <f t="shared" si="520"/>
        <v>1</v>
      </c>
      <c r="O7169" s="61">
        <f t="shared" si="521"/>
        <v>1900</v>
      </c>
      <c r="P7169" s="61">
        <f t="shared" si="522"/>
        <v>1</v>
      </c>
    </row>
    <row r="7170" spans="9:16">
      <c r="I7170" s="213"/>
      <c r="J7170" s="213"/>
      <c r="L7170" s="272">
        <f t="shared" si="519"/>
        <v>1900</v>
      </c>
      <c r="M7170" s="272">
        <f t="shared" si="520"/>
        <v>1</v>
      </c>
      <c r="O7170" s="61">
        <f t="shared" si="521"/>
        <v>1900</v>
      </c>
      <c r="P7170" s="61">
        <f t="shared" si="522"/>
        <v>1</v>
      </c>
    </row>
    <row r="7171" spans="9:16">
      <c r="I7171" s="213"/>
      <c r="J7171" s="213"/>
      <c r="L7171" s="272">
        <f t="shared" si="519"/>
        <v>1900</v>
      </c>
      <c r="M7171" s="272">
        <f t="shared" si="520"/>
        <v>1</v>
      </c>
      <c r="O7171" s="61">
        <f t="shared" si="521"/>
        <v>1900</v>
      </c>
      <c r="P7171" s="61">
        <f t="shared" si="522"/>
        <v>1</v>
      </c>
    </row>
    <row r="7172" spans="9:16">
      <c r="I7172" s="213"/>
      <c r="J7172" s="213"/>
      <c r="L7172" s="272">
        <f t="shared" si="519"/>
        <v>1900</v>
      </c>
      <c r="M7172" s="272">
        <f t="shared" si="520"/>
        <v>1</v>
      </c>
      <c r="O7172" s="61">
        <f t="shared" si="521"/>
        <v>1900</v>
      </c>
      <c r="P7172" s="61">
        <f t="shared" si="522"/>
        <v>1</v>
      </c>
    </row>
    <row r="7173" spans="9:16">
      <c r="I7173" s="213"/>
      <c r="J7173" s="213"/>
      <c r="L7173" s="272">
        <f t="shared" si="519"/>
        <v>1900</v>
      </c>
      <c r="M7173" s="272">
        <f t="shared" si="520"/>
        <v>1</v>
      </c>
      <c r="O7173" s="61">
        <f t="shared" si="521"/>
        <v>1900</v>
      </c>
      <c r="P7173" s="61">
        <f t="shared" si="522"/>
        <v>1</v>
      </c>
    </row>
    <row r="7174" spans="9:16">
      <c r="I7174" s="213"/>
      <c r="J7174" s="213"/>
      <c r="L7174" s="272">
        <f t="shared" si="519"/>
        <v>1900</v>
      </c>
      <c r="M7174" s="272">
        <f t="shared" si="520"/>
        <v>1</v>
      </c>
      <c r="O7174" s="61">
        <f t="shared" si="521"/>
        <v>1900</v>
      </c>
      <c r="P7174" s="61">
        <f t="shared" si="522"/>
        <v>1</v>
      </c>
    </row>
    <row r="7175" spans="9:16">
      <c r="I7175" s="213"/>
      <c r="J7175" s="213"/>
      <c r="L7175" s="272">
        <f t="shared" si="519"/>
        <v>1900</v>
      </c>
      <c r="M7175" s="272">
        <f t="shared" si="520"/>
        <v>1</v>
      </c>
      <c r="O7175" s="61">
        <f t="shared" si="521"/>
        <v>1900</v>
      </c>
      <c r="P7175" s="61">
        <f t="shared" si="522"/>
        <v>1</v>
      </c>
    </row>
    <row r="7176" spans="9:16">
      <c r="I7176" s="213"/>
      <c r="J7176" s="213"/>
      <c r="L7176" s="272">
        <f t="shared" si="519"/>
        <v>1900</v>
      </c>
      <c r="M7176" s="272">
        <f t="shared" si="520"/>
        <v>1</v>
      </c>
      <c r="O7176" s="61">
        <f t="shared" si="521"/>
        <v>1900</v>
      </c>
      <c r="P7176" s="61">
        <f t="shared" si="522"/>
        <v>1</v>
      </c>
    </row>
    <row r="7177" spans="9:16">
      <c r="I7177" s="213"/>
      <c r="J7177" s="213"/>
      <c r="L7177" s="272">
        <f t="shared" si="519"/>
        <v>1900</v>
      </c>
      <c r="M7177" s="272">
        <f t="shared" si="520"/>
        <v>1</v>
      </c>
      <c r="O7177" s="61">
        <f t="shared" si="521"/>
        <v>1900</v>
      </c>
      <c r="P7177" s="61">
        <f t="shared" si="522"/>
        <v>1</v>
      </c>
    </row>
    <row r="7178" spans="9:16">
      <c r="I7178" s="213"/>
      <c r="J7178" s="213"/>
      <c r="L7178" s="272">
        <f t="shared" si="519"/>
        <v>1900</v>
      </c>
      <c r="M7178" s="272">
        <f t="shared" si="520"/>
        <v>1</v>
      </c>
      <c r="O7178" s="61">
        <f t="shared" si="521"/>
        <v>1900</v>
      </c>
      <c r="P7178" s="61">
        <f t="shared" si="522"/>
        <v>1</v>
      </c>
    </row>
    <row r="7179" spans="9:16">
      <c r="I7179" s="213"/>
      <c r="J7179" s="213"/>
      <c r="L7179" s="272">
        <f t="shared" si="519"/>
        <v>1900</v>
      </c>
      <c r="M7179" s="272">
        <f t="shared" si="520"/>
        <v>1</v>
      </c>
      <c r="O7179" s="61">
        <f t="shared" si="521"/>
        <v>1900</v>
      </c>
      <c r="P7179" s="61">
        <f t="shared" si="522"/>
        <v>1</v>
      </c>
    </row>
    <row r="7180" spans="9:16">
      <c r="I7180" s="213"/>
      <c r="J7180" s="213"/>
      <c r="L7180" s="272">
        <f t="shared" si="519"/>
        <v>1900</v>
      </c>
      <c r="M7180" s="272">
        <f t="shared" si="520"/>
        <v>1</v>
      </c>
      <c r="O7180" s="61">
        <f t="shared" si="521"/>
        <v>1900</v>
      </c>
      <c r="P7180" s="61">
        <f t="shared" si="522"/>
        <v>1</v>
      </c>
    </row>
    <row r="7181" spans="9:16">
      <c r="I7181" s="213"/>
      <c r="J7181" s="213"/>
      <c r="L7181" s="272">
        <f t="shared" si="519"/>
        <v>1900</v>
      </c>
      <c r="M7181" s="272">
        <f t="shared" si="520"/>
        <v>1</v>
      </c>
      <c r="O7181" s="61">
        <f t="shared" si="521"/>
        <v>1900</v>
      </c>
      <c r="P7181" s="61">
        <f t="shared" si="522"/>
        <v>1</v>
      </c>
    </row>
    <row r="7182" spans="9:16">
      <c r="I7182" s="213"/>
      <c r="J7182" s="213"/>
      <c r="L7182" s="272">
        <f t="shared" si="519"/>
        <v>1900</v>
      </c>
      <c r="M7182" s="272">
        <f t="shared" si="520"/>
        <v>1</v>
      </c>
      <c r="O7182" s="61">
        <f t="shared" si="521"/>
        <v>1900</v>
      </c>
      <c r="P7182" s="61">
        <f t="shared" si="522"/>
        <v>1</v>
      </c>
    </row>
    <row r="7183" spans="9:16">
      <c r="I7183" s="213"/>
      <c r="J7183" s="213"/>
      <c r="L7183" s="272">
        <f t="shared" si="519"/>
        <v>1900</v>
      </c>
      <c r="M7183" s="272">
        <f t="shared" si="520"/>
        <v>1</v>
      </c>
      <c r="O7183" s="61">
        <f t="shared" si="521"/>
        <v>1900</v>
      </c>
      <c r="P7183" s="61">
        <f t="shared" si="522"/>
        <v>1</v>
      </c>
    </row>
    <row r="7184" spans="9:16">
      <c r="I7184" s="213"/>
      <c r="J7184" s="213"/>
      <c r="L7184" s="272">
        <f t="shared" ref="L7184:L7247" si="523">YEAR(B7184)</f>
        <v>1900</v>
      </c>
      <c r="M7184" s="272">
        <f t="shared" ref="M7184:M7247" si="524">MONTH(B7184)</f>
        <v>1</v>
      </c>
      <c r="O7184" s="61">
        <f t="shared" ref="O7184:O7247" si="525">YEAR(B7184)</f>
        <v>1900</v>
      </c>
      <c r="P7184" s="61">
        <f t="shared" ref="P7184:P7247" si="526">MONTH(B7184)</f>
        <v>1</v>
      </c>
    </row>
    <row r="7185" spans="9:16">
      <c r="I7185" s="213"/>
      <c r="J7185" s="213"/>
      <c r="L7185" s="272">
        <f t="shared" si="523"/>
        <v>1900</v>
      </c>
      <c r="M7185" s="272">
        <f t="shared" si="524"/>
        <v>1</v>
      </c>
      <c r="O7185" s="61">
        <f t="shared" si="525"/>
        <v>1900</v>
      </c>
      <c r="P7185" s="61">
        <f t="shared" si="526"/>
        <v>1</v>
      </c>
    </row>
    <row r="7186" spans="9:16">
      <c r="I7186" s="213"/>
      <c r="J7186" s="213"/>
      <c r="L7186" s="272">
        <f t="shared" si="523"/>
        <v>1900</v>
      </c>
      <c r="M7186" s="272">
        <f t="shared" si="524"/>
        <v>1</v>
      </c>
      <c r="O7186" s="61">
        <f t="shared" si="525"/>
        <v>1900</v>
      </c>
      <c r="P7186" s="61">
        <f t="shared" si="526"/>
        <v>1</v>
      </c>
    </row>
    <row r="7187" spans="9:16">
      <c r="I7187" s="213"/>
      <c r="J7187" s="213"/>
      <c r="L7187" s="272">
        <f t="shared" si="523"/>
        <v>1900</v>
      </c>
      <c r="M7187" s="272">
        <f t="shared" si="524"/>
        <v>1</v>
      </c>
      <c r="O7187" s="61">
        <f t="shared" si="525"/>
        <v>1900</v>
      </c>
      <c r="P7187" s="61">
        <f t="shared" si="526"/>
        <v>1</v>
      </c>
    </row>
    <row r="7188" spans="9:16">
      <c r="I7188" s="213"/>
      <c r="J7188" s="213"/>
      <c r="L7188" s="272">
        <f t="shared" si="523"/>
        <v>1900</v>
      </c>
      <c r="M7188" s="272">
        <f t="shared" si="524"/>
        <v>1</v>
      </c>
      <c r="O7188" s="61">
        <f t="shared" si="525"/>
        <v>1900</v>
      </c>
      <c r="P7188" s="61">
        <f t="shared" si="526"/>
        <v>1</v>
      </c>
    </row>
    <row r="7189" spans="9:16">
      <c r="I7189" s="213"/>
      <c r="J7189" s="213"/>
      <c r="L7189" s="272">
        <f t="shared" si="523"/>
        <v>1900</v>
      </c>
      <c r="M7189" s="272">
        <f t="shared" si="524"/>
        <v>1</v>
      </c>
      <c r="O7189" s="61">
        <f t="shared" si="525"/>
        <v>1900</v>
      </c>
      <c r="P7189" s="61">
        <f t="shared" si="526"/>
        <v>1</v>
      </c>
    </row>
    <row r="7190" spans="9:16">
      <c r="I7190" s="213"/>
      <c r="J7190" s="213"/>
      <c r="L7190" s="272">
        <f t="shared" si="523"/>
        <v>1900</v>
      </c>
      <c r="M7190" s="272">
        <f t="shared" si="524"/>
        <v>1</v>
      </c>
      <c r="O7190" s="61">
        <f t="shared" si="525"/>
        <v>1900</v>
      </c>
      <c r="P7190" s="61">
        <f t="shared" si="526"/>
        <v>1</v>
      </c>
    </row>
    <row r="7191" spans="9:16">
      <c r="I7191" s="213"/>
      <c r="J7191" s="213"/>
      <c r="L7191" s="272">
        <f t="shared" si="523"/>
        <v>1900</v>
      </c>
      <c r="M7191" s="272">
        <f t="shared" si="524"/>
        <v>1</v>
      </c>
      <c r="O7191" s="61">
        <f t="shared" si="525"/>
        <v>1900</v>
      </c>
      <c r="P7191" s="61">
        <f t="shared" si="526"/>
        <v>1</v>
      </c>
    </row>
    <row r="7192" spans="9:16">
      <c r="I7192" s="213"/>
      <c r="J7192" s="213"/>
      <c r="L7192" s="272">
        <f t="shared" si="523"/>
        <v>1900</v>
      </c>
      <c r="M7192" s="272">
        <f t="shared" si="524"/>
        <v>1</v>
      </c>
      <c r="O7192" s="61">
        <f t="shared" si="525"/>
        <v>1900</v>
      </c>
      <c r="P7192" s="61">
        <f t="shared" si="526"/>
        <v>1</v>
      </c>
    </row>
    <row r="7193" spans="9:16">
      <c r="I7193" s="213"/>
      <c r="J7193" s="213"/>
      <c r="L7193" s="272">
        <f t="shared" si="523"/>
        <v>1900</v>
      </c>
      <c r="M7193" s="272">
        <f t="shared" si="524"/>
        <v>1</v>
      </c>
      <c r="O7193" s="61">
        <f t="shared" si="525"/>
        <v>1900</v>
      </c>
      <c r="P7193" s="61">
        <f t="shared" si="526"/>
        <v>1</v>
      </c>
    </row>
    <row r="7194" spans="9:16">
      <c r="I7194" s="213"/>
      <c r="J7194" s="213"/>
      <c r="L7194" s="272">
        <f t="shared" si="523"/>
        <v>1900</v>
      </c>
      <c r="M7194" s="272">
        <f t="shared" si="524"/>
        <v>1</v>
      </c>
      <c r="O7194" s="61">
        <f t="shared" si="525"/>
        <v>1900</v>
      </c>
      <c r="P7194" s="61">
        <f t="shared" si="526"/>
        <v>1</v>
      </c>
    </row>
    <row r="7195" spans="9:16">
      <c r="I7195" s="213"/>
      <c r="J7195" s="213"/>
      <c r="L7195" s="272">
        <f t="shared" si="523"/>
        <v>1900</v>
      </c>
      <c r="M7195" s="272">
        <f t="shared" si="524"/>
        <v>1</v>
      </c>
      <c r="O7195" s="61">
        <f t="shared" si="525"/>
        <v>1900</v>
      </c>
      <c r="P7195" s="61">
        <f t="shared" si="526"/>
        <v>1</v>
      </c>
    </row>
    <row r="7196" spans="9:16">
      <c r="I7196" s="213"/>
      <c r="J7196" s="213"/>
      <c r="L7196" s="272">
        <f t="shared" si="523"/>
        <v>1900</v>
      </c>
      <c r="M7196" s="272">
        <f t="shared" si="524"/>
        <v>1</v>
      </c>
      <c r="O7196" s="61">
        <f t="shared" si="525"/>
        <v>1900</v>
      </c>
      <c r="P7196" s="61">
        <f t="shared" si="526"/>
        <v>1</v>
      </c>
    </row>
    <row r="7197" spans="9:16">
      <c r="I7197" s="213"/>
      <c r="J7197" s="213"/>
      <c r="L7197" s="272">
        <f t="shared" si="523"/>
        <v>1900</v>
      </c>
      <c r="M7197" s="272">
        <f t="shared" si="524"/>
        <v>1</v>
      </c>
      <c r="O7197" s="61">
        <f t="shared" si="525"/>
        <v>1900</v>
      </c>
      <c r="P7197" s="61">
        <f t="shared" si="526"/>
        <v>1</v>
      </c>
    </row>
    <row r="7198" spans="9:16">
      <c r="I7198" s="213"/>
      <c r="J7198" s="213"/>
      <c r="L7198" s="272">
        <f t="shared" si="523"/>
        <v>1900</v>
      </c>
      <c r="M7198" s="272">
        <f t="shared" si="524"/>
        <v>1</v>
      </c>
      <c r="O7198" s="61">
        <f t="shared" si="525"/>
        <v>1900</v>
      </c>
      <c r="P7198" s="61">
        <f t="shared" si="526"/>
        <v>1</v>
      </c>
    </row>
    <row r="7199" spans="9:16">
      <c r="I7199" s="213"/>
      <c r="J7199" s="213"/>
      <c r="L7199" s="272">
        <f t="shared" si="523"/>
        <v>1900</v>
      </c>
      <c r="M7199" s="272">
        <f t="shared" si="524"/>
        <v>1</v>
      </c>
      <c r="O7199" s="61">
        <f t="shared" si="525"/>
        <v>1900</v>
      </c>
      <c r="P7199" s="61">
        <f t="shared" si="526"/>
        <v>1</v>
      </c>
    </row>
    <row r="7200" spans="9:16">
      <c r="I7200" s="213"/>
      <c r="J7200" s="213"/>
      <c r="L7200" s="272">
        <f t="shared" si="523"/>
        <v>1900</v>
      </c>
      <c r="M7200" s="272">
        <f t="shared" si="524"/>
        <v>1</v>
      </c>
      <c r="O7200" s="61">
        <f t="shared" si="525"/>
        <v>1900</v>
      </c>
      <c r="P7200" s="61">
        <f t="shared" si="526"/>
        <v>1</v>
      </c>
    </row>
    <row r="7201" spans="9:16">
      <c r="I7201" s="213"/>
      <c r="J7201" s="213"/>
      <c r="L7201" s="272">
        <f t="shared" si="523"/>
        <v>1900</v>
      </c>
      <c r="M7201" s="272">
        <f t="shared" si="524"/>
        <v>1</v>
      </c>
      <c r="O7201" s="61">
        <f t="shared" si="525"/>
        <v>1900</v>
      </c>
      <c r="P7201" s="61">
        <f t="shared" si="526"/>
        <v>1</v>
      </c>
    </row>
    <row r="7202" spans="9:16">
      <c r="I7202" s="213"/>
      <c r="J7202" s="213"/>
      <c r="L7202" s="272">
        <f t="shared" si="523"/>
        <v>1900</v>
      </c>
      <c r="M7202" s="272">
        <f t="shared" si="524"/>
        <v>1</v>
      </c>
      <c r="O7202" s="61">
        <f t="shared" si="525"/>
        <v>1900</v>
      </c>
      <c r="P7202" s="61">
        <f t="shared" si="526"/>
        <v>1</v>
      </c>
    </row>
    <row r="7203" spans="9:16">
      <c r="I7203" s="213"/>
      <c r="J7203" s="213"/>
      <c r="L7203" s="272">
        <f t="shared" si="523"/>
        <v>1900</v>
      </c>
      <c r="M7203" s="272">
        <f t="shared" si="524"/>
        <v>1</v>
      </c>
      <c r="O7203" s="61">
        <f t="shared" si="525"/>
        <v>1900</v>
      </c>
      <c r="P7203" s="61">
        <f t="shared" si="526"/>
        <v>1</v>
      </c>
    </row>
    <row r="7204" spans="9:16">
      <c r="I7204" s="213"/>
      <c r="J7204" s="213"/>
      <c r="L7204" s="272">
        <f t="shared" si="523"/>
        <v>1900</v>
      </c>
      <c r="M7204" s="272">
        <f t="shared" si="524"/>
        <v>1</v>
      </c>
      <c r="O7204" s="61">
        <f t="shared" si="525"/>
        <v>1900</v>
      </c>
      <c r="P7204" s="61">
        <f t="shared" si="526"/>
        <v>1</v>
      </c>
    </row>
    <row r="7205" spans="9:16">
      <c r="I7205" s="213"/>
      <c r="J7205" s="213"/>
      <c r="L7205" s="272">
        <f t="shared" si="523"/>
        <v>1900</v>
      </c>
      <c r="M7205" s="272">
        <f t="shared" si="524"/>
        <v>1</v>
      </c>
      <c r="O7205" s="61">
        <f t="shared" si="525"/>
        <v>1900</v>
      </c>
      <c r="P7205" s="61">
        <f t="shared" si="526"/>
        <v>1</v>
      </c>
    </row>
    <row r="7206" spans="9:16">
      <c r="I7206" s="213"/>
      <c r="J7206" s="213"/>
      <c r="L7206" s="272">
        <f t="shared" si="523"/>
        <v>1900</v>
      </c>
      <c r="M7206" s="272">
        <f t="shared" si="524"/>
        <v>1</v>
      </c>
      <c r="O7206" s="61">
        <f t="shared" si="525"/>
        <v>1900</v>
      </c>
      <c r="P7206" s="61">
        <f t="shared" si="526"/>
        <v>1</v>
      </c>
    </row>
    <row r="7207" spans="9:16">
      <c r="I7207" s="213"/>
      <c r="J7207" s="213"/>
      <c r="L7207" s="272">
        <f t="shared" si="523"/>
        <v>1900</v>
      </c>
      <c r="M7207" s="272">
        <f t="shared" si="524"/>
        <v>1</v>
      </c>
      <c r="O7207" s="61">
        <f t="shared" si="525"/>
        <v>1900</v>
      </c>
      <c r="P7207" s="61">
        <f t="shared" si="526"/>
        <v>1</v>
      </c>
    </row>
    <row r="7208" spans="9:16">
      <c r="I7208" s="213"/>
      <c r="J7208" s="213"/>
      <c r="L7208" s="272">
        <f t="shared" si="523"/>
        <v>1900</v>
      </c>
      <c r="M7208" s="272">
        <f t="shared" si="524"/>
        <v>1</v>
      </c>
      <c r="O7208" s="61">
        <f t="shared" si="525"/>
        <v>1900</v>
      </c>
      <c r="P7208" s="61">
        <f t="shared" si="526"/>
        <v>1</v>
      </c>
    </row>
    <row r="7209" spans="9:16">
      <c r="I7209" s="213"/>
      <c r="J7209" s="213"/>
      <c r="L7209" s="272">
        <f t="shared" si="523"/>
        <v>1900</v>
      </c>
      <c r="M7209" s="272">
        <f t="shared" si="524"/>
        <v>1</v>
      </c>
      <c r="O7209" s="61">
        <f t="shared" si="525"/>
        <v>1900</v>
      </c>
      <c r="P7209" s="61">
        <f t="shared" si="526"/>
        <v>1</v>
      </c>
    </row>
    <row r="7210" spans="9:16">
      <c r="I7210" s="213"/>
      <c r="J7210" s="213"/>
      <c r="L7210" s="272">
        <f t="shared" si="523"/>
        <v>1900</v>
      </c>
      <c r="M7210" s="272">
        <f t="shared" si="524"/>
        <v>1</v>
      </c>
      <c r="O7210" s="61">
        <f t="shared" si="525"/>
        <v>1900</v>
      </c>
      <c r="P7210" s="61">
        <f t="shared" si="526"/>
        <v>1</v>
      </c>
    </row>
    <row r="7211" spans="9:16">
      <c r="I7211" s="213"/>
      <c r="J7211" s="213"/>
      <c r="L7211" s="272">
        <f t="shared" si="523"/>
        <v>1900</v>
      </c>
      <c r="M7211" s="272">
        <f t="shared" si="524"/>
        <v>1</v>
      </c>
      <c r="O7211" s="61">
        <f t="shared" si="525"/>
        <v>1900</v>
      </c>
      <c r="P7211" s="61">
        <f t="shared" si="526"/>
        <v>1</v>
      </c>
    </row>
    <row r="7212" spans="9:16">
      <c r="I7212" s="213"/>
      <c r="J7212" s="213"/>
      <c r="L7212" s="272">
        <f t="shared" si="523"/>
        <v>1900</v>
      </c>
      <c r="M7212" s="272">
        <f t="shared" si="524"/>
        <v>1</v>
      </c>
      <c r="O7212" s="61">
        <f t="shared" si="525"/>
        <v>1900</v>
      </c>
      <c r="P7212" s="61">
        <f t="shared" si="526"/>
        <v>1</v>
      </c>
    </row>
    <row r="7213" spans="9:16">
      <c r="I7213" s="213"/>
      <c r="J7213" s="213"/>
      <c r="L7213" s="272">
        <f t="shared" si="523"/>
        <v>1900</v>
      </c>
      <c r="M7213" s="272">
        <f t="shared" si="524"/>
        <v>1</v>
      </c>
      <c r="O7213" s="61">
        <f t="shared" si="525"/>
        <v>1900</v>
      </c>
      <c r="P7213" s="61">
        <f t="shared" si="526"/>
        <v>1</v>
      </c>
    </row>
    <row r="7214" spans="9:16">
      <c r="I7214" s="213"/>
      <c r="J7214" s="213"/>
      <c r="L7214" s="272">
        <f t="shared" si="523"/>
        <v>1900</v>
      </c>
      <c r="M7214" s="272">
        <f t="shared" si="524"/>
        <v>1</v>
      </c>
      <c r="O7214" s="61">
        <f t="shared" si="525"/>
        <v>1900</v>
      </c>
      <c r="P7214" s="61">
        <f t="shared" si="526"/>
        <v>1</v>
      </c>
    </row>
    <row r="7215" spans="9:16">
      <c r="I7215" s="213"/>
      <c r="J7215" s="213"/>
      <c r="L7215" s="272">
        <f t="shared" si="523"/>
        <v>1900</v>
      </c>
      <c r="M7215" s="272">
        <f t="shared" si="524"/>
        <v>1</v>
      </c>
      <c r="O7215" s="61">
        <f t="shared" si="525"/>
        <v>1900</v>
      </c>
      <c r="P7215" s="61">
        <f t="shared" si="526"/>
        <v>1</v>
      </c>
    </row>
    <row r="7216" spans="9:16">
      <c r="I7216" s="213"/>
      <c r="J7216" s="213"/>
      <c r="L7216" s="272">
        <f t="shared" si="523"/>
        <v>1900</v>
      </c>
      <c r="M7216" s="272">
        <f t="shared" si="524"/>
        <v>1</v>
      </c>
      <c r="O7216" s="61">
        <f t="shared" si="525"/>
        <v>1900</v>
      </c>
      <c r="P7216" s="61">
        <f t="shared" si="526"/>
        <v>1</v>
      </c>
    </row>
    <row r="7217" spans="9:16">
      <c r="I7217" s="213"/>
      <c r="J7217" s="213"/>
      <c r="L7217" s="272">
        <f t="shared" si="523"/>
        <v>1900</v>
      </c>
      <c r="M7217" s="272">
        <f t="shared" si="524"/>
        <v>1</v>
      </c>
      <c r="O7217" s="61">
        <f t="shared" si="525"/>
        <v>1900</v>
      </c>
      <c r="P7217" s="61">
        <f t="shared" si="526"/>
        <v>1</v>
      </c>
    </row>
    <row r="7218" spans="9:16">
      <c r="I7218" s="213"/>
      <c r="J7218" s="213"/>
      <c r="L7218" s="272">
        <f t="shared" si="523"/>
        <v>1900</v>
      </c>
      <c r="M7218" s="272">
        <f t="shared" si="524"/>
        <v>1</v>
      </c>
      <c r="O7218" s="61">
        <f t="shared" si="525"/>
        <v>1900</v>
      </c>
      <c r="P7218" s="61">
        <f t="shared" si="526"/>
        <v>1</v>
      </c>
    </row>
    <row r="7219" spans="9:16">
      <c r="I7219" s="213"/>
      <c r="J7219" s="213"/>
      <c r="L7219" s="272">
        <f t="shared" si="523"/>
        <v>1900</v>
      </c>
      <c r="M7219" s="272">
        <f t="shared" si="524"/>
        <v>1</v>
      </c>
      <c r="O7219" s="61">
        <f t="shared" si="525"/>
        <v>1900</v>
      </c>
      <c r="P7219" s="61">
        <f t="shared" si="526"/>
        <v>1</v>
      </c>
    </row>
    <row r="7220" spans="9:16">
      <c r="I7220" s="213"/>
      <c r="J7220" s="213"/>
      <c r="L7220" s="272">
        <f t="shared" si="523"/>
        <v>1900</v>
      </c>
      <c r="M7220" s="272">
        <f t="shared" si="524"/>
        <v>1</v>
      </c>
      <c r="O7220" s="61">
        <f t="shared" si="525"/>
        <v>1900</v>
      </c>
      <c r="P7220" s="61">
        <f t="shared" si="526"/>
        <v>1</v>
      </c>
    </row>
    <row r="7221" spans="9:16">
      <c r="I7221" s="213"/>
      <c r="J7221" s="213"/>
      <c r="L7221" s="272">
        <f t="shared" si="523"/>
        <v>1900</v>
      </c>
      <c r="M7221" s="272">
        <f t="shared" si="524"/>
        <v>1</v>
      </c>
      <c r="O7221" s="61">
        <f t="shared" si="525"/>
        <v>1900</v>
      </c>
      <c r="P7221" s="61">
        <f t="shared" si="526"/>
        <v>1</v>
      </c>
    </row>
    <row r="7222" spans="9:16">
      <c r="I7222" s="213"/>
      <c r="J7222" s="213"/>
      <c r="L7222" s="272">
        <f t="shared" si="523"/>
        <v>1900</v>
      </c>
      <c r="M7222" s="272">
        <f t="shared" si="524"/>
        <v>1</v>
      </c>
      <c r="O7222" s="61">
        <f t="shared" si="525"/>
        <v>1900</v>
      </c>
      <c r="P7222" s="61">
        <f t="shared" si="526"/>
        <v>1</v>
      </c>
    </row>
    <row r="7223" spans="9:16">
      <c r="I7223" s="213"/>
      <c r="J7223" s="213"/>
      <c r="L7223" s="272">
        <f t="shared" si="523"/>
        <v>1900</v>
      </c>
      <c r="M7223" s="272">
        <f t="shared" si="524"/>
        <v>1</v>
      </c>
      <c r="O7223" s="61">
        <f t="shared" si="525"/>
        <v>1900</v>
      </c>
      <c r="P7223" s="61">
        <f t="shared" si="526"/>
        <v>1</v>
      </c>
    </row>
    <row r="7224" spans="9:16">
      <c r="I7224" s="213"/>
      <c r="J7224" s="213"/>
      <c r="L7224" s="272">
        <f t="shared" si="523"/>
        <v>1900</v>
      </c>
      <c r="M7224" s="272">
        <f t="shared" si="524"/>
        <v>1</v>
      </c>
      <c r="O7224" s="61">
        <f t="shared" si="525"/>
        <v>1900</v>
      </c>
      <c r="P7224" s="61">
        <f t="shared" si="526"/>
        <v>1</v>
      </c>
    </row>
    <row r="7225" spans="9:16">
      <c r="I7225" s="213"/>
      <c r="J7225" s="213"/>
      <c r="L7225" s="272">
        <f t="shared" si="523"/>
        <v>1900</v>
      </c>
      <c r="M7225" s="272">
        <f t="shared" si="524"/>
        <v>1</v>
      </c>
      <c r="O7225" s="61">
        <f t="shared" si="525"/>
        <v>1900</v>
      </c>
      <c r="P7225" s="61">
        <f t="shared" si="526"/>
        <v>1</v>
      </c>
    </row>
    <row r="7226" spans="9:16">
      <c r="I7226" s="213"/>
      <c r="J7226" s="213"/>
      <c r="L7226" s="272">
        <f t="shared" si="523"/>
        <v>1900</v>
      </c>
      <c r="M7226" s="272">
        <f t="shared" si="524"/>
        <v>1</v>
      </c>
      <c r="O7226" s="61">
        <f t="shared" si="525"/>
        <v>1900</v>
      </c>
      <c r="P7226" s="61">
        <f t="shared" si="526"/>
        <v>1</v>
      </c>
    </row>
    <row r="7227" spans="9:16">
      <c r="I7227" s="213"/>
      <c r="J7227" s="213"/>
      <c r="L7227" s="272">
        <f t="shared" si="523"/>
        <v>1900</v>
      </c>
      <c r="M7227" s="272">
        <f t="shared" si="524"/>
        <v>1</v>
      </c>
      <c r="O7227" s="61">
        <f t="shared" si="525"/>
        <v>1900</v>
      </c>
      <c r="P7227" s="61">
        <f t="shared" si="526"/>
        <v>1</v>
      </c>
    </row>
    <row r="7228" spans="9:16">
      <c r="I7228" s="213"/>
      <c r="J7228" s="213"/>
      <c r="L7228" s="272">
        <f t="shared" si="523"/>
        <v>1900</v>
      </c>
      <c r="M7228" s="272">
        <f t="shared" si="524"/>
        <v>1</v>
      </c>
      <c r="O7228" s="61">
        <f t="shared" si="525"/>
        <v>1900</v>
      </c>
      <c r="P7228" s="61">
        <f t="shared" si="526"/>
        <v>1</v>
      </c>
    </row>
    <row r="7229" spans="9:16">
      <c r="I7229" s="213"/>
      <c r="J7229" s="213"/>
      <c r="L7229" s="272">
        <f t="shared" si="523"/>
        <v>1900</v>
      </c>
      <c r="M7229" s="272">
        <f t="shared" si="524"/>
        <v>1</v>
      </c>
      <c r="O7229" s="61">
        <f t="shared" si="525"/>
        <v>1900</v>
      </c>
      <c r="P7229" s="61">
        <f t="shared" si="526"/>
        <v>1</v>
      </c>
    </row>
    <row r="7230" spans="9:16">
      <c r="I7230" s="213"/>
      <c r="J7230" s="213"/>
      <c r="L7230" s="272">
        <f t="shared" si="523"/>
        <v>1900</v>
      </c>
      <c r="M7230" s="272">
        <f t="shared" si="524"/>
        <v>1</v>
      </c>
      <c r="O7230" s="61">
        <f t="shared" si="525"/>
        <v>1900</v>
      </c>
      <c r="P7230" s="61">
        <f t="shared" si="526"/>
        <v>1</v>
      </c>
    </row>
    <row r="7231" spans="9:16">
      <c r="I7231" s="213"/>
      <c r="J7231" s="213"/>
      <c r="L7231" s="272">
        <f t="shared" si="523"/>
        <v>1900</v>
      </c>
      <c r="M7231" s="272">
        <f t="shared" si="524"/>
        <v>1</v>
      </c>
      <c r="O7231" s="61">
        <f t="shared" si="525"/>
        <v>1900</v>
      </c>
      <c r="P7231" s="61">
        <f t="shared" si="526"/>
        <v>1</v>
      </c>
    </row>
    <row r="7232" spans="9:16">
      <c r="I7232" s="213"/>
      <c r="J7232" s="213"/>
      <c r="L7232" s="272">
        <f t="shared" si="523"/>
        <v>1900</v>
      </c>
      <c r="M7232" s="272">
        <f t="shared" si="524"/>
        <v>1</v>
      </c>
      <c r="O7232" s="61">
        <f t="shared" si="525"/>
        <v>1900</v>
      </c>
      <c r="P7232" s="61">
        <f t="shared" si="526"/>
        <v>1</v>
      </c>
    </row>
    <row r="7233" spans="9:16">
      <c r="I7233" s="213"/>
      <c r="J7233" s="213"/>
      <c r="L7233" s="272">
        <f t="shared" si="523"/>
        <v>1900</v>
      </c>
      <c r="M7233" s="272">
        <f t="shared" si="524"/>
        <v>1</v>
      </c>
      <c r="O7233" s="61">
        <f t="shared" si="525"/>
        <v>1900</v>
      </c>
      <c r="P7233" s="61">
        <f t="shared" si="526"/>
        <v>1</v>
      </c>
    </row>
    <row r="7234" spans="9:16">
      <c r="I7234" s="213"/>
      <c r="J7234" s="213"/>
      <c r="L7234" s="272">
        <f t="shared" si="523"/>
        <v>1900</v>
      </c>
      <c r="M7234" s="272">
        <f t="shared" si="524"/>
        <v>1</v>
      </c>
      <c r="O7234" s="61">
        <f t="shared" si="525"/>
        <v>1900</v>
      </c>
      <c r="P7234" s="61">
        <f t="shared" si="526"/>
        <v>1</v>
      </c>
    </row>
    <row r="7235" spans="9:16">
      <c r="I7235" s="213"/>
      <c r="J7235" s="213"/>
      <c r="L7235" s="272">
        <f t="shared" si="523"/>
        <v>1900</v>
      </c>
      <c r="M7235" s="272">
        <f t="shared" si="524"/>
        <v>1</v>
      </c>
      <c r="O7235" s="61">
        <f t="shared" si="525"/>
        <v>1900</v>
      </c>
      <c r="P7235" s="61">
        <f t="shared" si="526"/>
        <v>1</v>
      </c>
    </row>
    <row r="7236" spans="9:16">
      <c r="I7236" s="213"/>
      <c r="J7236" s="213"/>
      <c r="L7236" s="272">
        <f t="shared" si="523"/>
        <v>1900</v>
      </c>
      <c r="M7236" s="272">
        <f t="shared" si="524"/>
        <v>1</v>
      </c>
      <c r="O7236" s="61">
        <f t="shared" si="525"/>
        <v>1900</v>
      </c>
      <c r="P7236" s="61">
        <f t="shared" si="526"/>
        <v>1</v>
      </c>
    </row>
    <row r="7237" spans="9:16">
      <c r="I7237" s="213"/>
      <c r="J7237" s="213"/>
      <c r="L7237" s="272">
        <f t="shared" si="523"/>
        <v>1900</v>
      </c>
      <c r="M7237" s="272">
        <f t="shared" si="524"/>
        <v>1</v>
      </c>
      <c r="O7237" s="61">
        <f t="shared" si="525"/>
        <v>1900</v>
      </c>
      <c r="P7237" s="61">
        <f t="shared" si="526"/>
        <v>1</v>
      </c>
    </row>
    <row r="7238" spans="9:16">
      <c r="I7238" s="213"/>
      <c r="J7238" s="213"/>
      <c r="L7238" s="272">
        <f t="shared" si="523"/>
        <v>1900</v>
      </c>
      <c r="M7238" s="272">
        <f t="shared" si="524"/>
        <v>1</v>
      </c>
      <c r="O7238" s="61">
        <f t="shared" si="525"/>
        <v>1900</v>
      </c>
      <c r="P7238" s="61">
        <f t="shared" si="526"/>
        <v>1</v>
      </c>
    </row>
    <row r="7239" spans="9:16">
      <c r="I7239" s="213"/>
      <c r="J7239" s="213"/>
      <c r="L7239" s="272">
        <f t="shared" si="523"/>
        <v>1900</v>
      </c>
      <c r="M7239" s="272">
        <f t="shared" si="524"/>
        <v>1</v>
      </c>
      <c r="O7239" s="61">
        <f t="shared" si="525"/>
        <v>1900</v>
      </c>
      <c r="P7239" s="61">
        <f t="shared" si="526"/>
        <v>1</v>
      </c>
    </row>
    <row r="7240" spans="9:16">
      <c r="I7240" s="213"/>
      <c r="J7240" s="213"/>
      <c r="L7240" s="272">
        <f t="shared" si="523"/>
        <v>1900</v>
      </c>
      <c r="M7240" s="272">
        <f t="shared" si="524"/>
        <v>1</v>
      </c>
      <c r="O7240" s="61">
        <f t="shared" si="525"/>
        <v>1900</v>
      </c>
      <c r="P7240" s="61">
        <f t="shared" si="526"/>
        <v>1</v>
      </c>
    </row>
    <row r="7241" spans="9:16">
      <c r="I7241" s="213"/>
      <c r="J7241" s="213"/>
      <c r="L7241" s="272">
        <f t="shared" si="523"/>
        <v>1900</v>
      </c>
      <c r="M7241" s="272">
        <f t="shared" si="524"/>
        <v>1</v>
      </c>
      <c r="O7241" s="61">
        <f t="shared" si="525"/>
        <v>1900</v>
      </c>
      <c r="P7241" s="61">
        <f t="shared" si="526"/>
        <v>1</v>
      </c>
    </row>
    <row r="7242" spans="9:16">
      <c r="I7242" s="213"/>
      <c r="J7242" s="213"/>
      <c r="L7242" s="272">
        <f t="shared" si="523"/>
        <v>1900</v>
      </c>
      <c r="M7242" s="272">
        <f t="shared" si="524"/>
        <v>1</v>
      </c>
      <c r="O7242" s="61">
        <f t="shared" si="525"/>
        <v>1900</v>
      </c>
      <c r="P7242" s="61">
        <f t="shared" si="526"/>
        <v>1</v>
      </c>
    </row>
    <row r="7243" spans="9:16">
      <c r="I7243" s="213"/>
      <c r="J7243" s="213"/>
      <c r="L7243" s="272">
        <f t="shared" si="523"/>
        <v>1900</v>
      </c>
      <c r="M7243" s="272">
        <f t="shared" si="524"/>
        <v>1</v>
      </c>
      <c r="O7243" s="61">
        <f t="shared" si="525"/>
        <v>1900</v>
      </c>
      <c r="P7243" s="61">
        <f t="shared" si="526"/>
        <v>1</v>
      </c>
    </row>
    <row r="7244" spans="9:16">
      <c r="I7244" s="213"/>
      <c r="J7244" s="213"/>
      <c r="L7244" s="272">
        <f t="shared" si="523"/>
        <v>1900</v>
      </c>
      <c r="M7244" s="272">
        <f t="shared" si="524"/>
        <v>1</v>
      </c>
      <c r="O7244" s="61">
        <f t="shared" si="525"/>
        <v>1900</v>
      </c>
      <c r="P7244" s="61">
        <f t="shared" si="526"/>
        <v>1</v>
      </c>
    </row>
    <row r="7245" spans="9:16">
      <c r="I7245" s="213"/>
      <c r="J7245" s="213"/>
      <c r="L7245" s="272">
        <f t="shared" si="523"/>
        <v>1900</v>
      </c>
      <c r="M7245" s="272">
        <f t="shared" si="524"/>
        <v>1</v>
      </c>
      <c r="O7245" s="61">
        <f t="shared" si="525"/>
        <v>1900</v>
      </c>
      <c r="P7245" s="61">
        <f t="shared" si="526"/>
        <v>1</v>
      </c>
    </row>
    <row r="7246" spans="9:16">
      <c r="I7246" s="213"/>
      <c r="J7246" s="213"/>
      <c r="L7246" s="272">
        <f t="shared" si="523"/>
        <v>1900</v>
      </c>
      <c r="M7246" s="272">
        <f t="shared" si="524"/>
        <v>1</v>
      </c>
      <c r="O7246" s="61">
        <f t="shared" si="525"/>
        <v>1900</v>
      </c>
      <c r="P7246" s="61">
        <f t="shared" si="526"/>
        <v>1</v>
      </c>
    </row>
    <row r="7247" spans="9:16">
      <c r="I7247" s="213"/>
      <c r="J7247" s="213"/>
      <c r="L7247" s="272">
        <f t="shared" si="523"/>
        <v>1900</v>
      </c>
      <c r="M7247" s="272">
        <f t="shared" si="524"/>
        <v>1</v>
      </c>
      <c r="O7247" s="61">
        <f t="shared" si="525"/>
        <v>1900</v>
      </c>
      <c r="P7247" s="61">
        <f t="shared" si="526"/>
        <v>1</v>
      </c>
    </row>
    <row r="7248" spans="9:16">
      <c r="I7248" s="213"/>
      <c r="J7248" s="213"/>
      <c r="L7248" s="272">
        <f t="shared" ref="L7248:L7311" si="527">YEAR(B7248)</f>
        <v>1900</v>
      </c>
      <c r="M7248" s="272">
        <f t="shared" ref="M7248:M7311" si="528">MONTH(B7248)</f>
        <v>1</v>
      </c>
      <c r="O7248" s="61">
        <f t="shared" ref="O7248:O7311" si="529">YEAR(B7248)</f>
        <v>1900</v>
      </c>
      <c r="P7248" s="61">
        <f t="shared" ref="P7248:P7311" si="530">MONTH(B7248)</f>
        <v>1</v>
      </c>
    </row>
    <row r="7249" spans="9:16">
      <c r="I7249" s="213"/>
      <c r="J7249" s="213"/>
      <c r="L7249" s="272">
        <f t="shared" si="527"/>
        <v>1900</v>
      </c>
      <c r="M7249" s="272">
        <f t="shared" si="528"/>
        <v>1</v>
      </c>
      <c r="O7249" s="61">
        <f t="shared" si="529"/>
        <v>1900</v>
      </c>
      <c r="P7249" s="61">
        <f t="shared" si="530"/>
        <v>1</v>
      </c>
    </row>
    <row r="7250" spans="9:16">
      <c r="I7250" s="213"/>
      <c r="J7250" s="213"/>
      <c r="L7250" s="272">
        <f t="shared" si="527"/>
        <v>1900</v>
      </c>
      <c r="M7250" s="272">
        <f t="shared" si="528"/>
        <v>1</v>
      </c>
      <c r="O7250" s="61">
        <f t="shared" si="529"/>
        <v>1900</v>
      </c>
      <c r="P7250" s="61">
        <f t="shared" si="530"/>
        <v>1</v>
      </c>
    </row>
    <row r="7251" spans="9:16">
      <c r="I7251" s="213"/>
      <c r="J7251" s="213"/>
      <c r="L7251" s="272">
        <f t="shared" si="527"/>
        <v>1900</v>
      </c>
      <c r="M7251" s="272">
        <f t="shared" si="528"/>
        <v>1</v>
      </c>
      <c r="O7251" s="61">
        <f t="shared" si="529"/>
        <v>1900</v>
      </c>
      <c r="P7251" s="61">
        <f t="shared" si="530"/>
        <v>1</v>
      </c>
    </row>
    <row r="7252" spans="9:16">
      <c r="I7252" s="213"/>
      <c r="J7252" s="213"/>
      <c r="L7252" s="272">
        <f t="shared" si="527"/>
        <v>1900</v>
      </c>
      <c r="M7252" s="272">
        <f t="shared" si="528"/>
        <v>1</v>
      </c>
      <c r="O7252" s="61">
        <f t="shared" si="529"/>
        <v>1900</v>
      </c>
      <c r="P7252" s="61">
        <f t="shared" si="530"/>
        <v>1</v>
      </c>
    </row>
    <row r="7253" spans="9:16">
      <c r="I7253" s="213"/>
      <c r="J7253" s="213"/>
      <c r="L7253" s="272">
        <f t="shared" si="527"/>
        <v>1900</v>
      </c>
      <c r="M7253" s="272">
        <f t="shared" si="528"/>
        <v>1</v>
      </c>
      <c r="O7253" s="61">
        <f t="shared" si="529"/>
        <v>1900</v>
      </c>
      <c r="P7253" s="61">
        <f t="shared" si="530"/>
        <v>1</v>
      </c>
    </row>
    <row r="7254" spans="9:16">
      <c r="I7254" s="213"/>
      <c r="J7254" s="213"/>
      <c r="L7254" s="272">
        <f t="shared" si="527"/>
        <v>1900</v>
      </c>
      <c r="M7254" s="272">
        <f t="shared" si="528"/>
        <v>1</v>
      </c>
      <c r="O7254" s="61">
        <f t="shared" si="529"/>
        <v>1900</v>
      </c>
      <c r="P7254" s="61">
        <f t="shared" si="530"/>
        <v>1</v>
      </c>
    </row>
    <row r="7255" spans="9:16">
      <c r="I7255" s="213"/>
      <c r="J7255" s="213"/>
      <c r="L7255" s="272">
        <f t="shared" si="527"/>
        <v>1900</v>
      </c>
      <c r="M7255" s="272">
        <f t="shared" si="528"/>
        <v>1</v>
      </c>
      <c r="O7255" s="61">
        <f t="shared" si="529"/>
        <v>1900</v>
      </c>
      <c r="P7255" s="61">
        <f t="shared" si="530"/>
        <v>1</v>
      </c>
    </row>
    <row r="7256" spans="9:16">
      <c r="I7256" s="213"/>
      <c r="J7256" s="213"/>
      <c r="L7256" s="272">
        <f t="shared" si="527"/>
        <v>1900</v>
      </c>
      <c r="M7256" s="272">
        <f t="shared" si="528"/>
        <v>1</v>
      </c>
      <c r="O7256" s="61">
        <f t="shared" si="529"/>
        <v>1900</v>
      </c>
      <c r="P7256" s="61">
        <f t="shared" si="530"/>
        <v>1</v>
      </c>
    </row>
    <row r="7257" spans="9:16">
      <c r="I7257" s="213"/>
      <c r="J7257" s="213"/>
      <c r="L7257" s="272">
        <f t="shared" si="527"/>
        <v>1900</v>
      </c>
      <c r="M7257" s="272">
        <f t="shared" si="528"/>
        <v>1</v>
      </c>
      <c r="O7257" s="61">
        <f t="shared" si="529"/>
        <v>1900</v>
      </c>
      <c r="P7257" s="61">
        <f t="shared" si="530"/>
        <v>1</v>
      </c>
    </row>
    <row r="7258" spans="9:16">
      <c r="I7258" s="213"/>
      <c r="J7258" s="213"/>
      <c r="L7258" s="272">
        <f t="shared" si="527"/>
        <v>1900</v>
      </c>
      <c r="M7258" s="272">
        <f t="shared" si="528"/>
        <v>1</v>
      </c>
      <c r="O7258" s="61">
        <f t="shared" si="529"/>
        <v>1900</v>
      </c>
      <c r="P7258" s="61">
        <f t="shared" si="530"/>
        <v>1</v>
      </c>
    </row>
    <row r="7259" spans="9:16">
      <c r="I7259" s="213"/>
      <c r="J7259" s="213"/>
      <c r="L7259" s="272">
        <f t="shared" si="527"/>
        <v>1900</v>
      </c>
      <c r="M7259" s="272">
        <f t="shared" si="528"/>
        <v>1</v>
      </c>
      <c r="O7259" s="61">
        <f t="shared" si="529"/>
        <v>1900</v>
      </c>
      <c r="P7259" s="61">
        <f t="shared" si="530"/>
        <v>1</v>
      </c>
    </row>
    <row r="7260" spans="9:16">
      <c r="I7260" s="213"/>
      <c r="J7260" s="213"/>
      <c r="L7260" s="272">
        <f t="shared" si="527"/>
        <v>1900</v>
      </c>
      <c r="M7260" s="272">
        <f t="shared" si="528"/>
        <v>1</v>
      </c>
      <c r="O7260" s="61">
        <f t="shared" si="529"/>
        <v>1900</v>
      </c>
      <c r="P7260" s="61">
        <f t="shared" si="530"/>
        <v>1</v>
      </c>
    </row>
    <row r="7261" spans="9:16">
      <c r="I7261" s="213"/>
      <c r="J7261" s="213"/>
      <c r="L7261" s="272">
        <f t="shared" si="527"/>
        <v>1900</v>
      </c>
      <c r="M7261" s="272">
        <f t="shared" si="528"/>
        <v>1</v>
      </c>
      <c r="O7261" s="61">
        <f t="shared" si="529"/>
        <v>1900</v>
      </c>
      <c r="P7261" s="61">
        <f t="shared" si="530"/>
        <v>1</v>
      </c>
    </row>
    <row r="7262" spans="9:16">
      <c r="I7262" s="213"/>
      <c r="J7262" s="213"/>
      <c r="L7262" s="272">
        <f t="shared" si="527"/>
        <v>1900</v>
      </c>
      <c r="M7262" s="272">
        <f t="shared" si="528"/>
        <v>1</v>
      </c>
      <c r="O7262" s="61">
        <f t="shared" si="529"/>
        <v>1900</v>
      </c>
      <c r="P7262" s="61">
        <f t="shared" si="530"/>
        <v>1</v>
      </c>
    </row>
    <row r="7263" spans="9:16">
      <c r="I7263" s="213"/>
      <c r="J7263" s="213"/>
      <c r="L7263" s="272">
        <f t="shared" si="527"/>
        <v>1900</v>
      </c>
      <c r="M7263" s="272">
        <f t="shared" si="528"/>
        <v>1</v>
      </c>
      <c r="O7263" s="61">
        <f t="shared" si="529"/>
        <v>1900</v>
      </c>
      <c r="P7263" s="61">
        <f t="shared" si="530"/>
        <v>1</v>
      </c>
    </row>
    <row r="7264" spans="9:16">
      <c r="I7264" s="213"/>
      <c r="J7264" s="213"/>
      <c r="L7264" s="272">
        <f t="shared" si="527"/>
        <v>1900</v>
      </c>
      <c r="M7264" s="272">
        <f t="shared" si="528"/>
        <v>1</v>
      </c>
      <c r="O7264" s="61">
        <f t="shared" si="529"/>
        <v>1900</v>
      </c>
      <c r="P7264" s="61">
        <f t="shared" si="530"/>
        <v>1</v>
      </c>
    </row>
    <row r="7265" spans="9:16">
      <c r="I7265" s="213"/>
      <c r="J7265" s="213"/>
      <c r="L7265" s="272">
        <f t="shared" si="527"/>
        <v>1900</v>
      </c>
      <c r="M7265" s="272">
        <f t="shared" si="528"/>
        <v>1</v>
      </c>
      <c r="O7265" s="61">
        <f t="shared" si="529"/>
        <v>1900</v>
      </c>
      <c r="P7265" s="61">
        <f t="shared" si="530"/>
        <v>1</v>
      </c>
    </row>
    <row r="7266" spans="9:16">
      <c r="I7266" s="213"/>
      <c r="J7266" s="213"/>
      <c r="L7266" s="272">
        <f t="shared" si="527"/>
        <v>1900</v>
      </c>
      <c r="M7266" s="272">
        <f t="shared" si="528"/>
        <v>1</v>
      </c>
      <c r="O7266" s="61">
        <f t="shared" si="529"/>
        <v>1900</v>
      </c>
      <c r="P7266" s="61">
        <f t="shared" si="530"/>
        <v>1</v>
      </c>
    </row>
    <row r="7267" spans="9:16">
      <c r="I7267" s="213"/>
      <c r="J7267" s="213"/>
      <c r="L7267" s="272">
        <f t="shared" si="527"/>
        <v>1900</v>
      </c>
      <c r="M7267" s="272">
        <f t="shared" si="528"/>
        <v>1</v>
      </c>
      <c r="O7267" s="61">
        <f t="shared" si="529"/>
        <v>1900</v>
      </c>
      <c r="P7267" s="61">
        <f t="shared" si="530"/>
        <v>1</v>
      </c>
    </row>
    <row r="7268" spans="9:16">
      <c r="I7268" s="213"/>
      <c r="J7268" s="213"/>
      <c r="L7268" s="272">
        <f t="shared" si="527"/>
        <v>1900</v>
      </c>
      <c r="M7268" s="272">
        <f t="shared" si="528"/>
        <v>1</v>
      </c>
      <c r="O7268" s="61">
        <f t="shared" si="529"/>
        <v>1900</v>
      </c>
      <c r="P7268" s="61">
        <f t="shared" si="530"/>
        <v>1</v>
      </c>
    </row>
    <row r="7269" spans="9:16">
      <c r="I7269" s="213"/>
      <c r="J7269" s="213"/>
      <c r="L7269" s="272">
        <f t="shared" si="527"/>
        <v>1900</v>
      </c>
      <c r="M7269" s="272">
        <f t="shared" si="528"/>
        <v>1</v>
      </c>
      <c r="O7269" s="61">
        <f t="shared" si="529"/>
        <v>1900</v>
      </c>
      <c r="P7269" s="61">
        <f t="shared" si="530"/>
        <v>1</v>
      </c>
    </row>
    <row r="7270" spans="9:16">
      <c r="I7270" s="213"/>
      <c r="J7270" s="213"/>
      <c r="L7270" s="272">
        <f t="shared" si="527"/>
        <v>1900</v>
      </c>
      <c r="M7270" s="272">
        <f t="shared" si="528"/>
        <v>1</v>
      </c>
      <c r="O7270" s="61">
        <f t="shared" si="529"/>
        <v>1900</v>
      </c>
      <c r="P7270" s="61">
        <f t="shared" si="530"/>
        <v>1</v>
      </c>
    </row>
    <row r="7271" spans="9:16">
      <c r="I7271" s="213"/>
      <c r="J7271" s="213"/>
      <c r="L7271" s="272">
        <f t="shared" si="527"/>
        <v>1900</v>
      </c>
      <c r="M7271" s="272">
        <f t="shared" si="528"/>
        <v>1</v>
      </c>
      <c r="O7271" s="61">
        <f t="shared" si="529"/>
        <v>1900</v>
      </c>
      <c r="P7271" s="61">
        <f t="shared" si="530"/>
        <v>1</v>
      </c>
    </row>
    <row r="7272" spans="9:16">
      <c r="I7272" s="213"/>
      <c r="J7272" s="213"/>
      <c r="L7272" s="272">
        <f t="shared" si="527"/>
        <v>1900</v>
      </c>
      <c r="M7272" s="272">
        <f t="shared" si="528"/>
        <v>1</v>
      </c>
      <c r="O7272" s="61">
        <f t="shared" si="529"/>
        <v>1900</v>
      </c>
      <c r="P7272" s="61">
        <f t="shared" si="530"/>
        <v>1</v>
      </c>
    </row>
    <row r="7273" spans="9:16">
      <c r="I7273" s="213"/>
      <c r="J7273" s="213"/>
      <c r="L7273" s="272">
        <f t="shared" si="527"/>
        <v>1900</v>
      </c>
      <c r="M7273" s="272">
        <f t="shared" si="528"/>
        <v>1</v>
      </c>
      <c r="O7273" s="61">
        <f t="shared" si="529"/>
        <v>1900</v>
      </c>
      <c r="P7273" s="61">
        <f t="shared" si="530"/>
        <v>1</v>
      </c>
    </row>
    <row r="7274" spans="9:16">
      <c r="I7274" s="213"/>
      <c r="J7274" s="213"/>
      <c r="L7274" s="272">
        <f t="shared" si="527"/>
        <v>1900</v>
      </c>
      <c r="M7274" s="272">
        <f t="shared" si="528"/>
        <v>1</v>
      </c>
      <c r="O7274" s="61">
        <f t="shared" si="529"/>
        <v>1900</v>
      </c>
      <c r="P7274" s="61">
        <f t="shared" si="530"/>
        <v>1</v>
      </c>
    </row>
    <row r="7275" spans="9:16">
      <c r="I7275" s="213"/>
      <c r="J7275" s="213"/>
      <c r="L7275" s="272">
        <f t="shared" si="527"/>
        <v>1900</v>
      </c>
      <c r="M7275" s="272">
        <f t="shared" si="528"/>
        <v>1</v>
      </c>
      <c r="O7275" s="61">
        <f t="shared" si="529"/>
        <v>1900</v>
      </c>
      <c r="P7275" s="61">
        <f t="shared" si="530"/>
        <v>1</v>
      </c>
    </row>
    <row r="7276" spans="9:16">
      <c r="I7276" s="213"/>
      <c r="J7276" s="213"/>
      <c r="L7276" s="272">
        <f t="shared" si="527"/>
        <v>1900</v>
      </c>
      <c r="M7276" s="272">
        <f t="shared" si="528"/>
        <v>1</v>
      </c>
      <c r="O7276" s="61">
        <f t="shared" si="529"/>
        <v>1900</v>
      </c>
      <c r="P7276" s="61">
        <f t="shared" si="530"/>
        <v>1</v>
      </c>
    </row>
    <row r="7277" spans="9:16">
      <c r="I7277" s="213"/>
      <c r="J7277" s="213"/>
      <c r="L7277" s="272">
        <f t="shared" si="527"/>
        <v>1900</v>
      </c>
      <c r="M7277" s="272">
        <f t="shared" si="528"/>
        <v>1</v>
      </c>
      <c r="O7277" s="61">
        <f t="shared" si="529"/>
        <v>1900</v>
      </c>
      <c r="P7277" s="61">
        <f t="shared" si="530"/>
        <v>1</v>
      </c>
    </row>
    <row r="7278" spans="9:16">
      <c r="I7278" s="213"/>
      <c r="J7278" s="213"/>
      <c r="L7278" s="272">
        <f t="shared" si="527"/>
        <v>1900</v>
      </c>
      <c r="M7278" s="272">
        <f t="shared" si="528"/>
        <v>1</v>
      </c>
      <c r="O7278" s="61">
        <f t="shared" si="529"/>
        <v>1900</v>
      </c>
      <c r="P7278" s="61">
        <f t="shared" si="530"/>
        <v>1</v>
      </c>
    </row>
    <row r="7279" spans="9:16">
      <c r="I7279" s="213"/>
      <c r="J7279" s="213"/>
      <c r="L7279" s="272">
        <f t="shared" si="527"/>
        <v>1900</v>
      </c>
      <c r="M7279" s="272">
        <f t="shared" si="528"/>
        <v>1</v>
      </c>
      <c r="O7279" s="61">
        <f t="shared" si="529"/>
        <v>1900</v>
      </c>
      <c r="P7279" s="61">
        <f t="shared" si="530"/>
        <v>1</v>
      </c>
    </row>
    <row r="7280" spans="9:16">
      <c r="I7280" s="213"/>
      <c r="J7280" s="213"/>
      <c r="L7280" s="272">
        <f t="shared" si="527"/>
        <v>1900</v>
      </c>
      <c r="M7280" s="272">
        <f t="shared" si="528"/>
        <v>1</v>
      </c>
      <c r="O7280" s="61">
        <f t="shared" si="529"/>
        <v>1900</v>
      </c>
      <c r="P7280" s="61">
        <f t="shared" si="530"/>
        <v>1</v>
      </c>
    </row>
    <row r="7281" spans="9:16">
      <c r="I7281" s="213"/>
      <c r="J7281" s="213"/>
      <c r="L7281" s="272">
        <f t="shared" si="527"/>
        <v>1900</v>
      </c>
      <c r="M7281" s="272">
        <f t="shared" si="528"/>
        <v>1</v>
      </c>
      <c r="O7281" s="61">
        <f t="shared" si="529"/>
        <v>1900</v>
      </c>
      <c r="P7281" s="61">
        <f t="shared" si="530"/>
        <v>1</v>
      </c>
    </row>
    <row r="7282" spans="9:16">
      <c r="I7282" s="213"/>
      <c r="J7282" s="213"/>
      <c r="L7282" s="272">
        <f t="shared" si="527"/>
        <v>1900</v>
      </c>
      <c r="M7282" s="272">
        <f t="shared" si="528"/>
        <v>1</v>
      </c>
      <c r="O7282" s="61">
        <f t="shared" si="529"/>
        <v>1900</v>
      </c>
      <c r="P7282" s="61">
        <f t="shared" si="530"/>
        <v>1</v>
      </c>
    </row>
    <row r="7283" spans="9:16">
      <c r="I7283" s="213"/>
      <c r="J7283" s="213"/>
      <c r="L7283" s="272">
        <f t="shared" si="527"/>
        <v>1900</v>
      </c>
      <c r="M7283" s="272">
        <f t="shared" si="528"/>
        <v>1</v>
      </c>
      <c r="O7283" s="61">
        <f t="shared" si="529"/>
        <v>1900</v>
      </c>
      <c r="P7283" s="61">
        <f t="shared" si="530"/>
        <v>1</v>
      </c>
    </row>
    <row r="7284" spans="9:16">
      <c r="I7284" s="213"/>
      <c r="J7284" s="213"/>
      <c r="L7284" s="272">
        <f t="shared" si="527"/>
        <v>1900</v>
      </c>
      <c r="M7284" s="272">
        <f t="shared" si="528"/>
        <v>1</v>
      </c>
      <c r="O7284" s="61">
        <f t="shared" si="529"/>
        <v>1900</v>
      </c>
      <c r="P7284" s="61">
        <f t="shared" si="530"/>
        <v>1</v>
      </c>
    </row>
    <row r="7285" spans="9:16">
      <c r="I7285" s="213"/>
      <c r="J7285" s="213"/>
      <c r="L7285" s="272">
        <f t="shared" si="527"/>
        <v>1900</v>
      </c>
      <c r="M7285" s="272">
        <f t="shared" si="528"/>
        <v>1</v>
      </c>
      <c r="O7285" s="61">
        <f t="shared" si="529"/>
        <v>1900</v>
      </c>
      <c r="P7285" s="61">
        <f t="shared" si="530"/>
        <v>1</v>
      </c>
    </row>
    <row r="7286" spans="9:16">
      <c r="I7286" s="213"/>
      <c r="J7286" s="213"/>
      <c r="L7286" s="272">
        <f t="shared" si="527"/>
        <v>1900</v>
      </c>
      <c r="M7286" s="272">
        <f t="shared" si="528"/>
        <v>1</v>
      </c>
      <c r="O7286" s="61">
        <f t="shared" si="529"/>
        <v>1900</v>
      </c>
      <c r="P7286" s="61">
        <f t="shared" si="530"/>
        <v>1</v>
      </c>
    </row>
    <row r="7287" spans="9:16">
      <c r="I7287" s="213"/>
      <c r="J7287" s="213"/>
      <c r="L7287" s="272">
        <f t="shared" si="527"/>
        <v>1900</v>
      </c>
      <c r="M7287" s="272">
        <f t="shared" si="528"/>
        <v>1</v>
      </c>
      <c r="O7287" s="61">
        <f t="shared" si="529"/>
        <v>1900</v>
      </c>
      <c r="P7287" s="61">
        <f t="shared" si="530"/>
        <v>1</v>
      </c>
    </row>
    <row r="7288" spans="9:16">
      <c r="I7288" s="213"/>
      <c r="J7288" s="213"/>
      <c r="L7288" s="272">
        <f t="shared" si="527"/>
        <v>1900</v>
      </c>
      <c r="M7288" s="272">
        <f t="shared" si="528"/>
        <v>1</v>
      </c>
      <c r="O7288" s="61">
        <f t="shared" si="529"/>
        <v>1900</v>
      </c>
      <c r="P7288" s="61">
        <f t="shared" si="530"/>
        <v>1</v>
      </c>
    </row>
    <row r="7289" spans="9:16">
      <c r="I7289" s="213"/>
      <c r="J7289" s="213"/>
      <c r="L7289" s="272">
        <f t="shared" si="527"/>
        <v>1900</v>
      </c>
      <c r="M7289" s="272">
        <f t="shared" si="528"/>
        <v>1</v>
      </c>
      <c r="O7289" s="61">
        <f t="shared" si="529"/>
        <v>1900</v>
      </c>
      <c r="P7289" s="61">
        <f t="shared" si="530"/>
        <v>1</v>
      </c>
    </row>
    <row r="7290" spans="9:16">
      <c r="I7290" s="213"/>
      <c r="J7290" s="213"/>
      <c r="L7290" s="272">
        <f t="shared" si="527"/>
        <v>1900</v>
      </c>
      <c r="M7290" s="272">
        <f t="shared" si="528"/>
        <v>1</v>
      </c>
      <c r="O7290" s="61">
        <f t="shared" si="529"/>
        <v>1900</v>
      </c>
      <c r="P7290" s="61">
        <f t="shared" si="530"/>
        <v>1</v>
      </c>
    </row>
    <row r="7291" spans="9:16">
      <c r="I7291" s="213"/>
      <c r="J7291" s="213"/>
      <c r="L7291" s="272">
        <f t="shared" si="527"/>
        <v>1900</v>
      </c>
      <c r="M7291" s="272">
        <f t="shared" si="528"/>
        <v>1</v>
      </c>
      <c r="O7291" s="61">
        <f t="shared" si="529"/>
        <v>1900</v>
      </c>
      <c r="P7291" s="61">
        <f t="shared" si="530"/>
        <v>1</v>
      </c>
    </row>
    <row r="7292" spans="9:16">
      <c r="I7292" s="213"/>
      <c r="J7292" s="213"/>
      <c r="L7292" s="272">
        <f t="shared" si="527"/>
        <v>1900</v>
      </c>
      <c r="M7292" s="272">
        <f t="shared" si="528"/>
        <v>1</v>
      </c>
      <c r="O7292" s="61">
        <f t="shared" si="529"/>
        <v>1900</v>
      </c>
      <c r="P7292" s="61">
        <f t="shared" si="530"/>
        <v>1</v>
      </c>
    </row>
    <row r="7293" spans="9:16">
      <c r="I7293" s="213"/>
      <c r="J7293" s="213"/>
      <c r="L7293" s="272">
        <f t="shared" si="527"/>
        <v>1900</v>
      </c>
      <c r="M7293" s="272">
        <f t="shared" si="528"/>
        <v>1</v>
      </c>
      <c r="O7293" s="61">
        <f t="shared" si="529"/>
        <v>1900</v>
      </c>
      <c r="P7293" s="61">
        <f t="shared" si="530"/>
        <v>1</v>
      </c>
    </row>
    <row r="7294" spans="9:16">
      <c r="I7294" s="213"/>
      <c r="J7294" s="213"/>
      <c r="L7294" s="272">
        <f t="shared" si="527"/>
        <v>1900</v>
      </c>
      <c r="M7294" s="272">
        <f t="shared" si="528"/>
        <v>1</v>
      </c>
      <c r="O7294" s="61">
        <f t="shared" si="529"/>
        <v>1900</v>
      </c>
      <c r="P7294" s="61">
        <f t="shared" si="530"/>
        <v>1</v>
      </c>
    </row>
    <row r="7295" spans="9:16">
      <c r="I7295" s="213"/>
      <c r="J7295" s="213"/>
      <c r="L7295" s="272">
        <f t="shared" si="527"/>
        <v>1900</v>
      </c>
      <c r="M7295" s="272">
        <f t="shared" si="528"/>
        <v>1</v>
      </c>
      <c r="O7295" s="61">
        <f t="shared" si="529"/>
        <v>1900</v>
      </c>
      <c r="P7295" s="61">
        <f t="shared" si="530"/>
        <v>1</v>
      </c>
    </row>
    <row r="7296" spans="9:16">
      <c r="I7296" s="213"/>
      <c r="J7296" s="213"/>
      <c r="L7296" s="272">
        <f t="shared" si="527"/>
        <v>1900</v>
      </c>
      <c r="M7296" s="272">
        <f t="shared" si="528"/>
        <v>1</v>
      </c>
      <c r="O7296" s="61">
        <f t="shared" si="529"/>
        <v>1900</v>
      </c>
      <c r="P7296" s="61">
        <f t="shared" si="530"/>
        <v>1</v>
      </c>
    </row>
    <row r="7297" spans="9:16">
      <c r="I7297" s="213"/>
      <c r="J7297" s="213"/>
      <c r="L7297" s="272">
        <f t="shared" si="527"/>
        <v>1900</v>
      </c>
      <c r="M7297" s="272">
        <f t="shared" si="528"/>
        <v>1</v>
      </c>
      <c r="O7297" s="61">
        <f t="shared" si="529"/>
        <v>1900</v>
      </c>
      <c r="P7297" s="61">
        <f t="shared" si="530"/>
        <v>1</v>
      </c>
    </row>
    <row r="7298" spans="9:16">
      <c r="I7298" s="213"/>
      <c r="J7298" s="213"/>
      <c r="L7298" s="272">
        <f t="shared" si="527"/>
        <v>1900</v>
      </c>
      <c r="M7298" s="272">
        <f t="shared" si="528"/>
        <v>1</v>
      </c>
      <c r="O7298" s="61">
        <f t="shared" si="529"/>
        <v>1900</v>
      </c>
      <c r="P7298" s="61">
        <f t="shared" si="530"/>
        <v>1</v>
      </c>
    </row>
    <row r="7299" spans="9:16">
      <c r="I7299" s="213"/>
      <c r="J7299" s="213"/>
      <c r="L7299" s="272">
        <f t="shared" si="527"/>
        <v>1900</v>
      </c>
      <c r="M7299" s="272">
        <f t="shared" si="528"/>
        <v>1</v>
      </c>
      <c r="O7299" s="61">
        <f t="shared" si="529"/>
        <v>1900</v>
      </c>
      <c r="P7299" s="61">
        <f t="shared" si="530"/>
        <v>1</v>
      </c>
    </row>
    <row r="7300" spans="9:16">
      <c r="I7300" s="213"/>
      <c r="J7300" s="213"/>
      <c r="L7300" s="272">
        <f t="shared" si="527"/>
        <v>1900</v>
      </c>
      <c r="M7300" s="272">
        <f t="shared" si="528"/>
        <v>1</v>
      </c>
      <c r="O7300" s="61">
        <f t="shared" si="529"/>
        <v>1900</v>
      </c>
      <c r="P7300" s="61">
        <f t="shared" si="530"/>
        <v>1</v>
      </c>
    </row>
    <row r="7301" spans="9:16">
      <c r="I7301" s="213"/>
      <c r="J7301" s="213"/>
      <c r="L7301" s="272">
        <f t="shared" si="527"/>
        <v>1900</v>
      </c>
      <c r="M7301" s="272">
        <f t="shared" si="528"/>
        <v>1</v>
      </c>
      <c r="O7301" s="61">
        <f t="shared" si="529"/>
        <v>1900</v>
      </c>
      <c r="P7301" s="61">
        <f t="shared" si="530"/>
        <v>1</v>
      </c>
    </row>
    <row r="7302" spans="9:16">
      <c r="I7302" s="213"/>
      <c r="J7302" s="213"/>
      <c r="L7302" s="272">
        <f t="shared" si="527"/>
        <v>1900</v>
      </c>
      <c r="M7302" s="272">
        <f t="shared" si="528"/>
        <v>1</v>
      </c>
      <c r="O7302" s="61">
        <f t="shared" si="529"/>
        <v>1900</v>
      </c>
      <c r="P7302" s="61">
        <f t="shared" si="530"/>
        <v>1</v>
      </c>
    </row>
    <row r="7303" spans="9:16">
      <c r="I7303" s="213"/>
      <c r="J7303" s="213"/>
      <c r="L7303" s="272">
        <f t="shared" si="527"/>
        <v>1900</v>
      </c>
      <c r="M7303" s="272">
        <f t="shared" si="528"/>
        <v>1</v>
      </c>
      <c r="O7303" s="61">
        <f t="shared" si="529"/>
        <v>1900</v>
      </c>
      <c r="P7303" s="61">
        <f t="shared" si="530"/>
        <v>1</v>
      </c>
    </row>
    <row r="7304" spans="9:16">
      <c r="I7304" s="213"/>
      <c r="J7304" s="213"/>
      <c r="L7304" s="272">
        <f t="shared" si="527"/>
        <v>1900</v>
      </c>
      <c r="M7304" s="272">
        <f t="shared" si="528"/>
        <v>1</v>
      </c>
      <c r="O7304" s="61">
        <f t="shared" si="529"/>
        <v>1900</v>
      </c>
      <c r="P7304" s="61">
        <f t="shared" si="530"/>
        <v>1</v>
      </c>
    </row>
    <row r="7305" spans="9:16">
      <c r="I7305" s="213"/>
      <c r="J7305" s="213"/>
      <c r="L7305" s="272">
        <f t="shared" si="527"/>
        <v>1900</v>
      </c>
      <c r="M7305" s="272">
        <f t="shared" si="528"/>
        <v>1</v>
      </c>
      <c r="O7305" s="61">
        <f t="shared" si="529"/>
        <v>1900</v>
      </c>
      <c r="P7305" s="61">
        <f t="shared" si="530"/>
        <v>1</v>
      </c>
    </row>
    <row r="7306" spans="9:16">
      <c r="I7306" s="213"/>
      <c r="J7306" s="213"/>
      <c r="L7306" s="272">
        <f t="shared" si="527"/>
        <v>1900</v>
      </c>
      <c r="M7306" s="272">
        <f t="shared" si="528"/>
        <v>1</v>
      </c>
      <c r="O7306" s="61">
        <f t="shared" si="529"/>
        <v>1900</v>
      </c>
      <c r="P7306" s="61">
        <f t="shared" si="530"/>
        <v>1</v>
      </c>
    </row>
    <row r="7307" spans="9:16">
      <c r="I7307" s="213"/>
      <c r="J7307" s="213"/>
      <c r="L7307" s="272">
        <f t="shared" si="527"/>
        <v>1900</v>
      </c>
      <c r="M7307" s="272">
        <f t="shared" si="528"/>
        <v>1</v>
      </c>
      <c r="O7307" s="61">
        <f t="shared" si="529"/>
        <v>1900</v>
      </c>
      <c r="P7307" s="61">
        <f t="shared" si="530"/>
        <v>1</v>
      </c>
    </row>
    <row r="7308" spans="9:16">
      <c r="I7308" s="213"/>
      <c r="J7308" s="213"/>
      <c r="L7308" s="272">
        <f t="shared" si="527"/>
        <v>1900</v>
      </c>
      <c r="M7308" s="272">
        <f t="shared" si="528"/>
        <v>1</v>
      </c>
      <c r="O7308" s="61">
        <f t="shared" si="529"/>
        <v>1900</v>
      </c>
      <c r="P7308" s="61">
        <f t="shared" si="530"/>
        <v>1</v>
      </c>
    </row>
    <row r="7309" spans="9:16">
      <c r="I7309" s="213"/>
      <c r="J7309" s="213"/>
      <c r="L7309" s="272">
        <f t="shared" si="527"/>
        <v>1900</v>
      </c>
      <c r="M7309" s="272">
        <f t="shared" si="528"/>
        <v>1</v>
      </c>
      <c r="O7309" s="61">
        <f t="shared" si="529"/>
        <v>1900</v>
      </c>
      <c r="P7309" s="61">
        <f t="shared" si="530"/>
        <v>1</v>
      </c>
    </row>
    <row r="7310" spans="9:16">
      <c r="I7310" s="213"/>
      <c r="J7310" s="213"/>
      <c r="L7310" s="272">
        <f t="shared" si="527"/>
        <v>1900</v>
      </c>
      <c r="M7310" s="272">
        <f t="shared" si="528"/>
        <v>1</v>
      </c>
      <c r="O7310" s="61">
        <f t="shared" si="529"/>
        <v>1900</v>
      </c>
      <c r="P7310" s="61">
        <f t="shared" si="530"/>
        <v>1</v>
      </c>
    </row>
    <row r="7311" spans="9:16">
      <c r="I7311" s="213"/>
      <c r="J7311" s="213"/>
      <c r="L7311" s="272">
        <f t="shared" si="527"/>
        <v>1900</v>
      </c>
      <c r="M7311" s="272">
        <f t="shared" si="528"/>
        <v>1</v>
      </c>
      <c r="O7311" s="61">
        <f t="shared" si="529"/>
        <v>1900</v>
      </c>
      <c r="P7311" s="61">
        <f t="shared" si="530"/>
        <v>1</v>
      </c>
    </row>
    <row r="7312" spans="9:16">
      <c r="I7312" s="213"/>
      <c r="J7312" s="213"/>
      <c r="L7312" s="272">
        <f t="shared" ref="L7312:L7375" si="531">YEAR(B7312)</f>
        <v>1900</v>
      </c>
      <c r="M7312" s="272">
        <f t="shared" ref="M7312:M7375" si="532">MONTH(B7312)</f>
        <v>1</v>
      </c>
      <c r="O7312" s="61">
        <f t="shared" ref="O7312:O7375" si="533">YEAR(B7312)</f>
        <v>1900</v>
      </c>
      <c r="P7312" s="61">
        <f t="shared" ref="P7312:P7375" si="534">MONTH(B7312)</f>
        <v>1</v>
      </c>
    </row>
    <row r="7313" spans="9:16">
      <c r="I7313" s="213"/>
      <c r="J7313" s="213"/>
      <c r="L7313" s="272">
        <f t="shared" si="531"/>
        <v>1900</v>
      </c>
      <c r="M7313" s="272">
        <f t="shared" si="532"/>
        <v>1</v>
      </c>
      <c r="O7313" s="61">
        <f t="shared" si="533"/>
        <v>1900</v>
      </c>
      <c r="P7313" s="61">
        <f t="shared" si="534"/>
        <v>1</v>
      </c>
    </row>
    <row r="7314" spans="9:16">
      <c r="I7314" s="213"/>
      <c r="J7314" s="213"/>
      <c r="L7314" s="272">
        <f t="shared" si="531"/>
        <v>1900</v>
      </c>
      <c r="M7314" s="272">
        <f t="shared" si="532"/>
        <v>1</v>
      </c>
      <c r="O7314" s="61">
        <f t="shared" si="533"/>
        <v>1900</v>
      </c>
      <c r="P7314" s="61">
        <f t="shared" si="534"/>
        <v>1</v>
      </c>
    </row>
    <row r="7315" spans="9:16">
      <c r="I7315" s="213"/>
      <c r="J7315" s="213"/>
      <c r="L7315" s="272">
        <f t="shared" si="531"/>
        <v>1900</v>
      </c>
      <c r="M7315" s="272">
        <f t="shared" si="532"/>
        <v>1</v>
      </c>
      <c r="O7315" s="61">
        <f t="shared" si="533"/>
        <v>1900</v>
      </c>
      <c r="P7315" s="61">
        <f t="shared" si="534"/>
        <v>1</v>
      </c>
    </row>
    <row r="7316" spans="9:16">
      <c r="I7316" s="213"/>
      <c r="J7316" s="213"/>
      <c r="L7316" s="272">
        <f t="shared" si="531"/>
        <v>1900</v>
      </c>
      <c r="M7316" s="272">
        <f t="shared" si="532"/>
        <v>1</v>
      </c>
      <c r="O7316" s="61">
        <f t="shared" si="533"/>
        <v>1900</v>
      </c>
      <c r="P7316" s="61">
        <f t="shared" si="534"/>
        <v>1</v>
      </c>
    </row>
    <row r="7317" spans="9:16">
      <c r="I7317" s="213"/>
      <c r="J7317" s="213"/>
      <c r="L7317" s="272">
        <f t="shared" si="531"/>
        <v>1900</v>
      </c>
      <c r="M7317" s="272">
        <f t="shared" si="532"/>
        <v>1</v>
      </c>
      <c r="O7317" s="61">
        <f t="shared" si="533"/>
        <v>1900</v>
      </c>
      <c r="P7317" s="61">
        <f t="shared" si="534"/>
        <v>1</v>
      </c>
    </row>
    <row r="7318" spans="9:16">
      <c r="I7318" s="213"/>
      <c r="J7318" s="213"/>
      <c r="L7318" s="272">
        <f t="shared" si="531"/>
        <v>1900</v>
      </c>
      <c r="M7318" s="272">
        <f t="shared" si="532"/>
        <v>1</v>
      </c>
      <c r="O7318" s="61">
        <f t="shared" si="533"/>
        <v>1900</v>
      </c>
      <c r="P7318" s="61">
        <f t="shared" si="534"/>
        <v>1</v>
      </c>
    </row>
    <row r="7319" spans="9:16">
      <c r="I7319" s="213"/>
      <c r="J7319" s="213"/>
      <c r="L7319" s="272">
        <f t="shared" si="531"/>
        <v>1900</v>
      </c>
      <c r="M7319" s="272">
        <f t="shared" si="532"/>
        <v>1</v>
      </c>
      <c r="O7319" s="61">
        <f t="shared" si="533"/>
        <v>1900</v>
      </c>
      <c r="P7319" s="61">
        <f t="shared" si="534"/>
        <v>1</v>
      </c>
    </row>
    <row r="7320" spans="9:16">
      <c r="I7320" s="213"/>
      <c r="J7320" s="213"/>
      <c r="L7320" s="272">
        <f t="shared" si="531"/>
        <v>1900</v>
      </c>
      <c r="M7320" s="272">
        <f t="shared" si="532"/>
        <v>1</v>
      </c>
      <c r="O7320" s="61">
        <f t="shared" si="533"/>
        <v>1900</v>
      </c>
      <c r="P7320" s="61">
        <f t="shared" si="534"/>
        <v>1</v>
      </c>
    </row>
    <row r="7321" spans="9:16">
      <c r="I7321" s="213"/>
      <c r="J7321" s="213"/>
      <c r="L7321" s="272">
        <f t="shared" si="531"/>
        <v>1900</v>
      </c>
      <c r="M7321" s="272">
        <f t="shared" si="532"/>
        <v>1</v>
      </c>
      <c r="O7321" s="61">
        <f t="shared" si="533"/>
        <v>1900</v>
      </c>
      <c r="P7321" s="61">
        <f t="shared" si="534"/>
        <v>1</v>
      </c>
    </row>
    <row r="7322" spans="9:16">
      <c r="I7322" s="213"/>
      <c r="J7322" s="213"/>
      <c r="L7322" s="272">
        <f t="shared" si="531"/>
        <v>1900</v>
      </c>
      <c r="M7322" s="272">
        <f t="shared" si="532"/>
        <v>1</v>
      </c>
      <c r="O7322" s="61">
        <f t="shared" si="533"/>
        <v>1900</v>
      </c>
      <c r="P7322" s="61">
        <f t="shared" si="534"/>
        <v>1</v>
      </c>
    </row>
    <row r="7323" spans="9:16">
      <c r="I7323" s="213"/>
      <c r="J7323" s="213"/>
      <c r="L7323" s="272">
        <f t="shared" si="531"/>
        <v>1900</v>
      </c>
      <c r="M7323" s="272">
        <f t="shared" si="532"/>
        <v>1</v>
      </c>
      <c r="O7323" s="61">
        <f t="shared" si="533"/>
        <v>1900</v>
      </c>
      <c r="P7323" s="61">
        <f t="shared" si="534"/>
        <v>1</v>
      </c>
    </row>
    <row r="7324" spans="9:16">
      <c r="I7324" s="213"/>
      <c r="J7324" s="213"/>
      <c r="L7324" s="272">
        <f t="shared" si="531"/>
        <v>1900</v>
      </c>
      <c r="M7324" s="272">
        <f t="shared" si="532"/>
        <v>1</v>
      </c>
      <c r="O7324" s="61">
        <f t="shared" si="533"/>
        <v>1900</v>
      </c>
      <c r="P7324" s="61">
        <f t="shared" si="534"/>
        <v>1</v>
      </c>
    </row>
    <row r="7325" spans="9:16">
      <c r="I7325" s="213"/>
      <c r="J7325" s="213"/>
      <c r="L7325" s="272">
        <f t="shared" si="531"/>
        <v>1900</v>
      </c>
      <c r="M7325" s="272">
        <f t="shared" si="532"/>
        <v>1</v>
      </c>
      <c r="O7325" s="61">
        <f t="shared" si="533"/>
        <v>1900</v>
      </c>
      <c r="P7325" s="61">
        <f t="shared" si="534"/>
        <v>1</v>
      </c>
    </row>
    <row r="7326" spans="9:16">
      <c r="I7326" s="213"/>
      <c r="J7326" s="213"/>
      <c r="L7326" s="272">
        <f t="shared" si="531"/>
        <v>1900</v>
      </c>
      <c r="M7326" s="272">
        <f t="shared" si="532"/>
        <v>1</v>
      </c>
      <c r="O7326" s="61">
        <f t="shared" si="533"/>
        <v>1900</v>
      </c>
      <c r="P7326" s="61">
        <f t="shared" si="534"/>
        <v>1</v>
      </c>
    </row>
    <row r="7327" spans="9:16">
      <c r="I7327" s="213"/>
      <c r="J7327" s="213"/>
      <c r="L7327" s="272">
        <f t="shared" si="531"/>
        <v>1900</v>
      </c>
      <c r="M7327" s="272">
        <f t="shared" si="532"/>
        <v>1</v>
      </c>
      <c r="O7327" s="61">
        <f t="shared" si="533"/>
        <v>1900</v>
      </c>
      <c r="P7327" s="61">
        <f t="shared" si="534"/>
        <v>1</v>
      </c>
    </row>
    <row r="7328" spans="9:16">
      <c r="I7328" s="213"/>
      <c r="J7328" s="213"/>
      <c r="L7328" s="272">
        <f t="shared" si="531"/>
        <v>1900</v>
      </c>
      <c r="M7328" s="272">
        <f t="shared" si="532"/>
        <v>1</v>
      </c>
      <c r="O7328" s="61">
        <f t="shared" si="533"/>
        <v>1900</v>
      </c>
      <c r="P7328" s="61">
        <f t="shared" si="534"/>
        <v>1</v>
      </c>
    </row>
    <row r="7329" spans="9:16">
      <c r="I7329" s="213"/>
      <c r="J7329" s="213"/>
      <c r="L7329" s="272">
        <f t="shared" si="531"/>
        <v>1900</v>
      </c>
      <c r="M7329" s="272">
        <f t="shared" si="532"/>
        <v>1</v>
      </c>
      <c r="O7329" s="61">
        <f t="shared" si="533"/>
        <v>1900</v>
      </c>
      <c r="P7329" s="61">
        <f t="shared" si="534"/>
        <v>1</v>
      </c>
    </row>
    <row r="7330" spans="9:16">
      <c r="I7330" s="213"/>
      <c r="J7330" s="213"/>
      <c r="L7330" s="272">
        <f t="shared" si="531"/>
        <v>1900</v>
      </c>
      <c r="M7330" s="272">
        <f t="shared" si="532"/>
        <v>1</v>
      </c>
      <c r="O7330" s="61">
        <f t="shared" si="533"/>
        <v>1900</v>
      </c>
      <c r="P7330" s="61">
        <f t="shared" si="534"/>
        <v>1</v>
      </c>
    </row>
    <row r="7331" spans="9:16">
      <c r="I7331" s="213"/>
      <c r="J7331" s="213"/>
      <c r="L7331" s="272">
        <f t="shared" si="531"/>
        <v>1900</v>
      </c>
      <c r="M7331" s="272">
        <f t="shared" si="532"/>
        <v>1</v>
      </c>
      <c r="O7331" s="61">
        <f t="shared" si="533"/>
        <v>1900</v>
      </c>
      <c r="P7331" s="61">
        <f t="shared" si="534"/>
        <v>1</v>
      </c>
    </row>
    <row r="7332" spans="9:16">
      <c r="I7332" s="213"/>
      <c r="J7332" s="213"/>
      <c r="L7332" s="272">
        <f t="shared" si="531"/>
        <v>1900</v>
      </c>
      <c r="M7332" s="272">
        <f t="shared" si="532"/>
        <v>1</v>
      </c>
      <c r="O7332" s="61">
        <f t="shared" si="533"/>
        <v>1900</v>
      </c>
      <c r="P7332" s="61">
        <f t="shared" si="534"/>
        <v>1</v>
      </c>
    </row>
    <row r="7333" spans="9:16">
      <c r="I7333" s="213"/>
      <c r="J7333" s="213"/>
      <c r="L7333" s="272">
        <f t="shared" si="531"/>
        <v>1900</v>
      </c>
      <c r="M7333" s="272">
        <f t="shared" si="532"/>
        <v>1</v>
      </c>
      <c r="O7333" s="61">
        <f t="shared" si="533"/>
        <v>1900</v>
      </c>
      <c r="P7333" s="61">
        <f t="shared" si="534"/>
        <v>1</v>
      </c>
    </row>
    <row r="7334" spans="9:16">
      <c r="I7334" s="213"/>
      <c r="J7334" s="213"/>
      <c r="L7334" s="272">
        <f t="shared" si="531"/>
        <v>1900</v>
      </c>
      <c r="M7334" s="272">
        <f t="shared" si="532"/>
        <v>1</v>
      </c>
      <c r="O7334" s="61">
        <f t="shared" si="533"/>
        <v>1900</v>
      </c>
      <c r="P7334" s="61">
        <f t="shared" si="534"/>
        <v>1</v>
      </c>
    </row>
    <row r="7335" spans="9:16">
      <c r="I7335" s="213"/>
      <c r="J7335" s="213"/>
      <c r="L7335" s="272">
        <f t="shared" si="531"/>
        <v>1900</v>
      </c>
      <c r="M7335" s="272">
        <f t="shared" si="532"/>
        <v>1</v>
      </c>
      <c r="O7335" s="61">
        <f t="shared" si="533"/>
        <v>1900</v>
      </c>
      <c r="P7335" s="61">
        <f t="shared" si="534"/>
        <v>1</v>
      </c>
    </row>
    <row r="7336" spans="9:16">
      <c r="I7336" s="213"/>
      <c r="J7336" s="213"/>
      <c r="L7336" s="272">
        <f t="shared" si="531"/>
        <v>1900</v>
      </c>
      <c r="M7336" s="272">
        <f t="shared" si="532"/>
        <v>1</v>
      </c>
      <c r="O7336" s="61">
        <f t="shared" si="533"/>
        <v>1900</v>
      </c>
      <c r="P7336" s="61">
        <f t="shared" si="534"/>
        <v>1</v>
      </c>
    </row>
    <row r="7337" spans="9:16">
      <c r="I7337" s="213"/>
      <c r="J7337" s="213"/>
      <c r="L7337" s="272">
        <f t="shared" si="531"/>
        <v>1900</v>
      </c>
      <c r="M7337" s="272">
        <f t="shared" si="532"/>
        <v>1</v>
      </c>
      <c r="O7337" s="61">
        <f t="shared" si="533"/>
        <v>1900</v>
      </c>
      <c r="P7337" s="61">
        <f t="shared" si="534"/>
        <v>1</v>
      </c>
    </row>
    <row r="7338" spans="9:16">
      <c r="I7338" s="213"/>
      <c r="J7338" s="213"/>
      <c r="L7338" s="272">
        <f t="shared" si="531"/>
        <v>1900</v>
      </c>
      <c r="M7338" s="272">
        <f t="shared" si="532"/>
        <v>1</v>
      </c>
      <c r="O7338" s="61">
        <f t="shared" si="533"/>
        <v>1900</v>
      </c>
      <c r="P7338" s="61">
        <f t="shared" si="534"/>
        <v>1</v>
      </c>
    </row>
    <row r="7339" spans="9:16">
      <c r="I7339" s="213"/>
      <c r="J7339" s="213"/>
      <c r="L7339" s="272">
        <f t="shared" si="531"/>
        <v>1900</v>
      </c>
      <c r="M7339" s="272">
        <f t="shared" si="532"/>
        <v>1</v>
      </c>
      <c r="O7339" s="61">
        <f t="shared" si="533"/>
        <v>1900</v>
      </c>
      <c r="P7339" s="61">
        <f t="shared" si="534"/>
        <v>1</v>
      </c>
    </row>
    <row r="7340" spans="9:16">
      <c r="I7340" s="213"/>
      <c r="J7340" s="213"/>
      <c r="L7340" s="272">
        <f t="shared" si="531"/>
        <v>1900</v>
      </c>
      <c r="M7340" s="272">
        <f t="shared" si="532"/>
        <v>1</v>
      </c>
      <c r="O7340" s="61">
        <f t="shared" si="533"/>
        <v>1900</v>
      </c>
      <c r="P7340" s="61">
        <f t="shared" si="534"/>
        <v>1</v>
      </c>
    </row>
    <row r="7341" spans="9:16">
      <c r="I7341" s="213"/>
      <c r="J7341" s="213"/>
      <c r="L7341" s="272">
        <f t="shared" si="531"/>
        <v>1900</v>
      </c>
      <c r="M7341" s="272">
        <f t="shared" si="532"/>
        <v>1</v>
      </c>
      <c r="O7341" s="61">
        <f t="shared" si="533"/>
        <v>1900</v>
      </c>
      <c r="P7341" s="61">
        <f t="shared" si="534"/>
        <v>1</v>
      </c>
    </row>
    <row r="7342" spans="9:16">
      <c r="I7342" s="213"/>
      <c r="J7342" s="213"/>
      <c r="L7342" s="272">
        <f t="shared" si="531"/>
        <v>1900</v>
      </c>
      <c r="M7342" s="272">
        <f t="shared" si="532"/>
        <v>1</v>
      </c>
      <c r="O7342" s="61">
        <f t="shared" si="533"/>
        <v>1900</v>
      </c>
      <c r="P7342" s="61">
        <f t="shared" si="534"/>
        <v>1</v>
      </c>
    </row>
    <row r="7343" spans="9:16">
      <c r="I7343" s="213"/>
      <c r="J7343" s="213"/>
      <c r="L7343" s="272">
        <f t="shared" si="531"/>
        <v>1900</v>
      </c>
      <c r="M7343" s="272">
        <f t="shared" si="532"/>
        <v>1</v>
      </c>
      <c r="O7343" s="61">
        <f t="shared" si="533"/>
        <v>1900</v>
      </c>
      <c r="P7343" s="61">
        <f t="shared" si="534"/>
        <v>1</v>
      </c>
    </row>
    <row r="7344" spans="9:16">
      <c r="I7344" s="213"/>
      <c r="J7344" s="213"/>
      <c r="L7344" s="272">
        <f t="shared" si="531"/>
        <v>1900</v>
      </c>
      <c r="M7344" s="272">
        <f t="shared" si="532"/>
        <v>1</v>
      </c>
      <c r="O7344" s="61">
        <f t="shared" si="533"/>
        <v>1900</v>
      </c>
      <c r="P7344" s="61">
        <f t="shared" si="534"/>
        <v>1</v>
      </c>
    </row>
    <row r="7345" spans="9:16">
      <c r="I7345" s="213"/>
      <c r="J7345" s="213"/>
      <c r="L7345" s="272">
        <f t="shared" si="531"/>
        <v>1900</v>
      </c>
      <c r="M7345" s="272">
        <f t="shared" si="532"/>
        <v>1</v>
      </c>
      <c r="O7345" s="61">
        <f t="shared" si="533"/>
        <v>1900</v>
      </c>
      <c r="P7345" s="61">
        <f t="shared" si="534"/>
        <v>1</v>
      </c>
    </row>
    <row r="7346" spans="9:16">
      <c r="I7346" s="213"/>
      <c r="J7346" s="213"/>
      <c r="L7346" s="272">
        <f t="shared" si="531"/>
        <v>1900</v>
      </c>
      <c r="M7346" s="272">
        <f t="shared" si="532"/>
        <v>1</v>
      </c>
      <c r="O7346" s="61">
        <f t="shared" si="533"/>
        <v>1900</v>
      </c>
      <c r="P7346" s="61">
        <f t="shared" si="534"/>
        <v>1</v>
      </c>
    </row>
    <row r="7347" spans="9:16">
      <c r="I7347" s="213"/>
      <c r="J7347" s="213"/>
      <c r="L7347" s="272">
        <f t="shared" si="531"/>
        <v>1900</v>
      </c>
      <c r="M7347" s="272">
        <f t="shared" si="532"/>
        <v>1</v>
      </c>
      <c r="O7347" s="61">
        <f t="shared" si="533"/>
        <v>1900</v>
      </c>
      <c r="P7347" s="61">
        <f t="shared" si="534"/>
        <v>1</v>
      </c>
    </row>
    <row r="7348" spans="9:16">
      <c r="I7348" s="213"/>
      <c r="J7348" s="213"/>
      <c r="L7348" s="272">
        <f t="shared" si="531"/>
        <v>1900</v>
      </c>
      <c r="M7348" s="272">
        <f t="shared" si="532"/>
        <v>1</v>
      </c>
      <c r="O7348" s="61">
        <f t="shared" si="533"/>
        <v>1900</v>
      </c>
      <c r="P7348" s="61">
        <f t="shared" si="534"/>
        <v>1</v>
      </c>
    </row>
    <row r="7349" spans="9:16">
      <c r="I7349" s="213"/>
      <c r="J7349" s="213"/>
      <c r="L7349" s="272">
        <f t="shared" si="531"/>
        <v>1900</v>
      </c>
      <c r="M7349" s="272">
        <f t="shared" si="532"/>
        <v>1</v>
      </c>
      <c r="O7349" s="61">
        <f t="shared" si="533"/>
        <v>1900</v>
      </c>
      <c r="P7349" s="61">
        <f t="shared" si="534"/>
        <v>1</v>
      </c>
    </row>
    <row r="7350" spans="9:16">
      <c r="I7350" s="213"/>
      <c r="J7350" s="213"/>
      <c r="L7350" s="272">
        <f t="shared" si="531"/>
        <v>1900</v>
      </c>
      <c r="M7350" s="272">
        <f t="shared" si="532"/>
        <v>1</v>
      </c>
      <c r="O7350" s="61">
        <f t="shared" si="533"/>
        <v>1900</v>
      </c>
      <c r="P7350" s="61">
        <f t="shared" si="534"/>
        <v>1</v>
      </c>
    </row>
    <row r="7351" spans="9:16">
      <c r="I7351" s="213"/>
      <c r="J7351" s="213"/>
      <c r="L7351" s="272">
        <f t="shared" si="531"/>
        <v>1900</v>
      </c>
      <c r="M7351" s="272">
        <f t="shared" si="532"/>
        <v>1</v>
      </c>
      <c r="O7351" s="61">
        <f t="shared" si="533"/>
        <v>1900</v>
      </c>
      <c r="P7351" s="61">
        <f t="shared" si="534"/>
        <v>1</v>
      </c>
    </row>
    <row r="7352" spans="9:16">
      <c r="I7352" s="213"/>
      <c r="J7352" s="213"/>
      <c r="L7352" s="272">
        <f t="shared" si="531"/>
        <v>1900</v>
      </c>
      <c r="M7352" s="272">
        <f t="shared" si="532"/>
        <v>1</v>
      </c>
      <c r="O7352" s="61">
        <f t="shared" si="533"/>
        <v>1900</v>
      </c>
      <c r="P7352" s="61">
        <f t="shared" si="534"/>
        <v>1</v>
      </c>
    </row>
    <row r="7353" spans="9:16">
      <c r="I7353" s="213"/>
      <c r="J7353" s="213"/>
      <c r="L7353" s="272">
        <f t="shared" si="531"/>
        <v>1900</v>
      </c>
      <c r="M7353" s="272">
        <f t="shared" si="532"/>
        <v>1</v>
      </c>
      <c r="O7353" s="61">
        <f t="shared" si="533"/>
        <v>1900</v>
      </c>
      <c r="P7353" s="61">
        <f t="shared" si="534"/>
        <v>1</v>
      </c>
    </row>
    <row r="7354" spans="9:16">
      <c r="I7354" s="213"/>
      <c r="J7354" s="213"/>
      <c r="L7354" s="272">
        <f t="shared" si="531"/>
        <v>1900</v>
      </c>
      <c r="M7354" s="272">
        <f t="shared" si="532"/>
        <v>1</v>
      </c>
      <c r="O7354" s="61">
        <f t="shared" si="533"/>
        <v>1900</v>
      </c>
      <c r="P7354" s="61">
        <f t="shared" si="534"/>
        <v>1</v>
      </c>
    </row>
    <row r="7355" spans="9:16">
      <c r="I7355" s="213"/>
      <c r="J7355" s="213"/>
      <c r="L7355" s="272">
        <f t="shared" si="531"/>
        <v>1900</v>
      </c>
      <c r="M7355" s="272">
        <f t="shared" si="532"/>
        <v>1</v>
      </c>
      <c r="O7355" s="61">
        <f t="shared" si="533"/>
        <v>1900</v>
      </c>
      <c r="P7355" s="61">
        <f t="shared" si="534"/>
        <v>1</v>
      </c>
    </row>
    <row r="7356" spans="9:16">
      <c r="I7356" s="213"/>
      <c r="J7356" s="213"/>
      <c r="L7356" s="272">
        <f t="shared" si="531"/>
        <v>1900</v>
      </c>
      <c r="M7356" s="272">
        <f t="shared" si="532"/>
        <v>1</v>
      </c>
      <c r="O7356" s="61">
        <f t="shared" si="533"/>
        <v>1900</v>
      </c>
      <c r="P7356" s="61">
        <f t="shared" si="534"/>
        <v>1</v>
      </c>
    </row>
    <row r="7357" spans="9:16">
      <c r="I7357" s="213"/>
      <c r="J7357" s="213"/>
      <c r="L7357" s="272">
        <f t="shared" si="531"/>
        <v>1900</v>
      </c>
      <c r="M7357" s="272">
        <f t="shared" si="532"/>
        <v>1</v>
      </c>
      <c r="O7357" s="61">
        <f t="shared" si="533"/>
        <v>1900</v>
      </c>
      <c r="P7357" s="61">
        <f t="shared" si="534"/>
        <v>1</v>
      </c>
    </row>
    <row r="7358" spans="9:16">
      <c r="I7358" s="213"/>
      <c r="J7358" s="213"/>
      <c r="L7358" s="272">
        <f t="shared" si="531"/>
        <v>1900</v>
      </c>
      <c r="M7358" s="272">
        <f t="shared" si="532"/>
        <v>1</v>
      </c>
      <c r="O7358" s="61">
        <f t="shared" si="533"/>
        <v>1900</v>
      </c>
      <c r="P7358" s="61">
        <f t="shared" si="534"/>
        <v>1</v>
      </c>
    </row>
    <row r="7359" spans="9:16">
      <c r="I7359" s="213"/>
      <c r="J7359" s="213"/>
      <c r="L7359" s="272">
        <f t="shared" si="531"/>
        <v>1900</v>
      </c>
      <c r="M7359" s="272">
        <f t="shared" si="532"/>
        <v>1</v>
      </c>
      <c r="O7359" s="61">
        <f t="shared" si="533"/>
        <v>1900</v>
      </c>
      <c r="P7359" s="61">
        <f t="shared" si="534"/>
        <v>1</v>
      </c>
    </row>
    <row r="7360" spans="9:16">
      <c r="I7360" s="213"/>
      <c r="J7360" s="213"/>
      <c r="L7360" s="272">
        <f t="shared" si="531"/>
        <v>1900</v>
      </c>
      <c r="M7360" s="272">
        <f t="shared" si="532"/>
        <v>1</v>
      </c>
      <c r="O7360" s="61">
        <f t="shared" si="533"/>
        <v>1900</v>
      </c>
      <c r="P7360" s="61">
        <f t="shared" si="534"/>
        <v>1</v>
      </c>
    </row>
    <row r="7361" spans="9:16">
      <c r="I7361" s="213"/>
      <c r="J7361" s="213"/>
      <c r="L7361" s="272">
        <f t="shared" si="531"/>
        <v>1900</v>
      </c>
      <c r="M7361" s="272">
        <f t="shared" si="532"/>
        <v>1</v>
      </c>
      <c r="O7361" s="61">
        <f t="shared" si="533"/>
        <v>1900</v>
      </c>
      <c r="P7361" s="61">
        <f t="shared" si="534"/>
        <v>1</v>
      </c>
    </row>
    <row r="7362" spans="9:16">
      <c r="I7362" s="213"/>
      <c r="J7362" s="213"/>
      <c r="L7362" s="272">
        <f t="shared" si="531"/>
        <v>1900</v>
      </c>
      <c r="M7362" s="272">
        <f t="shared" si="532"/>
        <v>1</v>
      </c>
      <c r="O7362" s="61">
        <f t="shared" si="533"/>
        <v>1900</v>
      </c>
      <c r="P7362" s="61">
        <f t="shared" si="534"/>
        <v>1</v>
      </c>
    </row>
    <row r="7363" spans="9:16">
      <c r="I7363" s="213"/>
      <c r="J7363" s="213"/>
      <c r="L7363" s="272">
        <f t="shared" si="531"/>
        <v>1900</v>
      </c>
      <c r="M7363" s="272">
        <f t="shared" si="532"/>
        <v>1</v>
      </c>
      <c r="O7363" s="61">
        <f t="shared" si="533"/>
        <v>1900</v>
      </c>
      <c r="P7363" s="61">
        <f t="shared" si="534"/>
        <v>1</v>
      </c>
    </row>
    <row r="7364" spans="9:16">
      <c r="I7364" s="213"/>
      <c r="J7364" s="213"/>
      <c r="L7364" s="272">
        <f t="shared" si="531"/>
        <v>1900</v>
      </c>
      <c r="M7364" s="272">
        <f t="shared" si="532"/>
        <v>1</v>
      </c>
      <c r="O7364" s="61">
        <f t="shared" si="533"/>
        <v>1900</v>
      </c>
      <c r="P7364" s="61">
        <f t="shared" si="534"/>
        <v>1</v>
      </c>
    </row>
    <row r="7365" spans="9:16">
      <c r="I7365" s="213"/>
      <c r="J7365" s="213"/>
      <c r="L7365" s="272">
        <f t="shared" si="531"/>
        <v>1900</v>
      </c>
      <c r="M7365" s="272">
        <f t="shared" si="532"/>
        <v>1</v>
      </c>
      <c r="O7365" s="61">
        <f t="shared" si="533"/>
        <v>1900</v>
      </c>
      <c r="P7365" s="61">
        <f t="shared" si="534"/>
        <v>1</v>
      </c>
    </row>
    <row r="7366" spans="9:16">
      <c r="I7366" s="213"/>
      <c r="J7366" s="213"/>
      <c r="L7366" s="272">
        <f t="shared" si="531"/>
        <v>1900</v>
      </c>
      <c r="M7366" s="272">
        <f t="shared" si="532"/>
        <v>1</v>
      </c>
      <c r="O7366" s="61">
        <f t="shared" si="533"/>
        <v>1900</v>
      </c>
      <c r="P7366" s="61">
        <f t="shared" si="534"/>
        <v>1</v>
      </c>
    </row>
    <row r="7367" spans="9:16">
      <c r="I7367" s="213"/>
      <c r="J7367" s="213"/>
      <c r="L7367" s="272">
        <f t="shared" si="531"/>
        <v>1900</v>
      </c>
      <c r="M7367" s="272">
        <f t="shared" si="532"/>
        <v>1</v>
      </c>
      <c r="O7367" s="61">
        <f t="shared" si="533"/>
        <v>1900</v>
      </c>
      <c r="P7367" s="61">
        <f t="shared" si="534"/>
        <v>1</v>
      </c>
    </row>
    <row r="7368" spans="9:16">
      <c r="I7368" s="213"/>
      <c r="J7368" s="213"/>
      <c r="L7368" s="272">
        <f t="shared" si="531"/>
        <v>1900</v>
      </c>
      <c r="M7368" s="272">
        <f t="shared" si="532"/>
        <v>1</v>
      </c>
      <c r="O7368" s="61">
        <f t="shared" si="533"/>
        <v>1900</v>
      </c>
      <c r="P7368" s="61">
        <f t="shared" si="534"/>
        <v>1</v>
      </c>
    </row>
    <row r="7369" spans="9:16">
      <c r="I7369" s="213"/>
      <c r="J7369" s="213"/>
      <c r="L7369" s="272">
        <f t="shared" si="531"/>
        <v>1900</v>
      </c>
      <c r="M7369" s="272">
        <f t="shared" si="532"/>
        <v>1</v>
      </c>
      <c r="O7369" s="61">
        <f t="shared" si="533"/>
        <v>1900</v>
      </c>
      <c r="P7369" s="61">
        <f t="shared" si="534"/>
        <v>1</v>
      </c>
    </row>
    <row r="7370" spans="9:16">
      <c r="I7370" s="213"/>
      <c r="J7370" s="213"/>
      <c r="L7370" s="272">
        <f t="shared" si="531"/>
        <v>1900</v>
      </c>
      <c r="M7370" s="272">
        <f t="shared" si="532"/>
        <v>1</v>
      </c>
      <c r="O7370" s="61">
        <f t="shared" si="533"/>
        <v>1900</v>
      </c>
      <c r="P7370" s="61">
        <f t="shared" si="534"/>
        <v>1</v>
      </c>
    </row>
    <row r="7371" spans="9:16">
      <c r="I7371" s="213"/>
      <c r="J7371" s="213"/>
      <c r="L7371" s="272">
        <f t="shared" si="531"/>
        <v>1900</v>
      </c>
      <c r="M7371" s="272">
        <f t="shared" si="532"/>
        <v>1</v>
      </c>
      <c r="O7371" s="61">
        <f t="shared" si="533"/>
        <v>1900</v>
      </c>
      <c r="P7371" s="61">
        <f t="shared" si="534"/>
        <v>1</v>
      </c>
    </row>
    <row r="7372" spans="9:16">
      <c r="I7372" s="213"/>
      <c r="J7372" s="213"/>
      <c r="L7372" s="272">
        <f t="shared" si="531"/>
        <v>1900</v>
      </c>
      <c r="M7372" s="272">
        <f t="shared" si="532"/>
        <v>1</v>
      </c>
      <c r="O7372" s="61">
        <f t="shared" si="533"/>
        <v>1900</v>
      </c>
      <c r="P7372" s="61">
        <f t="shared" si="534"/>
        <v>1</v>
      </c>
    </row>
    <row r="7373" spans="9:16">
      <c r="I7373" s="213"/>
      <c r="J7373" s="213"/>
      <c r="L7373" s="272">
        <f t="shared" si="531"/>
        <v>1900</v>
      </c>
      <c r="M7373" s="272">
        <f t="shared" si="532"/>
        <v>1</v>
      </c>
      <c r="O7373" s="61">
        <f t="shared" si="533"/>
        <v>1900</v>
      </c>
      <c r="P7373" s="61">
        <f t="shared" si="534"/>
        <v>1</v>
      </c>
    </row>
    <row r="7374" spans="9:16">
      <c r="I7374" s="213"/>
      <c r="J7374" s="213"/>
      <c r="L7374" s="272">
        <f t="shared" si="531"/>
        <v>1900</v>
      </c>
      <c r="M7374" s="272">
        <f t="shared" si="532"/>
        <v>1</v>
      </c>
      <c r="O7374" s="61">
        <f t="shared" si="533"/>
        <v>1900</v>
      </c>
      <c r="P7374" s="61">
        <f t="shared" si="534"/>
        <v>1</v>
      </c>
    </row>
    <row r="7375" spans="9:16">
      <c r="I7375" s="213"/>
      <c r="J7375" s="213"/>
      <c r="L7375" s="272">
        <f t="shared" si="531"/>
        <v>1900</v>
      </c>
      <c r="M7375" s="272">
        <f t="shared" si="532"/>
        <v>1</v>
      </c>
      <c r="O7375" s="61">
        <f t="shared" si="533"/>
        <v>1900</v>
      </c>
      <c r="P7375" s="61">
        <f t="shared" si="534"/>
        <v>1</v>
      </c>
    </row>
    <row r="7376" spans="9:16">
      <c r="I7376" s="213"/>
      <c r="J7376" s="213"/>
      <c r="L7376" s="272">
        <f t="shared" ref="L7376:L7439" si="535">YEAR(B7376)</f>
        <v>1900</v>
      </c>
      <c r="M7376" s="272">
        <f t="shared" ref="M7376:M7439" si="536">MONTH(B7376)</f>
        <v>1</v>
      </c>
      <c r="O7376" s="61">
        <f t="shared" ref="O7376:O7439" si="537">YEAR(B7376)</f>
        <v>1900</v>
      </c>
      <c r="P7376" s="61">
        <f t="shared" ref="P7376:P7439" si="538">MONTH(B7376)</f>
        <v>1</v>
      </c>
    </row>
    <row r="7377" spans="9:16">
      <c r="I7377" s="213"/>
      <c r="J7377" s="213"/>
      <c r="L7377" s="272">
        <f t="shared" si="535"/>
        <v>1900</v>
      </c>
      <c r="M7377" s="272">
        <f t="shared" si="536"/>
        <v>1</v>
      </c>
      <c r="O7377" s="61">
        <f t="shared" si="537"/>
        <v>1900</v>
      </c>
      <c r="P7377" s="61">
        <f t="shared" si="538"/>
        <v>1</v>
      </c>
    </row>
    <row r="7378" spans="9:16">
      <c r="I7378" s="213"/>
      <c r="J7378" s="213"/>
      <c r="L7378" s="272">
        <f t="shared" si="535"/>
        <v>1900</v>
      </c>
      <c r="M7378" s="272">
        <f t="shared" si="536"/>
        <v>1</v>
      </c>
      <c r="O7378" s="61">
        <f t="shared" si="537"/>
        <v>1900</v>
      </c>
      <c r="P7378" s="61">
        <f t="shared" si="538"/>
        <v>1</v>
      </c>
    </row>
    <row r="7379" spans="9:16">
      <c r="I7379" s="213"/>
      <c r="J7379" s="213"/>
      <c r="L7379" s="272">
        <f t="shared" si="535"/>
        <v>1900</v>
      </c>
      <c r="M7379" s="272">
        <f t="shared" si="536"/>
        <v>1</v>
      </c>
      <c r="O7379" s="61">
        <f t="shared" si="537"/>
        <v>1900</v>
      </c>
      <c r="P7379" s="61">
        <f t="shared" si="538"/>
        <v>1</v>
      </c>
    </row>
    <row r="7380" spans="9:16">
      <c r="I7380" s="213"/>
      <c r="J7380" s="213"/>
      <c r="L7380" s="272">
        <f t="shared" si="535"/>
        <v>1900</v>
      </c>
      <c r="M7380" s="272">
        <f t="shared" si="536"/>
        <v>1</v>
      </c>
      <c r="O7380" s="61">
        <f t="shared" si="537"/>
        <v>1900</v>
      </c>
      <c r="P7380" s="61">
        <f t="shared" si="538"/>
        <v>1</v>
      </c>
    </row>
    <row r="7381" spans="9:16">
      <c r="I7381" s="213"/>
      <c r="J7381" s="213"/>
      <c r="L7381" s="272">
        <f t="shared" si="535"/>
        <v>1900</v>
      </c>
      <c r="M7381" s="272">
        <f t="shared" si="536"/>
        <v>1</v>
      </c>
      <c r="O7381" s="61">
        <f t="shared" si="537"/>
        <v>1900</v>
      </c>
      <c r="P7381" s="61">
        <f t="shared" si="538"/>
        <v>1</v>
      </c>
    </row>
    <row r="7382" spans="9:16">
      <c r="I7382" s="213"/>
      <c r="J7382" s="213"/>
      <c r="L7382" s="272">
        <f t="shared" si="535"/>
        <v>1900</v>
      </c>
      <c r="M7382" s="272">
        <f t="shared" si="536"/>
        <v>1</v>
      </c>
      <c r="O7382" s="61">
        <f t="shared" si="537"/>
        <v>1900</v>
      </c>
      <c r="P7382" s="61">
        <f t="shared" si="538"/>
        <v>1</v>
      </c>
    </row>
    <row r="7383" spans="9:16">
      <c r="I7383" s="213"/>
      <c r="J7383" s="213"/>
      <c r="L7383" s="272">
        <f t="shared" si="535"/>
        <v>1900</v>
      </c>
      <c r="M7383" s="272">
        <f t="shared" si="536"/>
        <v>1</v>
      </c>
      <c r="O7383" s="61">
        <f t="shared" si="537"/>
        <v>1900</v>
      </c>
      <c r="P7383" s="61">
        <f t="shared" si="538"/>
        <v>1</v>
      </c>
    </row>
    <row r="7384" spans="9:16">
      <c r="I7384" s="213"/>
      <c r="J7384" s="213"/>
      <c r="L7384" s="272">
        <f t="shared" si="535"/>
        <v>1900</v>
      </c>
      <c r="M7384" s="272">
        <f t="shared" si="536"/>
        <v>1</v>
      </c>
      <c r="O7384" s="61">
        <f t="shared" si="537"/>
        <v>1900</v>
      </c>
      <c r="P7384" s="61">
        <f t="shared" si="538"/>
        <v>1</v>
      </c>
    </row>
    <row r="7385" spans="9:16">
      <c r="I7385" s="213"/>
      <c r="J7385" s="213"/>
      <c r="L7385" s="272">
        <f t="shared" si="535"/>
        <v>1900</v>
      </c>
      <c r="M7385" s="272">
        <f t="shared" si="536"/>
        <v>1</v>
      </c>
      <c r="O7385" s="61">
        <f t="shared" si="537"/>
        <v>1900</v>
      </c>
      <c r="P7385" s="61">
        <f t="shared" si="538"/>
        <v>1</v>
      </c>
    </row>
    <row r="7386" spans="9:16">
      <c r="I7386" s="213"/>
      <c r="J7386" s="213"/>
      <c r="L7386" s="272">
        <f t="shared" si="535"/>
        <v>1900</v>
      </c>
      <c r="M7386" s="272">
        <f t="shared" si="536"/>
        <v>1</v>
      </c>
      <c r="O7386" s="61">
        <f t="shared" si="537"/>
        <v>1900</v>
      </c>
      <c r="P7386" s="61">
        <f t="shared" si="538"/>
        <v>1</v>
      </c>
    </row>
    <row r="7387" spans="9:16">
      <c r="I7387" s="213"/>
      <c r="J7387" s="213"/>
      <c r="L7387" s="272">
        <f t="shared" si="535"/>
        <v>1900</v>
      </c>
      <c r="M7387" s="272">
        <f t="shared" si="536"/>
        <v>1</v>
      </c>
      <c r="O7387" s="61">
        <f t="shared" si="537"/>
        <v>1900</v>
      </c>
      <c r="P7387" s="61">
        <f t="shared" si="538"/>
        <v>1</v>
      </c>
    </row>
    <row r="7388" spans="9:16">
      <c r="I7388" s="213"/>
      <c r="J7388" s="213"/>
      <c r="L7388" s="272">
        <f t="shared" si="535"/>
        <v>1900</v>
      </c>
      <c r="M7388" s="272">
        <f t="shared" si="536"/>
        <v>1</v>
      </c>
      <c r="O7388" s="61">
        <f t="shared" si="537"/>
        <v>1900</v>
      </c>
      <c r="P7388" s="61">
        <f t="shared" si="538"/>
        <v>1</v>
      </c>
    </row>
    <row r="7389" spans="9:16">
      <c r="I7389" s="213"/>
      <c r="J7389" s="213"/>
      <c r="L7389" s="272">
        <f t="shared" si="535"/>
        <v>1900</v>
      </c>
      <c r="M7389" s="272">
        <f t="shared" si="536"/>
        <v>1</v>
      </c>
      <c r="O7389" s="61">
        <f t="shared" si="537"/>
        <v>1900</v>
      </c>
      <c r="P7389" s="61">
        <f t="shared" si="538"/>
        <v>1</v>
      </c>
    </row>
    <row r="7390" spans="9:16">
      <c r="I7390" s="213"/>
      <c r="J7390" s="213"/>
      <c r="L7390" s="272">
        <f t="shared" si="535"/>
        <v>1900</v>
      </c>
      <c r="M7390" s="272">
        <f t="shared" si="536"/>
        <v>1</v>
      </c>
      <c r="O7390" s="61">
        <f t="shared" si="537"/>
        <v>1900</v>
      </c>
      <c r="P7390" s="61">
        <f t="shared" si="538"/>
        <v>1</v>
      </c>
    </row>
    <row r="7391" spans="9:16">
      <c r="I7391" s="213"/>
      <c r="J7391" s="213"/>
      <c r="L7391" s="272">
        <f t="shared" si="535"/>
        <v>1900</v>
      </c>
      <c r="M7391" s="272">
        <f t="shared" si="536"/>
        <v>1</v>
      </c>
      <c r="O7391" s="61">
        <f t="shared" si="537"/>
        <v>1900</v>
      </c>
      <c r="P7391" s="61">
        <f t="shared" si="538"/>
        <v>1</v>
      </c>
    </row>
    <row r="7392" spans="9:16">
      <c r="I7392" s="213"/>
      <c r="J7392" s="213"/>
      <c r="L7392" s="272">
        <f t="shared" si="535"/>
        <v>1900</v>
      </c>
      <c r="M7392" s="272">
        <f t="shared" si="536"/>
        <v>1</v>
      </c>
      <c r="O7392" s="61">
        <f t="shared" si="537"/>
        <v>1900</v>
      </c>
      <c r="P7392" s="61">
        <f t="shared" si="538"/>
        <v>1</v>
      </c>
    </row>
    <row r="7393" spans="9:16">
      <c r="I7393" s="213"/>
      <c r="J7393" s="213"/>
      <c r="L7393" s="272">
        <f t="shared" si="535"/>
        <v>1900</v>
      </c>
      <c r="M7393" s="272">
        <f t="shared" si="536"/>
        <v>1</v>
      </c>
      <c r="O7393" s="61">
        <f t="shared" si="537"/>
        <v>1900</v>
      </c>
      <c r="P7393" s="61">
        <f t="shared" si="538"/>
        <v>1</v>
      </c>
    </row>
    <row r="7394" spans="9:16">
      <c r="I7394" s="213"/>
      <c r="J7394" s="213"/>
      <c r="L7394" s="272">
        <f t="shared" si="535"/>
        <v>1900</v>
      </c>
      <c r="M7394" s="272">
        <f t="shared" si="536"/>
        <v>1</v>
      </c>
      <c r="O7394" s="61">
        <f t="shared" si="537"/>
        <v>1900</v>
      </c>
      <c r="P7394" s="61">
        <f t="shared" si="538"/>
        <v>1</v>
      </c>
    </row>
    <row r="7395" spans="9:16">
      <c r="I7395" s="213"/>
      <c r="J7395" s="213"/>
      <c r="L7395" s="272">
        <f t="shared" si="535"/>
        <v>1900</v>
      </c>
      <c r="M7395" s="272">
        <f t="shared" si="536"/>
        <v>1</v>
      </c>
      <c r="O7395" s="61">
        <f t="shared" si="537"/>
        <v>1900</v>
      </c>
      <c r="P7395" s="61">
        <f t="shared" si="538"/>
        <v>1</v>
      </c>
    </row>
    <row r="7396" spans="9:16">
      <c r="I7396" s="213"/>
      <c r="J7396" s="213"/>
      <c r="L7396" s="272">
        <f t="shared" si="535"/>
        <v>1900</v>
      </c>
      <c r="M7396" s="272">
        <f t="shared" si="536"/>
        <v>1</v>
      </c>
      <c r="O7396" s="61">
        <f t="shared" si="537"/>
        <v>1900</v>
      </c>
      <c r="P7396" s="61">
        <f t="shared" si="538"/>
        <v>1</v>
      </c>
    </row>
    <row r="7397" spans="9:16">
      <c r="I7397" s="213"/>
      <c r="J7397" s="213"/>
      <c r="L7397" s="272">
        <f t="shared" si="535"/>
        <v>1900</v>
      </c>
      <c r="M7397" s="272">
        <f t="shared" si="536"/>
        <v>1</v>
      </c>
      <c r="O7397" s="61">
        <f t="shared" si="537"/>
        <v>1900</v>
      </c>
      <c r="P7397" s="61">
        <f t="shared" si="538"/>
        <v>1</v>
      </c>
    </row>
    <row r="7398" spans="9:16">
      <c r="I7398" s="213"/>
      <c r="J7398" s="213"/>
      <c r="L7398" s="272">
        <f t="shared" si="535"/>
        <v>1900</v>
      </c>
      <c r="M7398" s="272">
        <f t="shared" si="536"/>
        <v>1</v>
      </c>
      <c r="O7398" s="61">
        <f t="shared" si="537"/>
        <v>1900</v>
      </c>
      <c r="P7398" s="61">
        <f t="shared" si="538"/>
        <v>1</v>
      </c>
    </row>
    <row r="7399" spans="9:16">
      <c r="I7399" s="213"/>
      <c r="J7399" s="213"/>
      <c r="L7399" s="272">
        <f t="shared" si="535"/>
        <v>1900</v>
      </c>
      <c r="M7399" s="272">
        <f t="shared" si="536"/>
        <v>1</v>
      </c>
      <c r="O7399" s="61">
        <f t="shared" si="537"/>
        <v>1900</v>
      </c>
      <c r="P7399" s="61">
        <f t="shared" si="538"/>
        <v>1</v>
      </c>
    </row>
    <row r="7400" spans="9:16">
      <c r="I7400" s="213"/>
      <c r="J7400" s="213"/>
      <c r="L7400" s="272">
        <f t="shared" si="535"/>
        <v>1900</v>
      </c>
      <c r="M7400" s="272">
        <f t="shared" si="536"/>
        <v>1</v>
      </c>
      <c r="O7400" s="61">
        <f t="shared" si="537"/>
        <v>1900</v>
      </c>
      <c r="P7400" s="61">
        <f t="shared" si="538"/>
        <v>1</v>
      </c>
    </row>
    <row r="7401" spans="9:16">
      <c r="I7401" s="213"/>
      <c r="J7401" s="213"/>
      <c r="L7401" s="272">
        <f t="shared" si="535"/>
        <v>1900</v>
      </c>
      <c r="M7401" s="272">
        <f t="shared" si="536"/>
        <v>1</v>
      </c>
      <c r="O7401" s="61">
        <f t="shared" si="537"/>
        <v>1900</v>
      </c>
      <c r="P7401" s="61">
        <f t="shared" si="538"/>
        <v>1</v>
      </c>
    </row>
    <row r="7402" spans="9:16">
      <c r="I7402" s="213"/>
      <c r="J7402" s="213"/>
      <c r="L7402" s="272">
        <f t="shared" si="535"/>
        <v>1900</v>
      </c>
      <c r="M7402" s="272">
        <f t="shared" si="536"/>
        <v>1</v>
      </c>
      <c r="O7402" s="61">
        <f t="shared" si="537"/>
        <v>1900</v>
      </c>
      <c r="P7402" s="61">
        <f t="shared" si="538"/>
        <v>1</v>
      </c>
    </row>
    <row r="7403" spans="9:16">
      <c r="I7403" s="213"/>
      <c r="J7403" s="213"/>
      <c r="L7403" s="272">
        <f t="shared" si="535"/>
        <v>1900</v>
      </c>
      <c r="M7403" s="272">
        <f t="shared" si="536"/>
        <v>1</v>
      </c>
      <c r="O7403" s="61">
        <f t="shared" si="537"/>
        <v>1900</v>
      </c>
      <c r="P7403" s="61">
        <f t="shared" si="538"/>
        <v>1</v>
      </c>
    </row>
    <row r="7404" spans="9:16">
      <c r="I7404" s="213"/>
      <c r="J7404" s="213"/>
      <c r="L7404" s="272">
        <f t="shared" si="535"/>
        <v>1900</v>
      </c>
      <c r="M7404" s="272">
        <f t="shared" si="536"/>
        <v>1</v>
      </c>
      <c r="O7404" s="61">
        <f t="shared" si="537"/>
        <v>1900</v>
      </c>
      <c r="P7404" s="61">
        <f t="shared" si="538"/>
        <v>1</v>
      </c>
    </row>
    <row r="7405" spans="9:16">
      <c r="I7405" s="213"/>
      <c r="J7405" s="213"/>
      <c r="L7405" s="272">
        <f t="shared" si="535"/>
        <v>1900</v>
      </c>
      <c r="M7405" s="272">
        <f t="shared" si="536"/>
        <v>1</v>
      </c>
      <c r="O7405" s="61">
        <f t="shared" si="537"/>
        <v>1900</v>
      </c>
      <c r="P7405" s="61">
        <f t="shared" si="538"/>
        <v>1</v>
      </c>
    </row>
    <row r="7406" spans="9:16">
      <c r="I7406" s="213"/>
      <c r="J7406" s="213"/>
      <c r="L7406" s="272">
        <f t="shared" si="535"/>
        <v>1900</v>
      </c>
      <c r="M7406" s="272">
        <f t="shared" si="536"/>
        <v>1</v>
      </c>
      <c r="O7406" s="61">
        <f t="shared" si="537"/>
        <v>1900</v>
      </c>
      <c r="P7406" s="61">
        <f t="shared" si="538"/>
        <v>1</v>
      </c>
    </row>
    <row r="7407" spans="9:16">
      <c r="I7407" s="213"/>
      <c r="J7407" s="213"/>
      <c r="L7407" s="272">
        <f t="shared" si="535"/>
        <v>1900</v>
      </c>
      <c r="M7407" s="272">
        <f t="shared" si="536"/>
        <v>1</v>
      </c>
      <c r="O7407" s="61">
        <f t="shared" si="537"/>
        <v>1900</v>
      </c>
      <c r="P7407" s="61">
        <f t="shared" si="538"/>
        <v>1</v>
      </c>
    </row>
    <row r="7408" spans="9:16">
      <c r="I7408" s="213"/>
      <c r="J7408" s="213"/>
      <c r="L7408" s="272">
        <f t="shared" si="535"/>
        <v>1900</v>
      </c>
      <c r="M7408" s="272">
        <f t="shared" si="536"/>
        <v>1</v>
      </c>
      <c r="O7408" s="61">
        <f t="shared" si="537"/>
        <v>1900</v>
      </c>
      <c r="P7408" s="61">
        <f t="shared" si="538"/>
        <v>1</v>
      </c>
    </row>
    <row r="7409" spans="9:16">
      <c r="I7409" s="213"/>
      <c r="J7409" s="213"/>
      <c r="L7409" s="272">
        <f t="shared" si="535"/>
        <v>1900</v>
      </c>
      <c r="M7409" s="272">
        <f t="shared" si="536"/>
        <v>1</v>
      </c>
      <c r="O7409" s="61">
        <f t="shared" si="537"/>
        <v>1900</v>
      </c>
      <c r="P7409" s="61">
        <f t="shared" si="538"/>
        <v>1</v>
      </c>
    </row>
    <row r="7410" spans="9:16">
      <c r="I7410" s="213"/>
      <c r="J7410" s="213"/>
      <c r="L7410" s="272">
        <f t="shared" si="535"/>
        <v>1900</v>
      </c>
      <c r="M7410" s="272">
        <f t="shared" si="536"/>
        <v>1</v>
      </c>
      <c r="O7410" s="61">
        <f t="shared" si="537"/>
        <v>1900</v>
      </c>
      <c r="P7410" s="61">
        <f t="shared" si="538"/>
        <v>1</v>
      </c>
    </row>
    <row r="7411" spans="9:16">
      <c r="I7411" s="213"/>
      <c r="J7411" s="213"/>
      <c r="L7411" s="272">
        <f t="shared" si="535"/>
        <v>1900</v>
      </c>
      <c r="M7411" s="272">
        <f t="shared" si="536"/>
        <v>1</v>
      </c>
      <c r="O7411" s="61">
        <f t="shared" si="537"/>
        <v>1900</v>
      </c>
      <c r="P7411" s="61">
        <f t="shared" si="538"/>
        <v>1</v>
      </c>
    </row>
    <row r="7412" spans="9:16">
      <c r="I7412" s="213"/>
      <c r="J7412" s="213"/>
      <c r="L7412" s="272">
        <f t="shared" si="535"/>
        <v>1900</v>
      </c>
      <c r="M7412" s="272">
        <f t="shared" si="536"/>
        <v>1</v>
      </c>
      <c r="O7412" s="61">
        <f t="shared" si="537"/>
        <v>1900</v>
      </c>
      <c r="P7412" s="61">
        <f t="shared" si="538"/>
        <v>1</v>
      </c>
    </row>
    <row r="7413" spans="9:16">
      <c r="I7413" s="213"/>
      <c r="J7413" s="213"/>
      <c r="L7413" s="272">
        <f t="shared" si="535"/>
        <v>1900</v>
      </c>
      <c r="M7413" s="272">
        <f t="shared" si="536"/>
        <v>1</v>
      </c>
      <c r="O7413" s="61">
        <f t="shared" si="537"/>
        <v>1900</v>
      </c>
      <c r="P7413" s="61">
        <f t="shared" si="538"/>
        <v>1</v>
      </c>
    </row>
    <row r="7414" spans="9:16">
      <c r="I7414" s="213"/>
      <c r="J7414" s="213"/>
      <c r="L7414" s="272">
        <f t="shared" si="535"/>
        <v>1900</v>
      </c>
      <c r="M7414" s="272">
        <f t="shared" si="536"/>
        <v>1</v>
      </c>
      <c r="O7414" s="61">
        <f t="shared" si="537"/>
        <v>1900</v>
      </c>
      <c r="P7414" s="61">
        <f t="shared" si="538"/>
        <v>1</v>
      </c>
    </row>
    <row r="7415" spans="9:16">
      <c r="I7415" s="213"/>
      <c r="J7415" s="213"/>
      <c r="L7415" s="272">
        <f t="shared" si="535"/>
        <v>1900</v>
      </c>
      <c r="M7415" s="272">
        <f t="shared" si="536"/>
        <v>1</v>
      </c>
      <c r="O7415" s="61">
        <f t="shared" si="537"/>
        <v>1900</v>
      </c>
      <c r="P7415" s="61">
        <f t="shared" si="538"/>
        <v>1</v>
      </c>
    </row>
    <row r="7416" spans="9:16">
      <c r="I7416" s="213"/>
      <c r="J7416" s="213"/>
      <c r="L7416" s="272">
        <f t="shared" si="535"/>
        <v>1900</v>
      </c>
      <c r="M7416" s="272">
        <f t="shared" si="536"/>
        <v>1</v>
      </c>
      <c r="O7416" s="61">
        <f t="shared" si="537"/>
        <v>1900</v>
      </c>
      <c r="P7416" s="61">
        <f t="shared" si="538"/>
        <v>1</v>
      </c>
    </row>
    <row r="7417" spans="9:16">
      <c r="I7417" s="213"/>
      <c r="J7417" s="213"/>
      <c r="L7417" s="272">
        <f t="shared" si="535"/>
        <v>1900</v>
      </c>
      <c r="M7417" s="272">
        <f t="shared" si="536"/>
        <v>1</v>
      </c>
      <c r="O7417" s="61">
        <f t="shared" si="537"/>
        <v>1900</v>
      </c>
      <c r="P7417" s="61">
        <f t="shared" si="538"/>
        <v>1</v>
      </c>
    </row>
    <row r="7418" spans="9:16">
      <c r="I7418" s="213"/>
      <c r="J7418" s="213"/>
      <c r="L7418" s="272">
        <f t="shared" si="535"/>
        <v>1900</v>
      </c>
      <c r="M7418" s="272">
        <f t="shared" si="536"/>
        <v>1</v>
      </c>
      <c r="O7418" s="61">
        <f t="shared" si="537"/>
        <v>1900</v>
      </c>
      <c r="P7418" s="61">
        <f t="shared" si="538"/>
        <v>1</v>
      </c>
    </row>
    <row r="7419" spans="9:16">
      <c r="I7419" s="213"/>
      <c r="J7419" s="213"/>
      <c r="L7419" s="272">
        <f t="shared" si="535"/>
        <v>1900</v>
      </c>
      <c r="M7419" s="272">
        <f t="shared" si="536"/>
        <v>1</v>
      </c>
      <c r="O7419" s="61">
        <f t="shared" si="537"/>
        <v>1900</v>
      </c>
      <c r="P7419" s="61">
        <f t="shared" si="538"/>
        <v>1</v>
      </c>
    </row>
    <row r="7420" spans="9:16">
      <c r="I7420" s="213"/>
      <c r="J7420" s="213"/>
      <c r="L7420" s="272">
        <f t="shared" si="535"/>
        <v>1900</v>
      </c>
      <c r="M7420" s="272">
        <f t="shared" si="536"/>
        <v>1</v>
      </c>
      <c r="O7420" s="61">
        <f t="shared" si="537"/>
        <v>1900</v>
      </c>
      <c r="P7420" s="61">
        <f t="shared" si="538"/>
        <v>1</v>
      </c>
    </row>
    <row r="7421" spans="9:16">
      <c r="I7421" s="213"/>
      <c r="J7421" s="213"/>
      <c r="L7421" s="272">
        <f t="shared" si="535"/>
        <v>1900</v>
      </c>
      <c r="M7421" s="272">
        <f t="shared" si="536"/>
        <v>1</v>
      </c>
      <c r="O7421" s="61">
        <f t="shared" si="537"/>
        <v>1900</v>
      </c>
      <c r="P7421" s="61">
        <f t="shared" si="538"/>
        <v>1</v>
      </c>
    </row>
    <row r="7422" spans="9:16">
      <c r="I7422" s="213"/>
      <c r="J7422" s="213"/>
      <c r="L7422" s="272">
        <f t="shared" si="535"/>
        <v>1900</v>
      </c>
      <c r="M7422" s="272">
        <f t="shared" si="536"/>
        <v>1</v>
      </c>
      <c r="O7422" s="61">
        <f t="shared" si="537"/>
        <v>1900</v>
      </c>
      <c r="P7422" s="61">
        <f t="shared" si="538"/>
        <v>1</v>
      </c>
    </row>
    <row r="7423" spans="9:16">
      <c r="I7423" s="213"/>
      <c r="J7423" s="213"/>
      <c r="L7423" s="272">
        <f t="shared" si="535"/>
        <v>1900</v>
      </c>
      <c r="M7423" s="272">
        <f t="shared" si="536"/>
        <v>1</v>
      </c>
      <c r="O7423" s="61">
        <f t="shared" si="537"/>
        <v>1900</v>
      </c>
      <c r="P7423" s="61">
        <f t="shared" si="538"/>
        <v>1</v>
      </c>
    </row>
    <row r="7424" spans="9:16">
      <c r="I7424" s="213"/>
      <c r="J7424" s="213"/>
      <c r="L7424" s="272">
        <f t="shared" si="535"/>
        <v>1900</v>
      </c>
      <c r="M7424" s="272">
        <f t="shared" si="536"/>
        <v>1</v>
      </c>
      <c r="O7424" s="61">
        <f t="shared" si="537"/>
        <v>1900</v>
      </c>
      <c r="P7424" s="61">
        <f t="shared" si="538"/>
        <v>1</v>
      </c>
    </row>
    <row r="7425" spans="9:16">
      <c r="I7425" s="213"/>
      <c r="J7425" s="213"/>
      <c r="L7425" s="272">
        <f t="shared" si="535"/>
        <v>1900</v>
      </c>
      <c r="M7425" s="272">
        <f t="shared" si="536"/>
        <v>1</v>
      </c>
      <c r="O7425" s="61">
        <f t="shared" si="537"/>
        <v>1900</v>
      </c>
      <c r="P7425" s="61">
        <f t="shared" si="538"/>
        <v>1</v>
      </c>
    </row>
    <row r="7426" spans="9:16">
      <c r="I7426" s="213"/>
      <c r="J7426" s="213"/>
      <c r="L7426" s="272">
        <f t="shared" si="535"/>
        <v>1900</v>
      </c>
      <c r="M7426" s="272">
        <f t="shared" si="536"/>
        <v>1</v>
      </c>
      <c r="O7426" s="61">
        <f t="shared" si="537"/>
        <v>1900</v>
      </c>
      <c r="P7426" s="61">
        <f t="shared" si="538"/>
        <v>1</v>
      </c>
    </row>
    <row r="7427" spans="9:16">
      <c r="I7427" s="213"/>
      <c r="J7427" s="213"/>
      <c r="L7427" s="272">
        <f t="shared" si="535"/>
        <v>1900</v>
      </c>
      <c r="M7427" s="272">
        <f t="shared" si="536"/>
        <v>1</v>
      </c>
      <c r="O7427" s="61">
        <f t="shared" si="537"/>
        <v>1900</v>
      </c>
      <c r="P7427" s="61">
        <f t="shared" si="538"/>
        <v>1</v>
      </c>
    </row>
    <row r="7428" spans="9:16">
      <c r="I7428" s="213"/>
      <c r="J7428" s="213"/>
      <c r="L7428" s="272">
        <f t="shared" si="535"/>
        <v>1900</v>
      </c>
      <c r="M7428" s="272">
        <f t="shared" si="536"/>
        <v>1</v>
      </c>
      <c r="O7428" s="61">
        <f t="shared" si="537"/>
        <v>1900</v>
      </c>
      <c r="P7428" s="61">
        <f t="shared" si="538"/>
        <v>1</v>
      </c>
    </row>
    <row r="7429" spans="9:16">
      <c r="I7429" s="213"/>
      <c r="J7429" s="213"/>
      <c r="L7429" s="272">
        <f t="shared" si="535"/>
        <v>1900</v>
      </c>
      <c r="M7429" s="272">
        <f t="shared" si="536"/>
        <v>1</v>
      </c>
      <c r="O7429" s="61">
        <f t="shared" si="537"/>
        <v>1900</v>
      </c>
      <c r="P7429" s="61">
        <f t="shared" si="538"/>
        <v>1</v>
      </c>
    </row>
    <row r="7430" spans="9:16">
      <c r="I7430" s="213"/>
      <c r="J7430" s="213"/>
      <c r="L7430" s="272">
        <f t="shared" si="535"/>
        <v>1900</v>
      </c>
      <c r="M7430" s="272">
        <f t="shared" si="536"/>
        <v>1</v>
      </c>
      <c r="O7430" s="61">
        <f t="shared" si="537"/>
        <v>1900</v>
      </c>
      <c r="P7430" s="61">
        <f t="shared" si="538"/>
        <v>1</v>
      </c>
    </row>
    <row r="7431" spans="9:16">
      <c r="I7431" s="213"/>
      <c r="J7431" s="213"/>
      <c r="L7431" s="272">
        <f t="shared" si="535"/>
        <v>1900</v>
      </c>
      <c r="M7431" s="272">
        <f t="shared" si="536"/>
        <v>1</v>
      </c>
      <c r="O7431" s="61">
        <f t="shared" si="537"/>
        <v>1900</v>
      </c>
      <c r="P7431" s="61">
        <f t="shared" si="538"/>
        <v>1</v>
      </c>
    </row>
    <row r="7432" spans="9:16">
      <c r="I7432" s="213"/>
      <c r="J7432" s="213"/>
      <c r="L7432" s="272">
        <f t="shared" si="535"/>
        <v>1900</v>
      </c>
      <c r="M7432" s="272">
        <f t="shared" si="536"/>
        <v>1</v>
      </c>
      <c r="O7432" s="61">
        <f t="shared" si="537"/>
        <v>1900</v>
      </c>
      <c r="P7432" s="61">
        <f t="shared" si="538"/>
        <v>1</v>
      </c>
    </row>
    <row r="7433" spans="9:16">
      <c r="I7433" s="213"/>
      <c r="J7433" s="213"/>
      <c r="L7433" s="272">
        <f t="shared" si="535"/>
        <v>1900</v>
      </c>
      <c r="M7433" s="272">
        <f t="shared" si="536"/>
        <v>1</v>
      </c>
      <c r="O7433" s="61">
        <f t="shared" si="537"/>
        <v>1900</v>
      </c>
      <c r="P7433" s="61">
        <f t="shared" si="538"/>
        <v>1</v>
      </c>
    </row>
    <row r="7434" spans="9:16">
      <c r="I7434" s="213"/>
      <c r="J7434" s="213"/>
      <c r="L7434" s="272">
        <f t="shared" si="535"/>
        <v>1900</v>
      </c>
      <c r="M7434" s="272">
        <f t="shared" si="536"/>
        <v>1</v>
      </c>
      <c r="O7434" s="61">
        <f t="shared" si="537"/>
        <v>1900</v>
      </c>
      <c r="P7434" s="61">
        <f t="shared" si="538"/>
        <v>1</v>
      </c>
    </row>
    <row r="7435" spans="9:16">
      <c r="I7435" s="213"/>
      <c r="J7435" s="213"/>
      <c r="L7435" s="272">
        <f t="shared" si="535"/>
        <v>1900</v>
      </c>
      <c r="M7435" s="272">
        <f t="shared" si="536"/>
        <v>1</v>
      </c>
      <c r="O7435" s="61">
        <f t="shared" si="537"/>
        <v>1900</v>
      </c>
      <c r="P7435" s="61">
        <f t="shared" si="538"/>
        <v>1</v>
      </c>
    </row>
    <row r="7436" spans="9:16">
      <c r="I7436" s="213"/>
      <c r="J7436" s="213"/>
      <c r="L7436" s="272">
        <f t="shared" si="535"/>
        <v>1900</v>
      </c>
      <c r="M7436" s="272">
        <f t="shared" si="536"/>
        <v>1</v>
      </c>
      <c r="O7436" s="61">
        <f t="shared" si="537"/>
        <v>1900</v>
      </c>
      <c r="P7436" s="61">
        <f t="shared" si="538"/>
        <v>1</v>
      </c>
    </row>
    <row r="7437" spans="9:16">
      <c r="I7437" s="213"/>
      <c r="J7437" s="213"/>
      <c r="L7437" s="272">
        <f t="shared" si="535"/>
        <v>1900</v>
      </c>
      <c r="M7437" s="272">
        <f t="shared" si="536"/>
        <v>1</v>
      </c>
      <c r="O7437" s="61">
        <f t="shared" si="537"/>
        <v>1900</v>
      </c>
      <c r="P7437" s="61">
        <f t="shared" si="538"/>
        <v>1</v>
      </c>
    </row>
    <row r="7438" spans="9:16">
      <c r="I7438" s="213"/>
      <c r="J7438" s="213"/>
      <c r="L7438" s="272">
        <f t="shared" si="535"/>
        <v>1900</v>
      </c>
      <c r="M7438" s="272">
        <f t="shared" si="536"/>
        <v>1</v>
      </c>
      <c r="O7438" s="61">
        <f t="shared" si="537"/>
        <v>1900</v>
      </c>
      <c r="P7438" s="61">
        <f t="shared" si="538"/>
        <v>1</v>
      </c>
    </row>
    <row r="7439" spans="9:16">
      <c r="I7439" s="213"/>
      <c r="J7439" s="213"/>
      <c r="L7439" s="272">
        <f t="shared" si="535"/>
        <v>1900</v>
      </c>
      <c r="M7439" s="272">
        <f t="shared" si="536"/>
        <v>1</v>
      </c>
      <c r="O7439" s="61">
        <f t="shared" si="537"/>
        <v>1900</v>
      </c>
      <c r="P7439" s="61">
        <f t="shared" si="538"/>
        <v>1</v>
      </c>
    </row>
    <row r="7440" spans="9:16">
      <c r="I7440" s="213"/>
      <c r="J7440" s="213"/>
      <c r="L7440" s="272">
        <f t="shared" ref="L7440:L7503" si="539">YEAR(B7440)</f>
        <v>1900</v>
      </c>
      <c r="M7440" s="272">
        <f t="shared" ref="M7440:M7503" si="540">MONTH(B7440)</f>
        <v>1</v>
      </c>
      <c r="O7440" s="61">
        <f t="shared" ref="O7440:O7503" si="541">YEAR(B7440)</f>
        <v>1900</v>
      </c>
      <c r="P7440" s="61">
        <f t="shared" ref="P7440:P7503" si="542">MONTH(B7440)</f>
        <v>1</v>
      </c>
    </row>
    <row r="7441" spans="9:16">
      <c r="I7441" s="213"/>
      <c r="J7441" s="213"/>
      <c r="L7441" s="272">
        <f t="shared" si="539"/>
        <v>1900</v>
      </c>
      <c r="M7441" s="272">
        <f t="shared" si="540"/>
        <v>1</v>
      </c>
      <c r="O7441" s="61">
        <f t="shared" si="541"/>
        <v>1900</v>
      </c>
      <c r="P7441" s="61">
        <f t="shared" si="542"/>
        <v>1</v>
      </c>
    </row>
    <row r="7442" spans="9:16">
      <c r="I7442" s="213"/>
      <c r="J7442" s="213"/>
      <c r="L7442" s="272">
        <f t="shared" si="539"/>
        <v>1900</v>
      </c>
      <c r="M7442" s="272">
        <f t="shared" si="540"/>
        <v>1</v>
      </c>
      <c r="O7442" s="61">
        <f t="shared" si="541"/>
        <v>1900</v>
      </c>
      <c r="P7442" s="61">
        <f t="shared" si="542"/>
        <v>1</v>
      </c>
    </row>
    <row r="7443" spans="9:16">
      <c r="I7443" s="213"/>
      <c r="J7443" s="213"/>
      <c r="L7443" s="272">
        <f t="shared" si="539"/>
        <v>1900</v>
      </c>
      <c r="M7443" s="272">
        <f t="shared" si="540"/>
        <v>1</v>
      </c>
      <c r="O7443" s="61">
        <f t="shared" si="541"/>
        <v>1900</v>
      </c>
      <c r="P7443" s="61">
        <f t="shared" si="542"/>
        <v>1</v>
      </c>
    </row>
    <row r="7444" spans="9:16">
      <c r="I7444" s="213"/>
      <c r="J7444" s="213"/>
      <c r="L7444" s="272">
        <f t="shared" si="539"/>
        <v>1900</v>
      </c>
      <c r="M7444" s="272">
        <f t="shared" si="540"/>
        <v>1</v>
      </c>
      <c r="O7444" s="61">
        <f t="shared" si="541"/>
        <v>1900</v>
      </c>
      <c r="P7444" s="61">
        <f t="shared" si="542"/>
        <v>1</v>
      </c>
    </row>
    <row r="7445" spans="9:16">
      <c r="I7445" s="213"/>
      <c r="J7445" s="213"/>
      <c r="L7445" s="272">
        <f t="shared" si="539"/>
        <v>1900</v>
      </c>
      <c r="M7445" s="272">
        <f t="shared" si="540"/>
        <v>1</v>
      </c>
      <c r="O7445" s="61">
        <f t="shared" si="541"/>
        <v>1900</v>
      </c>
      <c r="P7445" s="61">
        <f t="shared" si="542"/>
        <v>1</v>
      </c>
    </row>
    <row r="7446" spans="9:16">
      <c r="I7446" s="213"/>
      <c r="J7446" s="213"/>
      <c r="L7446" s="272">
        <f t="shared" si="539"/>
        <v>1900</v>
      </c>
      <c r="M7446" s="272">
        <f t="shared" si="540"/>
        <v>1</v>
      </c>
      <c r="O7446" s="61">
        <f t="shared" si="541"/>
        <v>1900</v>
      </c>
      <c r="P7446" s="61">
        <f t="shared" si="542"/>
        <v>1</v>
      </c>
    </row>
    <row r="7447" spans="9:16">
      <c r="I7447" s="213"/>
      <c r="J7447" s="213"/>
      <c r="L7447" s="272">
        <f t="shared" si="539"/>
        <v>1900</v>
      </c>
      <c r="M7447" s="272">
        <f t="shared" si="540"/>
        <v>1</v>
      </c>
      <c r="O7447" s="61">
        <f t="shared" si="541"/>
        <v>1900</v>
      </c>
      <c r="P7447" s="61">
        <f t="shared" si="542"/>
        <v>1</v>
      </c>
    </row>
    <row r="7448" spans="9:16">
      <c r="I7448" s="213"/>
      <c r="J7448" s="213"/>
      <c r="L7448" s="272">
        <f t="shared" si="539"/>
        <v>1900</v>
      </c>
      <c r="M7448" s="272">
        <f t="shared" si="540"/>
        <v>1</v>
      </c>
      <c r="O7448" s="61">
        <f t="shared" si="541"/>
        <v>1900</v>
      </c>
      <c r="P7448" s="61">
        <f t="shared" si="542"/>
        <v>1</v>
      </c>
    </row>
    <row r="7449" spans="9:16">
      <c r="I7449" s="213"/>
      <c r="J7449" s="213"/>
      <c r="L7449" s="272">
        <f t="shared" si="539"/>
        <v>1900</v>
      </c>
      <c r="M7449" s="272">
        <f t="shared" si="540"/>
        <v>1</v>
      </c>
      <c r="O7449" s="61">
        <f t="shared" si="541"/>
        <v>1900</v>
      </c>
      <c r="P7449" s="61">
        <f t="shared" si="542"/>
        <v>1</v>
      </c>
    </row>
    <row r="7450" spans="9:16">
      <c r="I7450" s="213"/>
      <c r="J7450" s="213"/>
      <c r="L7450" s="272">
        <f t="shared" si="539"/>
        <v>1900</v>
      </c>
      <c r="M7450" s="272">
        <f t="shared" si="540"/>
        <v>1</v>
      </c>
      <c r="O7450" s="61">
        <f t="shared" si="541"/>
        <v>1900</v>
      </c>
      <c r="P7450" s="61">
        <f t="shared" si="542"/>
        <v>1</v>
      </c>
    </row>
    <row r="7451" spans="9:16">
      <c r="I7451" s="213"/>
      <c r="J7451" s="213"/>
      <c r="L7451" s="272">
        <f t="shared" si="539"/>
        <v>1900</v>
      </c>
      <c r="M7451" s="272">
        <f t="shared" si="540"/>
        <v>1</v>
      </c>
      <c r="O7451" s="61">
        <f t="shared" si="541"/>
        <v>1900</v>
      </c>
      <c r="P7451" s="61">
        <f t="shared" si="542"/>
        <v>1</v>
      </c>
    </row>
    <row r="7452" spans="9:16">
      <c r="I7452" s="213"/>
      <c r="J7452" s="213"/>
      <c r="L7452" s="272">
        <f t="shared" si="539"/>
        <v>1900</v>
      </c>
      <c r="M7452" s="272">
        <f t="shared" si="540"/>
        <v>1</v>
      </c>
      <c r="O7452" s="61">
        <f t="shared" si="541"/>
        <v>1900</v>
      </c>
      <c r="P7452" s="61">
        <f t="shared" si="542"/>
        <v>1</v>
      </c>
    </row>
    <row r="7453" spans="9:16">
      <c r="I7453" s="213"/>
      <c r="J7453" s="213"/>
      <c r="L7453" s="272">
        <f t="shared" si="539"/>
        <v>1900</v>
      </c>
      <c r="M7453" s="272">
        <f t="shared" si="540"/>
        <v>1</v>
      </c>
      <c r="O7453" s="61">
        <f t="shared" si="541"/>
        <v>1900</v>
      </c>
      <c r="P7453" s="61">
        <f t="shared" si="542"/>
        <v>1</v>
      </c>
    </row>
    <row r="7454" spans="9:16">
      <c r="I7454" s="213"/>
      <c r="J7454" s="213"/>
      <c r="L7454" s="272">
        <f t="shared" si="539"/>
        <v>1900</v>
      </c>
      <c r="M7454" s="272">
        <f t="shared" si="540"/>
        <v>1</v>
      </c>
      <c r="O7454" s="61">
        <f t="shared" si="541"/>
        <v>1900</v>
      </c>
      <c r="P7454" s="61">
        <f t="shared" si="542"/>
        <v>1</v>
      </c>
    </row>
    <row r="7455" spans="9:16">
      <c r="I7455" s="213"/>
      <c r="J7455" s="213"/>
      <c r="L7455" s="272">
        <f t="shared" si="539"/>
        <v>1900</v>
      </c>
      <c r="M7455" s="272">
        <f t="shared" si="540"/>
        <v>1</v>
      </c>
      <c r="O7455" s="61">
        <f t="shared" si="541"/>
        <v>1900</v>
      </c>
      <c r="P7455" s="61">
        <f t="shared" si="542"/>
        <v>1</v>
      </c>
    </row>
    <row r="7456" spans="9:16">
      <c r="I7456" s="213"/>
      <c r="J7456" s="213"/>
      <c r="L7456" s="272">
        <f t="shared" si="539"/>
        <v>1900</v>
      </c>
      <c r="M7456" s="272">
        <f t="shared" si="540"/>
        <v>1</v>
      </c>
      <c r="O7456" s="61">
        <f t="shared" si="541"/>
        <v>1900</v>
      </c>
      <c r="P7456" s="61">
        <f t="shared" si="542"/>
        <v>1</v>
      </c>
    </row>
    <row r="7457" spans="9:16">
      <c r="I7457" s="213"/>
      <c r="J7457" s="213"/>
      <c r="L7457" s="272">
        <f t="shared" si="539"/>
        <v>1900</v>
      </c>
      <c r="M7457" s="272">
        <f t="shared" si="540"/>
        <v>1</v>
      </c>
      <c r="O7457" s="61">
        <f t="shared" si="541"/>
        <v>1900</v>
      </c>
      <c r="P7457" s="61">
        <f t="shared" si="542"/>
        <v>1</v>
      </c>
    </row>
    <row r="7458" spans="9:16">
      <c r="I7458" s="213"/>
      <c r="J7458" s="213"/>
      <c r="L7458" s="272">
        <f t="shared" si="539"/>
        <v>1900</v>
      </c>
      <c r="M7458" s="272">
        <f t="shared" si="540"/>
        <v>1</v>
      </c>
      <c r="O7458" s="61">
        <f t="shared" si="541"/>
        <v>1900</v>
      </c>
      <c r="P7458" s="61">
        <f t="shared" si="542"/>
        <v>1</v>
      </c>
    </row>
    <row r="7459" spans="9:16">
      <c r="I7459" s="213"/>
      <c r="J7459" s="213"/>
      <c r="L7459" s="272">
        <f t="shared" si="539"/>
        <v>1900</v>
      </c>
      <c r="M7459" s="272">
        <f t="shared" si="540"/>
        <v>1</v>
      </c>
      <c r="O7459" s="61">
        <f t="shared" si="541"/>
        <v>1900</v>
      </c>
      <c r="P7459" s="61">
        <f t="shared" si="542"/>
        <v>1</v>
      </c>
    </row>
    <row r="7460" spans="9:16">
      <c r="I7460" s="213"/>
      <c r="J7460" s="213"/>
      <c r="L7460" s="272">
        <f t="shared" si="539"/>
        <v>1900</v>
      </c>
      <c r="M7460" s="272">
        <f t="shared" si="540"/>
        <v>1</v>
      </c>
      <c r="O7460" s="61">
        <f t="shared" si="541"/>
        <v>1900</v>
      </c>
      <c r="P7460" s="61">
        <f t="shared" si="542"/>
        <v>1</v>
      </c>
    </row>
    <row r="7461" spans="9:16">
      <c r="I7461" s="213"/>
      <c r="J7461" s="213"/>
      <c r="L7461" s="272">
        <f t="shared" si="539"/>
        <v>1900</v>
      </c>
      <c r="M7461" s="272">
        <f t="shared" si="540"/>
        <v>1</v>
      </c>
      <c r="O7461" s="61">
        <f t="shared" si="541"/>
        <v>1900</v>
      </c>
      <c r="P7461" s="61">
        <f t="shared" si="542"/>
        <v>1</v>
      </c>
    </row>
    <row r="7462" spans="9:16">
      <c r="I7462" s="213"/>
      <c r="J7462" s="213"/>
      <c r="L7462" s="272">
        <f t="shared" si="539"/>
        <v>1900</v>
      </c>
      <c r="M7462" s="272">
        <f t="shared" si="540"/>
        <v>1</v>
      </c>
      <c r="O7462" s="61">
        <f t="shared" si="541"/>
        <v>1900</v>
      </c>
      <c r="P7462" s="61">
        <f t="shared" si="542"/>
        <v>1</v>
      </c>
    </row>
    <row r="7463" spans="9:16">
      <c r="I7463" s="213"/>
      <c r="J7463" s="213"/>
      <c r="L7463" s="272">
        <f t="shared" si="539"/>
        <v>1900</v>
      </c>
      <c r="M7463" s="272">
        <f t="shared" si="540"/>
        <v>1</v>
      </c>
      <c r="O7463" s="61">
        <f t="shared" si="541"/>
        <v>1900</v>
      </c>
      <c r="P7463" s="61">
        <f t="shared" si="542"/>
        <v>1</v>
      </c>
    </row>
    <row r="7464" spans="9:16">
      <c r="I7464" s="213"/>
      <c r="J7464" s="213"/>
      <c r="L7464" s="272">
        <f t="shared" si="539"/>
        <v>1900</v>
      </c>
      <c r="M7464" s="272">
        <f t="shared" si="540"/>
        <v>1</v>
      </c>
      <c r="O7464" s="61">
        <f t="shared" si="541"/>
        <v>1900</v>
      </c>
      <c r="P7464" s="61">
        <f t="shared" si="542"/>
        <v>1</v>
      </c>
    </row>
    <row r="7465" spans="9:16">
      <c r="I7465" s="213"/>
      <c r="J7465" s="213"/>
      <c r="L7465" s="272">
        <f t="shared" si="539"/>
        <v>1900</v>
      </c>
      <c r="M7465" s="272">
        <f t="shared" si="540"/>
        <v>1</v>
      </c>
      <c r="O7465" s="61">
        <f t="shared" si="541"/>
        <v>1900</v>
      </c>
      <c r="P7465" s="61">
        <f t="shared" si="542"/>
        <v>1</v>
      </c>
    </row>
    <row r="7466" spans="9:16">
      <c r="I7466" s="213"/>
      <c r="J7466" s="213"/>
      <c r="L7466" s="272">
        <f t="shared" si="539"/>
        <v>1900</v>
      </c>
      <c r="M7466" s="272">
        <f t="shared" si="540"/>
        <v>1</v>
      </c>
      <c r="O7466" s="61">
        <f t="shared" si="541"/>
        <v>1900</v>
      </c>
      <c r="P7466" s="61">
        <f t="shared" si="542"/>
        <v>1</v>
      </c>
    </row>
    <row r="7467" spans="9:16">
      <c r="I7467" s="213"/>
      <c r="J7467" s="213"/>
      <c r="L7467" s="272">
        <f t="shared" si="539"/>
        <v>1900</v>
      </c>
      <c r="M7467" s="272">
        <f t="shared" si="540"/>
        <v>1</v>
      </c>
      <c r="O7467" s="61">
        <f t="shared" si="541"/>
        <v>1900</v>
      </c>
      <c r="P7467" s="61">
        <f t="shared" si="542"/>
        <v>1</v>
      </c>
    </row>
    <row r="7468" spans="9:16">
      <c r="I7468" s="213"/>
      <c r="J7468" s="213"/>
      <c r="L7468" s="272">
        <f t="shared" si="539"/>
        <v>1900</v>
      </c>
      <c r="M7468" s="272">
        <f t="shared" si="540"/>
        <v>1</v>
      </c>
      <c r="O7468" s="61">
        <f t="shared" si="541"/>
        <v>1900</v>
      </c>
      <c r="P7468" s="61">
        <f t="shared" si="542"/>
        <v>1</v>
      </c>
    </row>
    <row r="7469" spans="9:16">
      <c r="I7469" s="213"/>
      <c r="J7469" s="213"/>
      <c r="L7469" s="272">
        <f t="shared" si="539"/>
        <v>1900</v>
      </c>
      <c r="M7469" s="272">
        <f t="shared" si="540"/>
        <v>1</v>
      </c>
      <c r="O7469" s="61">
        <f t="shared" si="541"/>
        <v>1900</v>
      </c>
      <c r="P7469" s="61">
        <f t="shared" si="542"/>
        <v>1</v>
      </c>
    </row>
    <row r="7470" spans="9:16">
      <c r="I7470" s="213"/>
      <c r="J7470" s="213"/>
      <c r="L7470" s="272">
        <f t="shared" si="539"/>
        <v>1900</v>
      </c>
      <c r="M7470" s="272">
        <f t="shared" si="540"/>
        <v>1</v>
      </c>
      <c r="O7470" s="61">
        <f t="shared" si="541"/>
        <v>1900</v>
      </c>
      <c r="P7470" s="61">
        <f t="shared" si="542"/>
        <v>1</v>
      </c>
    </row>
    <row r="7471" spans="9:16">
      <c r="I7471" s="213"/>
      <c r="J7471" s="213"/>
      <c r="L7471" s="272">
        <f t="shared" si="539"/>
        <v>1900</v>
      </c>
      <c r="M7471" s="272">
        <f t="shared" si="540"/>
        <v>1</v>
      </c>
      <c r="O7471" s="61">
        <f t="shared" si="541"/>
        <v>1900</v>
      </c>
      <c r="P7471" s="61">
        <f t="shared" si="542"/>
        <v>1</v>
      </c>
    </row>
    <row r="7472" spans="9:16">
      <c r="I7472" s="213"/>
      <c r="J7472" s="213"/>
      <c r="L7472" s="272">
        <f t="shared" si="539"/>
        <v>1900</v>
      </c>
      <c r="M7472" s="272">
        <f t="shared" si="540"/>
        <v>1</v>
      </c>
      <c r="O7472" s="61">
        <f t="shared" si="541"/>
        <v>1900</v>
      </c>
      <c r="P7472" s="61">
        <f t="shared" si="542"/>
        <v>1</v>
      </c>
    </row>
    <row r="7473" spans="9:16">
      <c r="I7473" s="213"/>
      <c r="J7473" s="213"/>
      <c r="L7473" s="272">
        <f t="shared" si="539"/>
        <v>1900</v>
      </c>
      <c r="M7473" s="272">
        <f t="shared" si="540"/>
        <v>1</v>
      </c>
      <c r="O7473" s="61">
        <f t="shared" si="541"/>
        <v>1900</v>
      </c>
      <c r="P7473" s="61">
        <f t="shared" si="542"/>
        <v>1</v>
      </c>
    </row>
    <row r="7474" spans="9:16">
      <c r="I7474" s="213"/>
      <c r="J7474" s="213"/>
      <c r="L7474" s="272">
        <f t="shared" si="539"/>
        <v>1900</v>
      </c>
      <c r="M7474" s="272">
        <f t="shared" si="540"/>
        <v>1</v>
      </c>
      <c r="O7474" s="61">
        <f t="shared" si="541"/>
        <v>1900</v>
      </c>
      <c r="P7474" s="61">
        <f t="shared" si="542"/>
        <v>1</v>
      </c>
    </row>
    <row r="7475" spans="9:16">
      <c r="I7475" s="213"/>
      <c r="J7475" s="213"/>
      <c r="L7475" s="272">
        <f t="shared" si="539"/>
        <v>1900</v>
      </c>
      <c r="M7475" s="272">
        <f t="shared" si="540"/>
        <v>1</v>
      </c>
      <c r="O7475" s="61">
        <f t="shared" si="541"/>
        <v>1900</v>
      </c>
      <c r="P7475" s="61">
        <f t="shared" si="542"/>
        <v>1</v>
      </c>
    </row>
    <row r="7476" spans="9:16">
      <c r="I7476" s="213"/>
      <c r="J7476" s="213"/>
      <c r="L7476" s="272">
        <f t="shared" si="539"/>
        <v>1900</v>
      </c>
      <c r="M7476" s="272">
        <f t="shared" si="540"/>
        <v>1</v>
      </c>
      <c r="O7476" s="61">
        <f t="shared" si="541"/>
        <v>1900</v>
      </c>
      <c r="P7476" s="61">
        <f t="shared" si="542"/>
        <v>1</v>
      </c>
    </row>
    <row r="7477" spans="9:16">
      <c r="I7477" s="213"/>
      <c r="J7477" s="213"/>
      <c r="L7477" s="272">
        <f t="shared" si="539"/>
        <v>1900</v>
      </c>
      <c r="M7477" s="272">
        <f t="shared" si="540"/>
        <v>1</v>
      </c>
      <c r="O7477" s="61">
        <f t="shared" si="541"/>
        <v>1900</v>
      </c>
      <c r="P7477" s="61">
        <f t="shared" si="542"/>
        <v>1</v>
      </c>
    </row>
    <row r="7478" spans="9:16">
      <c r="I7478" s="213"/>
      <c r="J7478" s="213"/>
      <c r="L7478" s="272">
        <f t="shared" si="539"/>
        <v>1900</v>
      </c>
      <c r="M7478" s="272">
        <f t="shared" si="540"/>
        <v>1</v>
      </c>
      <c r="O7478" s="61">
        <f t="shared" si="541"/>
        <v>1900</v>
      </c>
      <c r="P7478" s="61">
        <f t="shared" si="542"/>
        <v>1</v>
      </c>
    </row>
    <row r="7479" spans="9:16">
      <c r="I7479" s="213"/>
      <c r="J7479" s="213"/>
      <c r="L7479" s="272">
        <f t="shared" si="539"/>
        <v>1900</v>
      </c>
      <c r="M7479" s="272">
        <f t="shared" si="540"/>
        <v>1</v>
      </c>
      <c r="O7479" s="61">
        <f t="shared" si="541"/>
        <v>1900</v>
      </c>
      <c r="P7479" s="61">
        <f t="shared" si="542"/>
        <v>1</v>
      </c>
    </row>
    <row r="7480" spans="9:16">
      <c r="I7480" s="213"/>
      <c r="J7480" s="213"/>
      <c r="L7480" s="272">
        <f t="shared" si="539"/>
        <v>1900</v>
      </c>
      <c r="M7480" s="272">
        <f t="shared" si="540"/>
        <v>1</v>
      </c>
      <c r="O7480" s="61">
        <f t="shared" si="541"/>
        <v>1900</v>
      </c>
      <c r="P7480" s="61">
        <f t="shared" si="542"/>
        <v>1</v>
      </c>
    </row>
    <row r="7481" spans="9:16">
      <c r="I7481" s="213"/>
      <c r="J7481" s="213"/>
      <c r="L7481" s="272">
        <f t="shared" si="539"/>
        <v>1900</v>
      </c>
      <c r="M7481" s="272">
        <f t="shared" si="540"/>
        <v>1</v>
      </c>
      <c r="O7481" s="61">
        <f t="shared" si="541"/>
        <v>1900</v>
      </c>
      <c r="P7481" s="61">
        <f t="shared" si="542"/>
        <v>1</v>
      </c>
    </row>
    <row r="7482" spans="9:16">
      <c r="I7482" s="213"/>
      <c r="J7482" s="213"/>
      <c r="L7482" s="272">
        <f t="shared" si="539"/>
        <v>1900</v>
      </c>
      <c r="M7482" s="272">
        <f t="shared" si="540"/>
        <v>1</v>
      </c>
      <c r="O7482" s="61">
        <f t="shared" si="541"/>
        <v>1900</v>
      </c>
      <c r="P7482" s="61">
        <f t="shared" si="542"/>
        <v>1</v>
      </c>
    </row>
    <row r="7483" spans="9:16">
      <c r="I7483" s="213"/>
      <c r="J7483" s="213"/>
      <c r="L7483" s="272">
        <f t="shared" si="539"/>
        <v>1900</v>
      </c>
      <c r="M7483" s="272">
        <f t="shared" si="540"/>
        <v>1</v>
      </c>
      <c r="O7483" s="61">
        <f t="shared" si="541"/>
        <v>1900</v>
      </c>
      <c r="P7483" s="61">
        <f t="shared" si="542"/>
        <v>1</v>
      </c>
    </row>
    <row r="7484" spans="9:16">
      <c r="I7484" s="213"/>
      <c r="J7484" s="213"/>
      <c r="L7484" s="272">
        <f t="shared" si="539"/>
        <v>1900</v>
      </c>
      <c r="M7484" s="272">
        <f t="shared" si="540"/>
        <v>1</v>
      </c>
      <c r="O7484" s="61">
        <f t="shared" si="541"/>
        <v>1900</v>
      </c>
      <c r="P7484" s="61">
        <f t="shared" si="542"/>
        <v>1</v>
      </c>
    </row>
    <row r="7485" spans="9:16">
      <c r="I7485" s="213"/>
      <c r="J7485" s="213"/>
      <c r="L7485" s="272">
        <f t="shared" si="539"/>
        <v>1900</v>
      </c>
      <c r="M7485" s="272">
        <f t="shared" si="540"/>
        <v>1</v>
      </c>
      <c r="O7485" s="61">
        <f t="shared" si="541"/>
        <v>1900</v>
      </c>
      <c r="P7485" s="61">
        <f t="shared" si="542"/>
        <v>1</v>
      </c>
    </row>
    <row r="7486" spans="9:16">
      <c r="I7486" s="213"/>
      <c r="J7486" s="213"/>
      <c r="L7486" s="272">
        <f t="shared" si="539"/>
        <v>1900</v>
      </c>
      <c r="M7486" s="272">
        <f t="shared" si="540"/>
        <v>1</v>
      </c>
      <c r="O7486" s="61">
        <f t="shared" si="541"/>
        <v>1900</v>
      </c>
      <c r="P7486" s="61">
        <f t="shared" si="542"/>
        <v>1</v>
      </c>
    </row>
    <row r="7487" spans="9:16">
      <c r="I7487" s="213"/>
      <c r="J7487" s="213"/>
      <c r="L7487" s="272">
        <f t="shared" si="539"/>
        <v>1900</v>
      </c>
      <c r="M7487" s="272">
        <f t="shared" si="540"/>
        <v>1</v>
      </c>
      <c r="O7487" s="61">
        <f t="shared" si="541"/>
        <v>1900</v>
      </c>
      <c r="P7487" s="61">
        <f t="shared" si="542"/>
        <v>1</v>
      </c>
    </row>
    <row r="7488" spans="9:16">
      <c r="I7488" s="213"/>
      <c r="J7488" s="213"/>
      <c r="L7488" s="272">
        <f t="shared" si="539"/>
        <v>1900</v>
      </c>
      <c r="M7488" s="272">
        <f t="shared" si="540"/>
        <v>1</v>
      </c>
      <c r="O7488" s="61">
        <f t="shared" si="541"/>
        <v>1900</v>
      </c>
      <c r="P7488" s="61">
        <f t="shared" si="542"/>
        <v>1</v>
      </c>
    </row>
    <row r="7489" spans="9:16">
      <c r="I7489" s="213"/>
      <c r="J7489" s="213"/>
      <c r="L7489" s="272">
        <f t="shared" si="539"/>
        <v>1900</v>
      </c>
      <c r="M7489" s="272">
        <f t="shared" si="540"/>
        <v>1</v>
      </c>
      <c r="O7489" s="61">
        <f t="shared" si="541"/>
        <v>1900</v>
      </c>
      <c r="P7489" s="61">
        <f t="shared" si="542"/>
        <v>1</v>
      </c>
    </row>
    <row r="7490" spans="9:16">
      <c r="I7490" s="213"/>
      <c r="J7490" s="213"/>
      <c r="L7490" s="272">
        <f t="shared" si="539"/>
        <v>1900</v>
      </c>
      <c r="M7490" s="272">
        <f t="shared" si="540"/>
        <v>1</v>
      </c>
      <c r="O7490" s="61">
        <f t="shared" si="541"/>
        <v>1900</v>
      </c>
      <c r="P7490" s="61">
        <f t="shared" si="542"/>
        <v>1</v>
      </c>
    </row>
    <row r="7491" spans="9:16">
      <c r="I7491" s="213"/>
      <c r="J7491" s="213"/>
      <c r="L7491" s="272">
        <f t="shared" si="539"/>
        <v>1900</v>
      </c>
      <c r="M7491" s="272">
        <f t="shared" si="540"/>
        <v>1</v>
      </c>
      <c r="O7491" s="61">
        <f t="shared" si="541"/>
        <v>1900</v>
      </c>
      <c r="P7491" s="61">
        <f t="shared" si="542"/>
        <v>1</v>
      </c>
    </row>
    <row r="7492" spans="9:16">
      <c r="I7492" s="213"/>
      <c r="J7492" s="213"/>
      <c r="L7492" s="272">
        <f t="shared" si="539"/>
        <v>1900</v>
      </c>
      <c r="M7492" s="272">
        <f t="shared" si="540"/>
        <v>1</v>
      </c>
      <c r="O7492" s="61">
        <f t="shared" si="541"/>
        <v>1900</v>
      </c>
      <c r="P7492" s="61">
        <f t="shared" si="542"/>
        <v>1</v>
      </c>
    </row>
    <row r="7493" spans="9:16">
      <c r="I7493" s="213"/>
      <c r="J7493" s="213"/>
      <c r="L7493" s="272">
        <f t="shared" si="539"/>
        <v>1900</v>
      </c>
      <c r="M7493" s="272">
        <f t="shared" si="540"/>
        <v>1</v>
      </c>
      <c r="O7493" s="61">
        <f t="shared" si="541"/>
        <v>1900</v>
      </c>
      <c r="P7493" s="61">
        <f t="shared" si="542"/>
        <v>1</v>
      </c>
    </row>
    <row r="7494" spans="9:16">
      <c r="I7494" s="213"/>
      <c r="J7494" s="213"/>
      <c r="L7494" s="272">
        <f t="shared" si="539"/>
        <v>1900</v>
      </c>
      <c r="M7494" s="272">
        <f t="shared" si="540"/>
        <v>1</v>
      </c>
      <c r="O7494" s="61">
        <f t="shared" si="541"/>
        <v>1900</v>
      </c>
      <c r="P7494" s="61">
        <f t="shared" si="542"/>
        <v>1</v>
      </c>
    </row>
    <row r="7495" spans="9:16">
      <c r="I7495" s="213"/>
      <c r="J7495" s="213"/>
      <c r="L7495" s="272">
        <f t="shared" si="539"/>
        <v>1900</v>
      </c>
      <c r="M7495" s="272">
        <f t="shared" si="540"/>
        <v>1</v>
      </c>
      <c r="O7495" s="61">
        <f t="shared" si="541"/>
        <v>1900</v>
      </c>
      <c r="P7495" s="61">
        <f t="shared" si="542"/>
        <v>1</v>
      </c>
    </row>
    <row r="7496" spans="9:16">
      <c r="I7496" s="213"/>
      <c r="J7496" s="213"/>
      <c r="L7496" s="272">
        <f t="shared" si="539"/>
        <v>1900</v>
      </c>
      <c r="M7496" s="272">
        <f t="shared" si="540"/>
        <v>1</v>
      </c>
      <c r="O7496" s="61">
        <f t="shared" si="541"/>
        <v>1900</v>
      </c>
      <c r="P7496" s="61">
        <f t="shared" si="542"/>
        <v>1</v>
      </c>
    </row>
    <row r="7497" spans="9:16">
      <c r="I7497" s="213"/>
      <c r="J7497" s="213"/>
      <c r="L7497" s="272">
        <f t="shared" si="539"/>
        <v>1900</v>
      </c>
      <c r="M7497" s="272">
        <f t="shared" si="540"/>
        <v>1</v>
      </c>
      <c r="O7497" s="61">
        <f t="shared" si="541"/>
        <v>1900</v>
      </c>
      <c r="P7497" s="61">
        <f t="shared" si="542"/>
        <v>1</v>
      </c>
    </row>
    <row r="7498" spans="9:16">
      <c r="I7498" s="213"/>
      <c r="J7498" s="213"/>
      <c r="L7498" s="272">
        <f t="shared" si="539"/>
        <v>1900</v>
      </c>
      <c r="M7498" s="272">
        <f t="shared" si="540"/>
        <v>1</v>
      </c>
      <c r="O7498" s="61">
        <f t="shared" si="541"/>
        <v>1900</v>
      </c>
      <c r="P7498" s="61">
        <f t="shared" si="542"/>
        <v>1</v>
      </c>
    </row>
    <row r="7499" spans="9:16">
      <c r="I7499" s="213"/>
      <c r="J7499" s="213"/>
      <c r="L7499" s="272">
        <f t="shared" si="539"/>
        <v>1900</v>
      </c>
      <c r="M7499" s="272">
        <f t="shared" si="540"/>
        <v>1</v>
      </c>
      <c r="O7499" s="61">
        <f t="shared" si="541"/>
        <v>1900</v>
      </c>
      <c r="P7499" s="61">
        <f t="shared" si="542"/>
        <v>1</v>
      </c>
    </row>
    <row r="7500" spans="9:16">
      <c r="I7500" s="213"/>
      <c r="J7500" s="213"/>
      <c r="L7500" s="272">
        <f t="shared" si="539"/>
        <v>1900</v>
      </c>
      <c r="M7500" s="272">
        <f t="shared" si="540"/>
        <v>1</v>
      </c>
      <c r="O7500" s="61">
        <f t="shared" si="541"/>
        <v>1900</v>
      </c>
      <c r="P7500" s="61">
        <f t="shared" si="542"/>
        <v>1</v>
      </c>
    </row>
    <row r="7501" spans="9:16">
      <c r="I7501" s="213"/>
      <c r="J7501" s="213"/>
      <c r="L7501" s="272">
        <f t="shared" si="539"/>
        <v>1900</v>
      </c>
      <c r="M7501" s="272">
        <f t="shared" si="540"/>
        <v>1</v>
      </c>
      <c r="O7501" s="61">
        <f t="shared" si="541"/>
        <v>1900</v>
      </c>
      <c r="P7501" s="61">
        <f t="shared" si="542"/>
        <v>1</v>
      </c>
    </row>
    <row r="7502" spans="9:16">
      <c r="I7502" s="213"/>
      <c r="J7502" s="213"/>
      <c r="L7502" s="272">
        <f t="shared" si="539"/>
        <v>1900</v>
      </c>
      <c r="M7502" s="272">
        <f t="shared" si="540"/>
        <v>1</v>
      </c>
      <c r="O7502" s="61">
        <f t="shared" si="541"/>
        <v>1900</v>
      </c>
      <c r="P7502" s="61">
        <f t="shared" si="542"/>
        <v>1</v>
      </c>
    </row>
    <row r="7503" spans="9:16">
      <c r="I7503" s="213"/>
      <c r="J7503" s="213"/>
      <c r="L7503" s="272">
        <f t="shared" si="539"/>
        <v>1900</v>
      </c>
      <c r="M7503" s="272">
        <f t="shared" si="540"/>
        <v>1</v>
      </c>
      <c r="O7503" s="61">
        <f t="shared" si="541"/>
        <v>1900</v>
      </c>
      <c r="P7503" s="61">
        <f t="shared" si="542"/>
        <v>1</v>
      </c>
    </row>
    <row r="7504" spans="9:16">
      <c r="I7504" s="213"/>
      <c r="J7504" s="213"/>
      <c r="L7504" s="272">
        <f t="shared" ref="L7504:L7567" si="543">YEAR(B7504)</f>
        <v>1900</v>
      </c>
      <c r="M7504" s="272">
        <f t="shared" ref="M7504:M7567" si="544">MONTH(B7504)</f>
        <v>1</v>
      </c>
      <c r="O7504" s="61">
        <f t="shared" ref="O7504:O7567" si="545">YEAR(B7504)</f>
        <v>1900</v>
      </c>
      <c r="P7504" s="61">
        <f t="shared" ref="P7504:P7567" si="546">MONTH(B7504)</f>
        <v>1</v>
      </c>
    </row>
    <row r="7505" spans="9:16">
      <c r="I7505" s="213"/>
      <c r="J7505" s="213"/>
      <c r="L7505" s="272">
        <f t="shared" si="543"/>
        <v>1900</v>
      </c>
      <c r="M7505" s="272">
        <f t="shared" si="544"/>
        <v>1</v>
      </c>
      <c r="O7505" s="61">
        <f t="shared" si="545"/>
        <v>1900</v>
      </c>
      <c r="P7505" s="61">
        <f t="shared" si="546"/>
        <v>1</v>
      </c>
    </row>
    <row r="7506" spans="9:16">
      <c r="I7506" s="213"/>
      <c r="J7506" s="213"/>
      <c r="L7506" s="272">
        <f t="shared" si="543"/>
        <v>1900</v>
      </c>
      <c r="M7506" s="272">
        <f t="shared" si="544"/>
        <v>1</v>
      </c>
      <c r="O7506" s="61">
        <f t="shared" si="545"/>
        <v>1900</v>
      </c>
      <c r="P7506" s="61">
        <f t="shared" si="546"/>
        <v>1</v>
      </c>
    </row>
    <row r="7507" spans="9:16">
      <c r="I7507" s="213"/>
      <c r="J7507" s="213"/>
      <c r="L7507" s="272">
        <f t="shared" si="543"/>
        <v>1900</v>
      </c>
      <c r="M7507" s="272">
        <f t="shared" si="544"/>
        <v>1</v>
      </c>
      <c r="O7507" s="61">
        <f t="shared" si="545"/>
        <v>1900</v>
      </c>
      <c r="P7507" s="61">
        <f t="shared" si="546"/>
        <v>1</v>
      </c>
    </row>
    <row r="7508" spans="9:16">
      <c r="I7508" s="213"/>
      <c r="J7508" s="213"/>
      <c r="L7508" s="272">
        <f t="shared" si="543"/>
        <v>1900</v>
      </c>
      <c r="M7508" s="272">
        <f t="shared" si="544"/>
        <v>1</v>
      </c>
      <c r="O7508" s="61">
        <f t="shared" si="545"/>
        <v>1900</v>
      </c>
      <c r="P7508" s="61">
        <f t="shared" si="546"/>
        <v>1</v>
      </c>
    </row>
    <row r="7509" spans="9:16">
      <c r="I7509" s="213"/>
      <c r="J7509" s="213"/>
      <c r="L7509" s="272">
        <f t="shared" si="543"/>
        <v>1900</v>
      </c>
      <c r="M7509" s="272">
        <f t="shared" si="544"/>
        <v>1</v>
      </c>
      <c r="O7509" s="61">
        <f t="shared" si="545"/>
        <v>1900</v>
      </c>
      <c r="P7509" s="61">
        <f t="shared" si="546"/>
        <v>1</v>
      </c>
    </row>
    <row r="7510" spans="9:16">
      <c r="I7510" s="213"/>
      <c r="J7510" s="213"/>
      <c r="L7510" s="272">
        <f t="shared" si="543"/>
        <v>1900</v>
      </c>
      <c r="M7510" s="272">
        <f t="shared" si="544"/>
        <v>1</v>
      </c>
      <c r="O7510" s="61">
        <f t="shared" si="545"/>
        <v>1900</v>
      </c>
      <c r="P7510" s="61">
        <f t="shared" si="546"/>
        <v>1</v>
      </c>
    </row>
    <row r="7511" spans="9:16">
      <c r="I7511" s="213"/>
      <c r="J7511" s="213"/>
      <c r="L7511" s="272">
        <f t="shared" si="543"/>
        <v>1900</v>
      </c>
      <c r="M7511" s="272">
        <f t="shared" si="544"/>
        <v>1</v>
      </c>
      <c r="O7511" s="61">
        <f t="shared" si="545"/>
        <v>1900</v>
      </c>
      <c r="P7511" s="61">
        <f t="shared" si="546"/>
        <v>1</v>
      </c>
    </row>
    <row r="7512" spans="9:16">
      <c r="I7512" s="213"/>
      <c r="J7512" s="213"/>
      <c r="L7512" s="272">
        <f t="shared" si="543"/>
        <v>1900</v>
      </c>
      <c r="M7512" s="272">
        <f t="shared" si="544"/>
        <v>1</v>
      </c>
      <c r="O7512" s="61">
        <f t="shared" si="545"/>
        <v>1900</v>
      </c>
      <c r="P7512" s="61">
        <f t="shared" si="546"/>
        <v>1</v>
      </c>
    </row>
    <row r="7513" spans="9:16">
      <c r="I7513" s="213"/>
      <c r="J7513" s="213"/>
      <c r="L7513" s="272">
        <f t="shared" si="543"/>
        <v>1900</v>
      </c>
      <c r="M7513" s="272">
        <f t="shared" si="544"/>
        <v>1</v>
      </c>
      <c r="O7513" s="61">
        <f t="shared" si="545"/>
        <v>1900</v>
      </c>
      <c r="P7513" s="61">
        <f t="shared" si="546"/>
        <v>1</v>
      </c>
    </row>
    <row r="7514" spans="9:16">
      <c r="I7514" s="213"/>
      <c r="J7514" s="213"/>
      <c r="L7514" s="272">
        <f t="shared" si="543"/>
        <v>1900</v>
      </c>
      <c r="M7514" s="272">
        <f t="shared" si="544"/>
        <v>1</v>
      </c>
      <c r="O7514" s="61">
        <f t="shared" si="545"/>
        <v>1900</v>
      </c>
      <c r="P7514" s="61">
        <f t="shared" si="546"/>
        <v>1</v>
      </c>
    </row>
    <row r="7515" spans="9:16">
      <c r="I7515" s="213"/>
      <c r="J7515" s="213"/>
      <c r="L7515" s="272">
        <f t="shared" si="543"/>
        <v>1900</v>
      </c>
      <c r="M7515" s="272">
        <f t="shared" si="544"/>
        <v>1</v>
      </c>
      <c r="O7515" s="61">
        <f t="shared" si="545"/>
        <v>1900</v>
      </c>
      <c r="P7515" s="61">
        <f t="shared" si="546"/>
        <v>1</v>
      </c>
    </row>
    <row r="7516" spans="9:16">
      <c r="I7516" s="213"/>
      <c r="J7516" s="213"/>
      <c r="L7516" s="272">
        <f t="shared" si="543"/>
        <v>1900</v>
      </c>
      <c r="M7516" s="272">
        <f t="shared" si="544"/>
        <v>1</v>
      </c>
      <c r="O7516" s="61">
        <f t="shared" si="545"/>
        <v>1900</v>
      </c>
      <c r="P7516" s="61">
        <f t="shared" si="546"/>
        <v>1</v>
      </c>
    </row>
    <row r="7517" spans="9:16">
      <c r="I7517" s="213"/>
      <c r="J7517" s="213"/>
      <c r="L7517" s="272">
        <f t="shared" si="543"/>
        <v>1900</v>
      </c>
      <c r="M7517" s="272">
        <f t="shared" si="544"/>
        <v>1</v>
      </c>
      <c r="O7517" s="61">
        <f t="shared" si="545"/>
        <v>1900</v>
      </c>
      <c r="P7517" s="61">
        <f t="shared" si="546"/>
        <v>1</v>
      </c>
    </row>
    <row r="7518" spans="9:16">
      <c r="I7518" s="213"/>
      <c r="J7518" s="213"/>
      <c r="L7518" s="272">
        <f t="shared" si="543"/>
        <v>1900</v>
      </c>
      <c r="M7518" s="272">
        <f t="shared" si="544"/>
        <v>1</v>
      </c>
      <c r="O7518" s="61">
        <f t="shared" si="545"/>
        <v>1900</v>
      </c>
      <c r="P7518" s="61">
        <f t="shared" si="546"/>
        <v>1</v>
      </c>
    </row>
    <row r="7519" spans="9:16">
      <c r="I7519" s="213"/>
      <c r="J7519" s="213"/>
      <c r="L7519" s="272">
        <f t="shared" si="543"/>
        <v>1900</v>
      </c>
      <c r="M7519" s="272">
        <f t="shared" si="544"/>
        <v>1</v>
      </c>
      <c r="O7519" s="61">
        <f t="shared" si="545"/>
        <v>1900</v>
      </c>
      <c r="P7519" s="61">
        <f t="shared" si="546"/>
        <v>1</v>
      </c>
    </row>
    <row r="7520" spans="9:16">
      <c r="I7520" s="213"/>
      <c r="J7520" s="213"/>
      <c r="L7520" s="272">
        <f t="shared" si="543"/>
        <v>1900</v>
      </c>
      <c r="M7520" s="272">
        <f t="shared" si="544"/>
        <v>1</v>
      </c>
      <c r="O7520" s="61">
        <f t="shared" si="545"/>
        <v>1900</v>
      </c>
      <c r="P7520" s="61">
        <f t="shared" si="546"/>
        <v>1</v>
      </c>
    </row>
    <row r="7521" spans="9:16">
      <c r="I7521" s="213"/>
      <c r="J7521" s="213"/>
      <c r="L7521" s="272">
        <f t="shared" si="543"/>
        <v>1900</v>
      </c>
      <c r="M7521" s="272">
        <f t="shared" si="544"/>
        <v>1</v>
      </c>
      <c r="O7521" s="61">
        <f t="shared" si="545"/>
        <v>1900</v>
      </c>
      <c r="P7521" s="61">
        <f t="shared" si="546"/>
        <v>1</v>
      </c>
    </row>
    <row r="7522" spans="9:16">
      <c r="I7522" s="213"/>
      <c r="J7522" s="213"/>
      <c r="L7522" s="272">
        <f t="shared" si="543"/>
        <v>1900</v>
      </c>
      <c r="M7522" s="272">
        <f t="shared" si="544"/>
        <v>1</v>
      </c>
      <c r="O7522" s="61">
        <f t="shared" si="545"/>
        <v>1900</v>
      </c>
      <c r="P7522" s="61">
        <f t="shared" si="546"/>
        <v>1</v>
      </c>
    </row>
    <row r="7523" spans="9:16">
      <c r="I7523" s="213"/>
      <c r="J7523" s="213"/>
      <c r="L7523" s="272">
        <f t="shared" si="543"/>
        <v>1900</v>
      </c>
      <c r="M7523" s="272">
        <f t="shared" si="544"/>
        <v>1</v>
      </c>
      <c r="O7523" s="61">
        <f t="shared" si="545"/>
        <v>1900</v>
      </c>
      <c r="P7523" s="61">
        <f t="shared" si="546"/>
        <v>1</v>
      </c>
    </row>
    <row r="7524" spans="9:16">
      <c r="I7524" s="213"/>
      <c r="J7524" s="213"/>
      <c r="L7524" s="272">
        <f t="shared" si="543"/>
        <v>1900</v>
      </c>
      <c r="M7524" s="272">
        <f t="shared" si="544"/>
        <v>1</v>
      </c>
      <c r="O7524" s="61">
        <f t="shared" si="545"/>
        <v>1900</v>
      </c>
      <c r="P7524" s="61">
        <f t="shared" si="546"/>
        <v>1</v>
      </c>
    </row>
    <row r="7525" spans="9:16">
      <c r="I7525" s="213"/>
      <c r="J7525" s="213"/>
      <c r="L7525" s="272">
        <f t="shared" si="543"/>
        <v>1900</v>
      </c>
      <c r="M7525" s="272">
        <f t="shared" si="544"/>
        <v>1</v>
      </c>
      <c r="O7525" s="61">
        <f t="shared" si="545"/>
        <v>1900</v>
      </c>
      <c r="P7525" s="61">
        <f t="shared" si="546"/>
        <v>1</v>
      </c>
    </row>
    <row r="7526" spans="9:16">
      <c r="I7526" s="213"/>
      <c r="J7526" s="213"/>
      <c r="L7526" s="272">
        <f t="shared" si="543"/>
        <v>1900</v>
      </c>
      <c r="M7526" s="272">
        <f t="shared" si="544"/>
        <v>1</v>
      </c>
      <c r="O7526" s="61">
        <f t="shared" si="545"/>
        <v>1900</v>
      </c>
      <c r="P7526" s="61">
        <f t="shared" si="546"/>
        <v>1</v>
      </c>
    </row>
    <row r="7527" spans="9:16">
      <c r="I7527" s="213"/>
      <c r="J7527" s="213"/>
      <c r="L7527" s="272">
        <f t="shared" si="543"/>
        <v>1900</v>
      </c>
      <c r="M7527" s="272">
        <f t="shared" si="544"/>
        <v>1</v>
      </c>
      <c r="O7527" s="61">
        <f t="shared" si="545"/>
        <v>1900</v>
      </c>
      <c r="P7527" s="61">
        <f t="shared" si="546"/>
        <v>1</v>
      </c>
    </row>
    <row r="7528" spans="9:16">
      <c r="I7528" s="213"/>
      <c r="J7528" s="213"/>
      <c r="L7528" s="272">
        <f t="shared" si="543"/>
        <v>1900</v>
      </c>
      <c r="M7528" s="272">
        <f t="shared" si="544"/>
        <v>1</v>
      </c>
      <c r="O7528" s="61">
        <f t="shared" si="545"/>
        <v>1900</v>
      </c>
      <c r="P7528" s="61">
        <f t="shared" si="546"/>
        <v>1</v>
      </c>
    </row>
    <row r="7529" spans="9:16">
      <c r="I7529" s="213"/>
      <c r="J7529" s="213"/>
      <c r="L7529" s="272">
        <f t="shared" si="543"/>
        <v>1900</v>
      </c>
      <c r="M7529" s="272">
        <f t="shared" si="544"/>
        <v>1</v>
      </c>
      <c r="O7529" s="61">
        <f t="shared" si="545"/>
        <v>1900</v>
      </c>
      <c r="P7529" s="61">
        <f t="shared" si="546"/>
        <v>1</v>
      </c>
    </row>
    <row r="7530" spans="9:16">
      <c r="I7530" s="213"/>
      <c r="J7530" s="213"/>
      <c r="L7530" s="272">
        <f t="shared" si="543"/>
        <v>1900</v>
      </c>
      <c r="M7530" s="272">
        <f t="shared" si="544"/>
        <v>1</v>
      </c>
      <c r="O7530" s="61">
        <f t="shared" si="545"/>
        <v>1900</v>
      </c>
      <c r="P7530" s="61">
        <f t="shared" si="546"/>
        <v>1</v>
      </c>
    </row>
    <row r="7531" spans="9:16">
      <c r="I7531" s="213"/>
      <c r="J7531" s="213"/>
      <c r="L7531" s="272">
        <f t="shared" si="543"/>
        <v>1900</v>
      </c>
      <c r="M7531" s="272">
        <f t="shared" si="544"/>
        <v>1</v>
      </c>
      <c r="O7531" s="61">
        <f t="shared" si="545"/>
        <v>1900</v>
      </c>
      <c r="P7531" s="61">
        <f t="shared" si="546"/>
        <v>1</v>
      </c>
    </row>
    <row r="7532" spans="9:16">
      <c r="I7532" s="213"/>
      <c r="J7532" s="213"/>
      <c r="L7532" s="272">
        <f t="shared" si="543"/>
        <v>1900</v>
      </c>
      <c r="M7532" s="272">
        <f t="shared" si="544"/>
        <v>1</v>
      </c>
      <c r="O7532" s="61">
        <f t="shared" si="545"/>
        <v>1900</v>
      </c>
      <c r="P7532" s="61">
        <f t="shared" si="546"/>
        <v>1</v>
      </c>
    </row>
    <row r="7533" spans="9:16">
      <c r="I7533" s="213"/>
      <c r="J7533" s="213"/>
      <c r="L7533" s="272">
        <f t="shared" si="543"/>
        <v>1900</v>
      </c>
      <c r="M7533" s="272">
        <f t="shared" si="544"/>
        <v>1</v>
      </c>
      <c r="O7533" s="61">
        <f t="shared" si="545"/>
        <v>1900</v>
      </c>
      <c r="P7533" s="61">
        <f t="shared" si="546"/>
        <v>1</v>
      </c>
    </row>
    <row r="7534" spans="9:16">
      <c r="I7534" s="213"/>
      <c r="J7534" s="213"/>
      <c r="L7534" s="272">
        <f t="shared" si="543"/>
        <v>1900</v>
      </c>
      <c r="M7534" s="272">
        <f t="shared" si="544"/>
        <v>1</v>
      </c>
      <c r="O7534" s="61">
        <f t="shared" si="545"/>
        <v>1900</v>
      </c>
      <c r="P7534" s="61">
        <f t="shared" si="546"/>
        <v>1</v>
      </c>
    </row>
    <row r="7535" spans="9:16">
      <c r="I7535" s="213"/>
      <c r="J7535" s="213"/>
      <c r="L7535" s="272">
        <f t="shared" si="543"/>
        <v>1900</v>
      </c>
      <c r="M7535" s="272">
        <f t="shared" si="544"/>
        <v>1</v>
      </c>
      <c r="O7535" s="61">
        <f t="shared" si="545"/>
        <v>1900</v>
      </c>
      <c r="P7535" s="61">
        <f t="shared" si="546"/>
        <v>1</v>
      </c>
    </row>
    <row r="7536" spans="9:16">
      <c r="I7536" s="213"/>
      <c r="J7536" s="213"/>
      <c r="L7536" s="272">
        <f t="shared" si="543"/>
        <v>1900</v>
      </c>
      <c r="M7536" s="272">
        <f t="shared" si="544"/>
        <v>1</v>
      </c>
      <c r="O7536" s="61">
        <f t="shared" si="545"/>
        <v>1900</v>
      </c>
      <c r="P7536" s="61">
        <f t="shared" si="546"/>
        <v>1</v>
      </c>
    </row>
    <row r="7537" spans="9:16">
      <c r="I7537" s="213"/>
      <c r="J7537" s="213"/>
      <c r="L7537" s="272">
        <f t="shared" si="543"/>
        <v>1900</v>
      </c>
      <c r="M7537" s="272">
        <f t="shared" si="544"/>
        <v>1</v>
      </c>
      <c r="O7537" s="61">
        <f t="shared" si="545"/>
        <v>1900</v>
      </c>
      <c r="P7537" s="61">
        <f t="shared" si="546"/>
        <v>1</v>
      </c>
    </row>
    <row r="7538" spans="9:16">
      <c r="I7538" s="213"/>
      <c r="J7538" s="213"/>
      <c r="L7538" s="272">
        <f t="shared" si="543"/>
        <v>1900</v>
      </c>
      <c r="M7538" s="272">
        <f t="shared" si="544"/>
        <v>1</v>
      </c>
      <c r="O7538" s="61">
        <f t="shared" si="545"/>
        <v>1900</v>
      </c>
      <c r="P7538" s="61">
        <f t="shared" si="546"/>
        <v>1</v>
      </c>
    </row>
    <row r="7539" spans="9:16">
      <c r="I7539" s="213"/>
      <c r="J7539" s="213"/>
      <c r="L7539" s="272">
        <f t="shared" si="543"/>
        <v>1900</v>
      </c>
      <c r="M7539" s="272">
        <f t="shared" si="544"/>
        <v>1</v>
      </c>
      <c r="O7539" s="61">
        <f t="shared" si="545"/>
        <v>1900</v>
      </c>
      <c r="P7539" s="61">
        <f t="shared" si="546"/>
        <v>1</v>
      </c>
    </row>
    <row r="7540" spans="9:16">
      <c r="I7540" s="213"/>
      <c r="J7540" s="213"/>
      <c r="L7540" s="272">
        <f t="shared" si="543"/>
        <v>1900</v>
      </c>
      <c r="M7540" s="272">
        <f t="shared" si="544"/>
        <v>1</v>
      </c>
      <c r="O7540" s="61">
        <f t="shared" si="545"/>
        <v>1900</v>
      </c>
      <c r="P7540" s="61">
        <f t="shared" si="546"/>
        <v>1</v>
      </c>
    </row>
    <row r="7541" spans="9:16">
      <c r="I7541" s="213"/>
      <c r="J7541" s="213"/>
      <c r="L7541" s="272">
        <f t="shared" si="543"/>
        <v>1900</v>
      </c>
      <c r="M7541" s="272">
        <f t="shared" si="544"/>
        <v>1</v>
      </c>
      <c r="O7541" s="61">
        <f t="shared" si="545"/>
        <v>1900</v>
      </c>
      <c r="P7541" s="61">
        <f t="shared" si="546"/>
        <v>1</v>
      </c>
    </row>
    <row r="7542" spans="9:16">
      <c r="I7542" s="213"/>
      <c r="J7542" s="213"/>
      <c r="L7542" s="272">
        <f t="shared" si="543"/>
        <v>1900</v>
      </c>
      <c r="M7542" s="272">
        <f t="shared" si="544"/>
        <v>1</v>
      </c>
      <c r="O7542" s="61">
        <f t="shared" si="545"/>
        <v>1900</v>
      </c>
      <c r="P7542" s="61">
        <f t="shared" si="546"/>
        <v>1</v>
      </c>
    </row>
    <row r="7543" spans="9:16">
      <c r="I7543" s="213"/>
      <c r="J7543" s="213"/>
      <c r="L7543" s="272">
        <f t="shared" si="543"/>
        <v>1900</v>
      </c>
      <c r="M7543" s="272">
        <f t="shared" si="544"/>
        <v>1</v>
      </c>
      <c r="O7543" s="61">
        <f t="shared" si="545"/>
        <v>1900</v>
      </c>
      <c r="P7543" s="61">
        <f t="shared" si="546"/>
        <v>1</v>
      </c>
    </row>
    <row r="7544" spans="9:16">
      <c r="I7544" s="213"/>
      <c r="J7544" s="213"/>
      <c r="L7544" s="272">
        <f t="shared" si="543"/>
        <v>1900</v>
      </c>
      <c r="M7544" s="272">
        <f t="shared" si="544"/>
        <v>1</v>
      </c>
      <c r="O7544" s="61">
        <f t="shared" si="545"/>
        <v>1900</v>
      </c>
      <c r="P7544" s="61">
        <f t="shared" si="546"/>
        <v>1</v>
      </c>
    </row>
    <row r="7545" spans="9:16">
      <c r="I7545" s="213"/>
      <c r="J7545" s="213"/>
      <c r="L7545" s="272">
        <f t="shared" si="543"/>
        <v>1900</v>
      </c>
      <c r="M7545" s="272">
        <f t="shared" si="544"/>
        <v>1</v>
      </c>
      <c r="O7545" s="61">
        <f t="shared" si="545"/>
        <v>1900</v>
      </c>
      <c r="P7545" s="61">
        <f t="shared" si="546"/>
        <v>1</v>
      </c>
    </row>
    <row r="7546" spans="9:16">
      <c r="I7546" s="213"/>
      <c r="J7546" s="213"/>
      <c r="L7546" s="272">
        <f t="shared" si="543"/>
        <v>1900</v>
      </c>
      <c r="M7546" s="272">
        <f t="shared" si="544"/>
        <v>1</v>
      </c>
      <c r="O7546" s="61">
        <f t="shared" si="545"/>
        <v>1900</v>
      </c>
      <c r="P7546" s="61">
        <f t="shared" si="546"/>
        <v>1</v>
      </c>
    </row>
    <row r="7547" spans="9:16">
      <c r="I7547" s="213"/>
      <c r="J7547" s="213"/>
      <c r="L7547" s="272">
        <f t="shared" si="543"/>
        <v>1900</v>
      </c>
      <c r="M7547" s="272">
        <f t="shared" si="544"/>
        <v>1</v>
      </c>
      <c r="O7547" s="61">
        <f t="shared" si="545"/>
        <v>1900</v>
      </c>
      <c r="P7547" s="61">
        <f t="shared" si="546"/>
        <v>1</v>
      </c>
    </row>
    <row r="7548" spans="9:16">
      <c r="I7548" s="213"/>
      <c r="J7548" s="213"/>
      <c r="L7548" s="272">
        <f t="shared" si="543"/>
        <v>1900</v>
      </c>
      <c r="M7548" s="272">
        <f t="shared" si="544"/>
        <v>1</v>
      </c>
      <c r="O7548" s="61">
        <f t="shared" si="545"/>
        <v>1900</v>
      </c>
      <c r="P7548" s="61">
        <f t="shared" si="546"/>
        <v>1</v>
      </c>
    </row>
    <row r="7549" spans="9:16">
      <c r="I7549" s="213"/>
      <c r="J7549" s="213"/>
      <c r="L7549" s="272">
        <f t="shared" si="543"/>
        <v>1900</v>
      </c>
      <c r="M7549" s="272">
        <f t="shared" si="544"/>
        <v>1</v>
      </c>
      <c r="O7549" s="61">
        <f t="shared" si="545"/>
        <v>1900</v>
      </c>
      <c r="P7549" s="61">
        <f t="shared" si="546"/>
        <v>1</v>
      </c>
    </row>
    <row r="7550" spans="9:16">
      <c r="I7550" s="213"/>
      <c r="J7550" s="213"/>
      <c r="L7550" s="272">
        <f t="shared" si="543"/>
        <v>1900</v>
      </c>
      <c r="M7550" s="272">
        <f t="shared" si="544"/>
        <v>1</v>
      </c>
      <c r="O7550" s="61">
        <f t="shared" si="545"/>
        <v>1900</v>
      </c>
      <c r="P7550" s="61">
        <f t="shared" si="546"/>
        <v>1</v>
      </c>
    </row>
    <row r="7551" spans="9:16">
      <c r="I7551" s="213"/>
      <c r="J7551" s="213"/>
      <c r="L7551" s="272">
        <f t="shared" si="543"/>
        <v>1900</v>
      </c>
      <c r="M7551" s="272">
        <f t="shared" si="544"/>
        <v>1</v>
      </c>
      <c r="O7551" s="61">
        <f t="shared" si="545"/>
        <v>1900</v>
      </c>
      <c r="P7551" s="61">
        <f t="shared" si="546"/>
        <v>1</v>
      </c>
    </row>
    <row r="7552" spans="9:16">
      <c r="I7552" s="213"/>
      <c r="J7552" s="213"/>
      <c r="L7552" s="272">
        <f t="shared" si="543"/>
        <v>1900</v>
      </c>
      <c r="M7552" s="272">
        <f t="shared" si="544"/>
        <v>1</v>
      </c>
      <c r="O7552" s="61">
        <f t="shared" si="545"/>
        <v>1900</v>
      </c>
      <c r="P7552" s="61">
        <f t="shared" si="546"/>
        <v>1</v>
      </c>
    </row>
    <row r="7553" spans="9:16">
      <c r="I7553" s="213"/>
      <c r="J7553" s="213"/>
      <c r="L7553" s="272">
        <f t="shared" si="543"/>
        <v>1900</v>
      </c>
      <c r="M7553" s="272">
        <f t="shared" si="544"/>
        <v>1</v>
      </c>
      <c r="O7553" s="61">
        <f t="shared" si="545"/>
        <v>1900</v>
      </c>
      <c r="P7553" s="61">
        <f t="shared" si="546"/>
        <v>1</v>
      </c>
    </row>
    <row r="7554" spans="9:16">
      <c r="I7554" s="213"/>
      <c r="J7554" s="213"/>
      <c r="L7554" s="272">
        <f t="shared" si="543"/>
        <v>1900</v>
      </c>
      <c r="M7554" s="272">
        <f t="shared" si="544"/>
        <v>1</v>
      </c>
      <c r="O7554" s="61">
        <f t="shared" si="545"/>
        <v>1900</v>
      </c>
      <c r="P7554" s="61">
        <f t="shared" si="546"/>
        <v>1</v>
      </c>
    </row>
    <row r="7555" spans="9:16">
      <c r="I7555" s="213"/>
      <c r="J7555" s="213"/>
      <c r="L7555" s="272">
        <f t="shared" si="543"/>
        <v>1900</v>
      </c>
      <c r="M7555" s="272">
        <f t="shared" si="544"/>
        <v>1</v>
      </c>
      <c r="O7555" s="61">
        <f t="shared" si="545"/>
        <v>1900</v>
      </c>
      <c r="P7555" s="61">
        <f t="shared" si="546"/>
        <v>1</v>
      </c>
    </row>
    <row r="7556" spans="9:16">
      <c r="I7556" s="213"/>
      <c r="J7556" s="213"/>
      <c r="L7556" s="272">
        <f t="shared" si="543"/>
        <v>1900</v>
      </c>
      <c r="M7556" s="272">
        <f t="shared" si="544"/>
        <v>1</v>
      </c>
      <c r="O7556" s="61">
        <f t="shared" si="545"/>
        <v>1900</v>
      </c>
      <c r="P7556" s="61">
        <f t="shared" si="546"/>
        <v>1</v>
      </c>
    </row>
    <row r="7557" spans="9:16">
      <c r="I7557" s="213"/>
      <c r="J7557" s="213"/>
      <c r="L7557" s="272">
        <f t="shared" si="543"/>
        <v>1900</v>
      </c>
      <c r="M7557" s="272">
        <f t="shared" si="544"/>
        <v>1</v>
      </c>
      <c r="O7557" s="61">
        <f t="shared" si="545"/>
        <v>1900</v>
      </c>
      <c r="P7557" s="61">
        <f t="shared" si="546"/>
        <v>1</v>
      </c>
    </row>
    <row r="7558" spans="9:16">
      <c r="I7558" s="213"/>
      <c r="J7558" s="213"/>
      <c r="L7558" s="272">
        <f t="shared" si="543"/>
        <v>1900</v>
      </c>
      <c r="M7558" s="272">
        <f t="shared" si="544"/>
        <v>1</v>
      </c>
      <c r="O7558" s="61">
        <f t="shared" si="545"/>
        <v>1900</v>
      </c>
      <c r="P7558" s="61">
        <f t="shared" si="546"/>
        <v>1</v>
      </c>
    </row>
    <row r="7559" spans="9:16">
      <c r="I7559" s="213"/>
      <c r="J7559" s="213"/>
      <c r="L7559" s="272">
        <f t="shared" si="543"/>
        <v>1900</v>
      </c>
      <c r="M7559" s="272">
        <f t="shared" si="544"/>
        <v>1</v>
      </c>
      <c r="O7559" s="61">
        <f t="shared" si="545"/>
        <v>1900</v>
      </c>
      <c r="P7559" s="61">
        <f t="shared" si="546"/>
        <v>1</v>
      </c>
    </row>
    <row r="7560" spans="9:16">
      <c r="I7560" s="213"/>
      <c r="J7560" s="213"/>
      <c r="L7560" s="272">
        <f t="shared" si="543"/>
        <v>1900</v>
      </c>
      <c r="M7560" s="272">
        <f t="shared" si="544"/>
        <v>1</v>
      </c>
      <c r="O7560" s="61">
        <f t="shared" si="545"/>
        <v>1900</v>
      </c>
      <c r="P7560" s="61">
        <f t="shared" si="546"/>
        <v>1</v>
      </c>
    </row>
    <row r="7561" spans="9:16">
      <c r="I7561" s="213"/>
      <c r="J7561" s="213"/>
      <c r="L7561" s="272">
        <f t="shared" si="543"/>
        <v>1900</v>
      </c>
      <c r="M7561" s="272">
        <f t="shared" si="544"/>
        <v>1</v>
      </c>
      <c r="O7561" s="61">
        <f t="shared" si="545"/>
        <v>1900</v>
      </c>
      <c r="P7561" s="61">
        <f t="shared" si="546"/>
        <v>1</v>
      </c>
    </row>
    <row r="7562" spans="9:16">
      <c r="I7562" s="213"/>
      <c r="J7562" s="213"/>
      <c r="L7562" s="272">
        <f t="shared" si="543"/>
        <v>1900</v>
      </c>
      <c r="M7562" s="272">
        <f t="shared" si="544"/>
        <v>1</v>
      </c>
      <c r="O7562" s="61">
        <f t="shared" si="545"/>
        <v>1900</v>
      </c>
      <c r="P7562" s="61">
        <f t="shared" si="546"/>
        <v>1</v>
      </c>
    </row>
    <row r="7563" spans="9:16">
      <c r="I7563" s="213"/>
      <c r="J7563" s="213"/>
      <c r="L7563" s="272">
        <f t="shared" si="543"/>
        <v>1900</v>
      </c>
      <c r="M7563" s="272">
        <f t="shared" si="544"/>
        <v>1</v>
      </c>
      <c r="O7563" s="61">
        <f t="shared" si="545"/>
        <v>1900</v>
      </c>
      <c r="P7563" s="61">
        <f t="shared" si="546"/>
        <v>1</v>
      </c>
    </row>
    <row r="7564" spans="9:16">
      <c r="I7564" s="213"/>
      <c r="J7564" s="213"/>
      <c r="L7564" s="272">
        <f t="shared" si="543"/>
        <v>1900</v>
      </c>
      <c r="M7564" s="272">
        <f t="shared" si="544"/>
        <v>1</v>
      </c>
      <c r="O7564" s="61">
        <f t="shared" si="545"/>
        <v>1900</v>
      </c>
      <c r="P7564" s="61">
        <f t="shared" si="546"/>
        <v>1</v>
      </c>
    </row>
    <row r="7565" spans="9:16">
      <c r="I7565" s="213"/>
      <c r="J7565" s="213"/>
      <c r="L7565" s="272">
        <f t="shared" si="543"/>
        <v>1900</v>
      </c>
      <c r="M7565" s="272">
        <f t="shared" si="544"/>
        <v>1</v>
      </c>
      <c r="O7565" s="61">
        <f t="shared" si="545"/>
        <v>1900</v>
      </c>
      <c r="P7565" s="61">
        <f t="shared" si="546"/>
        <v>1</v>
      </c>
    </row>
    <row r="7566" spans="9:16">
      <c r="I7566" s="213"/>
      <c r="J7566" s="213"/>
      <c r="L7566" s="272">
        <f t="shared" si="543"/>
        <v>1900</v>
      </c>
      <c r="M7566" s="272">
        <f t="shared" si="544"/>
        <v>1</v>
      </c>
      <c r="O7566" s="61">
        <f t="shared" si="545"/>
        <v>1900</v>
      </c>
      <c r="P7566" s="61">
        <f t="shared" si="546"/>
        <v>1</v>
      </c>
    </row>
    <row r="7567" spans="9:16">
      <c r="I7567" s="213"/>
      <c r="J7567" s="213"/>
      <c r="L7567" s="272">
        <f t="shared" si="543"/>
        <v>1900</v>
      </c>
      <c r="M7567" s="272">
        <f t="shared" si="544"/>
        <v>1</v>
      </c>
      <c r="O7567" s="61">
        <f t="shared" si="545"/>
        <v>1900</v>
      </c>
      <c r="P7567" s="61">
        <f t="shared" si="546"/>
        <v>1</v>
      </c>
    </row>
    <row r="7568" spans="9:16">
      <c r="I7568" s="213"/>
      <c r="J7568" s="213"/>
      <c r="L7568" s="272">
        <f t="shared" ref="L7568:L7631" si="547">YEAR(B7568)</f>
        <v>1900</v>
      </c>
      <c r="M7568" s="272">
        <f t="shared" ref="M7568:M7631" si="548">MONTH(B7568)</f>
        <v>1</v>
      </c>
      <c r="O7568" s="61">
        <f t="shared" ref="O7568:O7631" si="549">YEAR(B7568)</f>
        <v>1900</v>
      </c>
      <c r="P7568" s="61">
        <f t="shared" ref="P7568:P7631" si="550">MONTH(B7568)</f>
        <v>1</v>
      </c>
    </row>
    <row r="7569" spans="9:16">
      <c r="I7569" s="213"/>
      <c r="J7569" s="213"/>
      <c r="L7569" s="272">
        <f t="shared" si="547"/>
        <v>1900</v>
      </c>
      <c r="M7569" s="272">
        <f t="shared" si="548"/>
        <v>1</v>
      </c>
      <c r="O7569" s="61">
        <f t="shared" si="549"/>
        <v>1900</v>
      </c>
      <c r="P7569" s="61">
        <f t="shared" si="550"/>
        <v>1</v>
      </c>
    </row>
    <row r="7570" spans="9:16">
      <c r="I7570" s="213"/>
      <c r="J7570" s="213"/>
      <c r="L7570" s="272">
        <f t="shared" si="547"/>
        <v>1900</v>
      </c>
      <c r="M7570" s="272">
        <f t="shared" si="548"/>
        <v>1</v>
      </c>
      <c r="O7570" s="61">
        <f t="shared" si="549"/>
        <v>1900</v>
      </c>
      <c r="P7570" s="61">
        <f t="shared" si="550"/>
        <v>1</v>
      </c>
    </row>
    <row r="7571" spans="9:16">
      <c r="I7571" s="213"/>
      <c r="J7571" s="213"/>
      <c r="L7571" s="272">
        <f t="shared" si="547"/>
        <v>1900</v>
      </c>
      <c r="M7571" s="272">
        <f t="shared" si="548"/>
        <v>1</v>
      </c>
      <c r="O7571" s="61">
        <f t="shared" si="549"/>
        <v>1900</v>
      </c>
      <c r="P7571" s="61">
        <f t="shared" si="550"/>
        <v>1</v>
      </c>
    </row>
    <row r="7572" spans="9:16">
      <c r="I7572" s="213"/>
      <c r="J7572" s="213"/>
      <c r="L7572" s="272">
        <f t="shared" si="547"/>
        <v>1900</v>
      </c>
      <c r="M7572" s="272">
        <f t="shared" si="548"/>
        <v>1</v>
      </c>
      <c r="O7572" s="61">
        <f t="shared" si="549"/>
        <v>1900</v>
      </c>
      <c r="P7572" s="61">
        <f t="shared" si="550"/>
        <v>1</v>
      </c>
    </row>
    <row r="7573" spans="9:16">
      <c r="I7573" s="213"/>
      <c r="J7573" s="213"/>
      <c r="L7573" s="272">
        <f t="shared" si="547"/>
        <v>1900</v>
      </c>
      <c r="M7573" s="272">
        <f t="shared" si="548"/>
        <v>1</v>
      </c>
      <c r="O7573" s="61">
        <f t="shared" si="549"/>
        <v>1900</v>
      </c>
      <c r="P7573" s="61">
        <f t="shared" si="550"/>
        <v>1</v>
      </c>
    </row>
    <row r="7574" spans="9:16">
      <c r="I7574" s="213"/>
      <c r="J7574" s="213"/>
      <c r="L7574" s="272">
        <f t="shared" si="547"/>
        <v>1900</v>
      </c>
      <c r="M7574" s="272">
        <f t="shared" si="548"/>
        <v>1</v>
      </c>
      <c r="O7574" s="61">
        <f t="shared" si="549"/>
        <v>1900</v>
      </c>
      <c r="P7574" s="61">
        <f t="shared" si="550"/>
        <v>1</v>
      </c>
    </row>
    <row r="7575" spans="9:16">
      <c r="I7575" s="213"/>
      <c r="J7575" s="213"/>
      <c r="L7575" s="272">
        <f t="shared" si="547"/>
        <v>1900</v>
      </c>
      <c r="M7575" s="272">
        <f t="shared" si="548"/>
        <v>1</v>
      </c>
      <c r="O7575" s="61">
        <f t="shared" si="549"/>
        <v>1900</v>
      </c>
      <c r="P7575" s="61">
        <f t="shared" si="550"/>
        <v>1</v>
      </c>
    </row>
    <row r="7576" spans="9:16">
      <c r="I7576" s="213"/>
      <c r="J7576" s="213"/>
      <c r="L7576" s="272">
        <f t="shared" si="547"/>
        <v>1900</v>
      </c>
      <c r="M7576" s="272">
        <f t="shared" si="548"/>
        <v>1</v>
      </c>
      <c r="O7576" s="61">
        <f t="shared" si="549"/>
        <v>1900</v>
      </c>
      <c r="P7576" s="61">
        <f t="shared" si="550"/>
        <v>1</v>
      </c>
    </row>
    <row r="7577" spans="9:16">
      <c r="I7577" s="213"/>
      <c r="J7577" s="213"/>
      <c r="L7577" s="272">
        <f t="shared" si="547"/>
        <v>1900</v>
      </c>
      <c r="M7577" s="272">
        <f t="shared" si="548"/>
        <v>1</v>
      </c>
      <c r="O7577" s="61">
        <f t="shared" si="549"/>
        <v>1900</v>
      </c>
      <c r="P7577" s="61">
        <f t="shared" si="550"/>
        <v>1</v>
      </c>
    </row>
    <row r="7578" spans="9:16">
      <c r="I7578" s="213"/>
      <c r="J7578" s="213"/>
      <c r="L7578" s="272">
        <f t="shared" si="547"/>
        <v>1900</v>
      </c>
      <c r="M7578" s="272">
        <f t="shared" si="548"/>
        <v>1</v>
      </c>
      <c r="O7578" s="61">
        <f t="shared" si="549"/>
        <v>1900</v>
      </c>
      <c r="P7578" s="61">
        <f t="shared" si="550"/>
        <v>1</v>
      </c>
    </row>
    <row r="7579" spans="9:16">
      <c r="I7579" s="213"/>
      <c r="J7579" s="213"/>
      <c r="L7579" s="272">
        <f t="shared" si="547"/>
        <v>1900</v>
      </c>
      <c r="M7579" s="272">
        <f t="shared" si="548"/>
        <v>1</v>
      </c>
      <c r="O7579" s="61">
        <f t="shared" si="549"/>
        <v>1900</v>
      </c>
      <c r="P7579" s="61">
        <f t="shared" si="550"/>
        <v>1</v>
      </c>
    </row>
    <row r="7580" spans="9:16">
      <c r="I7580" s="213"/>
      <c r="J7580" s="213"/>
      <c r="L7580" s="272">
        <f t="shared" si="547"/>
        <v>1900</v>
      </c>
      <c r="M7580" s="272">
        <f t="shared" si="548"/>
        <v>1</v>
      </c>
      <c r="O7580" s="61">
        <f t="shared" si="549"/>
        <v>1900</v>
      </c>
      <c r="P7580" s="61">
        <f t="shared" si="550"/>
        <v>1</v>
      </c>
    </row>
    <row r="7581" spans="9:16">
      <c r="I7581" s="213"/>
      <c r="J7581" s="213"/>
      <c r="L7581" s="272">
        <f t="shared" si="547"/>
        <v>1900</v>
      </c>
      <c r="M7581" s="272">
        <f t="shared" si="548"/>
        <v>1</v>
      </c>
      <c r="O7581" s="61">
        <f t="shared" si="549"/>
        <v>1900</v>
      </c>
      <c r="P7581" s="61">
        <f t="shared" si="550"/>
        <v>1</v>
      </c>
    </row>
    <row r="7582" spans="9:16">
      <c r="I7582" s="213"/>
      <c r="J7582" s="213"/>
      <c r="L7582" s="272">
        <f t="shared" si="547"/>
        <v>1900</v>
      </c>
      <c r="M7582" s="272">
        <f t="shared" si="548"/>
        <v>1</v>
      </c>
      <c r="O7582" s="61">
        <f t="shared" si="549"/>
        <v>1900</v>
      </c>
      <c r="P7582" s="61">
        <f t="shared" si="550"/>
        <v>1</v>
      </c>
    </row>
    <row r="7583" spans="9:16">
      <c r="I7583" s="213"/>
      <c r="J7583" s="213"/>
      <c r="L7583" s="272">
        <f t="shared" si="547"/>
        <v>1900</v>
      </c>
      <c r="M7583" s="272">
        <f t="shared" si="548"/>
        <v>1</v>
      </c>
      <c r="O7583" s="61">
        <f t="shared" si="549"/>
        <v>1900</v>
      </c>
      <c r="P7583" s="61">
        <f t="shared" si="550"/>
        <v>1</v>
      </c>
    </row>
    <row r="7584" spans="9:16">
      <c r="I7584" s="213"/>
      <c r="J7584" s="213"/>
      <c r="L7584" s="272">
        <f t="shared" si="547"/>
        <v>1900</v>
      </c>
      <c r="M7584" s="272">
        <f t="shared" si="548"/>
        <v>1</v>
      </c>
      <c r="O7584" s="61">
        <f t="shared" si="549"/>
        <v>1900</v>
      </c>
      <c r="P7584" s="61">
        <f t="shared" si="550"/>
        <v>1</v>
      </c>
    </row>
    <row r="7585" spans="9:16">
      <c r="I7585" s="213"/>
      <c r="J7585" s="213"/>
      <c r="L7585" s="272">
        <f t="shared" si="547"/>
        <v>1900</v>
      </c>
      <c r="M7585" s="272">
        <f t="shared" si="548"/>
        <v>1</v>
      </c>
      <c r="O7585" s="61">
        <f t="shared" si="549"/>
        <v>1900</v>
      </c>
      <c r="P7585" s="61">
        <f t="shared" si="550"/>
        <v>1</v>
      </c>
    </row>
    <row r="7586" spans="9:16">
      <c r="I7586" s="213"/>
      <c r="J7586" s="213"/>
      <c r="L7586" s="272">
        <f t="shared" si="547"/>
        <v>1900</v>
      </c>
      <c r="M7586" s="272">
        <f t="shared" si="548"/>
        <v>1</v>
      </c>
      <c r="O7586" s="61">
        <f t="shared" si="549"/>
        <v>1900</v>
      </c>
      <c r="P7586" s="61">
        <f t="shared" si="550"/>
        <v>1</v>
      </c>
    </row>
    <row r="7587" spans="9:16">
      <c r="I7587" s="213"/>
      <c r="J7587" s="213"/>
      <c r="L7587" s="272">
        <f t="shared" si="547"/>
        <v>1900</v>
      </c>
      <c r="M7587" s="272">
        <f t="shared" si="548"/>
        <v>1</v>
      </c>
      <c r="O7587" s="61">
        <f t="shared" si="549"/>
        <v>1900</v>
      </c>
      <c r="P7587" s="61">
        <f t="shared" si="550"/>
        <v>1</v>
      </c>
    </row>
    <row r="7588" spans="9:16">
      <c r="I7588" s="213"/>
      <c r="J7588" s="213"/>
      <c r="L7588" s="272">
        <f t="shared" si="547"/>
        <v>1900</v>
      </c>
      <c r="M7588" s="272">
        <f t="shared" si="548"/>
        <v>1</v>
      </c>
      <c r="O7588" s="61">
        <f t="shared" si="549"/>
        <v>1900</v>
      </c>
      <c r="P7588" s="61">
        <f t="shared" si="550"/>
        <v>1</v>
      </c>
    </row>
    <row r="7589" spans="9:16">
      <c r="I7589" s="213"/>
      <c r="J7589" s="213"/>
      <c r="L7589" s="272">
        <f t="shared" si="547"/>
        <v>1900</v>
      </c>
      <c r="M7589" s="272">
        <f t="shared" si="548"/>
        <v>1</v>
      </c>
      <c r="O7589" s="61">
        <f t="shared" si="549"/>
        <v>1900</v>
      </c>
      <c r="P7589" s="61">
        <f t="shared" si="550"/>
        <v>1</v>
      </c>
    </row>
    <row r="7590" spans="9:16">
      <c r="I7590" s="213"/>
      <c r="J7590" s="213"/>
      <c r="L7590" s="272">
        <f t="shared" si="547"/>
        <v>1900</v>
      </c>
      <c r="M7590" s="272">
        <f t="shared" si="548"/>
        <v>1</v>
      </c>
      <c r="O7590" s="61">
        <f t="shared" si="549"/>
        <v>1900</v>
      </c>
      <c r="P7590" s="61">
        <f t="shared" si="550"/>
        <v>1</v>
      </c>
    </row>
    <row r="7591" spans="9:16">
      <c r="I7591" s="213"/>
      <c r="J7591" s="213"/>
      <c r="L7591" s="272">
        <f t="shared" si="547"/>
        <v>1900</v>
      </c>
      <c r="M7591" s="272">
        <f t="shared" si="548"/>
        <v>1</v>
      </c>
      <c r="O7591" s="61">
        <f t="shared" si="549"/>
        <v>1900</v>
      </c>
      <c r="P7591" s="61">
        <f t="shared" si="550"/>
        <v>1</v>
      </c>
    </row>
    <row r="7592" spans="9:16">
      <c r="I7592" s="213"/>
      <c r="J7592" s="213"/>
      <c r="L7592" s="272">
        <f t="shared" si="547"/>
        <v>1900</v>
      </c>
      <c r="M7592" s="272">
        <f t="shared" si="548"/>
        <v>1</v>
      </c>
      <c r="O7592" s="61">
        <f t="shared" si="549"/>
        <v>1900</v>
      </c>
      <c r="P7592" s="61">
        <f t="shared" si="550"/>
        <v>1</v>
      </c>
    </row>
    <row r="7593" spans="9:16">
      <c r="I7593" s="213"/>
      <c r="J7593" s="213"/>
      <c r="L7593" s="272">
        <f t="shared" si="547"/>
        <v>1900</v>
      </c>
      <c r="M7593" s="272">
        <f t="shared" si="548"/>
        <v>1</v>
      </c>
      <c r="O7593" s="61">
        <f t="shared" si="549"/>
        <v>1900</v>
      </c>
      <c r="P7593" s="61">
        <f t="shared" si="550"/>
        <v>1</v>
      </c>
    </row>
    <row r="7594" spans="9:16">
      <c r="I7594" s="213"/>
      <c r="J7594" s="213"/>
      <c r="L7594" s="272">
        <f t="shared" si="547"/>
        <v>1900</v>
      </c>
      <c r="M7594" s="272">
        <f t="shared" si="548"/>
        <v>1</v>
      </c>
      <c r="O7594" s="61">
        <f t="shared" si="549"/>
        <v>1900</v>
      </c>
      <c r="P7594" s="61">
        <f t="shared" si="550"/>
        <v>1</v>
      </c>
    </row>
    <row r="7595" spans="9:16">
      <c r="I7595" s="213"/>
      <c r="J7595" s="213"/>
      <c r="L7595" s="272">
        <f t="shared" si="547"/>
        <v>1900</v>
      </c>
      <c r="M7595" s="272">
        <f t="shared" si="548"/>
        <v>1</v>
      </c>
      <c r="O7595" s="61">
        <f t="shared" si="549"/>
        <v>1900</v>
      </c>
      <c r="P7595" s="61">
        <f t="shared" si="550"/>
        <v>1</v>
      </c>
    </row>
    <row r="7596" spans="9:16">
      <c r="I7596" s="213"/>
      <c r="J7596" s="213"/>
      <c r="L7596" s="272">
        <f t="shared" si="547"/>
        <v>1900</v>
      </c>
      <c r="M7596" s="272">
        <f t="shared" si="548"/>
        <v>1</v>
      </c>
      <c r="O7596" s="61">
        <f t="shared" si="549"/>
        <v>1900</v>
      </c>
      <c r="P7596" s="61">
        <f t="shared" si="550"/>
        <v>1</v>
      </c>
    </row>
    <row r="7597" spans="9:16">
      <c r="I7597" s="213"/>
      <c r="J7597" s="213"/>
      <c r="L7597" s="272">
        <f t="shared" si="547"/>
        <v>1900</v>
      </c>
      <c r="M7597" s="272">
        <f t="shared" si="548"/>
        <v>1</v>
      </c>
      <c r="O7597" s="61">
        <f t="shared" si="549"/>
        <v>1900</v>
      </c>
      <c r="P7597" s="61">
        <f t="shared" si="550"/>
        <v>1</v>
      </c>
    </row>
    <row r="7598" spans="9:16">
      <c r="I7598" s="213"/>
      <c r="J7598" s="213"/>
      <c r="L7598" s="272">
        <f t="shared" si="547"/>
        <v>1900</v>
      </c>
      <c r="M7598" s="272">
        <f t="shared" si="548"/>
        <v>1</v>
      </c>
      <c r="O7598" s="61">
        <f t="shared" si="549"/>
        <v>1900</v>
      </c>
      <c r="P7598" s="61">
        <f t="shared" si="550"/>
        <v>1</v>
      </c>
    </row>
    <row r="7599" spans="9:16">
      <c r="I7599" s="213"/>
      <c r="J7599" s="213"/>
      <c r="L7599" s="272">
        <f t="shared" si="547"/>
        <v>1900</v>
      </c>
      <c r="M7599" s="272">
        <f t="shared" si="548"/>
        <v>1</v>
      </c>
      <c r="O7599" s="61">
        <f t="shared" si="549"/>
        <v>1900</v>
      </c>
      <c r="P7599" s="61">
        <f t="shared" si="550"/>
        <v>1</v>
      </c>
    </row>
    <row r="7600" spans="9:16">
      <c r="I7600" s="213"/>
      <c r="J7600" s="213"/>
      <c r="L7600" s="272">
        <f t="shared" si="547"/>
        <v>1900</v>
      </c>
      <c r="M7600" s="272">
        <f t="shared" si="548"/>
        <v>1</v>
      </c>
      <c r="O7600" s="61">
        <f t="shared" si="549"/>
        <v>1900</v>
      </c>
      <c r="P7600" s="61">
        <f t="shared" si="550"/>
        <v>1</v>
      </c>
    </row>
    <row r="7601" spans="9:16">
      <c r="I7601" s="213"/>
      <c r="J7601" s="213"/>
      <c r="L7601" s="272">
        <f t="shared" si="547"/>
        <v>1900</v>
      </c>
      <c r="M7601" s="272">
        <f t="shared" si="548"/>
        <v>1</v>
      </c>
      <c r="O7601" s="61">
        <f t="shared" si="549"/>
        <v>1900</v>
      </c>
      <c r="P7601" s="61">
        <f t="shared" si="550"/>
        <v>1</v>
      </c>
    </row>
    <row r="7602" spans="9:16">
      <c r="I7602" s="213"/>
      <c r="J7602" s="213"/>
      <c r="L7602" s="272">
        <f t="shared" si="547"/>
        <v>1900</v>
      </c>
      <c r="M7602" s="272">
        <f t="shared" si="548"/>
        <v>1</v>
      </c>
      <c r="O7602" s="61">
        <f t="shared" si="549"/>
        <v>1900</v>
      </c>
      <c r="P7602" s="61">
        <f t="shared" si="550"/>
        <v>1</v>
      </c>
    </row>
    <row r="7603" spans="9:16">
      <c r="I7603" s="213"/>
      <c r="J7603" s="213"/>
      <c r="L7603" s="272">
        <f t="shared" si="547"/>
        <v>1900</v>
      </c>
      <c r="M7603" s="272">
        <f t="shared" si="548"/>
        <v>1</v>
      </c>
      <c r="O7603" s="61">
        <f t="shared" si="549"/>
        <v>1900</v>
      </c>
      <c r="P7603" s="61">
        <f t="shared" si="550"/>
        <v>1</v>
      </c>
    </row>
    <row r="7604" spans="9:16">
      <c r="I7604" s="213"/>
      <c r="J7604" s="213"/>
      <c r="L7604" s="272">
        <f t="shared" si="547"/>
        <v>1900</v>
      </c>
      <c r="M7604" s="272">
        <f t="shared" si="548"/>
        <v>1</v>
      </c>
      <c r="O7604" s="61">
        <f t="shared" si="549"/>
        <v>1900</v>
      </c>
      <c r="P7604" s="61">
        <f t="shared" si="550"/>
        <v>1</v>
      </c>
    </row>
    <row r="7605" spans="9:16">
      <c r="I7605" s="213"/>
      <c r="J7605" s="213"/>
      <c r="L7605" s="272">
        <f t="shared" si="547"/>
        <v>1900</v>
      </c>
      <c r="M7605" s="272">
        <f t="shared" si="548"/>
        <v>1</v>
      </c>
      <c r="O7605" s="61">
        <f t="shared" si="549"/>
        <v>1900</v>
      </c>
      <c r="P7605" s="61">
        <f t="shared" si="550"/>
        <v>1</v>
      </c>
    </row>
    <row r="7606" spans="9:16">
      <c r="I7606" s="213"/>
      <c r="J7606" s="213"/>
      <c r="L7606" s="272">
        <f t="shared" si="547"/>
        <v>1900</v>
      </c>
      <c r="M7606" s="272">
        <f t="shared" si="548"/>
        <v>1</v>
      </c>
      <c r="O7606" s="61">
        <f t="shared" si="549"/>
        <v>1900</v>
      </c>
      <c r="P7606" s="61">
        <f t="shared" si="550"/>
        <v>1</v>
      </c>
    </row>
    <row r="7607" spans="9:16">
      <c r="I7607" s="213"/>
      <c r="J7607" s="213"/>
      <c r="L7607" s="272">
        <f t="shared" si="547"/>
        <v>1900</v>
      </c>
      <c r="M7607" s="272">
        <f t="shared" si="548"/>
        <v>1</v>
      </c>
      <c r="O7607" s="61">
        <f t="shared" si="549"/>
        <v>1900</v>
      </c>
      <c r="P7607" s="61">
        <f t="shared" si="550"/>
        <v>1</v>
      </c>
    </row>
    <row r="7608" spans="9:16">
      <c r="I7608" s="213"/>
      <c r="J7608" s="213"/>
      <c r="L7608" s="272">
        <f t="shared" si="547"/>
        <v>1900</v>
      </c>
      <c r="M7608" s="272">
        <f t="shared" si="548"/>
        <v>1</v>
      </c>
      <c r="O7608" s="61">
        <f t="shared" si="549"/>
        <v>1900</v>
      </c>
      <c r="P7608" s="61">
        <f t="shared" si="550"/>
        <v>1</v>
      </c>
    </row>
    <row r="7609" spans="9:16">
      <c r="I7609" s="213"/>
      <c r="J7609" s="213"/>
      <c r="L7609" s="272">
        <f t="shared" si="547"/>
        <v>1900</v>
      </c>
      <c r="M7609" s="272">
        <f t="shared" si="548"/>
        <v>1</v>
      </c>
      <c r="O7609" s="61">
        <f t="shared" si="549"/>
        <v>1900</v>
      </c>
      <c r="P7609" s="61">
        <f t="shared" si="550"/>
        <v>1</v>
      </c>
    </row>
    <row r="7610" spans="9:16">
      <c r="I7610" s="213"/>
      <c r="J7610" s="213"/>
      <c r="L7610" s="272">
        <f t="shared" si="547"/>
        <v>1900</v>
      </c>
      <c r="M7610" s="272">
        <f t="shared" si="548"/>
        <v>1</v>
      </c>
      <c r="O7610" s="61">
        <f t="shared" si="549"/>
        <v>1900</v>
      </c>
      <c r="P7610" s="61">
        <f t="shared" si="550"/>
        <v>1</v>
      </c>
    </row>
    <row r="7611" spans="9:16">
      <c r="I7611" s="213"/>
      <c r="J7611" s="213"/>
      <c r="L7611" s="272">
        <f t="shared" si="547"/>
        <v>1900</v>
      </c>
      <c r="M7611" s="272">
        <f t="shared" si="548"/>
        <v>1</v>
      </c>
      <c r="O7611" s="61">
        <f t="shared" si="549"/>
        <v>1900</v>
      </c>
      <c r="P7611" s="61">
        <f t="shared" si="550"/>
        <v>1</v>
      </c>
    </row>
    <row r="7612" spans="9:16">
      <c r="I7612" s="213"/>
      <c r="J7612" s="213"/>
      <c r="L7612" s="272">
        <f t="shared" si="547"/>
        <v>1900</v>
      </c>
      <c r="M7612" s="272">
        <f t="shared" si="548"/>
        <v>1</v>
      </c>
      <c r="O7612" s="61">
        <f t="shared" si="549"/>
        <v>1900</v>
      </c>
      <c r="P7612" s="61">
        <f t="shared" si="550"/>
        <v>1</v>
      </c>
    </row>
    <row r="7613" spans="9:16">
      <c r="I7613" s="213"/>
      <c r="J7613" s="213"/>
      <c r="L7613" s="272">
        <f t="shared" si="547"/>
        <v>1900</v>
      </c>
      <c r="M7613" s="272">
        <f t="shared" si="548"/>
        <v>1</v>
      </c>
      <c r="O7613" s="61">
        <f t="shared" si="549"/>
        <v>1900</v>
      </c>
      <c r="P7613" s="61">
        <f t="shared" si="550"/>
        <v>1</v>
      </c>
    </row>
    <row r="7614" spans="9:16">
      <c r="I7614" s="213"/>
      <c r="J7614" s="213"/>
      <c r="L7614" s="272">
        <f t="shared" si="547"/>
        <v>1900</v>
      </c>
      <c r="M7614" s="272">
        <f t="shared" si="548"/>
        <v>1</v>
      </c>
      <c r="O7614" s="61">
        <f t="shared" si="549"/>
        <v>1900</v>
      </c>
      <c r="P7614" s="61">
        <f t="shared" si="550"/>
        <v>1</v>
      </c>
    </row>
    <row r="7615" spans="9:16">
      <c r="I7615" s="213"/>
      <c r="J7615" s="213"/>
      <c r="L7615" s="272">
        <f t="shared" si="547"/>
        <v>1900</v>
      </c>
      <c r="M7615" s="272">
        <f t="shared" si="548"/>
        <v>1</v>
      </c>
      <c r="O7615" s="61">
        <f t="shared" si="549"/>
        <v>1900</v>
      </c>
      <c r="P7615" s="61">
        <f t="shared" si="550"/>
        <v>1</v>
      </c>
    </row>
    <row r="7616" spans="9:16">
      <c r="I7616" s="213"/>
      <c r="J7616" s="213"/>
      <c r="L7616" s="272">
        <f t="shared" si="547"/>
        <v>1900</v>
      </c>
      <c r="M7616" s="272">
        <f t="shared" si="548"/>
        <v>1</v>
      </c>
      <c r="O7616" s="61">
        <f t="shared" si="549"/>
        <v>1900</v>
      </c>
      <c r="P7616" s="61">
        <f t="shared" si="550"/>
        <v>1</v>
      </c>
    </row>
    <row r="7617" spans="9:16">
      <c r="I7617" s="213"/>
      <c r="J7617" s="213"/>
      <c r="L7617" s="272">
        <f t="shared" si="547"/>
        <v>1900</v>
      </c>
      <c r="M7617" s="272">
        <f t="shared" si="548"/>
        <v>1</v>
      </c>
      <c r="O7617" s="61">
        <f t="shared" si="549"/>
        <v>1900</v>
      </c>
      <c r="P7617" s="61">
        <f t="shared" si="550"/>
        <v>1</v>
      </c>
    </row>
    <row r="7618" spans="9:16">
      <c r="I7618" s="213"/>
      <c r="J7618" s="213"/>
      <c r="L7618" s="272">
        <f t="shared" si="547"/>
        <v>1900</v>
      </c>
      <c r="M7618" s="272">
        <f t="shared" si="548"/>
        <v>1</v>
      </c>
      <c r="O7618" s="61">
        <f t="shared" si="549"/>
        <v>1900</v>
      </c>
      <c r="P7618" s="61">
        <f t="shared" si="550"/>
        <v>1</v>
      </c>
    </row>
    <row r="7619" spans="9:16">
      <c r="I7619" s="213"/>
      <c r="J7619" s="213"/>
      <c r="L7619" s="272">
        <f t="shared" si="547"/>
        <v>1900</v>
      </c>
      <c r="M7619" s="272">
        <f t="shared" si="548"/>
        <v>1</v>
      </c>
      <c r="O7619" s="61">
        <f t="shared" si="549"/>
        <v>1900</v>
      </c>
      <c r="P7619" s="61">
        <f t="shared" si="550"/>
        <v>1</v>
      </c>
    </row>
    <row r="7620" spans="9:16">
      <c r="I7620" s="213"/>
      <c r="J7620" s="213"/>
      <c r="L7620" s="272">
        <f t="shared" si="547"/>
        <v>1900</v>
      </c>
      <c r="M7620" s="272">
        <f t="shared" si="548"/>
        <v>1</v>
      </c>
      <c r="O7620" s="61">
        <f t="shared" si="549"/>
        <v>1900</v>
      </c>
      <c r="P7620" s="61">
        <f t="shared" si="550"/>
        <v>1</v>
      </c>
    </row>
    <row r="7621" spans="9:16">
      <c r="I7621" s="213"/>
      <c r="J7621" s="213"/>
      <c r="L7621" s="272">
        <f t="shared" si="547"/>
        <v>1900</v>
      </c>
      <c r="M7621" s="272">
        <f t="shared" si="548"/>
        <v>1</v>
      </c>
      <c r="O7621" s="61">
        <f t="shared" si="549"/>
        <v>1900</v>
      </c>
      <c r="P7621" s="61">
        <f t="shared" si="550"/>
        <v>1</v>
      </c>
    </row>
    <row r="7622" spans="9:16">
      <c r="I7622" s="213"/>
      <c r="J7622" s="213"/>
      <c r="L7622" s="272">
        <f t="shared" si="547"/>
        <v>1900</v>
      </c>
      <c r="M7622" s="272">
        <f t="shared" si="548"/>
        <v>1</v>
      </c>
      <c r="O7622" s="61">
        <f t="shared" si="549"/>
        <v>1900</v>
      </c>
      <c r="P7622" s="61">
        <f t="shared" si="550"/>
        <v>1</v>
      </c>
    </row>
    <row r="7623" spans="9:16">
      <c r="I7623" s="213"/>
      <c r="J7623" s="213"/>
      <c r="L7623" s="272">
        <f t="shared" si="547"/>
        <v>1900</v>
      </c>
      <c r="M7623" s="272">
        <f t="shared" si="548"/>
        <v>1</v>
      </c>
      <c r="O7623" s="61">
        <f t="shared" si="549"/>
        <v>1900</v>
      </c>
      <c r="P7623" s="61">
        <f t="shared" si="550"/>
        <v>1</v>
      </c>
    </row>
    <row r="7624" spans="9:16">
      <c r="I7624" s="213"/>
      <c r="J7624" s="213"/>
      <c r="L7624" s="272">
        <f t="shared" si="547"/>
        <v>1900</v>
      </c>
      <c r="M7624" s="272">
        <f t="shared" si="548"/>
        <v>1</v>
      </c>
      <c r="O7624" s="61">
        <f t="shared" si="549"/>
        <v>1900</v>
      </c>
      <c r="P7624" s="61">
        <f t="shared" si="550"/>
        <v>1</v>
      </c>
    </row>
    <row r="7625" spans="9:16">
      <c r="I7625" s="213"/>
      <c r="J7625" s="213"/>
      <c r="L7625" s="272">
        <f t="shared" si="547"/>
        <v>1900</v>
      </c>
      <c r="M7625" s="272">
        <f t="shared" si="548"/>
        <v>1</v>
      </c>
      <c r="O7625" s="61">
        <f t="shared" si="549"/>
        <v>1900</v>
      </c>
      <c r="P7625" s="61">
        <f t="shared" si="550"/>
        <v>1</v>
      </c>
    </row>
    <row r="7626" spans="9:16">
      <c r="I7626" s="213"/>
      <c r="J7626" s="213"/>
      <c r="L7626" s="272">
        <f t="shared" si="547"/>
        <v>1900</v>
      </c>
      <c r="M7626" s="272">
        <f t="shared" si="548"/>
        <v>1</v>
      </c>
      <c r="O7626" s="61">
        <f t="shared" si="549"/>
        <v>1900</v>
      </c>
      <c r="P7626" s="61">
        <f t="shared" si="550"/>
        <v>1</v>
      </c>
    </row>
    <row r="7627" spans="9:16">
      <c r="I7627" s="213"/>
      <c r="J7627" s="213"/>
      <c r="L7627" s="272">
        <f t="shared" si="547"/>
        <v>1900</v>
      </c>
      <c r="M7627" s="272">
        <f t="shared" si="548"/>
        <v>1</v>
      </c>
      <c r="O7627" s="61">
        <f t="shared" si="549"/>
        <v>1900</v>
      </c>
      <c r="P7627" s="61">
        <f t="shared" si="550"/>
        <v>1</v>
      </c>
    </row>
    <row r="7628" spans="9:16">
      <c r="I7628" s="213"/>
      <c r="J7628" s="213"/>
      <c r="L7628" s="272">
        <f t="shared" si="547"/>
        <v>1900</v>
      </c>
      <c r="M7628" s="272">
        <f t="shared" si="548"/>
        <v>1</v>
      </c>
      <c r="O7628" s="61">
        <f t="shared" si="549"/>
        <v>1900</v>
      </c>
      <c r="P7628" s="61">
        <f t="shared" si="550"/>
        <v>1</v>
      </c>
    </row>
    <row r="7629" spans="9:16">
      <c r="I7629" s="213"/>
      <c r="J7629" s="213"/>
      <c r="L7629" s="272">
        <f t="shared" si="547"/>
        <v>1900</v>
      </c>
      <c r="M7629" s="272">
        <f t="shared" si="548"/>
        <v>1</v>
      </c>
      <c r="O7629" s="61">
        <f t="shared" si="549"/>
        <v>1900</v>
      </c>
      <c r="P7629" s="61">
        <f t="shared" si="550"/>
        <v>1</v>
      </c>
    </row>
    <row r="7630" spans="9:16">
      <c r="I7630" s="213"/>
      <c r="J7630" s="213"/>
      <c r="L7630" s="272">
        <f t="shared" si="547"/>
        <v>1900</v>
      </c>
      <c r="M7630" s="272">
        <f t="shared" si="548"/>
        <v>1</v>
      </c>
      <c r="O7630" s="61">
        <f t="shared" si="549"/>
        <v>1900</v>
      </c>
      <c r="P7630" s="61">
        <f t="shared" si="550"/>
        <v>1</v>
      </c>
    </row>
    <row r="7631" spans="9:16">
      <c r="I7631" s="213"/>
      <c r="J7631" s="213"/>
      <c r="L7631" s="272">
        <f t="shared" si="547"/>
        <v>1900</v>
      </c>
      <c r="M7631" s="272">
        <f t="shared" si="548"/>
        <v>1</v>
      </c>
      <c r="O7631" s="61">
        <f t="shared" si="549"/>
        <v>1900</v>
      </c>
      <c r="P7631" s="61">
        <f t="shared" si="550"/>
        <v>1</v>
      </c>
    </row>
    <row r="7632" spans="9:16">
      <c r="I7632" s="213"/>
      <c r="J7632" s="213"/>
      <c r="L7632" s="272">
        <f t="shared" ref="L7632:L7695" si="551">YEAR(B7632)</f>
        <v>1900</v>
      </c>
      <c r="M7632" s="272">
        <f t="shared" ref="M7632:M7695" si="552">MONTH(B7632)</f>
        <v>1</v>
      </c>
      <c r="O7632" s="61">
        <f t="shared" ref="O7632:O7695" si="553">YEAR(B7632)</f>
        <v>1900</v>
      </c>
      <c r="P7632" s="61">
        <f t="shared" ref="P7632:P7695" si="554">MONTH(B7632)</f>
        <v>1</v>
      </c>
    </row>
    <row r="7633" spans="9:16">
      <c r="I7633" s="213"/>
      <c r="J7633" s="213"/>
      <c r="L7633" s="272">
        <f t="shared" si="551"/>
        <v>1900</v>
      </c>
      <c r="M7633" s="272">
        <f t="shared" si="552"/>
        <v>1</v>
      </c>
      <c r="O7633" s="61">
        <f t="shared" si="553"/>
        <v>1900</v>
      </c>
      <c r="P7633" s="61">
        <f t="shared" si="554"/>
        <v>1</v>
      </c>
    </row>
    <row r="7634" spans="9:16">
      <c r="I7634" s="213"/>
      <c r="J7634" s="213"/>
      <c r="L7634" s="272">
        <f t="shared" si="551"/>
        <v>1900</v>
      </c>
      <c r="M7634" s="272">
        <f t="shared" si="552"/>
        <v>1</v>
      </c>
      <c r="O7634" s="61">
        <f t="shared" si="553"/>
        <v>1900</v>
      </c>
      <c r="P7634" s="61">
        <f t="shared" si="554"/>
        <v>1</v>
      </c>
    </row>
    <row r="7635" spans="9:16">
      <c r="I7635" s="213"/>
      <c r="J7635" s="213"/>
      <c r="L7635" s="272">
        <f t="shared" si="551"/>
        <v>1900</v>
      </c>
      <c r="M7635" s="272">
        <f t="shared" si="552"/>
        <v>1</v>
      </c>
      <c r="O7635" s="61">
        <f t="shared" si="553"/>
        <v>1900</v>
      </c>
      <c r="P7635" s="61">
        <f t="shared" si="554"/>
        <v>1</v>
      </c>
    </row>
    <row r="7636" spans="9:16">
      <c r="I7636" s="213"/>
      <c r="J7636" s="213"/>
      <c r="L7636" s="272">
        <f t="shared" si="551"/>
        <v>1900</v>
      </c>
      <c r="M7636" s="272">
        <f t="shared" si="552"/>
        <v>1</v>
      </c>
      <c r="O7636" s="61">
        <f t="shared" si="553"/>
        <v>1900</v>
      </c>
      <c r="P7636" s="61">
        <f t="shared" si="554"/>
        <v>1</v>
      </c>
    </row>
    <row r="7637" spans="9:16">
      <c r="I7637" s="213"/>
      <c r="J7637" s="213"/>
      <c r="L7637" s="272">
        <f t="shared" si="551"/>
        <v>1900</v>
      </c>
      <c r="M7637" s="272">
        <f t="shared" si="552"/>
        <v>1</v>
      </c>
      <c r="O7637" s="61">
        <f t="shared" si="553"/>
        <v>1900</v>
      </c>
      <c r="P7637" s="61">
        <f t="shared" si="554"/>
        <v>1</v>
      </c>
    </row>
    <row r="7638" spans="9:16">
      <c r="I7638" s="213"/>
      <c r="J7638" s="213"/>
      <c r="L7638" s="272">
        <f t="shared" si="551"/>
        <v>1900</v>
      </c>
      <c r="M7638" s="272">
        <f t="shared" si="552"/>
        <v>1</v>
      </c>
      <c r="O7638" s="61">
        <f t="shared" si="553"/>
        <v>1900</v>
      </c>
      <c r="P7638" s="61">
        <f t="shared" si="554"/>
        <v>1</v>
      </c>
    </row>
    <row r="7639" spans="9:16">
      <c r="I7639" s="213"/>
      <c r="J7639" s="213"/>
      <c r="L7639" s="272">
        <f t="shared" si="551"/>
        <v>1900</v>
      </c>
      <c r="M7639" s="272">
        <f t="shared" si="552"/>
        <v>1</v>
      </c>
      <c r="O7639" s="61">
        <f t="shared" si="553"/>
        <v>1900</v>
      </c>
      <c r="P7639" s="61">
        <f t="shared" si="554"/>
        <v>1</v>
      </c>
    </row>
    <row r="7640" spans="9:16">
      <c r="I7640" s="213"/>
      <c r="J7640" s="213"/>
      <c r="L7640" s="272">
        <f t="shared" si="551"/>
        <v>1900</v>
      </c>
      <c r="M7640" s="272">
        <f t="shared" si="552"/>
        <v>1</v>
      </c>
      <c r="O7640" s="61">
        <f t="shared" si="553"/>
        <v>1900</v>
      </c>
      <c r="P7640" s="61">
        <f t="shared" si="554"/>
        <v>1</v>
      </c>
    </row>
    <row r="7641" spans="9:16">
      <c r="I7641" s="213"/>
      <c r="J7641" s="213"/>
      <c r="L7641" s="272">
        <f t="shared" si="551"/>
        <v>1900</v>
      </c>
      <c r="M7641" s="272">
        <f t="shared" si="552"/>
        <v>1</v>
      </c>
      <c r="O7641" s="61">
        <f t="shared" si="553"/>
        <v>1900</v>
      </c>
      <c r="P7641" s="61">
        <f t="shared" si="554"/>
        <v>1</v>
      </c>
    </row>
    <row r="7642" spans="9:16">
      <c r="I7642" s="213"/>
      <c r="J7642" s="213"/>
      <c r="L7642" s="272">
        <f t="shared" si="551"/>
        <v>1900</v>
      </c>
      <c r="M7642" s="272">
        <f t="shared" si="552"/>
        <v>1</v>
      </c>
      <c r="O7642" s="61">
        <f t="shared" si="553"/>
        <v>1900</v>
      </c>
      <c r="P7642" s="61">
        <f t="shared" si="554"/>
        <v>1</v>
      </c>
    </row>
    <row r="7643" spans="9:16">
      <c r="I7643" s="213"/>
      <c r="J7643" s="213"/>
      <c r="L7643" s="272">
        <f t="shared" si="551"/>
        <v>1900</v>
      </c>
      <c r="M7643" s="272">
        <f t="shared" si="552"/>
        <v>1</v>
      </c>
      <c r="O7643" s="61">
        <f t="shared" si="553"/>
        <v>1900</v>
      </c>
      <c r="P7643" s="61">
        <f t="shared" si="554"/>
        <v>1</v>
      </c>
    </row>
    <row r="7644" spans="9:16">
      <c r="I7644" s="213"/>
      <c r="J7644" s="213"/>
      <c r="L7644" s="272">
        <f t="shared" si="551"/>
        <v>1900</v>
      </c>
      <c r="M7644" s="272">
        <f t="shared" si="552"/>
        <v>1</v>
      </c>
      <c r="O7644" s="61">
        <f t="shared" si="553"/>
        <v>1900</v>
      </c>
      <c r="P7644" s="61">
        <f t="shared" si="554"/>
        <v>1</v>
      </c>
    </row>
    <row r="7645" spans="9:16">
      <c r="I7645" s="213"/>
      <c r="J7645" s="213"/>
      <c r="L7645" s="272">
        <f t="shared" si="551"/>
        <v>1900</v>
      </c>
      <c r="M7645" s="272">
        <f t="shared" si="552"/>
        <v>1</v>
      </c>
      <c r="O7645" s="61">
        <f t="shared" si="553"/>
        <v>1900</v>
      </c>
      <c r="P7645" s="61">
        <f t="shared" si="554"/>
        <v>1</v>
      </c>
    </row>
    <row r="7646" spans="9:16">
      <c r="I7646" s="213"/>
      <c r="J7646" s="213"/>
      <c r="L7646" s="272">
        <f t="shared" si="551"/>
        <v>1900</v>
      </c>
      <c r="M7646" s="272">
        <f t="shared" si="552"/>
        <v>1</v>
      </c>
      <c r="O7646" s="61">
        <f t="shared" si="553"/>
        <v>1900</v>
      </c>
      <c r="P7646" s="61">
        <f t="shared" si="554"/>
        <v>1</v>
      </c>
    </row>
    <row r="7647" spans="9:16">
      <c r="I7647" s="213"/>
      <c r="J7647" s="213"/>
      <c r="L7647" s="272">
        <f t="shared" si="551"/>
        <v>1900</v>
      </c>
      <c r="M7647" s="272">
        <f t="shared" si="552"/>
        <v>1</v>
      </c>
      <c r="O7647" s="61">
        <f t="shared" si="553"/>
        <v>1900</v>
      </c>
      <c r="P7647" s="61">
        <f t="shared" si="554"/>
        <v>1</v>
      </c>
    </row>
    <row r="7648" spans="9:16">
      <c r="I7648" s="213"/>
      <c r="J7648" s="213"/>
      <c r="L7648" s="272">
        <f t="shared" si="551"/>
        <v>1900</v>
      </c>
      <c r="M7648" s="272">
        <f t="shared" si="552"/>
        <v>1</v>
      </c>
      <c r="O7648" s="61">
        <f t="shared" si="553"/>
        <v>1900</v>
      </c>
      <c r="P7648" s="61">
        <f t="shared" si="554"/>
        <v>1</v>
      </c>
    </row>
    <row r="7649" spans="9:16">
      <c r="I7649" s="213"/>
      <c r="J7649" s="213"/>
      <c r="L7649" s="272">
        <f t="shared" si="551"/>
        <v>1900</v>
      </c>
      <c r="M7649" s="272">
        <f t="shared" si="552"/>
        <v>1</v>
      </c>
      <c r="O7649" s="61">
        <f t="shared" si="553"/>
        <v>1900</v>
      </c>
      <c r="P7649" s="61">
        <f t="shared" si="554"/>
        <v>1</v>
      </c>
    </row>
    <row r="7650" spans="9:16">
      <c r="I7650" s="213"/>
      <c r="J7650" s="213"/>
      <c r="L7650" s="272">
        <f t="shared" si="551"/>
        <v>1900</v>
      </c>
      <c r="M7650" s="272">
        <f t="shared" si="552"/>
        <v>1</v>
      </c>
      <c r="O7650" s="61">
        <f t="shared" si="553"/>
        <v>1900</v>
      </c>
      <c r="P7650" s="61">
        <f t="shared" si="554"/>
        <v>1</v>
      </c>
    </row>
    <row r="7651" spans="9:16">
      <c r="I7651" s="213"/>
      <c r="J7651" s="213"/>
      <c r="L7651" s="272">
        <f t="shared" si="551"/>
        <v>1900</v>
      </c>
      <c r="M7651" s="272">
        <f t="shared" si="552"/>
        <v>1</v>
      </c>
      <c r="O7651" s="61">
        <f t="shared" si="553"/>
        <v>1900</v>
      </c>
      <c r="P7651" s="61">
        <f t="shared" si="554"/>
        <v>1</v>
      </c>
    </row>
    <row r="7652" spans="9:16">
      <c r="I7652" s="213"/>
      <c r="J7652" s="213"/>
      <c r="L7652" s="272">
        <f t="shared" si="551"/>
        <v>1900</v>
      </c>
      <c r="M7652" s="272">
        <f t="shared" si="552"/>
        <v>1</v>
      </c>
      <c r="O7652" s="61">
        <f t="shared" si="553"/>
        <v>1900</v>
      </c>
      <c r="P7652" s="61">
        <f t="shared" si="554"/>
        <v>1</v>
      </c>
    </row>
    <row r="7653" spans="9:16">
      <c r="I7653" s="213"/>
      <c r="J7653" s="213"/>
      <c r="L7653" s="272">
        <f t="shared" si="551"/>
        <v>1900</v>
      </c>
      <c r="M7653" s="272">
        <f t="shared" si="552"/>
        <v>1</v>
      </c>
      <c r="O7653" s="61">
        <f t="shared" si="553"/>
        <v>1900</v>
      </c>
      <c r="P7653" s="61">
        <f t="shared" si="554"/>
        <v>1</v>
      </c>
    </row>
    <row r="7654" spans="9:16">
      <c r="I7654" s="213"/>
      <c r="J7654" s="213"/>
      <c r="L7654" s="272">
        <f t="shared" si="551"/>
        <v>1900</v>
      </c>
      <c r="M7654" s="272">
        <f t="shared" si="552"/>
        <v>1</v>
      </c>
      <c r="O7654" s="61">
        <f t="shared" si="553"/>
        <v>1900</v>
      </c>
      <c r="P7654" s="61">
        <f t="shared" si="554"/>
        <v>1</v>
      </c>
    </row>
    <row r="7655" spans="9:16">
      <c r="I7655" s="213"/>
      <c r="J7655" s="213"/>
      <c r="L7655" s="272">
        <f t="shared" si="551"/>
        <v>1900</v>
      </c>
      <c r="M7655" s="272">
        <f t="shared" si="552"/>
        <v>1</v>
      </c>
      <c r="O7655" s="61">
        <f t="shared" si="553"/>
        <v>1900</v>
      </c>
      <c r="P7655" s="61">
        <f t="shared" si="554"/>
        <v>1</v>
      </c>
    </row>
    <row r="7656" spans="9:16">
      <c r="I7656" s="213"/>
      <c r="J7656" s="213"/>
      <c r="L7656" s="272">
        <f t="shared" si="551"/>
        <v>1900</v>
      </c>
      <c r="M7656" s="272">
        <f t="shared" si="552"/>
        <v>1</v>
      </c>
      <c r="O7656" s="61">
        <f t="shared" si="553"/>
        <v>1900</v>
      </c>
      <c r="P7656" s="61">
        <f t="shared" si="554"/>
        <v>1</v>
      </c>
    </row>
    <row r="7657" spans="9:16">
      <c r="I7657" s="213"/>
      <c r="J7657" s="213"/>
      <c r="L7657" s="272">
        <f t="shared" si="551"/>
        <v>1900</v>
      </c>
      <c r="M7657" s="272">
        <f t="shared" si="552"/>
        <v>1</v>
      </c>
      <c r="O7657" s="61">
        <f t="shared" si="553"/>
        <v>1900</v>
      </c>
      <c r="P7657" s="61">
        <f t="shared" si="554"/>
        <v>1</v>
      </c>
    </row>
    <row r="7658" spans="9:16">
      <c r="I7658" s="213"/>
      <c r="J7658" s="213"/>
      <c r="L7658" s="272">
        <f t="shared" si="551"/>
        <v>1900</v>
      </c>
      <c r="M7658" s="272">
        <f t="shared" si="552"/>
        <v>1</v>
      </c>
      <c r="O7658" s="61">
        <f t="shared" si="553"/>
        <v>1900</v>
      </c>
      <c r="P7658" s="61">
        <f t="shared" si="554"/>
        <v>1</v>
      </c>
    </row>
    <row r="7659" spans="9:16">
      <c r="I7659" s="213"/>
      <c r="J7659" s="213"/>
      <c r="L7659" s="272">
        <f t="shared" si="551"/>
        <v>1900</v>
      </c>
      <c r="M7659" s="272">
        <f t="shared" si="552"/>
        <v>1</v>
      </c>
      <c r="O7659" s="61">
        <f t="shared" si="553"/>
        <v>1900</v>
      </c>
      <c r="P7659" s="61">
        <f t="shared" si="554"/>
        <v>1</v>
      </c>
    </row>
    <row r="7660" spans="9:16">
      <c r="I7660" s="213"/>
      <c r="J7660" s="213"/>
      <c r="L7660" s="272">
        <f t="shared" si="551"/>
        <v>1900</v>
      </c>
      <c r="M7660" s="272">
        <f t="shared" si="552"/>
        <v>1</v>
      </c>
      <c r="O7660" s="61">
        <f t="shared" si="553"/>
        <v>1900</v>
      </c>
      <c r="P7660" s="61">
        <f t="shared" si="554"/>
        <v>1</v>
      </c>
    </row>
    <row r="7661" spans="9:16">
      <c r="I7661" s="213"/>
      <c r="J7661" s="213"/>
      <c r="L7661" s="272">
        <f t="shared" si="551"/>
        <v>1900</v>
      </c>
      <c r="M7661" s="272">
        <f t="shared" si="552"/>
        <v>1</v>
      </c>
      <c r="O7661" s="61">
        <f t="shared" si="553"/>
        <v>1900</v>
      </c>
      <c r="P7661" s="61">
        <f t="shared" si="554"/>
        <v>1</v>
      </c>
    </row>
    <row r="7662" spans="9:16">
      <c r="I7662" s="213"/>
      <c r="J7662" s="213"/>
      <c r="L7662" s="272">
        <f t="shared" si="551"/>
        <v>1900</v>
      </c>
      <c r="M7662" s="272">
        <f t="shared" si="552"/>
        <v>1</v>
      </c>
      <c r="O7662" s="61">
        <f t="shared" si="553"/>
        <v>1900</v>
      </c>
      <c r="P7662" s="61">
        <f t="shared" si="554"/>
        <v>1</v>
      </c>
    </row>
    <row r="7663" spans="9:16">
      <c r="I7663" s="213"/>
      <c r="J7663" s="213"/>
      <c r="L7663" s="272">
        <f t="shared" si="551"/>
        <v>1900</v>
      </c>
      <c r="M7663" s="272">
        <f t="shared" si="552"/>
        <v>1</v>
      </c>
      <c r="O7663" s="61">
        <f t="shared" si="553"/>
        <v>1900</v>
      </c>
      <c r="P7663" s="61">
        <f t="shared" si="554"/>
        <v>1</v>
      </c>
    </row>
    <row r="7664" spans="9:16">
      <c r="I7664" s="213"/>
      <c r="J7664" s="213"/>
      <c r="L7664" s="272">
        <f t="shared" si="551"/>
        <v>1900</v>
      </c>
      <c r="M7664" s="272">
        <f t="shared" si="552"/>
        <v>1</v>
      </c>
      <c r="O7664" s="61">
        <f t="shared" si="553"/>
        <v>1900</v>
      </c>
      <c r="P7664" s="61">
        <f t="shared" si="554"/>
        <v>1</v>
      </c>
    </row>
    <row r="7665" spans="9:16">
      <c r="I7665" s="213"/>
      <c r="J7665" s="213"/>
      <c r="L7665" s="272">
        <f t="shared" si="551"/>
        <v>1900</v>
      </c>
      <c r="M7665" s="272">
        <f t="shared" si="552"/>
        <v>1</v>
      </c>
      <c r="O7665" s="61">
        <f t="shared" si="553"/>
        <v>1900</v>
      </c>
      <c r="P7665" s="61">
        <f t="shared" si="554"/>
        <v>1</v>
      </c>
    </row>
    <row r="7666" spans="9:16">
      <c r="I7666" s="213"/>
      <c r="J7666" s="213"/>
      <c r="L7666" s="272">
        <f t="shared" si="551"/>
        <v>1900</v>
      </c>
      <c r="M7666" s="272">
        <f t="shared" si="552"/>
        <v>1</v>
      </c>
      <c r="O7666" s="61">
        <f t="shared" si="553"/>
        <v>1900</v>
      </c>
      <c r="P7666" s="61">
        <f t="shared" si="554"/>
        <v>1</v>
      </c>
    </row>
    <row r="7667" spans="9:16">
      <c r="I7667" s="213"/>
      <c r="J7667" s="213"/>
      <c r="L7667" s="272">
        <f t="shared" si="551"/>
        <v>1900</v>
      </c>
      <c r="M7667" s="272">
        <f t="shared" si="552"/>
        <v>1</v>
      </c>
      <c r="O7667" s="61">
        <f t="shared" si="553"/>
        <v>1900</v>
      </c>
      <c r="P7667" s="61">
        <f t="shared" si="554"/>
        <v>1</v>
      </c>
    </row>
    <row r="7668" spans="9:16">
      <c r="I7668" s="213"/>
      <c r="J7668" s="213"/>
      <c r="L7668" s="272">
        <f t="shared" si="551"/>
        <v>1900</v>
      </c>
      <c r="M7668" s="272">
        <f t="shared" si="552"/>
        <v>1</v>
      </c>
      <c r="O7668" s="61">
        <f t="shared" si="553"/>
        <v>1900</v>
      </c>
      <c r="P7668" s="61">
        <f t="shared" si="554"/>
        <v>1</v>
      </c>
    </row>
    <row r="7669" spans="9:16">
      <c r="I7669" s="213"/>
      <c r="J7669" s="213"/>
      <c r="L7669" s="272">
        <f t="shared" si="551"/>
        <v>1900</v>
      </c>
      <c r="M7669" s="272">
        <f t="shared" si="552"/>
        <v>1</v>
      </c>
      <c r="O7669" s="61">
        <f t="shared" si="553"/>
        <v>1900</v>
      </c>
      <c r="P7669" s="61">
        <f t="shared" si="554"/>
        <v>1</v>
      </c>
    </row>
    <row r="7670" spans="9:16">
      <c r="I7670" s="213"/>
      <c r="J7670" s="213"/>
      <c r="L7670" s="272">
        <f t="shared" si="551"/>
        <v>1900</v>
      </c>
      <c r="M7670" s="272">
        <f t="shared" si="552"/>
        <v>1</v>
      </c>
      <c r="O7670" s="61">
        <f t="shared" si="553"/>
        <v>1900</v>
      </c>
      <c r="P7670" s="61">
        <f t="shared" si="554"/>
        <v>1</v>
      </c>
    </row>
    <row r="7671" spans="9:16">
      <c r="I7671" s="213"/>
      <c r="J7671" s="213"/>
      <c r="L7671" s="272">
        <f t="shared" si="551"/>
        <v>1900</v>
      </c>
      <c r="M7671" s="272">
        <f t="shared" si="552"/>
        <v>1</v>
      </c>
      <c r="O7671" s="61">
        <f t="shared" si="553"/>
        <v>1900</v>
      </c>
      <c r="P7671" s="61">
        <f t="shared" si="554"/>
        <v>1</v>
      </c>
    </row>
    <row r="7672" spans="9:16">
      <c r="I7672" s="213"/>
      <c r="J7672" s="213"/>
      <c r="L7672" s="272">
        <f t="shared" si="551"/>
        <v>1900</v>
      </c>
      <c r="M7672" s="272">
        <f t="shared" si="552"/>
        <v>1</v>
      </c>
      <c r="O7672" s="61">
        <f t="shared" si="553"/>
        <v>1900</v>
      </c>
      <c r="P7672" s="61">
        <f t="shared" si="554"/>
        <v>1</v>
      </c>
    </row>
    <row r="7673" spans="9:16">
      <c r="I7673" s="213"/>
      <c r="J7673" s="213"/>
      <c r="L7673" s="272">
        <f t="shared" si="551"/>
        <v>1900</v>
      </c>
      <c r="M7673" s="272">
        <f t="shared" si="552"/>
        <v>1</v>
      </c>
      <c r="O7673" s="61">
        <f t="shared" si="553"/>
        <v>1900</v>
      </c>
      <c r="P7673" s="61">
        <f t="shared" si="554"/>
        <v>1</v>
      </c>
    </row>
    <row r="7674" spans="9:16">
      <c r="I7674" s="213"/>
      <c r="J7674" s="213"/>
      <c r="L7674" s="272">
        <f t="shared" si="551"/>
        <v>1900</v>
      </c>
      <c r="M7674" s="272">
        <f t="shared" si="552"/>
        <v>1</v>
      </c>
      <c r="O7674" s="61">
        <f t="shared" si="553"/>
        <v>1900</v>
      </c>
      <c r="P7674" s="61">
        <f t="shared" si="554"/>
        <v>1</v>
      </c>
    </row>
    <row r="7675" spans="9:16">
      <c r="I7675" s="213"/>
      <c r="J7675" s="213"/>
      <c r="L7675" s="272">
        <f t="shared" si="551"/>
        <v>1900</v>
      </c>
      <c r="M7675" s="272">
        <f t="shared" si="552"/>
        <v>1</v>
      </c>
      <c r="O7675" s="61">
        <f t="shared" si="553"/>
        <v>1900</v>
      </c>
      <c r="P7675" s="61">
        <f t="shared" si="554"/>
        <v>1</v>
      </c>
    </row>
    <row r="7676" spans="9:16">
      <c r="I7676" s="213"/>
      <c r="J7676" s="213"/>
      <c r="L7676" s="272">
        <f t="shared" si="551"/>
        <v>1900</v>
      </c>
      <c r="M7676" s="272">
        <f t="shared" si="552"/>
        <v>1</v>
      </c>
      <c r="O7676" s="61">
        <f t="shared" si="553"/>
        <v>1900</v>
      </c>
      <c r="P7676" s="61">
        <f t="shared" si="554"/>
        <v>1</v>
      </c>
    </row>
    <row r="7677" spans="9:16">
      <c r="I7677" s="213"/>
      <c r="J7677" s="213"/>
      <c r="L7677" s="272">
        <f t="shared" si="551"/>
        <v>1900</v>
      </c>
      <c r="M7677" s="272">
        <f t="shared" si="552"/>
        <v>1</v>
      </c>
      <c r="O7677" s="61">
        <f t="shared" si="553"/>
        <v>1900</v>
      </c>
      <c r="P7677" s="61">
        <f t="shared" si="554"/>
        <v>1</v>
      </c>
    </row>
    <row r="7678" spans="9:16">
      <c r="I7678" s="213"/>
      <c r="J7678" s="213"/>
      <c r="L7678" s="272">
        <f t="shared" si="551"/>
        <v>1900</v>
      </c>
      <c r="M7678" s="272">
        <f t="shared" si="552"/>
        <v>1</v>
      </c>
      <c r="O7678" s="61">
        <f t="shared" si="553"/>
        <v>1900</v>
      </c>
      <c r="P7678" s="61">
        <f t="shared" si="554"/>
        <v>1</v>
      </c>
    </row>
    <row r="7679" spans="9:16">
      <c r="I7679" s="213"/>
      <c r="J7679" s="213"/>
      <c r="L7679" s="272">
        <f t="shared" si="551"/>
        <v>1900</v>
      </c>
      <c r="M7679" s="272">
        <f t="shared" si="552"/>
        <v>1</v>
      </c>
      <c r="O7679" s="61">
        <f t="shared" si="553"/>
        <v>1900</v>
      </c>
      <c r="P7679" s="61">
        <f t="shared" si="554"/>
        <v>1</v>
      </c>
    </row>
    <row r="7680" spans="9:16">
      <c r="I7680" s="213"/>
      <c r="J7680" s="213"/>
      <c r="L7680" s="272">
        <f t="shared" si="551"/>
        <v>1900</v>
      </c>
      <c r="M7680" s="272">
        <f t="shared" si="552"/>
        <v>1</v>
      </c>
      <c r="O7680" s="61">
        <f t="shared" si="553"/>
        <v>1900</v>
      </c>
      <c r="P7680" s="61">
        <f t="shared" si="554"/>
        <v>1</v>
      </c>
    </row>
    <row r="7681" spans="9:16">
      <c r="I7681" s="213"/>
      <c r="J7681" s="213"/>
      <c r="L7681" s="272">
        <f t="shared" si="551"/>
        <v>1900</v>
      </c>
      <c r="M7681" s="272">
        <f t="shared" si="552"/>
        <v>1</v>
      </c>
      <c r="O7681" s="61">
        <f t="shared" si="553"/>
        <v>1900</v>
      </c>
      <c r="P7681" s="61">
        <f t="shared" si="554"/>
        <v>1</v>
      </c>
    </row>
    <row r="7682" spans="9:16">
      <c r="I7682" s="213"/>
      <c r="J7682" s="213"/>
      <c r="L7682" s="272">
        <f t="shared" si="551"/>
        <v>1900</v>
      </c>
      <c r="M7682" s="272">
        <f t="shared" si="552"/>
        <v>1</v>
      </c>
      <c r="O7682" s="61">
        <f t="shared" si="553"/>
        <v>1900</v>
      </c>
      <c r="P7682" s="61">
        <f t="shared" si="554"/>
        <v>1</v>
      </c>
    </row>
    <row r="7683" spans="9:16">
      <c r="I7683" s="213"/>
      <c r="J7683" s="213"/>
      <c r="L7683" s="272">
        <f t="shared" si="551"/>
        <v>1900</v>
      </c>
      <c r="M7683" s="272">
        <f t="shared" si="552"/>
        <v>1</v>
      </c>
      <c r="O7683" s="61">
        <f t="shared" si="553"/>
        <v>1900</v>
      </c>
      <c r="P7683" s="61">
        <f t="shared" si="554"/>
        <v>1</v>
      </c>
    </row>
    <row r="7684" spans="9:16">
      <c r="I7684" s="213"/>
      <c r="J7684" s="213"/>
      <c r="L7684" s="272">
        <f t="shared" si="551"/>
        <v>1900</v>
      </c>
      <c r="M7684" s="272">
        <f t="shared" si="552"/>
        <v>1</v>
      </c>
      <c r="O7684" s="61">
        <f t="shared" si="553"/>
        <v>1900</v>
      </c>
      <c r="P7684" s="61">
        <f t="shared" si="554"/>
        <v>1</v>
      </c>
    </row>
    <row r="7685" spans="9:16">
      <c r="I7685" s="213"/>
      <c r="J7685" s="213"/>
      <c r="L7685" s="272">
        <f t="shared" si="551"/>
        <v>1900</v>
      </c>
      <c r="M7685" s="272">
        <f t="shared" si="552"/>
        <v>1</v>
      </c>
      <c r="O7685" s="61">
        <f t="shared" si="553"/>
        <v>1900</v>
      </c>
      <c r="P7685" s="61">
        <f t="shared" si="554"/>
        <v>1</v>
      </c>
    </row>
    <row r="7686" spans="9:16">
      <c r="I7686" s="213"/>
      <c r="J7686" s="213"/>
      <c r="L7686" s="272">
        <f t="shared" si="551"/>
        <v>1900</v>
      </c>
      <c r="M7686" s="272">
        <f t="shared" si="552"/>
        <v>1</v>
      </c>
      <c r="O7686" s="61">
        <f t="shared" si="553"/>
        <v>1900</v>
      </c>
      <c r="P7686" s="61">
        <f t="shared" si="554"/>
        <v>1</v>
      </c>
    </row>
    <row r="7687" spans="9:16">
      <c r="I7687" s="213"/>
      <c r="J7687" s="213"/>
      <c r="L7687" s="272">
        <f t="shared" si="551"/>
        <v>1900</v>
      </c>
      <c r="M7687" s="272">
        <f t="shared" si="552"/>
        <v>1</v>
      </c>
      <c r="O7687" s="61">
        <f t="shared" si="553"/>
        <v>1900</v>
      </c>
      <c r="P7687" s="61">
        <f t="shared" si="554"/>
        <v>1</v>
      </c>
    </row>
    <row r="7688" spans="9:16">
      <c r="I7688" s="213"/>
      <c r="J7688" s="213"/>
      <c r="L7688" s="272">
        <f t="shared" si="551"/>
        <v>1900</v>
      </c>
      <c r="M7688" s="272">
        <f t="shared" si="552"/>
        <v>1</v>
      </c>
      <c r="O7688" s="61">
        <f t="shared" si="553"/>
        <v>1900</v>
      </c>
      <c r="P7688" s="61">
        <f t="shared" si="554"/>
        <v>1</v>
      </c>
    </row>
    <row r="7689" spans="9:16">
      <c r="I7689" s="213"/>
      <c r="J7689" s="213"/>
      <c r="L7689" s="272">
        <f t="shared" si="551"/>
        <v>1900</v>
      </c>
      <c r="M7689" s="272">
        <f t="shared" si="552"/>
        <v>1</v>
      </c>
      <c r="O7689" s="61">
        <f t="shared" si="553"/>
        <v>1900</v>
      </c>
      <c r="P7689" s="61">
        <f t="shared" si="554"/>
        <v>1</v>
      </c>
    </row>
    <row r="7690" spans="9:16">
      <c r="I7690" s="213"/>
      <c r="J7690" s="213"/>
      <c r="L7690" s="272">
        <f t="shared" si="551"/>
        <v>1900</v>
      </c>
      <c r="M7690" s="272">
        <f t="shared" si="552"/>
        <v>1</v>
      </c>
      <c r="O7690" s="61">
        <f t="shared" si="553"/>
        <v>1900</v>
      </c>
      <c r="P7690" s="61">
        <f t="shared" si="554"/>
        <v>1</v>
      </c>
    </row>
    <row r="7691" spans="9:16">
      <c r="I7691" s="213"/>
      <c r="J7691" s="213"/>
      <c r="L7691" s="272">
        <f t="shared" si="551"/>
        <v>1900</v>
      </c>
      <c r="M7691" s="272">
        <f t="shared" si="552"/>
        <v>1</v>
      </c>
      <c r="O7691" s="61">
        <f t="shared" si="553"/>
        <v>1900</v>
      </c>
      <c r="P7691" s="61">
        <f t="shared" si="554"/>
        <v>1</v>
      </c>
    </row>
    <row r="7692" spans="9:16">
      <c r="I7692" s="213"/>
      <c r="J7692" s="213"/>
      <c r="L7692" s="272">
        <f t="shared" si="551"/>
        <v>1900</v>
      </c>
      <c r="M7692" s="272">
        <f t="shared" si="552"/>
        <v>1</v>
      </c>
      <c r="O7692" s="61">
        <f t="shared" si="553"/>
        <v>1900</v>
      </c>
      <c r="P7692" s="61">
        <f t="shared" si="554"/>
        <v>1</v>
      </c>
    </row>
    <row r="7693" spans="9:16">
      <c r="I7693" s="213"/>
      <c r="J7693" s="213"/>
      <c r="L7693" s="272">
        <f t="shared" si="551"/>
        <v>1900</v>
      </c>
      <c r="M7693" s="272">
        <f t="shared" si="552"/>
        <v>1</v>
      </c>
      <c r="O7693" s="61">
        <f t="shared" si="553"/>
        <v>1900</v>
      </c>
      <c r="P7693" s="61">
        <f t="shared" si="554"/>
        <v>1</v>
      </c>
    </row>
    <row r="7694" spans="9:16">
      <c r="I7694" s="213"/>
      <c r="J7694" s="213"/>
      <c r="L7694" s="272">
        <f t="shared" si="551"/>
        <v>1900</v>
      </c>
      <c r="M7694" s="272">
        <f t="shared" si="552"/>
        <v>1</v>
      </c>
      <c r="O7694" s="61">
        <f t="shared" si="553"/>
        <v>1900</v>
      </c>
      <c r="P7694" s="61">
        <f t="shared" si="554"/>
        <v>1</v>
      </c>
    </row>
    <row r="7695" spans="9:16">
      <c r="I7695" s="213"/>
      <c r="J7695" s="213"/>
      <c r="L7695" s="272">
        <f t="shared" si="551"/>
        <v>1900</v>
      </c>
      <c r="M7695" s="272">
        <f t="shared" si="552"/>
        <v>1</v>
      </c>
      <c r="O7695" s="61">
        <f t="shared" si="553"/>
        <v>1900</v>
      </c>
      <c r="P7695" s="61">
        <f t="shared" si="554"/>
        <v>1</v>
      </c>
    </row>
    <row r="7696" spans="9:16">
      <c r="I7696" s="213"/>
      <c r="J7696" s="213"/>
      <c r="L7696" s="272">
        <f t="shared" ref="L7696:L7759" si="555">YEAR(B7696)</f>
        <v>1900</v>
      </c>
      <c r="M7696" s="272">
        <f t="shared" ref="M7696:M7759" si="556">MONTH(B7696)</f>
        <v>1</v>
      </c>
      <c r="O7696" s="61">
        <f t="shared" ref="O7696:O7759" si="557">YEAR(B7696)</f>
        <v>1900</v>
      </c>
      <c r="P7696" s="61">
        <f t="shared" ref="P7696:P7759" si="558">MONTH(B7696)</f>
        <v>1</v>
      </c>
    </row>
    <row r="7697" spans="9:16">
      <c r="I7697" s="213"/>
      <c r="J7697" s="213"/>
      <c r="L7697" s="272">
        <f t="shared" si="555"/>
        <v>1900</v>
      </c>
      <c r="M7697" s="272">
        <f t="shared" si="556"/>
        <v>1</v>
      </c>
      <c r="O7697" s="61">
        <f t="shared" si="557"/>
        <v>1900</v>
      </c>
      <c r="P7697" s="61">
        <f t="shared" si="558"/>
        <v>1</v>
      </c>
    </row>
    <row r="7698" spans="9:16">
      <c r="I7698" s="213"/>
      <c r="J7698" s="213"/>
      <c r="L7698" s="272">
        <f t="shared" si="555"/>
        <v>1900</v>
      </c>
      <c r="M7698" s="272">
        <f t="shared" si="556"/>
        <v>1</v>
      </c>
      <c r="O7698" s="61">
        <f t="shared" si="557"/>
        <v>1900</v>
      </c>
      <c r="P7698" s="61">
        <f t="shared" si="558"/>
        <v>1</v>
      </c>
    </row>
    <row r="7699" spans="9:16">
      <c r="I7699" s="213"/>
      <c r="J7699" s="213"/>
      <c r="L7699" s="272">
        <f t="shared" si="555"/>
        <v>1900</v>
      </c>
      <c r="M7699" s="272">
        <f t="shared" si="556"/>
        <v>1</v>
      </c>
      <c r="O7699" s="61">
        <f t="shared" si="557"/>
        <v>1900</v>
      </c>
      <c r="P7699" s="61">
        <f t="shared" si="558"/>
        <v>1</v>
      </c>
    </row>
    <row r="7700" spans="9:16">
      <c r="I7700" s="213"/>
      <c r="J7700" s="213"/>
      <c r="L7700" s="272">
        <f t="shared" si="555"/>
        <v>1900</v>
      </c>
      <c r="M7700" s="272">
        <f t="shared" si="556"/>
        <v>1</v>
      </c>
      <c r="O7700" s="61">
        <f t="shared" si="557"/>
        <v>1900</v>
      </c>
      <c r="P7700" s="61">
        <f t="shared" si="558"/>
        <v>1</v>
      </c>
    </row>
    <row r="7701" spans="9:16">
      <c r="I7701" s="213"/>
      <c r="J7701" s="213"/>
      <c r="L7701" s="272">
        <f t="shared" si="555"/>
        <v>1900</v>
      </c>
      <c r="M7701" s="272">
        <f t="shared" si="556"/>
        <v>1</v>
      </c>
      <c r="O7701" s="61">
        <f t="shared" si="557"/>
        <v>1900</v>
      </c>
      <c r="P7701" s="61">
        <f t="shared" si="558"/>
        <v>1</v>
      </c>
    </row>
    <row r="7702" spans="9:16">
      <c r="I7702" s="213"/>
      <c r="J7702" s="213"/>
      <c r="L7702" s="272">
        <f t="shared" si="555"/>
        <v>1900</v>
      </c>
      <c r="M7702" s="272">
        <f t="shared" si="556"/>
        <v>1</v>
      </c>
      <c r="O7702" s="61">
        <f t="shared" si="557"/>
        <v>1900</v>
      </c>
      <c r="P7702" s="61">
        <f t="shared" si="558"/>
        <v>1</v>
      </c>
    </row>
    <row r="7703" spans="9:16">
      <c r="I7703" s="213"/>
      <c r="J7703" s="213"/>
      <c r="L7703" s="272">
        <f t="shared" si="555"/>
        <v>1900</v>
      </c>
      <c r="M7703" s="272">
        <f t="shared" si="556"/>
        <v>1</v>
      </c>
      <c r="O7703" s="61">
        <f t="shared" si="557"/>
        <v>1900</v>
      </c>
      <c r="P7703" s="61">
        <f t="shared" si="558"/>
        <v>1</v>
      </c>
    </row>
    <row r="7704" spans="9:16">
      <c r="I7704" s="213"/>
      <c r="J7704" s="213"/>
      <c r="L7704" s="272">
        <f t="shared" si="555"/>
        <v>1900</v>
      </c>
      <c r="M7704" s="272">
        <f t="shared" si="556"/>
        <v>1</v>
      </c>
      <c r="O7704" s="61">
        <f t="shared" si="557"/>
        <v>1900</v>
      </c>
      <c r="P7704" s="61">
        <f t="shared" si="558"/>
        <v>1</v>
      </c>
    </row>
    <row r="7705" spans="9:16">
      <c r="I7705" s="213"/>
      <c r="J7705" s="213"/>
      <c r="L7705" s="272">
        <f t="shared" si="555"/>
        <v>1900</v>
      </c>
      <c r="M7705" s="272">
        <f t="shared" si="556"/>
        <v>1</v>
      </c>
      <c r="O7705" s="61">
        <f t="shared" si="557"/>
        <v>1900</v>
      </c>
      <c r="P7705" s="61">
        <f t="shared" si="558"/>
        <v>1</v>
      </c>
    </row>
    <row r="7706" spans="9:16">
      <c r="I7706" s="213"/>
      <c r="J7706" s="213"/>
      <c r="L7706" s="272">
        <f t="shared" si="555"/>
        <v>1900</v>
      </c>
      <c r="M7706" s="272">
        <f t="shared" si="556"/>
        <v>1</v>
      </c>
      <c r="O7706" s="61">
        <f t="shared" si="557"/>
        <v>1900</v>
      </c>
      <c r="P7706" s="61">
        <f t="shared" si="558"/>
        <v>1</v>
      </c>
    </row>
    <row r="7707" spans="9:16">
      <c r="I7707" s="213"/>
      <c r="J7707" s="213"/>
      <c r="L7707" s="272">
        <f t="shared" si="555"/>
        <v>1900</v>
      </c>
      <c r="M7707" s="272">
        <f t="shared" si="556"/>
        <v>1</v>
      </c>
      <c r="O7707" s="61">
        <f t="shared" si="557"/>
        <v>1900</v>
      </c>
      <c r="P7707" s="61">
        <f t="shared" si="558"/>
        <v>1</v>
      </c>
    </row>
    <row r="7708" spans="9:16">
      <c r="I7708" s="213"/>
      <c r="J7708" s="213"/>
      <c r="L7708" s="272">
        <f t="shared" si="555"/>
        <v>1900</v>
      </c>
      <c r="M7708" s="272">
        <f t="shared" si="556"/>
        <v>1</v>
      </c>
      <c r="O7708" s="61">
        <f t="shared" si="557"/>
        <v>1900</v>
      </c>
      <c r="P7708" s="61">
        <f t="shared" si="558"/>
        <v>1</v>
      </c>
    </row>
    <row r="7709" spans="9:16">
      <c r="I7709" s="213"/>
      <c r="J7709" s="213"/>
      <c r="L7709" s="272">
        <f t="shared" si="555"/>
        <v>1900</v>
      </c>
      <c r="M7709" s="272">
        <f t="shared" si="556"/>
        <v>1</v>
      </c>
      <c r="O7709" s="61">
        <f t="shared" si="557"/>
        <v>1900</v>
      </c>
      <c r="P7709" s="61">
        <f t="shared" si="558"/>
        <v>1</v>
      </c>
    </row>
    <row r="7710" spans="9:16">
      <c r="I7710" s="213"/>
      <c r="J7710" s="213"/>
      <c r="L7710" s="272">
        <f t="shared" si="555"/>
        <v>1900</v>
      </c>
      <c r="M7710" s="272">
        <f t="shared" si="556"/>
        <v>1</v>
      </c>
      <c r="O7710" s="61">
        <f t="shared" si="557"/>
        <v>1900</v>
      </c>
      <c r="P7710" s="61">
        <f t="shared" si="558"/>
        <v>1</v>
      </c>
    </row>
    <row r="7711" spans="9:16">
      <c r="I7711" s="213"/>
      <c r="J7711" s="213"/>
      <c r="L7711" s="272">
        <f t="shared" si="555"/>
        <v>1900</v>
      </c>
      <c r="M7711" s="272">
        <f t="shared" si="556"/>
        <v>1</v>
      </c>
      <c r="O7711" s="61">
        <f t="shared" si="557"/>
        <v>1900</v>
      </c>
      <c r="P7711" s="61">
        <f t="shared" si="558"/>
        <v>1</v>
      </c>
    </row>
    <row r="7712" spans="9:16">
      <c r="I7712" s="213"/>
      <c r="J7712" s="213"/>
      <c r="L7712" s="272">
        <f t="shared" si="555"/>
        <v>1900</v>
      </c>
      <c r="M7712" s="272">
        <f t="shared" si="556"/>
        <v>1</v>
      </c>
      <c r="O7712" s="61">
        <f t="shared" si="557"/>
        <v>1900</v>
      </c>
      <c r="P7712" s="61">
        <f t="shared" si="558"/>
        <v>1</v>
      </c>
    </row>
    <row r="7713" spans="9:16">
      <c r="I7713" s="213"/>
      <c r="J7713" s="213"/>
      <c r="L7713" s="272">
        <f t="shared" si="555"/>
        <v>1900</v>
      </c>
      <c r="M7713" s="272">
        <f t="shared" si="556"/>
        <v>1</v>
      </c>
      <c r="O7713" s="61">
        <f t="shared" si="557"/>
        <v>1900</v>
      </c>
      <c r="P7713" s="61">
        <f t="shared" si="558"/>
        <v>1</v>
      </c>
    </row>
    <row r="7714" spans="9:16">
      <c r="I7714" s="213"/>
      <c r="J7714" s="213"/>
      <c r="L7714" s="272">
        <f t="shared" si="555"/>
        <v>1900</v>
      </c>
      <c r="M7714" s="272">
        <f t="shared" si="556"/>
        <v>1</v>
      </c>
      <c r="O7714" s="61">
        <f t="shared" si="557"/>
        <v>1900</v>
      </c>
      <c r="P7714" s="61">
        <f t="shared" si="558"/>
        <v>1</v>
      </c>
    </row>
    <row r="7715" spans="9:16">
      <c r="I7715" s="213"/>
      <c r="J7715" s="213"/>
      <c r="L7715" s="272">
        <f t="shared" si="555"/>
        <v>1900</v>
      </c>
      <c r="M7715" s="272">
        <f t="shared" si="556"/>
        <v>1</v>
      </c>
      <c r="O7715" s="61">
        <f t="shared" si="557"/>
        <v>1900</v>
      </c>
      <c r="P7715" s="61">
        <f t="shared" si="558"/>
        <v>1</v>
      </c>
    </row>
    <row r="7716" spans="9:16">
      <c r="I7716" s="213"/>
      <c r="J7716" s="213"/>
      <c r="L7716" s="272">
        <f t="shared" si="555"/>
        <v>1900</v>
      </c>
      <c r="M7716" s="272">
        <f t="shared" si="556"/>
        <v>1</v>
      </c>
      <c r="O7716" s="61">
        <f t="shared" si="557"/>
        <v>1900</v>
      </c>
      <c r="P7716" s="61">
        <f t="shared" si="558"/>
        <v>1</v>
      </c>
    </row>
    <row r="7717" spans="9:16">
      <c r="I7717" s="213"/>
      <c r="J7717" s="213"/>
      <c r="L7717" s="272">
        <f t="shared" si="555"/>
        <v>1900</v>
      </c>
      <c r="M7717" s="272">
        <f t="shared" si="556"/>
        <v>1</v>
      </c>
      <c r="O7717" s="61">
        <f t="shared" si="557"/>
        <v>1900</v>
      </c>
      <c r="P7717" s="61">
        <f t="shared" si="558"/>
        <v>1</v>
      </c>
    </row>
    <row r="7718" spans="9:16">
      <c r="I7718" s="213"/>
      <c r="J7718" s="213"/>
      <c r="L7718" s="272">
        <f t="shared" si="555"/>
        <v>1900</v>
      </c>
      <c r="M7718" s="272">
        <f t="shared" si="556"/>
        <v>1</v>
      </c>
      <c r="O7718" s="61">
        <f t="shared" si="557"/>
        <v>1900</v>
      </c>
      <c r="P7718" s="61">
        <f t="shared" si="558"/>
        <v>1</v>
      </c>
    </row>
    <row r="7719" spans="9:16">
      <c r="I7719" s="213"/>
      <c r="J7719" s="213"/>
      <c r="L7719" s="272">
        <f t="shared" si="555"/>
        <v>1900</v>
      </c>
      <c r="M7719" s="272">
        <f t="shared" si="556"/>
        <v>1</v>
      </c>
      <c r="O7719" s="61">
        <f t="shared" si="557"/>
        <v>1900</v>
      </c>
      <c r="P7719" s="61">
        <f t="shared" si="558"/>
        <v>1</v>
      </c>
    </row>
    <row r="7720" spans="9:16">
      <c r="I7720" s="213"/>
      <c r="J7720" s="213"/>
      <c r="L7720" s="272">
        <f t="shared" si="555"/>
        <v>1900</v>
      </c>
      <c r="M7720" s="272">
        <f t="shared" si="556"/>
        <v>1</v>
      </c>
      <c r="O7720" s="61">
        <f t="shared" si="557"/>
        <v>1900</v>
      </c>
      <c r="P7720" s="61">
        <f t="shared" si="558"/>
        <v>1</v>
      </c>
    </row>
    <row r="7721" spans="9:16">
      <c r="I7721" s="213"/>
      <c r="J7721" s="213"/>
      <c r="L7721" s="272">
        <f t="shared" si="555"/>
        <v>1900</v>
      </c>
      <c r="M7721" s="272">
        <f t="shared" si="556"/>
        <v>1</v>
      </c>
      <c r="O7721" s="61">
        <f t="shared" si="557"/>
        <v>1900</v>
      </c>
      <c r="P7721" s="61">
        <f t="shared" si="558"/>
        <v>1</v>
      </c>
    </row>
    <row r="7722" spans="9:16">
      <c r="I7722" s="213"/>
      <c r="J7722" s="213"/>
      <c r="L7722" s="272">
        <f t="shared" si="555"/>
        <v>1900</v>
      </c>
      <c r="M7722" s="272">
        <f t="shared" si="556"/>
        <v>1</v>
      </c>
      <c r="O7722" s="61">
        <f t="shared" si="557"/>
        <v>1900</v>
      </c>
      <c r="P7722" s="61">
        <f t="shared" si="558"/>
        <v>1</v>
      </c>
    </row>
    <row r="7723" spans="9:16">
      <c r="I7723" s="213"/>
      <c r="J7723" s="213"/>
      <c r="L7723" s="272">
        <f t="shared" si="555"/>
        <v>1900</v>
      </c>
      <c r="M7723" s="272">
        <f t="shared" si="556"/>
        <v>1</v>
      </c>
      <c r="O7723" s="61">
        <f t="shared" si="557"/>
        <v>1900</v>
      </c>
      <c r="P7723" s="61">
        <f t="shared" si="558"/>
        <v>1</v>
      </c>
    </row>
    <row r="7724" spans="9:16">
      <c r="I7724" s="213"/>
      <c r="J7724" s="213"/>
      <c r="L7724" s="272">
        <f t="shared" si="555"/>
        <v>1900</v>
      </c>
      <c r="M7724" s="272">
        <f t="shared" si="556"/>
        <v>1</v>
      </c>
      <c r="O7724" s="61">
        <f t="shared" si="557"/>
        <v>1900</v>
      </c>
      <c r="P7724" s="61">
        <f t="shared" si="558"/>
        <v>1</v>
      </c>
    </row>
    <row r="7725" spans="9:16">
      <c r="I7725" s="213"/>
      <c r="J7725" s="213"/>
      <c r="L7725" s="272">
        <f t="shared" si="555"/>
        <v>1900</v>
      </c>
      <c r="M7725" s="272">
        <f t="shared" si="556"/>
        <v>1</v>
      </c>
      <c r="O7725" s="61">
        <f t="shared" si="557"/>
        <v>1900</v>
      </c>
      <c r="P7725" s="61">
        <f t="shared" si="558"/>
        <v>1</v>
      </c>
    </row>
    <row r="7726" spans="9:16">
      <c r="I7726" s="213"/>
      <c r="J7726" s="213"/>
      <c r="L7726" s="272">
        <f t="shared" si="555"/>
        <v>1900</v>
      </c>
      <c r="M7726" s="272">
        <f t="shared" si="556"/>
        <v>1</v>
      </c>
      <c r="O7726" s="61">
        <f t="shared" si="557"/>
        <v>1900</v>
      </c>
      <c r="P7726" s="61">
        <f t="shared" si="558"/>
        <v>1</v>
      </c>
    </row>
    <row r="7727" spans="9:16">
      <c r="I7727" s="213"/>
      <c r="J7727" s="213"/>
      <c r="L7727" s="272">
        <f t="shared" si="555"/>
        <v>1900</v>
      </c>
      <c r="M7727" s="272">
        <f t="shared" si="556"/>
        <v>1</v>
      </c>
      <c r="O7727" s="61">
        <f t="shared" si="557"/>
        <v>1900</v>
      </c>
      <c r="P7727" s="61">
        <f t="shared" si="558"/>
        <v>1</v>
      </c>
    </row>
    <row r="7728" spans="9:16">
      <c r="I7728" s="213"/>
      <c r="J7728" s="213"/>
      <c r="L7728" s="272">
        <f t="shared" si="555"/>
        <v>1900</v>
      </c>
      <c r="M7728" s="272">
        <f t="shared" si="556"/>
        <v>1</v>
      </c>
      <c r="O7728" s="61">
        <f t="shared" si="557"/>
        <v>1900</v>
      </c>
      <c r="P7728" s="61">
        <f t="shared" si="558"/>
        <v>1</v>
      </c>
    </row>
    <row r="7729" spans="9:16">
      <c r="I7729" s="213"/>
      <c r="J7729" s="213"/>
      <c r="L7729" s="272">
        <f t="shared" si="555"/>
        <v>1900</v>
      </c>
      <c r="M7729" s="272">
        <f t="shared" si="556"/>
        <v>1</v>
      </c>
      <c r="O7729" s="61">
        <f t="shared" si="557"/>
        <v>1900</v>
      </c>
      <c r="P7729" s="61">
        <f t="shared" si="558"/>
        <v>1</v>
      </c>
    </row>
    <row r="7730" spans="9:16">
      <c r="I7730" s="213"/>
      <c r="J7730" s="213"/>
      <c r="L7730" s="272">
        <f t="shared" si="555"/>
        <v>1900</v>
      </c>
      <c r="M7730" s="272">
        <f t="shared" si="556"/>
        <v>1</v>
      </c>
      <c r="O7730" s="61">
        <f t="shared" si="557"/>
        <v>1900</v>
      </c>
      <c r="P7730" s="61">
        <f t="shared" si="558"/>
        <v>1</v>
      </c>
    </row>
    <row r="7731" spans="9:16">
      <c r="I7731" s="213"/>
      <c r="J7731" s="213"/>
      <c r="L7731" s="272">
        <f t="shared" si="555"/>
        <v>1900</v>
      </c>
      <c r="M7731" s="272">
        <f t="shared" si="556"/>
        <v>1</v>
      </c>
      <c r="O7731" s="61">
        <f t="shared" si="557"/>
        <v>1900</v>
      </c>
      <c r="P7731" s="61">
        <f t="shared" si="558"/>
        <v>1</v>
      </c>
    </row>
    <row r="7732" spans="9:16">
      <c r="I7732" s="213"/>
      <c r="J7732" s="213"/>
      <c r="L7732" s="272">
        <f t="shared" si="555"/>
        <v>1900</v>
      </c>
      <c r="M7732" s="272">
        <f t="shared" si="556"/>
        <v>1</v>
      </c>
      <c r="O7732" s="61">
        <f t="shared" si="557"/>
        <v>1900</v>
      </c>
      <c r="P7732" s="61">
        <f t="shared" si="558"/>
        <v>1</v>
      </c>
    </row>
    <row r="7733" spans="9:16">
      <c r="I7733" s="213"/>
      <c r="J7733" s="213"/>
      <c r="L7733" s="272">
        <f t="shared" si="555"/>
        <v>1900</v>
      </c>
      <c r="M7733" s="272">
        <f t="shared" si="556"/>
        <v>1</v>
      </c>
      <c r="O7733" s="61">
        <f t="shared" si="557"/>
        <v>1900</v>
      </c>
      <c r="P7733" s="61">
        <f t="shared" si="558"/>
        <v>1</v>
      </c>
    </row>
    <row r="7734" spans="9:16">
      <c r="I7734" s="213"/>
      <c r="J7734" s="213"/>
      <c r="L7734" s="272">
        <f t="shared" si="555"/>
        <v>1900</v>
      </c>
      <c r="M7734" s="272">
        <f t="shared" si="556"/>
        <v>1</v>
      </c>
      <c r="O7734" s="61">
        <f t="shared" si="557"/>
        <v>1900</v>
      </c>
      <c r="P7734" s="61">
        <f t="shared" si="558"/>
        <v>1</v>
      </c>
    </row>
    <row r="7735" spans="9:16">
      <c r="I7735" s="213"/>
      <c r="J7735" s="213"/>
      <c r="L7735" s="272">
        <f t="shared" si="555"/>
        <v>1900</v>
      </c>
      <c r="M7735" s="272">
        <f t="shared" si="556"/>
        <v>1</v>
      </c>
      <c r="O7735" s="61">
        <f t="shared" si="557"/>
        <v>1900</v>
      </c>
      <c r="P7735" s="61">
        <f t="shared" si="558"/>
        <v>1</v>
      </c>
    </row>
    <row r="7736" spans="9:16">
      <c r="I7736" s="213"/>
      <c r="J7736" s="213"/>
      <c r="L7736" s="272">
        <f t="shared" si="555"/>
        <v>1900</v>
      </c>
      <c r="M7736" s="272">
        <f t="shared" si="556"/>
        <v>1</v>
      </c>
      <c r="O7736" s="61">
        <f t="shared" si="557"/>
        <v>1900</v>
      </c>
      <c r="P7736" s="61">
        <f t="shared" si="558"/>
        <v>1</v>
      </c>
    </row>
    <row r="7737" spans="9:16">
      <c r="I7737" s="213"/>
      <c r="J7737" s="213"/>
      <c r="L7737" s="272">
        <f t="shared" si="555"/>
        <v>1900</v>
      </c>
      <c r="M7737" s="272">
        <f t="shared" si="556"/>
        <v>1</v>
      </c>
      <c r="O7737" s="61">
        <f t="shared" si="557"/>
        <v>1900</v>
      </c>
      <c r="P7737" s="61">
        <f t="shared" si="558"/>
        <v>1</v>
      </c>
    </row>
    <row r="7738" spans="9:16">
      <c r="I7738" s="213"/>
      <c r="J7738" s="213"/>
      <c r="L7738" s="272">
        <f t="shared" si="555"/>
        <v>1900</v>
      </c>
      <c r="M7738" s="272">
        <f t="shared" si="556"/>
        <v>1</v>
      </c>
      <c r="O7738" s="61">
        <f t="shared" si="557"/>
        <v>1900</v>
      </c>
      <c r="P7738" s="61">
        <f t="shared" si="558"/>
        <v>1</v>
      </c>
    </row>
    <row r="7739" spans="9:16">
      <c r="I7739" s="213"/>
      <c r="J7739" s="213"/>
      <c r="L7739" s="272">
        <f t="shared" si="555"/>
        <v>1900</v>
      </c>
      <c r="M7739" s="272">
        <f t="shared" si="556"/>
        <v>1</v>
      </c>
      <c r="O7739" s="61">
        <f t="shared" si="557"/>
        <v>1900</v>
      </c>
      <c r="P7739" s="61">
        <f t="shared" si="558"/>
        <v>1</v>
      </c>
    </row>
    <row r="7740" spans="9:16">
      <c r="I7740" s="213"/>
      <c r="J7740" s="213"/>
      <c r="L7740" s="272">
        <f t="shared" si="555"/>
        <v>1900</v>
      </c>
      <c r="M7740" s="272">
        <f t="shared" si="556"/>
        <v>1</v>
      </c>
      <c r="O7740" s="61">
        <f t="shared" si="557"/>
        <v>1900</v>
      </c>
      <c r="P7740" s="61">
        <f t="shared" si="558"/>
        <v>1</v>
      </c>
    </row>
    <row r="7741" spans="9:16">
      <c r="I7741" s="213"/>
      <c r="J7741" s="213"/>
      <c r="L7741" s="272">
        <f t="shared" si="555"/>
        <v>1900</v>
      </c>
      <c r="M7741" s="272">
        <f t="shared" si="556"/>
        <v>1</v>
      </c>
      <c r="O7741" s="61">
        <f t="shared" si="557"/>
        <v>1900</v>
      </c>
      <c r="P7741" s="61">
        <f t="shared" si="558"/>
        <v>1</v>
      </c>
    </row>
    <row r="7742" spans="9:16">
      <c r="I7742" s="213"/>
      <c r="J7742" s="213"/>
      <c r="L7742" s="272">
        <f t="shared" si="555"/>
        <v>1900</v>
      </c>
      <c r="M7742" s="272">
        <f t="shared" si="556"/>
        <v>1</v>
      </c>
      <c r="O7742" s="61">
        <f t="shared" si="557"/>
        <v>1900</v>
      </c>
      <c r="P7742" s="61">
        <f t="shared" si="558"/>
        <v>1</v>
      </c>
    </row>
    <row r="7743" spans="9:16">
      <c r="I7743" s="213"/>
      <c r="J7743" s="213"/>
      <c r="L7743" s="272">
        <f t="shared" si="555"/>
        <v>1900</v>
      </c>
      <c r="M7743" s="272">
        <f t="shared" si="556"/>
        <v>1</v>
      </c>
      <c r="O7743" s="61">
        <f t="shared" si="557"/>
        <v>1900</v>
      </c>
      <c r="P7743" s="61">
        <f t="shared" si="558"/>
        <v>1</v>
      </c>
    </row>
    <row r="7744" spans="9:16">
      <c r="I7744" s="213"/>
      <c r="J7744" s="213"/>
      <c r="L7744" s="272">
        <f t="shared" si="555"/>
        <v>1900</v>
      </c>
      <c r="M7744" s="272">
        <f t="shared" si="556"/>
        <v>1</v>
      </c>
      <c r="O7744" s="61">
        <f t="shared" si="557"/>
        <v>1900</v>
      </c>
      <c r="P7744" s="61">
        <f t="shared" si="558"/>
        <v>1</v>
      </c>
    </row>
    <row r="7745" spans="9:16">
      <c r="I7745" s="213"/>
      <c r="J7745" s="213"/>
      <c r="L7745" s="272">
        <f t="shared" si="555"/>
        <v>1900</v>
      </c>
      <c r="M7745" s="272">
        <f t="shared" si="556"/>
        <v>1</v>
      </c>
      <c r="O7745" s="61">
        <f t="shared" si="557"/>
        <v>1900</v>
      </c>
      <c r="P7745" s="61">
        <f t="shared" si="558"/>
        <v>1</v>
      </c>
    </row>
    <row r="7746" spans="9:16">
      <c r="I7746" s="213"/>
      <c r="J7746" s="213"/>
      <c r="L7746" s="272">
        <f t="shared" si="555"/>
        <v>1900</v>
      </c>
      <c r="M7746" s="272">
        <f t="shared" si="556"/>
        <v>1</v>
      </c>
      <c r="O7746" s="61">
        <f t="shared" si="557"/>
        <v>1900</v>
      </c>
      <c r="P7746" s="61">
        <f t="shared" si="558"/>
        <v>1</v>
      </c>
    </row>
    <row r="7747" spans="9:16">
      <c r="I7747" s="213"/>
      <c r="J7747" s="213"/>
      <c r="L7747" s="272">
        <f t="shared" si="555"/>
        <v>1900</v>
      </c>
      <c r="M7747" s="272">
        <f t="shared" si="556"/>
        <v>1</v>
      </c>
      <c r="O7747" s="61">
        <f t="shared" si="557"/>
        <v>1900</v>
      </c>
      <c r="P7747" s="61">
        <f t="shared" si="558"/>
        <v>1</v>
      </c>
    </row>
    <row r="7748" spans="9:16">
      <c r="I7748" s="213"/>
      <c r="J7748" s="213"/>
      <c r="L7748" s="272">
        <f t="shared" si="555"/>
        <v>1900</v>
      </c>
      <c r="M7748" s="272">
        <f t="shared" si="556"/>
        <v>1</v>
      </c>
      <c r="O7748" s="61">
        <f t="shared" si="557"/>
        <v>1900</v>
      </c>
      <c r="P7748" s="61">
        <f t="shared" si="558"/>
        <v>1</v>
      </c>
    </row>
    <row r="7749" spans="9:16">
      <c r="I7749" s="213"/>
      <c r="J7749" s="213"/>
      <c r="L7749" s="272">
        <f t="shared" si="555"/>
        <v>1900</v>
      </c>
      <c r="M7749" s="272">
        <f t="shared" si="556"/>
        <v>1</v>
      </c>
      <c r="O7749" s="61">
        <f t="shared" si="557"/>
        <v>1900</v>
      </c>
      <c r="P7749" s="61">
        <f t="shared" si="558"/>
        <v>1</v>
      </c>
    </row>
    <row r="7750" spans="9:16">
      <c r="I7750" s="213"/>
      <c r="J7750" s="213"/>
      <c r="L7750" s="272">
        <f t="shared" si="555"/>
        <v>1900</v>
      </c>
      <c r="M7750" s="272">
        <f t="shared" si="556"/>
        <v>1</v>
      </c>
      <c r="O7750" s="61">
        <f t="shared" si="557"/>
        <v>1900</v>
      </c>
      <c r="P7750" s="61">
        <f t="shared" si="558"/>
        <v>1</v>
      </c>
    </row>
    <row r="7751" spans="9:16">
      <c r="I7751" s="213"/>
      <c r="J7751" s="213"/>
      <c r="L7751" s="272">
        <f t="shared" si="555"/>
        <v>1900</v>
      </c>
      <c r="M7751" s="272">
        <f t="shared" si="556"/>
        <v>1</v>
      </c>
      <c r="O7751" s="61">
        <f t="shared" si="557"/>
        <v>1900</v>
      </c>
      <c r="P7751" s="61">
        <f t="shared" si="558"/>
        <v>1</v>
      </c>
    </row>
    <row r="7752" spans="9:16">
      <c r="I7752" s="213"/>
      <c r="J7752" s="213"/>
      <c r="L7752" s="272">
        <f t="shared" si="555"/>
        <v>1900</v>
      </c>
      <c r="M7752" s="272">
        <f t="shared" si="556"/>
        <v>1</v>
      </c>
      <c r="O7752" s="61">
        <f t="shared" si="557"/>
        <v>1900</v>
      </c>
      <c r="P7752" s="61">
        <f t="shared" si="558"/>
        <v>1</v>
      </c>
    </row>
    <row r="7753" spans="9:16">
      <c r="I7753" s="213"/>
      <c r="J7753" s="213"/>
      <c r="L7753" s="272">
        <f t="shared" si="555"/>
        <v>1900</v>
      </c>
      <c r="M7753" s="272">
        <f t="shared" si="556"/>
        <v>1</v>
      </c>
      <c r="O7753" s="61">
        <f t="shared" si="557"/>
        <v>1900</v>
      </c>
      <c r="P7753" s="61">
        <f t="shared" si="558"/>
        <v>1</v>
      </c>
    </row>
    <row r="7754" spans="9:16">
      <c r="I7754" s="213"/>
      <c r="J7754" s="213"/>
      <c r="L7754" s="272">
        <f t="shared" si="555"/>
        <v>1900</v>
      </c>
      <c r="M7754" s="272">
        <f t="shared" si="556"/>
        <v>1</v>
      </c>
      <c r="O7754" s="61">
        <f t="shared" si="557"/>
        <v>1900</v>
      </c>
      <c r="P7754" s="61">
        <f t="shared" si="558"/>
        <v>1</v>
      </c>
    </row>
    <row r="7755" spans="9:16">
      <c r="I7755" s="213"/>
      <c r="J7755" s="213"/>
      <c r="L7755" s="272">
        <f t="shared" si="555"/>
        <v>1900</v>
      </c>
      <c r="M7755" s="272">
        <f t="shared" si="556"/>
        <v>1</v>
      </c>
      <c r="O7755" s="61">
        <f t="shared" si="557"/>
        <v>1900</v>
      </c>
      <c r="P7755" s="61">
        <f t="shared" si="558"/>
        <v>1</v>
      </c>
    </row>
    <row r="7756" spans="9:16">
      <c r="I7756" s="213"/>
      <c r="J7756" s="213"/>
      <c r="L7756" s="272">
        <f t="shared" si="555"/>
        <v>1900</v>
      </c>
      <c r="M7756" s="272">
        <f t="shared" si="556"/>
        <v>1</v>
      </c>
      <c r="O7756" s="61">
        <f t="shared" si="557"/>
        <v>1900</v>
      </c>
      <c r="P7756" s="61">
        <f t="shared" si="558"/>
        <v>1</v>
      </c>
    </row>
    <row r="7757" spans="9:16">
      <c r="I7757" s="213"/>
      <c r="J7757" s="213"/>
      <c r="L7757" s="272">
        <f t="shared" si="555"/>
        <v>1900</v>
      </c>
      <c r="M7757" s="272">
        <f t="shared" si="556"/>
        <v>1</v>
      </c>
      <c r="O7757" s="61">
        <f t="shared" si="557"/>
        <v>1900</v>
      </c>
      <c r="P7757" s="61">
        <f t="shared" si="558"/>
        <v>1</v>
      </c>
    </row>
    <row r="7758" spans="9:16">
      <c r="I7758" s="213"/>
      <c r="J7758" s="213"/>
      <c r="L7758" s="272">
        <f t="shared" si="555"/>
        <v>1900</v>
      </c>
      <c r="M7758" s="272">
        <f t="shared" si="556"/>
        <v>1</v>
      </c>
      <c r="O7758" s="61">
        <f t="shared" si="557"/>
        <v>1900</v>
      </c>
      <c r="P7758" s="61">
        <f t="shared" si="558"/>
        <v>1</v>
      </c>
    </row>
    <row r="7759" spans="9:16">
      <c r="I7759" s="213"/>
      <c r="J7759" s="213"/>
      <c r="L7759" s="272">
        <f t="shared" si="555"/>
        <v>1900</v>
      </c>
      <c r="M7759" s="272">
        <f t="shared" si="556"/>
        <v>1</v>
      </c>
      <c r="O7759" s="61">
        <f t="shared" si="557"/>
        <v>1900</v>
      </c>
      <c r="P7759" s="61">
        <f t="shared" si="558"/>
        <v>1</v>
      </c>
    </row>
    <row r="7760" spans="9:16">
      <c r="I7760" s="213"/>
      <c r="J7760" s="213"/>
      <c r="L7760" s="272">
        <f t="shared" ref="L7760:L7823" si="559">YEAR(B7760)</f>
        <v>1900</v>
      </c>
      <c r="M7760" s="272">
        <f t="shared" ref="M7760:M7823" si="560">MONTH(B7760)</f>
        <v>1</v>
      </c>
      <c r="O7760" s="61">
        <f t="shared" ref="O7760:O7823" si="561">YEAR(B7760)</f>
        <v>1900</v>
      </c>
      <c r="P7760" s="61">
        <f t="shared" ref="P7760:P7823" si="562">MONTH(B7760)</f>
        <v>1</v>
      </c>
    </row>
    <row r="7761" spans="9:16">
      <c r="I7761" s="213"/>
      <c r="J7761" s="213"/>
      <c r="L7761" s="272">
        <f t="shared" si="559"/>
        <v>1900</v>
      </c>
      <c r="M7761" s="272">
        <f t="shared" si="560"/>
        <v>1</v>
      </c>
      <c r="O7761" s="61">
        <f t="shared" si="561"/>
        <v>1900</v>
      </c>
      <c r="P7761" s="61">
        <f t="shared" si="562"/>
        <v>1</v>
      </c>
    </row>
    <row r="7762" spans="9:16">
      <c r="I7762" s="213"/>
      <c r="J7762" s="213"/>
      <c r="L7762" s="272">
        <f t="shared" si="559"/>
        <v>1900</v>
      </c>
      <c r="M7762" s="272">
        <f t="shared" si="560"/>
        <v>1</v>
      </c>
      <c r="O7762" s="61">
        <f t="shared" si="561"/>
        <v>1900</v>
      </c>
      <c r="P7762" s="61">
        <f t="shared" si="562"/>
        <v>1</v>
      </c>
    </row>
    <row r="7763" spans="9:16">
      <c r="I7763" s="213"/>
      <c r="J7763" s="213"/>
      <c r="L7763" s="272">
        <f t="shared" si="559"/>
        <v>1900</v>
      </c>
      <c r="M7763" s="272">
        <f t="shared" si="560"/>
        <v>1</v>
      </c>
      <c r="O7763" s="61">
        <f t="shared" si="561"/>
        <v>1900</v>
      </c>
      <c r="P7763" s="61">
        <f t="shared" si="562"/>
        <v>1</v>
      </c>
    </row>
    <row r="7764" spans="9:16">
      <c r="I7764" s="213"/>
      <c r="J7764" s="213"/>
      <c r="L7764" s="272">
        <f t="shared" si="559"/>
        <v>1900</v>
      </c>
      <c r="M7764" s="272">
        <f t="shared" si="560"/>
        <v>1</v>
      </c>
      <c r="O7764" s="61">
        <f t="shared" si="561"/>
        <v>1900</v>
      </c>
      <c r="P7764" s="61">
        <f t="shared" si="562"/>
        <v>1</v>
      </c>
    </row>
    <row r="7765" spans="9:16">
      <c r="I7765" s="213"/>
      <c r="J7765" s="213"/>
      <c r="L7765" s="272">
        <f t="shared" si="559"/>
        <v>1900</v>
      </c>
      <c r="M7765" s="272">
        <f t="shared" si="560"/>
        <v>1</v>
      </c>
      <c r="O7765" s="61">
        <f t="shared" si="561"/>
        <v>1900</v>
      </c>
      <c r="P7765" s="61">
        <f t="shared" si="562"/>
        <v>1</v>
      </c>
    </row>
    <row r="7766" spans="9:16">
      <c r="I7766" s="213"/>
      <c r="J7766" s="213"/>
      <c r="L7766" s="272">
        <f t="shared" si="559"/>
        <v>1900</v>
      </c>
      <c r="M7766" s="272">
        <f t="shared" si="560"/>
        <v>1</v>
      </c>
      <c r="O7766" s="61">
        <f t="shared" si="561"/>
        <v>1900</v>
      </c>
      <c r="P7766" s="61">
        <f t="shared" si="562"/>
        <v>1</v>
      </c>
    </row>
    <row r="7767" spans="9:16">
      <c r="I7767" s="213"/>
      <c r="J7767" s="213"/>
      <c r="L7767" s="272">
        <f t="shared" si="559"/>
        <v>1900</v>
      </c>
      <c r="M7767" s="272">
        <f t="shared" si="560"/>
        <v>1</v>
      </c>
      <c r="O7767" s="61">
        <f t="shared" si="561"/>
        <v>1900</v>
      </c>
      <c r="P7767" s="61">
        <f t="shared" si="562"/>
        <v>1</v>
      </c>
    </row>
    <row r="7768" spans="9:16">
      <c r="I7768" s="213"/>
      <c r="J7768" s="213"/>
      <c r="L7768" s="272">
        <f t="shared" si="559"/>
        <v>1900</v>
      </c>
      <c r="M7768" s="272">
        <f t="shared" si="560"/>
        <v>1</v>
      </c>
      <c r="O7768" s="61">
        <f t="shared" si="561"/>
        <v>1900</v>
      </c>
      <c r="P7768" s="61">
        <f t="shared" si="562"/>
        <v>1</v>
      </c>
    </row>
    <row r="7769" spans="9:16">
      <c r="I7769" s="213"/>
      <c r="J7769" s="213"/>
      <c r="L7769" s="272">
        <f t="shared" si="559"/>
        <v>1900</v>
      </c>
      <c r="M7769" s="272">
        <f t="shared" si="560"/>
        <v>1</v>
      </c>
      <c r="O7769" s="61">
        <f t="shared" si="561"/>
        <v>1900</v>
      </c>
      <c r="P7769" s="61">
        <f t="shared" si="562"/>
        <v>1</v>
      </c>
    </row>
    <row r="7770" spans="9:16">
      <c r="I7770" s="213"/>
      <c r="J7770" s="213"/>
      <c r="L7770" s="272">
        <f t="shared" si="559"/>
        <v>1900</v>
      </c>
      <c r="M7770" s="272">
        <f t="shared" si="560"/>
        <v>1</v>
      </c>
      <c r="O7770" s="61">
        <f t="shared" si="561"/>
        <v>1900</v>
      </c>
      <c r="P7770" s="61">
        <f t="shared" si="562"/>
        <v>1</v>
      </c>
    </row>
    <row r="7771" spans="9:16">
      <c r="I7771" s="213"/>
      <c r="J7771" s="213"/>
      <c r="L7771" s="272">
        <f t="shared" si="559"/>
        <v>1900</v>
      </c>
      <c r="M7771" s="272">
        <f t="shared" si="560"/>
        <v>1</v>
      </c>
      <c r="O7771" s="61">
        <f t="shared" si="561"/>
        <v>1900</v>
      </c>
      <c r="P7771" s="61">
        <f t="shared" si="562"/>
        <v>1</v>
      </c>
    </row>
    <row r="7772" spans="9:16">
      <c r="I7772" s="213"/>
      <c r="J7772" s="213"/>
      <c r="L7772" s="272">
        <f t="shared" si="559"/>
        <v>1900</v>
      </c>
      <c r="M7772" s="272">
        <f t="shared" si="560"/>
        <v>1</v>
      </c>
      <c r="O7772" s="61">
        <f t="shared" si="561"/>
        <v>1900</v>
      </c>
      <c r="P7772" s="61">
        <f t="shared" si="562"/>
        <v>1</v>
      </c>
    </row>
    <row r="7773" spans="9:16">
      <c r="I7773" s="213"/>
      <c r="J7773" s="213"/>
      <c r="L7773" s="272">
        <f t="shared" si="559"/>
        <v>1900</v>
      </c>
      <c r="M7773" s="272">
        <f t="shared" si="560"/>
        <v>1</v>
      </c>
      <c r="O7773" s="61">
        <f t="shared" si="561"/>
        <v>1900</v>
      </c>
      <c r="P7773" s="61">
        <f t="shared" si="562"/>
        <v>1</v>
      </c>
    </row>
    <row r="7774" spans="9:16">
      <c r="I7774" s="213"/>
      <c r="J7774" s="213"/>
      <c r="L7774" s="272">
        <f t="shared" si="559"/>
        <v>1900</v>
      </c>
      <c r="M7774" s="272">
        <f t="shared" si="560"/>
        <v>1</v>
      </c>
      <c r="O7774" s="61">
        <f t="shared" si="561"/>
        <v>1900</v>
      </c>
      <c r="P7774" s="61">
        <f t="shared" si="562"/>
        <v>1</v>
      </c>
    </row>
    <row r="7775" spans="9:16">
      <c r="I7775" s="213"/>
      <c r="J7775" s="213"/>
      <c r="L7775" s="272">
        <f t="shared" si="559"/>
        <v>1900</v>
      </c>
      <c r="M7775" s="272">
        <f t="shared" si="560"/>
        <v>1</v>
      </c>
      <c r="O7775" s="61">
        <f t="shared" si="561"/>
        <v>1900</v>
      </c>
      <c r="P7775" s="61">
        <f t="shared" si="562"/>
        <v>1</v>
      </c>
    </row>
    <row r="7776" spans="9:16">
      <c r="I7776" s="213"/>
      <c r="J7776" s="213"/>
      <c r="L7776" s="272">
        <f t="shared" si="559"/>
        <v>1900</v>
      </c>
      <c r="M7776" s="272">
        <f t="shared" si="560"/>
        <v>1</v>
      </c>
      <c r="O7776" s="61">
        <f t="shared" si="561"/>
        <v>1900</v>
      </c>
      <c r="P7776" s="61">
        <f t="shared" si="562"/>
        <v>1</v>
      </c>
    </row>
    <row r="7777" spans="9:16">
      <c r="I7777" s="213"/>
      <c r="J7777" s="213"/>
      <c r="L7777" s="272">
        <f t="shared" si="559"/>
        <v>1900</v>
      </c>
      <c r="M7777" s="272">
        <f t="shared" si="560"/>
        <v>1</v>
      </c>
      <c r="O7777" s="61">
        <f t="shared" si="561"/>
        <v>1900</v>
      </c>
      <c r="P7777" s="61">
        <f t="shared" si="562"/>
        <v>1</v>
      </c>
    </row>
    <row r="7778" spans="9:16">
      <c r="I7778" s="213"/>
      <c r="J7778" s="213"/>
      <c r="L7778" s="272">
        <f t="shared" si="559"/>
        <v>1900</v>
      </c>
      <c r="M7778" s="272">
        <f t="shared" si="560"/>
        <v>1</v>
      </c>
      <c r="O7778" s="61">
        <f t="shared" si="561"/>
        <v>1900</v>
      </c>
      <c r="P7778" s="61">
        <f t="shared" si="562"/>
        <v>1</v>
      </c>
    </row>
    <row r="7779" spans="9:16">
      <c r="I7779" s="213"/>
      <c r="J7779" s="213"/>
      <c r="L7779" s="272">
        <f t="shared" si="559"/>
        <v>1900</v>
      </c>
      <c r="M7779" s="272">
        <f t="shared" si="560"/>
        <v>1</v>
      </c>
      <c r="O7779" s="61">
        <f t="shared" si="561"/>
        <v>1900</v>
      </c>
      <c r="P7779" s="61">
        <f t="shared" si="562"/>
        <v>1</v>
      </c>
    </row>
    <row r="7780" spans="9:16">
      <c r="I7780" s="213"/>
      <c r="J7780" s="213"/>
      <c r="L7780" s="272">
        <f t="shared" si="559"/>
        <v>1900</v>
      </c>
      <c r="M7780" s="272">
        <f t="shared" si="560"/>
        <v>1</v>
      </c>
      <c r="O7780" s="61">
        <f t="shared" si="561"/>
        <v>1900</v>
      </c>
      <c r="P7780" s="61">
        <f t="shared" si="562"/>
        <v>1</v>
      </c>
    </row>
    <row r="7781" spans="9:16">
      <c r="I7781" s="213"/>
      <c r="J7781" s="213"/>
      <c r="L7781" s="272">
        <f t="shared" si="559"/>
        <v>1900</v>
      </c>
      <c r="M7781" s="272">
        <f t="shared" si="560"/>
        <v>1</v>
      </c>
      <c r="O7781" s="61">
        <f t="shared" si="561"/>
        <v>1900</v>
      </c>
      <c r="P7781" s="61">
        <f t="shared" si="562"/>
        <v>1</v>
      </c>
    </row>
    <row r="7782" spans="9:16">
      <c r="I7782" s="213"/>
      <c r="J7782" s="213"/>
      <c r="L7782" s="272">
        <f t="shared" si="559"/>
        <v>1900</v>
      </c>
      <c r="M7782" s="272">
        <f t="shared" si="560"/>
        <v>1</v>
      </c>
      <c r="O7782" s="61">
        <f t="shared" si="561"/>
        <v>1900</v>
      </c>
      <c r="P7782" s="61">
        <f t="shared" si="562"/>
        <v>1</v>
      </c>
    </row>
    <row r="7783" spans="9:16">
      <c r="I7783" s="213"/>
      <c r="J7783" s="213"/>
      <c r="L7783" s="272">
        <f t="shared" si="559"/>
        <v>1900</v>
      </c>
      <c r="M7783" s="272">
        <f t="shared" si="560"/>
        <v>1</v>
      </c>
      <c r="O7783" s="61">
        <f t="shared" si="561"/>
        <v>1900</v>
      </c>
      <c r="P7783" s="61">
        <f t="shared" si="562"/>
        <v>1</v>
      </c>
    </row>
    <row r="7784" spans="9:16">
      <c r="I7784" s="213"/>
      <c r="J7784" s="213"/>
      <c r="L7784" s="272">
        <f t="shared" si="559"/>
        <v>1900</v>
      </c>
      <c r="M7784" s="272">
        <f t="shared" si="560"/>
        <v>1</v>
      </c>
      <c r="O7784" s="61">
        <f t="shared" si="561"/>
        <v>1900</v>
      </c>
      <c r="P7784" s="61">
        <f t="shared" si="562"/>
        <v>1</v>
      </c>
    </row>
    <row r="7785" spans="9:16">
      <c r="I7785" s="213"/>
      <c r="J7785" s="213"/>
      <c r="L7785" s="272">
        <f t="shared" si="559"/>
        <v>1900</v>
      </c>
      <c r="M7785" s="272">
        <f t="shared" si="560"/>
        <v>1</v>
      </c>
      <c r="O7785" s="61">
        <f t="shared" si="561"/>
        <v>1900</v>
      </c>
      <c r="P7785" s="61">
        <f t="shared" si="562"/>
        <v>1</v>
      </c>
    </row>
    <row r="7786" spans="9:16">
      <c r="I7786" s="213"/>
      <c r="J7786" s="213"/>
      <c r="L7786" s="272">
        <f t="shared" si="559"/>
        <v>1900</v>
      </c>
      <c r="M7786" s="272">
        <f t="shared" si="560"/>
        <v>1</v>
      </c>
      <c r="O7786" s="61">
        <f t="shared" si="561"/>
        <v>1900</v>
      </c>
      <c r="P7786" s="61">
        <f t="shared" si="562"/>
        <v>1</v>
      </c>
    </row>
    <row r="7787" spans="9:16">
      <c r="I7787" s="213"/>
      <c r="J7787" s="213"/>
      <c r="L7787" s="272">
        <f t="shared" si="559"/>
        <v>1900</v>
      </c>
      <c r="M7787" s="272">
        <f t="shared" si="560"/>
        <v>1</v>
      </c>
      <c r="O7787" s="61">
        <f t="shared" si="561"/>
        <v>1900</v>
      </c>
      <c r="P7787" s="61">
        <f t="shared" si="562"/>
        <v>1</v>
      </c>
    </row>
    <row r="7788" spans="9:16">
      <c r="I7788" s="213"/>
      <c r="J7788" s="213"/>
      <c r="L7788" s="272">
        <f t="shared" si="559"/>
        <v>1900</v>
      </c>
      <c r="M7788" s="272">
        <f t="shared" si="560"/>
        <v>1</v>
      </c>
      <c r="O7788" s="61">
        <f t="shared" si="561"/>
        <v>1900</v>
      </c>
      <c r="P7788" s="61">
        <f t="shared" si="562"/>
        <v>1</v>
      </c>
    </row>
    <row r="7789" spans="9:16">
      <c r="I7789" s="213"/>
      <c r="J7789" s="213"/>
      <c r="L7789" s="272">
        <f t="shared" si="559"/>
        <v>1900</v>
      </c>
      <c r="M7789" s="272">
        <f t="shared" si="560"/>
        <v>1</v>
      </c>
      <c r="O7789" s="61">
        <f t="shared" si="561"/>
        <v>1900</v>
      </c>
      <c r="P7789" s="61">
        <f t="shared" si="562"/>
        <v>1</v>
      </c>
    </row>
    <row r="7790" spans="9:16">
      <c r="I7790" s="213"/>
      <c r="J7790" s="213"/>
      <c r="L7790" s="272">
        <f t="shared" si="559"/>
        <v>1900</v>
      </c>
      <c r="M7790" s="272">
        <f t="shared" si="560"/>
        <v>1</v>
      </c>
      <c r="O7790" s="61">
        <f t="shared" si="561"/>
        <v>1900</v>
      </c>
      <c r="P7790" s="61">
        <f t="shared" si="562"/>
        <v>1</v>
      </c>
    </row>
    <row r="7791" spans="9:16">
      <c r="I7791" s="213"/>
      <c r="J7791" s="213"/>
      <c r="L7791" s="272">
        <f t="shared" si="559"/>
        <v>1900</v>
      </c>
      <c r="M7791" s="272">
        <f t="shared" si="560"/>
        <v>1</v>
      </c>
      <c r="O7791" s="61">
        <f t="shared" si="561"/>
        <v>1900</v>
      </c>
      <c r="P7791" s="61">
        <f t="shared" si="562"/>
        <v>1</v>
      </c>
    </row>
    <row r="7792" spans="9:16">
      <c r="I7792" s="213"/>
      <c r="J7792" s="213"/>
      <c r="L7792" s="272">
        <f t="shared" si="559"/>
        <v>1900</v>
      </c>
      <c r="M7792" s="272">
        <f t="shared" si="560"/>
        <v>1</v>
      </c>
      <c r="O7792" s="61">
        <f t="shared" si="561"/>
        <v>1900</v>
      </c>
      <c r="P7792" s="61">
        <f t="shared" si="562"/>
        <v>1</v>
      </c>
    </row>
    <row r="7793" spans="9:16">
      <c r="I7793" s="213"/>
      <c r="J7793" s="213"/>
      <c r="L7793" s="272">
        <f t="shared" si="559"/>
        <v>1900</v>
      </c>
      <c r="M7793" s="272">
        <f t="shared" si="560"/>
        <v>1</v>
      </c>
      <c r="O7793" s="61">
        <f t="shared" si="561"/>
        <v>1900</v>
      </c>
      <c r="P7793" s="61">
        <f t="shared" si="562"/>
        <v>1</v>
      </c>
    </row>
    <row r="7794" spans="9:16">
      <c r="I7794" s="213"/>
      <c r="J7794" s="213"/>
      <c r="L7794" s="272">
        <f t="shared" si="559"/>
        <v>1900</v>
      </c>
      <c r="M7794" s="272">
        <f t="shared" si="560"/>
        <v>1</v>
      </c>
      <c r="O7794" s="61">
        <f t="shared" si="561"/>
        <v>1900</v>
      </c>
      <c r="P7794" s="61">
        <f t="shared" si="562"/>
        <v>1</v>
      </c>
    </row>
    <row r="7795" spans="9:16">
      <c r="I7795" s="213"/>
      <c r="J7795" s="213"/>
      <c r="L7795" s="272">
        <f t="shared" si="559"/>
        <v>1900</v>
      </c>
      <c r="M7795" s="272">
        <f t="shared" si="560"/>
        <v>1</v>
      </c>
      <c r="O7795" s="61">
        <f t="shared" si="561"/>
        <v>1900</v>
      </c>
      <c r="P7795" s="61">
        <f t="shared" si="562"/>
        <v>1</v>
      </c>
    </row>
    <row r="7796" spans="9:16">
      <c r="I7796" s="213"/>
      <c r="J7796" s="213"/>
      <c r="L7796" s="272">
        <f t="shared" si="559"/>
        <v>1900</v>
      </c>
      <c r="M7796" s="272">
        <f t="shared" si="560"/>
        <v>1</v>
      </c>
      <c r="O7796" s="61">
        <f t="shared" si="561"/>
        <v>1900</v>
      </c>
      <c r="P7796" s="61">
        <f t="shared" si="562"/>
        <v>1</v>
      </c>
    </row>
    <row r="7797" spans="9:16">
      <c r="I7797" s="213"/>
      <c r="J7797" s="213"/>
      <c r="L7797" s="272">
        <f t="shared" si="559"/>
        <v>1900</v>
      </c>
      <c r="M7797" s="272">
        <f t="shared" si="560"/>
        <v>1</v>
      </c>
      <c r="O7797" s="61">
        <f t="shared" si="561"/>
        <v>1900</v>
      </c>
      <c r="P7797" s="61">
        <f t="shared" si="562"/>
        <v>1</v>
      </c>
    </row>
    <row r="7798" spans="9:16">
      <c r="I7798" s="213"/>
      <c r="J7798" s="213"/>
      <c r="L7798" s="272">
        <f t="shared" si="559"/>
        <v>1900</v>
      </c>
      <c r="M7798" s="272">
        <f t="shared" si="560"/>
        <v>1</v>
      </c>
      <c r="O7798" s="61">
        <f t="shared" si="561"/>
        <v>1900</v>
      </c>
      <c r="P7798" s="61">
        <f t="shared" si="562"/>
        <v>1</v>
      </c>
    </row>
    <row r="7799" spans="9:16">
      <c r="I7799" s="213"/>
      <c r="J7799" s="213"/>
      <c r="L7799" s="272">
        <f t="shared" si="559"/>
        <v>1900</v>
      </c>
      <c r="M7799" s="272">
        <f t="shared" si="560"/>
        <v>1</v>
      </c>
      <c r="O7799" s="61">
        <f t="shared" si="561"/>
        <v>1900</v>
      </c>
      <c r="P7799" s="61">
        <f t="shared" si="562"/>
        <v>1</v>
      </c>
    </row>
    <row r="7800" spans="9:16">
      <c r="I7800" s="213"/>
      <c r="J7800" s="213"/>
      <c r="L7800" s="272">
        <f t="shared" si="559"/>
        <v>1900</v>
      </c>
      <c r="M7800" s="272">
        <f t="shared" si="560"/>
        <v>1</v>
      </c>
      <c r="O7800" s="61">
        <f t="shared" si="561"/>
        <v>1900</v>
      </c>
      <c r="P7800" s="61">
        <f t="shared" si="562"/>
        <v>1</v>
      </c>
    </row>
    <row r="7801" spans="9:16">
      <c r="I7801" s="213"/>
      <c r="J7801" s="213"/>
      <c r="L7801" s="272">
        <f t="shared" si="559"/>
        <v>1900</v>
      </c>
      <c r="M7801" s="272">
        <f t="shared" si="560"/>
        <v>1</v>
      </c>
      <c r="O7801" s="61">
        <f t="shared" si="561"/>
        <v>1900</v>
      </c>
      <c r="P7801" s="61">
        <f t="shared" si="562"/>
        <v>1</v>
      </c>
    </row>
    <row r="7802" spans="9:16">
      <c r="I7802" s="213"/>
      <c r="J7802" s="213"/>
      <c r="L7802" s="272">
        <f t="shared" si="559"/>
        <v>1900</v>
      </c>
      <c r="M7802" s="272">
        <f t="shared" si="560"/>
        <v>1</v>
      </c>
      <c r="O7802" s="61">
        <f t="shared" si="561"/>
        <v>1900</v>
      </c>
      <c r="P7802" s="61">
        <f t="shared" si="562"/>
        <v>1</v>
      </c>
    </row>
    <row r="7803" spans="9:16">
      <c r="I7803" s="213"/>
      <c r="J7803" s="213"/>
      <c r="L7803" s="272">
        <f t="shared" si="559"/>
        <v>1900</v>
      </c>
      <c r="M7803" s="272">
        <f t="shared" si="560"/>
        <v>1</v>
      </c>
      <c r="O7803" s="61">
        <f t="shared" si="561"/>
        <v>1900</v>
      </c>
      <c r="P7803" s="61">
        <f t="shared" si="562"/>
        <v>1</v>
      </c>
    </row>
    <row r="7804" spans="9:16">
      <c r="I7804" s="213"/>
      <c r="J7804" s="213"/>
      <c r="L7804" s="272">
        <f t="shared" si="559"/>
        <v>1900</v>
      </c>
      <c r="M7804" s="272">
        <f t="shared" si="560"/>
        <v>1</v>
      </c>
      <c r="O7804" s="61">
        <f t="shared" si="561"/>
        <v>1900</v>
      </c>
      <c r="P7804" s="61">
        <f t="shared" si="562"/>
        <v>1</v>
      </c>
    </row>
    <row r="7805" spans="9:16">
      <c r="I7805" s="213"/>
      <c r="J7805" s="213"/>
      <c r="L7805" s="272">
        <f t="shared" si="559"/>
        <v>1900</v>
      </c>
      <c r="M7805" s="272">
        <f t="shared" si="560"/>
        <v>1</v>
      </c>
      <c r="O7805" s="61">
        <f t="shared" si="561"/>
        <v>1900</v>
      </c>
      <c r="P7805" s="61">
        <f t="shared" si="562"/>
        <v>1</v>
      </c>
    </row>
    <row r="7806" spans="9:16">
      <c r="I7806" s="213"/>
      <c r="J7806" s="213"/>
      <c r="L7806" s="272">
        <f t="shared" si="559"/>
        <v>1900</v>
      </c>
      <c r="M7806" s="272">
        <f t="shared" si="560"/>
        <v>1</v>
      </c>
      <c r="O7806" s="61">
        <f t="shared" si="561"/>
        <v>1900</v>
      </c>
      <c r="P7806" s="61">
        <f t="shared" si="562"/>
        <v>1</v>
      </c>
    </row>
    <row r="7807" spans="9:16">
      <c r="I7807" s="213"/>
      <c r="J7807" s="213"/>
      <c r="L7807" s="272">
        <f t="shared" si="559"/>
        <v>1900</v>
      </c>
      <c r="M7807" s="272">
        <f t="shared" si="560"/>
        <v>1</v>
      </c>
      <c r="O7807" s="61">
        <f t="shared" si="561"/>
        <v>1900</v>
      </c>
      <c r="P7807" s="61">
        <f t="shared" si="562"/>
        <v>1</v>
      </c>
    </row>
    <row r="7808" spans="9:16">
      <c r="I7808" s="213"/>
      <c r="J7808" s="213"/>
      <c r="L7808" s="272">
        <f t="shared" si="559"/>
        <v>1900</v>
      </c>
      <c r="M7808" s="272">
        <f t="shared" si="560"/>
        <v>1</v>
      </c>
      <c r="O7808" s="61">
        <f t="shared" si="561"/>
        <v>1900</v>
      </c>
      <c r="P7808" s="61">
        <f t="shared" si="562"/>
        <v>1</v>
      </c>
    </row>
    <row r="7809" spans="9:16">
      <c r="I7809" s="213"/>
      <c r="J7809" s="213"/>
      <c r="L7809" s="272">
        <f t="shared" si="559"/>
        <v>1900</v>
      </c>
      <c r="M7809" s="272">
        <f t="shared" si="560"/>
        <v>1</v>
      </c>
      <c r="O7809" s="61">
        <f t="shared" si="561"/>
        <v>1900</v>
      </c>
      <c r="P7809" s="61">
        <f t="shared" si="562"/>
        <v>1</v>
      </c>
    </row>
    <row r="7810" spans="9:16">
      <c r="I7810" s="213"/>
      <c r="J7810" s="213"/>
      <c r="L7810" s="272">
        <f t="shared" si="559"/>
        <v>1900</v>
      </c>
      <c r="M7810" s="272">
        <f t="shared" si="560"/>
        <v>1</v>
      </c>
      <c r="O7810" s="61">
        <f t="shared" si="561"/>
        <v>1900</v>
      </c>
      <c r="P7810" s="61">
        <f t="shared" si="562"/>
        <v>1</v>
      </c>
    </row>
    <row r="7811" spans="9:16">
      <c r="I7811" s="213"/>
      <c r="J7811" s="213"/>
      <c r="L7811" s="272">
        <f t="shared" si="559"/>
        <v>1900</v>
      </c>
      <c r="M7811" s="272">
        <f t="shared" si="560"/>
        <v>1</v>
      </c>
      <c r="O7811" s="61">
        <f t="shared" si="561"/>
        <v>1900</v>
      </c>
      <c r="P7811" s="61">
        <f t="shared" si="562"/>
        <v>1</v>
      </c>
    </row>
    <row r="7812" spans="9:16">
      <c r="I7812" s="213"/>
      <c r="J7812" s="213"/>
      <c r="L7812" s="272">
        <f t="shared" si="559"/>
        <v>1900</v>
      </c>
      <c r="M7812" s="272">
        <f t="shared" si="560"/>
        <v>1</v>
      </c>
      <c r="O7812" s="61">
        <f t="shared" si="561"/>
        <v>1900</v>
      </c>
      <c r="P7812" s="61">
        <f t="shared" si="562"/>
        <v>1</v>
      </c>
    </row>
    <row r="7813" spans="9:16">
      <c r="I7813" s="213"/>
      <c r="J7813" s="213"/>
      <c r="L7813" s="272">
        <f t="shared" si="559"/>
        <v>1900</v>
      </c>
      <c r="M7813" s="272">
        <f t="shared" si="560"/>
        <v>1</v>
      </c>
      <c r="O7813" s="61">
        <f t="shared" si="561"/>
        <v>1900</v>
      </c>
      <c r="P7813" s="61">
        <f t="shared" si="562"/>
        <v>1</v>
      </c>
    </row>
    <row r="7814" spans="9:16">
      <c r="I7814" s="213"/>
      <c r="J7814" s="213"/>
      <c r="L7814" s="272">
        <f t="shared" si="559"/>
        <v>1900</v>
      </c>
      <c r="M7814" s="272">
        <f t="shared" si="560"/>
        <v>1</v>
      </c>
      <c r="O7814" s="61">
        <f t="shared" si="561"/>
        <v>1900</v>
      </c>
      <c r="P7814" s="61">
        <f t="shared" si="562"/>
        <v>1</v>
      </c>
    </row>
    <row r="7815" spans="9:16">
      <c r="I7815" s="213"/>
      <c r="J7815" s="213"/>
      <c r="L7815" s="272">
        <f t="shared" si="559"/>
        <v>1900</v>
      </c>
      <c r="M7815" s="272">
        <f t="shared" si="560"/>
        <v>1</v>
      </c>
      <c r="O7815" s="61">
        <f t="shared" si="561"/>
        <v>1900</v>
      </c>
      <c r="P7815" s="61">
        <f t="shared" si="562"/>
        <v>1</v>
      </c>
    </row>
    <row r="7816" spans="9:16">
      <c r="I7816" s="213"/>
      <c r="J7816" s="213"/>
      <c r="L7816" s="272">
        <f t="shared" si="559"/>
        <v>1900</v>
      </c>
      <c r="M7816" s="272">
        <f t="shared" si="560"/>
        <v>1</v>
      </c>
      <c r="O7816" s="61">
        <f t="shared" si="561"/>
        <v>1900</v>
      </c>
      <c r="P7816" s="61">
        <f t="shared" si="562"/>
        <v>1</v>
      </c>
    </row>
    <row r="7817" spans="9:16">
      <c r="I7817" s="213"/>
      <c r="J7817" s="213"/>
      <c r="L7817" s="272">
        <f t="shared" si="559"/>
        <v>1900</v>
      </c>
      <c r="M7817" s="272">
        <f t="shared" si="560"/>
        <v>1</v>
      </c>
      <c r="O7817" s="61">
        <f t="shared" si="561"/>
        <v>1900</v>
      </c>
      <c r="P7817" s="61">
        <f t="shared" si="562"/>
        <v>1</v>
      </c>
    </row>
    <row r="7818" spans="9:16">
      <c r="I7818" s="213"/>
      <c r="J7818" s="213"/>
      <c r="L7818" s="272">
        <f t="shared" si="559"/>
        <v>1900</v>
      </c>
      <c r="M7818" s="272">
        <f t="shared" si="560"/>
        <v>1</v>
      </c>
      <c r="O7818" s="61">
        <f t="shared" si="561"/>
        <v>1900</v>
      </c>
      <c r="P7818" s="61">
        <f t="shared" si="562"/>
        <v>1</v>
      </c>
    </row>
    <row r="7819" spans="9:16">
      <c r="I7819" s="213"/>
      <c r="J7819" s="213"/>
      <c r="L7819" s="272">
        <f t="shared" si="559"/>
        <v>1900</v>
      </c>
      <c r="M7819" s="272">
        <f t="shared" si="560"/>
        <v>1</v>
      </c>
      <c r="O7819" s="61">
        <f t="shared" si="561"/>
        <v>1900</v>
      </c>
      <c r="P7819" s="61">
        <f t="shared" si="562"/>
        <v>1</v>
      </c>
    </row>
    <row r="7820" spans="9:16">
      <c r="I7820" s="213"/>
      <c r="J7820" s="213"/>
      <c r="L7820" s="272">
        <f t="shared" si="559"/>
        <v>1900</v>
      </c>
      <c r="M7820" s="272">
        <f t="shared" si="560"/>
        <v>1</v>
      </c>
      <c r="O7820" s="61">
        <f t="shared" si="561"/>
        <v>1900</v>
      </c>
      <c r="P7820" s="61">
        <f t="shared" si="562"/>
        <v>1</v>
      </c>
    </row>
    <row r="7821" spans="9:16">
      <c r="I7821" s="213"/>
      <c r="J7821" s="213"/>
      <c r="L7821" s="272">
        <f t="shared" si="559"/>
        <v>1900</v>
      </c>
      <c r="M7821" s="272">
        <f t="shared" si="560"/>
        <v>1</v>
      </c>
      <c r="O7821" s="61">
        <f t="shared" si="561"/>
        <v>1900</v>
      </c>
      <c r="P7821" s="61">
        <f t="shared" si="562"/>
        <v>1</v>
      </c>
    </row>
    <row r="7822" spans="9:16">
      <c r="I7822" s="213"/>
      <c r="J7822" s="213"/>
      <c r="L7822" s="272">
        <f t="shared" si="559"/>
        <v>1900</v>
      </c>
      <c r="M7822" s="272">
        <f t="shared" si="560"/>
        <v>1</v>
      </c>
      <c r="O7822" s="61">
        <f t="shared" si="561"/>
        <v>1900</v>
      </c>
      <c r="P7822" s="61">
        <f t="shared" si="562"/>
        <v>1</v>
      </c>
    </row>
    <row r="7823" spans="9:16">
      <c r="I7823" s="213"/>
      <c r="J7823" s="213"/>
      <c r="L7823" s="272">
        <f t="shared" si="559"/>
        <v>1900</v>
      </c>
      <c r="M7823" s="272">
        <f t="shared" si="560"/>
        <v>1</v>
      </c>
      <c r="O7823" s="61">
        <f t="shared" si="561"/>
        <v>1900</v>
      </c>
      <c r="P7823" s="61">
        <f t="shared" si="562"/>
        <v>1</v>
      </c>
    </row>
    <row r="7824" spans="9:16">
      <c r="I7824" s="213"/>
      <c r="J7824" s="213"/>
      <c r="L7824" s="272">
        <f t="shared" ref="L7824:L7887" si="563">YEAR(B7824)</f>
        <v>1900</v>
      </c>
      <c r="M7824" s="272">
        <f t="shared" ref="M7824:M7887" si="564">MONTH(B7824)</f>
        <v>1</v>
      </c>
      <c r="O7824" s="61">
        <f t="shared" ref="O7824:O7887" si="565">YEAR(B7824)</f>
        <v>1900</v>
      </c>
      <c r="P7824" s="61">
        <f t="shared" ref="P7824:P7887" si="566">MONTH(B7824)</f>
        <v>1</v>
      </c>
    </row>
    <row r="7825" spans="9:16">
      <c r="I7825" s="213"/>
      <c r="J7825" s="213"/>
      <c r="L7825" s="272">
        <f t="shared" si="563"/>
        <v>1900</v>
      </c>
      <c r="M7825" s="272">
        <f t="shared" si="564"/>
        <v>1</v>
      </c>
      <c r="O7825" s="61">
        <f t="shared" si="565"/>
        <v>1900</v>
      </c>
      <c r="P7825" s="61">
        <f t="shared" si="566"/>
        <v>1</v>
      </c>
    </row>
    <row r="7826" spans="9:16">
      <c r="I7826" s="213"/>
      <c r="J7826" s="213"/>
      <c r="L7826" s="272">
        <f t="shared" si="563"/>
        <v>1900</v>
      </c>
      <c r="M7826" s="272">
        <f t="shared" si="564"/>
        <v>1</v>
      </c>
      <c r="O7826" s="61">
        <f t="shared" si="565"/>
        <v>1900</v>
      </c>
      <c r="P7826" s="61">
        <f t="shared" si="566"/>
        <v>1</v>
      </c>
    </row>
    <row r="7827" spans="9:16">
      <c r="I7827" s="213"/>
      <c r="J7827" s="213"/>
      <c r="L7827" s="272">
        <f t="shared" si="563"/>
        <v>1900</v>
      </c>
      <c r="M7827" s="272">
        <f t="shared" si="564"/>
        <v>1</v>
      </c>
      <c r="O7827" s="61">
        <f t="shared" si="565"/>
        <v>1900</v>
      </c>
      <c r="P7827" s="61">
        <f t="shared" si="566"/>
        <v>1</v>
      </c>
    </row>
    <row r="7828" spans="9:16">
      <c r="I7828" s="213"/>
      <c r="J7828" s="213"/>
      <c r="L7828" s="272">
        <f t="shared" si="563"/>
        <v>1900</v>
      </c>
      <c r="M7828" s="272">
        <f t="shared" si="564"/>
        <v>1</v>
      </c>
      <c r="O7828" s="61">
        <f t="shared" si="565"/>
        <v>1900</v>
      </c>
      <c r="P7828" s="61">
        <f t="shared" si="566"/>
        <v>1</v>
      </c>
    </row>
    <row r="7829" spans="9:16">
      <c r="I7829" s="213"/>
      <c r="J7829" s="213"/>
      <c r="L7829" s="272">
        <f t="shared" si="563"/>
        <v>1900</v>
      </c>
      <c r="M7829" s="272">
        <f t="shared" si="564"/>
        <v>1</v>
      </c>
      <c r="O7829" s="61">
        <f t="shared" si="565"/>
        <v>1900</v>
      </c>
      <c r="P7829" s="61">
        <f t="shared" si="566"/>
        <v>1</v>
      </c>
    </row>
    <row r="7830" spans="9:16">
      <c r="I7830" s="213"/>
      <c r="J7830" s="213"/>
      <c r="L7830" s="272">
        <f t="shared" si="563"/>
        <v>1900</v>
      </c>
      <c r="M7830" s="272">
        <f t="shared" si="564"/>
        <v>1</v>
      </c>
      <c r="O7830" s="61">
        <f t="shared" si="565"/>
        <v>1900</v>
      </c>
      <c r="P7830" s="61">
        <f t="shared" si="566"/>
        <v>1</v>
      </c>
    </row>
    <row r="7831" spans="9:16">
      <c r="I7831" s="213"/>
      <c r="J7831" s="213"/>
      <c r="L7831" s="272">
        <f t="shared" si="563"/>
        <v>1900</v>
      </c>
      <c r="M7831" s="272">
        <f t="shared" si="564"/>
        <v>1</v>
      </c>
      <c r="O7831" s="61">
        <f t="shared" si="565"/>
        <v>1900</v>
      </c>
      <c r="P7831" s="61">
        <f t="shared" si="566"/>
        <v>1</v>
      </c>
    </row>
    <row r="7832" spans="9:16">
      <c r="I7832" s="213"/>
      <c r="J7832" s="213"/>
      <c r="L7832" s="272">
        <f t="shared" si="563"/>
        <v>1900</v>
      </c>
      <c r="M7832" s="272">
        <f t="shared" si="564"/>
        <v>1</v>
      </c>
      <c r="O7832" s="61">
        <f t="shared" si="565"/>
        <v>1900</v>
      </c>
      <c r="P7832" s="61">
        <f t="shared" si="566"/>
        <v>1</v>
      </c>
    </row>
    <row r="7833" spans="9:16">
      <c r="I7833" s="213"/>
      <c r="J7833" s="213"/>
      <c r="L7833" s="272">
        <f t="shared" si="563"/>
        <v>1900</v>
      </c>
      <c r="M7833" s="272">
        <f t="shared" si="564"/>
        <v>1</v>
      </c>
      <c r="O7833" s="61">
        <f t="shared" si="565"/>
        <v>1900</v>
      </c>
      <c r="P7833" s="61">
        <f t="shared" si="566"/>
        <v>1</v>
      </c>
    </row>
    <row r="7834" spans="9:16">
      <c r="I7834" s="213"/>
      <c r="J7834" s="213"/>
      <c r="L7834" s="272">
        <f t="shared" si="563"/>
        <v>1900</v>
      </c>
      <c r="M7834" s="272">
        <f t="shared" si="564"/>
        <v>1</v>
      </c>
      <c r="O7834" s="61">
        <f t="shared" si="565"/>
        <v>1900</v>
      </c>
      <c r="P7834" s="61">
        <f t="shared" si="566"/>
        <v>1</v>
      </c>
    </row>
    <row r="7835" spans="9:16">
      <c r="I7835" s="213"/>
      <c r="J7835" s="213"/>
      <c r="L7835" s="272">
        <f t="shared" si="563"/>
        <v>1900</v>
      </c>
      <c r="M7835" s="272">
        <f t="shared" si="564"/>
        <v>1</v>
      </c>
      <c r="O7835" s="61">
        <f t="shared" si="565"/>
        <v>1900</v>
      </c>
      <c r="P7835" s="61">
        <f t="shared" si="566"/>
        <v>1</v>
      </c>
    </row>
    <row r="7836" spans="9:16">
      <c r="I7836" s="213"/>
      <c r="J7836" s="213"/>
      <c r="L7836" s="272">
        <f t="shared" si="563"/>
        <v>1900</v>
      </c>
      <c r="M7836" s="272">
        <f t="shared" si="564"/>
        <v>1</v>
      </c>
      <c r="O7836" s="61">
        <f t="shared" si="565"/>
        <v>1900</v>
      </c>
      <c r="P7836" s="61">
        <f t="shared" si="566"/>
        <v>1</v>
      </c>
    </row>
    <row r="7837" spans="9:16">
      <c r="I7837" s="213"/>
      <c r="J7837" s="213"/>
      <c r="L7837" s="272">
        <f t="shared" si="563"/>
        <v>1900</v>
      </c>
      <c r="M7837" s="272">
        <f t="shared" si="564"/>
        <v>1</v>
      </c>
      <c r="O7837" s="61">
        <f t="shared" si="565"/>
        <v>1900</v>
      </c>
      <c r="P7837" s="61">
        <f t="shared" si="566"/>
        <v>1</v>
      </c>
    </row>
    <row r="7838" spans="9:16">
      <c r="I7838" s="213"/>
      <c r="J7838" s="213"/>
      <c r="L7838" s="272">
        <f t="shared" si="563"/>
        <v>1900</v>
      </c>
      <c r="M7838" s="272">
        <f t="shared" si="564"/>
        <v>1</v>
      </c>
      <c r="O7838" s="61">
        <f t="shared" si="565"/>
        <v>1900</v>
      </c>
      <c r="P7838" s="61">
        <f t="shared" si="566"/>
        <v>1</v>
      </c>
    </row>
    <row r="7839" spans="9:16">
      <c r="I7839" s="213"/>
      <c r="J7839" s="213"/>
      <c r="L7839" s="272">
        <f t="shared" si="563"/>
        <v>1900</v>
      </c>
      <c r="M7839" s="272">
        <f t="shared" si="564"/>
        <v>1</v>
      </c>
      <c r="O7839" s="61">
        <f t="shared" si="565"/>
        <v>1900</v>
      </c>
      <c r="P7839" s="61">
        <f t="shared" si="566"/>
        <v>1</v>
      </c>
    </row>
    <row r="7840" spans="9:16">
      <c r="I7840" s="213"/>
      <c r="J7840" s="213"/>
      <c r="L7840" s="272">
        <f t="shared" si="563"/>
        <v>1900</v>
      </c>
      <c r="M7840" s="272">
        <f t="shared" si="564"/>
        <v>1</v>
      </c>
      <c r="O7840" s="61">
        <f t="shared" si="565"/>
        <v>1900</v>
      </c>
      <c r="P7840" s="61">
        <f t="shared" si="566"/>
        <v>1</v>
      </c>
    </row>
    <row r="7841" spans="9:16">
      <c r="I7841" s="213"/>
      <c r="J7841" s="213"/>
      <c r="L7841" s="272">
        <f t="shared" si="563"/>
        <v>1900</v>
      </c>
      <c r="M7841" s="272">
        <f t="shared" si="564"/>
        <v>1</v>
      </c>
      <c r="O7841" s="61">
        <f t="shared" si="565"/>
        <v>1900</v>
      </c>
      <c r="P7841" s="61">
        <f t="shared" si="566"/>
        <v>1</v>
      </c>
    </row>
    <row r="7842" spans="9:16">
      <c r="I7842" s="213"/>
      <c r="J7842" s="213"/>
      <c r="L7842" s="272">
        <f t="shared" si="563"/>
        <v>1900</v>
      </c>
      <c r="M7842" s="272">
        <f t="shared" si="564"/>
        <v>1</v>
      </c>
      <c r="O7842" s="61">
        <f t="shared" si="565"/>
        <v>1900</v>
      </c>
      <c r="P7842" s="61">
        <f t="shared" si="566"/>
        <v>1</v>
      </c>
    </row>
    <row r="7843" spans="9:16">
      <c r="I7843" s="213"/>
      <c r="J7843" s="213"/>
      <c r="L7843" s="272">
        <f t="shared" si="563"/>
        <v>1900</v>
      </c>
      <c r="M7843" s="272">
        <f t="shared" si="564"/>
        <v>1</v>
      </c>
      <c r="O7843" s="61">
        <f t="shared" si="565"/>
        <v>1900</v>
      </c>
      <c r="P7843" s="61">
        <f t="shared" si="566"/>
        <v>1</v>
      </c>
    </row>
    <row r="7844" spans="9:16">
      <c r="I7844" s="213"/>
      <c r="J7844" s="213"/>
      <c r="L7844" s="272">
        <f t="shared" si="563"/>
        <v>1900</v>
      </c>
      <c r="M7844" s="272">
        <f t="shared" si="564"/>
        <v>1</v>
      </c>
      <c r="O7844" s="61">
        <f t="shared" si="565"/>
        <v>1900</v>
      </c>
      <c r="P7844" s="61">
        <f t="shared" si="566"/>
        <v>1</v>
      </c>
    </row>
    <row r="7845" spans="9:16">
      <c r="I7845" s="213"/>
      <c r="J7845" s="213"/>
      <c r="L7845" s="272">
        <f t="shared" si="563"/>
        <v>1900</v>
      </c>
      <c r="M7845" s="272">
        <f t="shared" si="564"/>
        <v>1</v>
      </c>
      <c r="O7845" s="61">
        <f t="shared" si="565"/>
        <v>1900</v>
      </c>
      <c r="P7845" s="61">
        <f t="shared" si="566"/>
        <v>1</v>
      </c>
    </row>
    <row r="7846" spans="9:16">
      <c r="I7846" s="213"/>
      <c r="J7846" s="213"/>
      <c r="L7846" s="272">
        <f t="shared" si="563"/>
        <v>1900</v>
      </c>
      <c r="M7846" s="272">
        <f t="shared" si="564"/>
        <v>1</v>
      </c>
      <c r="O7846" s="61">
        <f t="shared" si="565"/>
        <v>1900</v>
      </c>
      <c r="P7846" s="61">
        <f t="shared" si="566"/>
        <v>1</v>
      </c>
    </row>
    <row r="7847" spans="9:16">
      <c r="I7847" s="213"/>
      <c r="J7847" s="213"/>
      <c r="L7847" s="272">
        <f t="shared" si="563"/>
        <v>1900</v>
      </c>
      <c r="M7847" s="272">
        <f t="shared" si="564"/>
        <v>1</v>
      </c>
      <c r="O7847" s="61">
        <f t="shared" si="565"/>
        <v>1900</v>
      </c>
      <c r="P7847" s="61">
        <f t="shared" si="566"/>
        <v>1</v>
      </c>
    </row>
    <row r="7848" spans="9:16">
      <c r="I7848" s="213"/>
      <c r="J7848" s="213"/>
      <c r="L7848" s="272">
        <f t="shared" si="563"/>
        <v>1900</v>
      </c>
      <c r="M7848" s="272">
        <f t="shared" si="564"/>
        <v>1</v>
      </c>
      <c r="O7848" s="61">
        <f t="shared" si="565"/>
        <v>1900</v>
      </c>
      <c r="P7848" s="61">
        <f t="shared" si="566"/>
        <v>1</v>
      </c>
    </row>
    <row r="7849" spans="9:16">
      <c r="I7849" s="213"/>
      <c r="J7849" s="213"/>
      <c r="L7849" s="272">
        <f t="shared" si="563"/>
        <v>1900</v>
      </c>
      <c r="M7849" s="272">
        <f t="shared" si="564"/>
        <v>1</v>
      </c>
      <c r="O7849" s="61">
        <f t="shared" si="565"/>
        <v>1900</v>
      </c>
      <c r="P7849" s="61">
        <f t="shared" si="566"/>
        <v>1</v>
      </c>
    </row>
    <row r="7850" spans="9:16">
      <c r="I7850" s="213"/>
      <c r="J7850" s="213"/>
      <c r="L7850" s="272">
        <f t="shared" si="563"/>
        <v>1900</v>
      </c>
      <c r="M7850" s="272">
        <f t="shared" si="564"/>
        <v>1</v>
      </c>
      <c r="O7850" s="61">
        <f t="shared" si="565"/>
        <v>1900</v>
      </c>
      <c r="P7850" s="61">
        <f t="shared" si="566"/>
        <v>1</v>
      </c>
    </row>
    <row r="7851" spans="9:16">
      <c r="I7851" s="213"/>
      <c r="J7851" s="213"/>
      <c r="L7851" s="272">
        <f t="shared" si="563"/>
        <v>1900</v>
      </c>
      <c r="M7851" s="272">
        <f t="shared" si="564"/>
        <v>1</v>
      </c>
      <c r="O7851" s="61">
        <f t="shared" si="565"/>
        <v>1900</v>
      </c>
      <c r="P7851" s="61">
        <f t="shared" si="566"/>
        <v>1</v>
      </c>
    </row>
    <row r="7852" spans="9:16">
      <c r="I7852" s="213"/>
      <c r="J7852" s="213"/>
      <c r="L7852" s="272">
        <f t="shared" si="563"/>
        <v>1900</v>
      </c>
      <c r="M7852" s="272">
        <f t="shared" si="564"/>
        <v>1</v>
      </c>
      <c r="O7852" s="61">
        <f t="shared" si="565"/>
        <v>1900</v>
      </c>
      <c r="P7852" s="61">
        <f t="shared" si="566"/>
        <v>1</v>
      </c>
    </row>
    <row r="7853" spans="9:16">
      <c r="I7853" s="213"/>
      <c r="J7853" s="213"/>
      <c r="L7853" s="272">
        <f t="shared" si="563"/>
        <v>1900</v>
      </c>
      <c r="M7853" s="272">
        <f t="shared" si="564"/>
        <v>1</v>
      </c>
      <c r="O7853" s="61">
        <f t="shared" si="565"/>
        <v>1900</v>
      </c>
      <c r="P7853" s="61">
        <f t="shared" si="566"/>
        <v>1</v>
      </c>
    </row>
    <row r="7854" spans="9:16">
      <c r="I7854" s="213"/>
      <c r="J7854" s="213"/>
      <c r="L7854" s="272">
        <f t="shared" si="563"/>
        <v>1900</v>
      </c>
      <c r="M7854" s="272">
        <f t="shared" si="564"/>
        <v>1</v>
      </c>
      <c r="O7854" s="61">
        <f t="shared" si="565"/>
        <v>1900</v>
      </c>
      <c r="P7854" s="61">
        <f t="shared" si="566"/>
        <v>1</v>
      </c>
    </row>
    <row r="7855" spans="9:16">
      <c r="I7855" s="213"/>
      <c r="J7855" s="213"/>
      <c r="L7855" s="272">
        <f t="shared" si="563"/>
        <v>1900</v>
      </c>
      <c r="M7855" s="272">
        <f t="shared" si="564"/>
        <v>1</v>
      </c>
      <c r="O7855" s="61">
        <f t="shared" si="565"/>
        <v>1900</v>
      </c>
      <c r="P7855" s="61">
        <f t="shared" si="566"/>
        <v>1</v>
      </c>
    </row>
    <row r="7856" spans="9:16">
      <c r="I7856" s="213"/>
      <c r="J7856" s="213"/>
      <c r="L7856" s="272">
        <f t="shared" si="563"/>
        <v>1900</v>
      </c>
      <c r="M7856" s="272">
        <f t="shared" si="564"/>
        <v>1</v>
      </c>
      <c r="O7856" s="61">
        <f t="shared" si="565"/>
        <v>1900</v>
      </c>
      <c r="P7856" s="61">
        <f t="shared" si="566"/>
        <v>1</v>
      </c>
    </row>
    <row r="7857" spans="9:16">
      <c r="I7857" s="213"/>
      <c r="J7857" s="213"/>
      <c r="L7857" s="272">
        <f t="shared" si="563"/>
        <v>1900</v>
      </c>
      <c r="M7857" s="272">
        <f t="shared" si="564"/>
        <v>1</v>
      </c>
      <c r="O7857" s="61">
        <f t="shared" si="565"/>
        <v>1900</v>
      </c>
      <c r="P7857" s="61">
        <f t="shared" si="566"/>
        <v>1</v>
      </c>
    </row>
    <row r="7858" spans="9:16">
      <c r="I7858" s="213"/>
      <c r="J7858" s="213"/>
      <c r="L7858" s="272">
        <f t="shared" si="563"/>
        <v>1900</v>
      </c>
      <c r="M7858" s="272">
        <f t="shared" si="564"/>
        <v>1</v>
      </c>
      <c r="O7858" s="61">
        <f t="shared" si="565"/>
        <v>1900</v>
      </c>
      <c r="P7858" s="61">
        <f t="shared" si="566"/>
        <v>1</v>
      </c>
    </row>
    <row r="7859" spans="9:16">
      <c r="I7859" s="213"/>
      <c r="J7859" s="213"/>
      <c r="L7859" s="272">
        <f t="shared" si="563"/>
        <v>1900</v>
      </c>
      <c r="M7859" s="272">
        <f t="shared" si="564"/>
        <v>1</v>
      </c>
      <c r="O7859" s="61">
        <f t="shared" si="565"/>
        <v>1900</v>
      </c>
      <c r="P7859" s="61">
        <f t="shared" si="566"/>
        <v>1</v>
      </c>
    </row>
    <row r="7860" spans="9:16">
      <c r="I7860" s="213"/>
      <c r="J7860" s="213"/>
      <c r="L7860" s="272">
        <f t="shared" si="563"/>
        <v>1900</v>
      </c>
      <c r="M7860" s="272">
        <f t="shared" si="564"/>
        <v>1</v>
      </c>
      <c r="O7860" s="61">
        <f t="shared" si="565"/>
        <v>1900</v>
      </c>
      <c r="P7860" s="61">
        <f t="shared" si="566"/>
        <v>1</v>
      </c>
    </row>
    <row r="7861" spans="9:16">
      <c r="I7861" s="213"/>
      <c r="J7861" s="213"/>
      <c r="L7861" s="272">
        <f t="shared" si="563"/>
        <v>1900</v>
      </c>
      <c r="M7861" s="272">
        <f t="shared" si="564"/>
        <v>1</v>
      </c>
      <c r="O7861" s="61">
        <f t="shared" si="565"/>
        <v>1900</v>
      </c>
      <c r="P7861" s="61">
        <f t="shared" si="566"/>
        <v>1</v>
      </c>
    </row>
    <row r="7862" spans="9:16">
      <c r="I7862" s="213"/>
      <c r="J7862" s="213"/>
      <c r="L7862" s="272">
        <f t="shared" si="563"/>
        <v>1900</v>
      </c>
      <c r="M7862" s="272">
        <f t="shared" si="564"/>
        <v>1</v>
      </c>
      <c r="O7862" s="61">
        <f t="shared" si="565"/>
        <v>1900</v>
      </c>
      <c r="P7862" s="61">
        <f t="shared" si="566"/>
        <v>1</v>
      </c>
    </row>
    <row r="7863" spans="9:16">
      <c r="I7863" s="213"/>
      <c r="J7863" s="213"/>
      <c r="L7863" s="272">
        <f t="shared" si="563"/>
        <v>1900</v>
      </c>
      <c r="M7863" s="272">
        <f t="shared" si="564"/>
        <v>1</v>
      </c>
      <c r="O7863" s="61">
        <f t="shared" si="565"/>
        <v>1900</v>
      </c>
      <c r="P7863" s="61">
        <f t="shared" si="566"/>
        <v>1</v>
      </c>
    </row>
    <row r="7864" spans="9:16">
      <c r="I7864" s="213"/>
      <c r="J7864" s="213"/>
      <c r="L7864" s="272">
        <f t="shared" si="563"/>
        <v>1900</v>
      </c>
      <c r="M7864" s="272">
        <f t="shared" si="564"/>
        <v>1</v>
      </c>
      <c r="O7864" s="61">
        <f t="shared" si="565"/>
        <v>1900</v>
      </c>
      <c r="P7864" s="61">
        <f t="shared" si="566"/>
        <v>1</v>
      </c>
    </row>
    <row r="7865" spans="9:16">
      <c r="I7865" s="213"/>
      <c r="J7865" s="213"/>
      <c r="L7865" s="272">
        <f t="shared" si="563"/>
        <v>1900</v>
      </c>
      <c r="M7865" s="272">
        <f t="shared" si="564"/>
        <v>1</v>
      </c>
      <c r="O7865" s="61">
        <f t="shared" si="565"/>
        <v>1900</v>
      </c>
      <c r="P7865" s="61">
        <f t="shared" si="566"/>
        <v>1</v>
      </c>
    </row>
    <row r="7866" spans="9:16">
      <c r="I7866" s="213"/>
      <c r="J7866" s="213"/>
      <c r="L7866" s="272">
        <f t="shared" si="563"/>
        <v>1900</v>
      </c>
      <c r="M7866" s="272">
        <f t="shared" si="564"/>
        <v>1</v>
      </c>
      <c r="O7866" s="61">
        <f t="shared" si="565"/>
        <v>1900</v>
      </c>
      <c r="P7866" s="61">
        <f t="shared" si="566"/>
        <v>1</v>
      </c>
    </row>
    <row r="7867" spans="9:16">
      <c r="I7867" s="213"/>
      <c r="J7867" s="213"/>
      <c r="L7867" s="272">
        <f t="shared" si="563"/>
        <v>1900</v>
      </c>
      <c r="M7867" s="272">
        <f t="shared" si="564"/>
        <v>1</v>
      </c>
      <c r="O7867" s="61">
        <f t="shared" si="565"/>
        <v>1900</v>
      </c>
      <c r="P7867" s="61">
        <f t="shared" si="566"/>
        <v>1</v>
      </c>
    </row>
    <row r="7868" spans="9:16">
      <c r="I7868" s="213"/>
      <c r="J7868" s="213"/>
      <c r="L7868" s="272">
        <f t="shared" si="563"/>
        <v>1900</v>
      </c>
      <c r="M7868" s="272">
        <f t="shared" si="564"/>
        <v>1</v>
      </c>
      <c r="O7868" s="61">
        <f t="shared" si="565"/>
        <v>1900</v>
      </c>
      <c r="P7868" s="61">
        <f t="shared" si="566"/>
        <v>1</v>
      </c>
    </row>
    <row r="7869" spans="9:16">
      <c r="I7869" s="213"/>
      <c r="J7869" s="213"/>
      <c r="L7869" s="272">
        <f t="shared" si="563"/>
        <v>1900</v>
      </c>
      <c r="M7869" s="272">
        <f t="shared" si="564"/>
        <v>1</v>
      </c>
      <c r="O7869" s="61">
        <f t="shared" si="565"/>
        <v>1900</v>
      </c>
      <c r="P7869" s="61">
        <f t="shared" si="566"/>
        <v>1</v>
      </c>
    </row>
    <row r="7870" spans="9:16">
      <c r="I7870" s="213"/>
      <c r="J7870" s="213"/>
      <c r="L7870" s="272">
        <f t="shared" si="563"/>
        <v>1900</v>
      </c>
      <c r="M7870" s="272">
        <f t="shared" si="564"/>
        <v>1</v>
      </c>
      <c r="O7870" s="61">
        <f t="shared" si="565"/>
        <v>1900</v>
      </c>
      <c r="P7870" s="61">
        <f t="shared" si="566"/>
        <v>1</v>
      </c>
    </row>
    <row r="7871" spans="9:16">
      <c r="I7871" s="213"/>
      <c r="J7871" s="213"/>
      <c r="L7871" s="272">
        <f t="shared" si="563"/>
        <v>1900</v>
      </c>
      <c r="M7871" s="272">
        <f t="shared" si="564"/>
        <v>1</v>
      </c>
      <c r="O7871" s="61">
        <f t="shared" si="565"/>
        <v>1900</v>
      </c>
      <c r="P7871" s="61">
        <f t="shared" si="566"/>
        <v>1</v>
      </c>
    </row>
    <row r="7872" spans="9:16">
      <c r="I7872" s="213"/>
      <c r="J7872" s="213"/>
      <c r="L7872" s="272">
        <f t="shared" si="563"/>
        <v>1900</v>
      </c>
      <c r="M7872" s="272">
        <f t="shared" si="564"/>
        <v>1</v>
      </c>
      <c r="O7872" s="61">
        <f t="shared" si="565"/>
        <v>1900</v>
      </c>
      <c r="P7872" s="61">
        <f t="shared" si="566"/>
        <v>1</v>
      </c>
    </row>
    <row r="7873" spans="9:16">
      <c r="I7873" s="213"/>
      <c r="J7873" s="213"/>
      <c r="L7873" s="272">
        <f t="shared" si="563"/>
        <v>1900</v>
      </c>
      <c r="M7873" s="272">
        <f t="shared" si="564"/>
        <v>1</v>
      </c>
      <c r="O7873" s="61">
        <f t="shared" si="565"/>
        <v>1900</v>
      </c>
      <c r="P7873" s="61">
        <f t="shared" si="566"/>
        <v>1</v>
      </c>
    </row>
    <row r="7874" spans="9:16">
      <c r="I7874" s="213"/>
      <c r="J7874" s="213"/>
      <c r="L7874" s="272">
        <f t="shared" si="563"/>
        <v>1900</v>
      </c>
      <c r="M7874" s="272">
        <f t="shared" si="564"/>
        <v>1</v>
      </c>
      <c r="O7874" s="61">
        <f t="shared" si="565"/>
        <v>1900</v>
      </c>
      <c r="P7874" s="61">
        <f t="shared" si="566"/>
        <v>1</v>
      </c>
    </row>
    <row r="7875" spans="9:16">
      <c r="I7875" s="213"/>
      <c r="J7875" s="213"/>
      <c r="L7875" s="272">
        <f t="shared" si="563"/>
        <v>1900</v>
      </c>
      <c r="M7875" s="272">
        <f t="shared" si="564"/>
        <v>1</v>
      </c>
      <c r="O7875" s="61">
        <f t="shared" si="565"/>
        <v>1900</v>
      </c>
      <c r="P7875" s="61">
        <f t="shared" si="566"/>
        <v>1</v>
      </c>
    </row>
    <row r="7876" spans="9:16">
      <c r="I7876" s="213"/>
      <c r="J7876" s="213"/>
      <c r="L7876" s="272">
        <f t="shared" si="563"/>
        <v>1900</v>
      </c>
      <c r="M7876" s="272">
        <f t="shared" si="564"/>
        <v>1</v>
      </c>
      <c r="O7876" s="61">
        <f t="shared" si="565"/>
        <v>1900</v>
      </c>
      <c r="P7876" s="61">
        <f t="shared" si="566"/>
        <v>1</v>
      </c>
    </row>
    <row r="7877" spans="9:16">
      <c r="I7877" s="213"/>
      <c r="J7877" s="213"/>
      <c r="L7877" s="272">
        <f t="shared" si="563"/>
        <v>1900</v>
      </c>
      <c r="M7877" s="272">
        <f t="shared" si="564"/>
        <v>1</v>
      </c>
      <c r="O7877" s="61">
        <f t="shared" si="565"/>
        <v>1900</v>
      </c>
      <c r="P7877" s="61">
        <f t="shared" si="566"/>
        <v>1</v>
      </c>
    </row>
    <row r="7878" spans="9:16">
      <c r="I7878" s="213"/>
      <c r="J7878" s="213"/>
      <c r="L7878" s="272">
        <f t="shared" si="563"/>
        <v>1900</v>
      </c>
      <c r="M7878" s="272">
        <f t="shared" si="564"/>
        <v>1</v>
      </c>
      <c r="O7878" s="61">
        <f t="shared" si="565"/>
        <v>1900</v>
      </c>
      <c r="P7878" s="61">
        <f t="shared" si="566"/>
        <v>1</v>
      </c>
    </row>
    <row r="7879" spans="9:16">
      <c r="I7879" s="213"/>
      <c r="J7879" s="213"/>
      <c r="L7879" s="272">
        <f t="shared" si="563"/>
        <v>1900</v>
      </c>
      <c r="M7879" s="272">
        <f t="shared" si="564"/>
        <v>1</v>
      </c>
      <c r="O7879" s="61">
        <f t="shared" si="565"/>
        <v>1900</v>
      </c>
      <c r="P7879" s="61">
        <f t="shared" si="566"/>
        <v>1</v>
      </c>
    </row>
    <row r="7880" spans="9:16">
      <c r="I7880" s="213"/>
      <c r="J7880" s="213"/>
      <c r="L7880" s="272">
        <f t="shared" si="563"/>
        <v>1900</v>
      </c>
      <c r="M7880" s="272">
        <f t="shared" si="564"/>
        <v>1</v>
      </c>
      <c r="O7880" s="61">
        <f t="shared" si="565"/>
        <v>1900</v>
      </c>
      <c r="P7880" s="61">
        <f t="shared" si="566"/>
        <v>1</v>
      </c>
    </row>
    <row r="7881" spans="9:16">
      <c r="I7881" s="213"/>
      <c r="J7881" s="213"/>
      <c r="L7881" s="272">
        <f t="shared" si="563"/>
        <v>1900</v>
      </c>
      <c r="M7881" s="272">
        <f t="shared" si="564"/>
        <v>1</v>
      </c>
      <c r="O7881" s="61">
        <f t="shared" si="565"/>
        <v>1900</v>
      </c>
      <c r="P7881" s="61">
        <f t="shared" si="566"/>
        <v>1</v>
      </c>
    </row>
    <row r="7882" spans="9:16">
      <c r="I7882" s="213"/>
      <c r="J7882" s="213"/>
      <c r="L7882" s="272">
        <f t="shared" si="563"/>
        <v>1900</v>
      </c>
      <c r="M7882" s="272">
        <f t="shared" si="564"/>
        <v>1</v>
      </c>
      <c r="O7882" s="61">
        <f t="shared" si="565"/>
        <v>1900</v>
      </c>
      <c r="P7882" s="61">
        <f t="shared" si="566"/>
        <v>1</v>
      </c>
    </row>
    <row r="7883" spans="9:16">
      <c r="I7883" s="213"/>
      <c r="J7883" s="213"/>
      <c r="L7883" s="272">
        <f t="shared" si="563"/>
        <v>1900</v>
      </c>
      <c r="M7883" s="272">
        <f t="shared" si="564"/>
        <v>1</v>
      </c>
      <c r="O7883" s="61">
        <f t="shared" si="565"/>
        <v>1900</v>
      </c>
      <c r="P7883" s="61">
        <f t="shared" si="566"/>
        <v>1</v>
      </c>
    </row>
    <row r="7884" spans="9:16">
      <c r="I7884" s="213"/>
      <c r="J7884" s="213"/>
      <c r="L7884" s="272">
        <f t="shared" si="563"/>
        <v>1900</v>
      </c>
      <c r="M7884" s="272">
        <f t="shared" si="564"/>
        <v>1</v>
      </c>
      <c r="O7884" s="61">
        <f t="shared" si="565"/>
        <v>1900</v>
      </c>
      <c r="P7884" s="61">
        <f t="shared" si="566"/>
        <v>1</v>
      </c>
    </row>
    <row r="7885" spans="9:16">
      <c r="I7885" s="213"/>
      <c r="J7885" s="213"/>
      <c r="L7885" s="272">
        <f t="shared" si="563"/>
        <v>1900</v>
      </c>
      <c r="M7885" s="272">
        <f t="shared" si="564"/>
        <v>1</v>
      </c>
      <c r="O7885" s="61">
        <f t="shared" si="565"/>
        <v>1900</v>
      </c>
      <c r="P7885" s="61">
        <f t="shared" si="566"/>
        <v>1</v>
      </c>
    </row>
    <row r="7886" spans="9:16">
      <c r="I7886" s="213"/>
      <c r="J7886" s="213"/>
      <c r="L7886" s="272">
        <f t="shared" si="563"/>
        <v>1900</v>
      </c>
      <c r="M7886" s="272">
        <f t="shared" si="564"/>
        <v>1</v>
      </c>
      <c r="O7886" s="61">
        <f t="shared" si="565"/>
        <v>1900</v>
      </c>
      <c r="P7886" s="61">
        <f t="shared" si="566"/>
        <v>1</v>
      </c>
    </row>
    <row r="7887" spans="9:16">
      <c r="I7887" s="213"/>
      <c r="J7887" s="213"/>
      <c r="L7887" s="272">
        <f t="shared" si="563"/>
        <v>1900</v>
      </c>
      <c r="M7887" s="272">
        <f t="shared" si="564"/>
        <v>1</v>
      </c>
      <c r="O7887" s="61">
        <f t="shared" si="565"/>
        <v>1900</v>
      </c>
      <c r="P7887" s="61">
        <f t="shared" si="566"/>
        <v>1</v>
      </c>
    </row>
    <row r="7888" spans="9:16">
      <c r="I7888" s="213"/>
      <c r="J7888" s="213"/>
      <c r="L7888" s="272">
        <f t="shared" ref="L7888:L7951" si="567">YEAR(B7888)</f>
        <v>1900</v>
      </c>
      <c r="M7888" s="272">
        <f t="shared" ref="M7888:M7951" si="568">MONTH(B7888)</f>
        <v>1</v>
      </c>
      <c r="O7888" s="61">
        <f t="shared" ref="O7888:O7951" si="569">YEAR(B7888)</f>
        <v>1900</v>
      </c>
      <c r="P7888" s="61">
        <f t="shared" ref="P7888:P7951" si="570">MONTH(B7888)</f>
        <v>1</v>
      </c>
    </row>
    <row r="7889" spans="9:16">
      <c r="I7889" s="213"/>
      <c r="J7889" s="213"/>
      <c r="L7889" s="272">
        <f t="shared" si="567"/>
        <v>1900</v>
      </c>
      <c r="M7889" s="272">
        <f t="shared" si="568"/>
        <v>1</v>
      </c>
      <c r="O7889" s="61">
        <f t="shared" si="569"/>
        <v>1900</v>
      </c>
      <c r="P7889" s="61">
        <f t="shared" si="570"/>
        <v>1</v>
      </c>
    </row>
    <row r="7890" spans="9:16">
      <c r="I7890" s="213"/>
      <c r="J7890" s="213"/>
      <c r="L7890" s="272">
        <f t="shared" si="567"/>
        <v>1900</v>
      </c>
      <c r="M7890" s="272">
        <f t="shared" si="568"/>
        <v>1</v>
      </c>
      <c r="O7890" s="61">
        <f t="shared" si="569"/>
        <v>1900</v>
      </c>
      <c r="P7890" s="61">
        <f t="shared" si="570"/>
        <v>1</v>
      </c>
    </row>
    <row r="7891" spans="9:16">
      <c r="I7891" s="213"/>
      <c r="J7891" s="213"/>
      <c r="L7891" s="272">
        <f t="shared" si="567"/>
        <v>1900</v>
      </c>
      <c r="M7891" s="272">
        <f t="shared" si="568"/>
        <v>1</v>
      </c>
      <c r="O7891" s="61">
        <f t="shared" si="569"/>
        <v>1900</v>
      </c>
      <c r="P7891" s="61">
        <f t="shared" si="570"/>
        <v>1</v>
      </c>
    </row>
    <row r="7892" spans="9:16">
      <c r="I7892" s="213"/>
      <c r="J7892" s="213"/>
      <c r="L7892" s="272">
        <f t="shared" si="567"/>
        <v>1900</v>
      </c>
      <c r="M7892" s="272">
        <f t="shared" si="568"/>
        <v>1</v>
      </c>
      <c r="O7892" s="61">
        <f t="shared" si="569"/>
        <v>1900</v>
      </c>
      <c r="P7892" s="61">
        <f t="shared" si="570"/>
        <v>1</v>
      </c>
    </row>
    <row r="7893" spans="9:16">
      <c r="I7893" s="213"/>
      <c r="J7893" s="213"/>
      <c r="L7893" s="272">
        <f t="shared" si="567"/>
        <v>1900</v>
      </c>
      <c r="M7893" s="272">
        <f t="shared" si="568"/>
        <v>1</v>
      </c>
      <c r="O7893" s="61">
        <f t="shared" si="569"/>
        <v>1900</v>
      </c>
      <c r="P7893" s="61">
        <f t="shared" si="570"/>
        <v>1</v>
      </c>
    </row>
    <row r="7894" spans="9:16">
      <c r="I7894" s="213"/>
      <c r="J7894" s="213"/>
      <c r="L7894" s="272">
        <f t="shared" si="567"/>
        <v>1900</v>
      </c>
      <c r="M7894" s="272">
        <f t="shared" si="568"/>
        <v>1</v>
      </c>
      <c r="O7894" s="61">
        <f t="shared" si="569"/>
        <v>1900</v>
      </c>
      <c r="P7894" s="61">
        <f t="shared" si="570"/>
        <v>1</v>
      </c>
    </row>
    <row r="7895" spans="9:16">
      <c r="I7895" s="213"/>
      <c r="J7895" s="213"/>
      <c r="L7895" s="272">
        <f t="shared" si="567"/>
        <v>1900</v>
      </c>
      <c r="M7895" s="272">
        <f t="shared" si="568"/>
        <v>1</v>
      </c>
      <c r="O7895" s="61">
        <f t="shared" si="569"/>
        <v>1900</v>
      </c>
      <c r="P7895" s="61">
        <f t="shared" si="570"/>
        <v>1</v>
      </c>
    </row>
    <row r="7896" spans="9:16">
      <c r="I7896" s="213"/>
      <c r="J7896" s="213"/>
      <c r="L7896" s="272">
        <f t="shared" si="567"/>
        <v>1900</v>
      </c>
      <c r="M7896" s="272">
        <f t="shared" si="568"/>
        <v>1</v>
      </c>
      <c r="O7896" s="61">
        <f t="shared" si="569"/>
        <v>1900</v>
      </c>
      <c r="P7896" s="61">
        <f t="shared" si="570"/>
        <v>1</v>
      </c>
    </row>
    <row r="7897" spans="9:16">
      <c r="I7897" s="213"/>
      <c r="J7897" s="213"/>
      <c r="L7897" s="272">
        <f t="shared" si="567"/>
        <v>1900</v>
      </c>
      <c r="M7897" s="272">
        <f t="shared" si="568"/>
        <v>1</v>
      </c>
      <c r="O7897" s="61">
        <f t="shared" si="569"/>
        <v>1900</v>
      </c>
      <c r="P7897" s="61">
        <f t="shared" si="570"/>
        <v>1</v>
      </c>
    </row>
    <row r="7898" spans="9:16">
      <c r="I7898" s="213"/>
      <c r="J7898" s="213"/>
      <c r="L7898" s="272">
        <f t="shared" si="567"/>
        <v>1900</v>
      </c>
      <c r="M7898" s="272">
        <f t="shared" si="568"/>
        <v>1</v>
      </c>
      <c r="O7898" s="61">
        <f t="shared" si="569"/>
        <v>1900</v>
      </c>
      <c r="P7898" s="61">
        <f t="shared" si="570"/>
        <v>1</v>
      </c>
    </row>
    <row r="7899" spans="9:16">
      <c r="I7899" s="213"/>
      <c r="J7899" s="213"/>
      <c r="L7899" s="272">
        <f t="shared" si="567"/>
        <v>1900</v>
      </c>
      <c r="M7899" s="272">
        <f t="shared" si="568"/>
        <v>1</v>
      </c>
      <c r="O7899" s="61">
        <f t="shared" si="569"/>
        <v>1900</v>
      </c>
      <c r="P7899" s="61">
        <f t="shared" si="570"/>
        <v>1</v>
      </c>
    </row>
    <row r="7900" spans="9:16">
      <c r="I7900" s="213"/>
      <c r="J7900" s="213"/>
      <c r="L7900" s="272">
        <f t="shared" si="567"/>
        <v>1900</v>
      </c>
      <c r="M7900" s="272">
        <f t="shared" si="568"/>
        <v>1</v>
      </c>
      <c r="O7900" s="61">
        <f t="shared" si="569"/>
        <v>1900</v>
      </c>
      <c r="P7900" s="61">
        <f t="shared" si="570"/>
        <v>1</v>
      </c>
    </row>
    <row r="7901" spans="9:16">
      <c r="I7901" s="213"/>
      <c r="J7901" s="213"/>
      <c r="L7901" s="272">
        <f t="shared" si="567"/>
        <v>1900</v>
      </c>
      <c r="M7901" s="272">
        <f t="shared" si="568"/>
        <v>1</v>
      </c>
      <c r="O7901" s="61">
        <f t="shared" si="569"/>
        <v>1900</v>
      </c>
      <c r="P7901" s="61">
        <f t="shared" si="570"/>
        <v>1</v>
      </c>
    </row>
    <row r="7902" spans="9:16">
      <c r="I7902" s="213"/>
      <c r="J7902" s="213"/>
      <c r="L7902" s="272">
        <f t="shared" si="567"/>
        <v>1900</v>
      </c>
      <c r="M7902" s="272">
        <f t="shared" si="568"/>
        <v>1</v>
      </c>
      <c r="O7902" s="61">
        <f t="shared" si="569"/>
        <v>1900</v>
      </c>
      <c r="P7902" s="61">
        <f t="shared" si="570"/>
        <v>1</v>
      </c>
    </row>
    <row r="7903" spans="9:16">
      <c r="I7903" s="213"/>
      <c r="J7903" s="213"/>
      <c r="L7903" s="272">
        <f t="shared" si="567"/>
        <v>1900</v>
      </c>
      <c r="M7903" s="272">
        <f t="shared" si="568"/>
        <v>1</v>
      </c>
      <c r="O7903" s="61">
        <f t="shared" si="569"/>
        <v>1900</v>
      </c>
      <c r="P7903" s="61">
        <f t="shared" si="570"/>
        <v>1</v>
      </c>
    </row>
    <row r="7904" spans="9:16">
      <c r="I7904" s="213"/>
      <c r="J7904" s="213"/>
      <c r="L7904" s="272">
        <f t="shared" si="567"/>
        <v>1900</v>
      </c>
      <c r="M7904" s="272">
        <f t="shared" si="568"/>
        <v>1</v>
      </c>
      <c r="O7904" s="61">
        <f t="shared" si="569"/>
        <v>1900</v>
      </c>
      <c r="P7904" s="61">
        <f t="shared" si="570"/>
        <v>1</v>
      </c>
    </row>
    <row r="7905" spans="9:16">
      <c r="I7905" s="213"/>
      <c r="J7905" s="213"/>
      <c r="L7905" s="272">
        <f t="shared" si="567"/>
        <v>1900</v>
      </c>
      <c r="M7905" s="272">
        <f t="shared" si="568"/>
        <v>1</v>
      </c>
      <c r="O7905" s="61">
        <f t="shared" si="569"/>
        <v>1900</v>
      </c>
      <c r="P7905" s="61">
        <f t="shared" si="570"/>
        <v>1</v>
      </c>
    </row>
    <row r="7906" spans="9:16">
      <c r="I7906" s="213"/>
      <c r="J7906" s="213"/>
      <c r="L7906" s="272">
        <f t="shared" si="567"/>
        <v>1900</v>
      </c>
      <c r="M7906" s="272">
        <f t="shared" si="568"/>
        <v>1</v>
      </c>
      <c r="O7906" s="61">
        <f t="shared" si="569"/>
        <v>1900</v>
      </c>
      <c r="P7906" s="61">
        <f t="shared" si="570"/>
        <v>1</v>
      </c>
    </row>
    <row r="7907" spans="9:16">
      <c r="I7907" s="213"/>
      <c r="J7907" s="213"/>
      <c r="L7907" s="272">
        <f t="shared" si="567"/>
        <v>1900</v>
      </c>
      <c r="M7907" s="272">
        <f t="shared" si="568"/>
        <v>1</v>
      </c>
      <c r="O7907" s="61">
        <f t="shared" si="569"/>
        <v>1900</v>
      </c>
      <c r="P7907" s="61">
        <f t="shared" si="570"/>
        <v>1</v>
      </c>
    </row>
    <row r="7908" spans="9:16">
      <c r="I7908" s="213"/>
      <c r="J7908" s="213"/>
      <c r="L7908" s="272">
        <f t="shared" si="567"/>
        <v>1900</v>
      </c>
      <c r="M7908" s="272">
        <f t="shared" si="568"/>
        <v>1</v>
      </c>
      <c r="O7908" s="61">
        <f t="shared" si="569"/>
        <v>1900</v>
      </c>
      <c r="P7908" s="61">
        <f t="shared" si="570"/>
        <v>1</v>
      </c>
    </row>
    <row r="7909" spans="9:16">
      <c r="I7909" s="213"/>
      <c r="J7909" s="213"/>
      <c r="L7909" s="272">
        <f t="shared" si="567"/>
        <v>1900</v>
      </c>
      <c r="M7909" s="272">
        <f t="shared" si="568"/>
        <v>1</v>
      </c>
      <c r="O7909" s="61">
        <f t="shared" si="569"/>
        <v>1900</v>
      </c>
      <c r="P7909" s="61">
        <f t="shared" si="570"/>
        <v>1</v>
      </c>
    </row>
    <row r="7910" spans="9:16">
      <c r="I7910" s="213"/>
      <c r="J7910" s="213"/>
      <c r="L7910" s="272">
        <f t="shared" si="567"/>
        <v>1900</v>
      </c>
      <c r="M7910" s="272">
        <f t="shared" si="568"/>
        <v>1</v>
      </c>
      <c r="O7910" s="61">
        <f t="shared" si="569"/>
        <v>1900</v>
      </c>
      <c r="P7910" s="61">
        <f t="shared" si="570"/>
        <v>1</v>
      </c>
    </row>
    <row r="7911" spans="9:16">
      <c r="I7911" s="213"/>
      <c r="J7911" s="213"/>
      <c r="L7911" s="272">
        <f t="shared" si="567"/>
        <v>1900</v>
      </c>
      <c r="M7911" s="272">
        <f t="shared" si="568"/>
        <v>1</v>
      </c>
      <c r="O7911" s="61">
        <f t="shared" si="569"/>
        <v>1900</v>
      </c>
      <c r="P7911" s="61">
        <f t="shared" si="570"/>
        <v>1</v>
      </c>
    </row>
    <row r="7912" spans="9:16">
      <c r="I7912" s="213"/>
      <c r="J7912" s="213"/>
      <c r="L7912" s="272">
        <f t="shared" si="567"/>
        <v>1900</v>
      </c>
      <c r="M7912" s="272">
        <f t="shared" si="568"/>
        <v>1</v>
      </c>
      <c r="O7912" s="61">
        <f t="shared" si="569"/>
        <v>1900</v>
      </c>
      <c r="P7912" s="61">
        <f t="shared" si="570"/>
        <v>1</v>
      </c>
    </row>
    <row r="7913" spans="9:16">
      <c r="I7913" s="213"/>
      <c r="J7913" s="213"/>
      <c r="L7913" s="272">
        <f t="shared" si="567"/>
        <v>1900</v>
      </c>
      <c r="M7913" s="272">
        <f t="shared" si="568"/>
        <v>1</v>
      </c>
      <c r="O7913" s="61">
        <f t="shared" si="569"/>
        <v>1900</v>
      </c>
      <c r="P7913" s="61">
        <f t="shared" si="570"/>
        <v>1</v>
      </c>
    </row>
    <row r="7914" spans="9:16">
      <c r="I7914" s="213"/>
      <c r="J7914" s="213"/>
      <c r="L7914" s="272">
        <f t="shared" si="567"/>
        <v>1900</v>
      </c>
      <c r="M7914" s="272">
        <f t="shared" si="568"/>
        <v>1</v>
      </c>
      <c r="O7914" s="61">
        <f t="shared" si="569"/>
        <v>1900</v>
      </c>
      <c r="P7914" s="61">
        <f t="shared" si="570"/>
        <v>1</v>
      </c>
    </row>
    <row r="7915" spans="9:16">
      <c r="I7915" s="213"/>
      <c r="J7915" s="213"/>
      <c r="L7915" s="272">
        <f t="shared" si="567"/>
        <v>1900</v>
      </c>
      <c r="M7915" s="272">
        <f t="shared" si="568"/>
        <v>1</v>
      </c>
      <c r="O7915" s="61">
        <f t="shared" si="569"/>
        <v>1900</v>
      </c>
      <c r="P7915" s="61">
        <f t="shared" si="570"/>
        <v>1</v>
      </c>
    </row>
    <row r="7916" spans="9:16">
      <c r="I7916" s="213"/>
      <c r="J7916" s="213"/>
      <c r="L7916" s="272">
        <f t="shared" si="567"/>
        <v>1900</v>
      </c>
      <c r="M7916" s="272">
        <f t="shared" si="568"/>
        <v>1</v>
      </c>
      <c r="O7916" s="61">
        <f t="shared" si="569"/>
        <v>1900</v>
      </c>
      <c r="P7916" s="61">
        <f t="shared" si="570"/>
        <v>1</v>
      </c>
    </row>
    <row r="7917" spans="9:16">
      <c r="I7917" s="213"/>
      <c r="J7917" s="213"/>
      <c r="L7917" s="272">
        <f t="shared" si="567"/>
        <v>1900</v>
      </c>
      <c r="M7917" s="272">
        <f t="shared" si="568"/>
        <v>1</v>
      </c>
      <c r="O7917" s="61">
        <f t="shared" si="569"/>
        <v>1900</v>
      </c>
      <c r="P7917" s="61">
        <f t="shared" si="570"/>
        <v>1</v>
      </c>
    </row>
    <row r="7918" spans="9:16">
      <c r="I7918" s="213"/>
      <c r="J7918" s="213"/>
      <c r="L7918" s="272">
        <f t="shared" si="567"/>
        <v>1900</v>
      </c>
      <c r="M7918" s="272">
        <f t="shared" si="568"/>
        <v>1</v>
      </c>
      <c r="O7918" s="61">
        <f t="shared" si="569"/>
        <v>1900</v>
      </c>
      <c r="P7918" s="61">
        <f t="shared" si="570"/>
        <v>1</v>
      </c>
    </row>
    <row r="7919" spans="9:16">
      <c r="I7919" s="213"/>
      <c r="J7919" s="213"/>
      <c r="L7919" s="272">
        <f t="shared" si="567"/>
        <v>1900</v>
      </c>
      <c r="M7919" s="272">
        <f t="shared" si="568"/>
        <v>1</v>
      </c>
      <c r="O7919" s="61">
        <f t="shared" si="569"/>
        <v>1900</v>
      </c>
      <c r="P7919" s="61">
        <f t="shared" si="570"/>
        <v>1</v>
      </c>
    </row>
    <row r="7920" spans="9:16">
      <c r="I7920" s="213"/>
      <c r="J7920" s="213"/>
      <c r="L7920" s="272">
        <f t="shared" si="567"/>
        <v>1900</v>
      </c>
      <c r="M7920" s="272">
        <f t="shared" si="568"/>
        <v>1</v>
      </c>
      <c r="O7920" s="61">
        <f t="shared" si="569"/>
        <v>1900</v>
      </c>
      <c r="P7920" s="61">
        <f t="shared" si="570"/>
        <v>1</v>
      </c>
    </row>
    <row r="7921" spans="9:16">
      <c r="I7921" s="213"/>
      <c r="J7921" s="213"/>
      <c r="L7921" s="272">
        <f t="shared" si="567"/>
        <v>1900</v>
      </c>
      <c r="M7921" s="272">
        <f t="shared" si="568"/>
        <v>1</v>
      </c>
      <c r="O7921" s="61">
        <f t="shared" si="569"/>
        <v>1900</v>
      </c>
      <c r="P7921" s="61">
        <f t="shared" si="570"/>
        <v>1</v>
      </c>
    </row>
    <row r="7922" spans="9:16">
      <c r="I7922" s="213"/>
      <c r="J7922" s="213"/>
      <c r="L7922" s="272">
        <f t="shared" si="567"/>
        <v>1900</v>
      </c>
      <c r="M7922" s="272">
        <f t="shared" si="568"/>
        <v>1</v>
      </c>
      <c r="O7922" s="61">
        <f t="shared" si="569"/>
        <v>1900</v>
      </c>
      <c r="P7922" s="61">
        <f t="shared" si="570"/>
        <v>1</v>
      </c>
    </row>
    <row r="7923" spans="9:16">
      <c r="I7923" s="213"/>
      <c r="J7923" s="213"/>
      <c r="L7923" s="272">
        <f t="shared" si="567"/>
        <v>1900</v>
      </c>
      <c r="M7923" s="272">
        <f t="shared" si="568"/>
        <v>1</v>
      </c>
      <c r="O7923" s="61">
        <f t="shared" si="569"/>
        <v>1900</v>
      </c>
      <c r="P7923" s="61">
        <f t="shared" si="570"/>
        <v>1</v>
      </c>
    </row>
    <row r="7924" spans="9:16">
      <c r="I7924" s="213"/>
      <c r="J7924" s="213"/>
      <c r="L7924" s="272">
        <f t="shared" si="567"/>
        <v>1900</v>
      </c>
      <c r="M7924" s="272">
        <f t="shared" si="568"/>
        <v>1</v>
      </c>
      <c r="O7924" s="61">
        <f t="shared" si="569"/>
        <v>1900</v>
      </c>
      <c r="P7924" s="61">
        <f t="shared" si="570"/>
        <v>1</v>
      </c>
    </row>
    <row r="7925" spans="9:16">
      <c r="I7925" s="213"/>
      <c r="J7925" s="213"/>
      <c r="L7925" s="272">
        <f t="shared" si="567"/>
        <v>1900</v>
      </c>
      <c r="M7925" s="272">
        <f t="shared" si="568"/>
        <v>1</v>
      </c>
      <c r="O7925" s="61">
        <f t="shared" si="569"/>
        <v>1900</v>
      </c>
      <c r="P7925" s="61">
        <f t="shared" si="570"/>
        <v>1</v>
      </c>
    </row>
    <row r="7926" spans="9:16">
      <c r="I7926" s="213"/>
      <c r="J7926" s="213"/>
      <c r="L7926" s="272">
        <f t="shared" si="567"/>
        <v>1900</v>
      </c>
      <c r="M7926" s="272">
        <f t="shared" si="568"/>
        <v>1</v>
      </c>
      <c r="O7926" s="61">
        <f t="shared" si="569"/>
        <v>1900</v>
      </c>
      <c r="P7926" s="61">
        <f t="shared" si="570"/>
        <v>1</v>
      </c>
    </row>
    <row r="7927" spans="9:16">
      <c r="I7927" s="213"/>
      <c r="J7927" s="213"/>
      <c r="L7927" s="272">
        <f t="shared" si="567"/>
        <v>1900</v>
      </c>
      <c r="M7927" s="272">
        <f t="shared" si="568"/>
        <v>1</v>
      </c>
      <c r="O7927" s="61">
        <f t="shared" si="569"/>
        <v>1900</v>
      </c>
      <c r="P7927" s="61">
        <f t="shared" si="570"/>
        <v>1</v>
      </c>
    </row>
    <row r="7928" spans="9:16">
      <c r="I7928" s="213"/>
      <c r="J7928" s="213"/>
      <c r="L7928" s="272">
        <f t="shared" si="567"/>
        <v>1900</v>
      </c>
      <c r="M7928" s="272">
        <f t="shared" si="568"/>
        <v>1</v>
      </c>
      <c r="O7928" s="61">
        <f t="shared" si="569"/>
        <v>1900</v>
      </c>
      <c r="P7928" s="61">
        <f t="shared" si="570"/>
        <v>1</v>
      </c>
    </row>
    <row r="7929" spans="9:16">
      <c r="I7929" s="213"/>
      <c r="J7929" s="213"/>
      <c r="L7929" s="272">
        <f t="shared" si="567"/>
        <v>1900</v>
      </c>
      <c r="M7929" s="272">
        <f t="shared" si="568"/>
        <v>1</v>
      </c>
      <c r="O7929" s="61">
        <f t="shared" si="569"/>
        <v>1900</v>
      </c>
      <c r="P7929" s="61">
        <f t="shared" si="570"/>
        <v>1</v>
      </c>
    </row>
    <row r="7930" spans="9:16">
      <c r="I7930" s="213"/>
      <c r="J7930" s="213"/>
      <c r="L7930" s="272">
        <f t="shared" si="567"/>
        <v>1900</v>
      </c>
      <c r="M7930" s="272">
        <f t="shared" si="568"/>
        <v>1</v>
      </c>
      <c r="O7930" s="61">
        <f t="shared" si="569"/>
        <v>1900</v>
      </c>
      <c r="P7930" s="61">
        <f t="shared" si="570"/>
        <v>1</v>
      </c>
    </row>
    <row r="7931" spans="9:16">
      <c r="I7931" s="213"/>
      <c r="J7931" s="213"/>
      <c r="L7931" s="272">
        <f t="shared" si="567"/>
        <v>1900</v>
      </c>
      <c r="M7931" s="272">
        <f t="shared" si="568"/>
        <v>1</v>
      </c>
      <c r="O7931" s="61">
        <f t="shared" si="569"/>
        <v>1900</v>
      </c>
      <c r="P7931" s="61">
        <f t="shared" si="570"/>
        <v>1</v>
      </c>
    </row>
    <row r="7932" spans="9:16">
      <c r="I7932" s="213"/>
      <c r="J7932" s="213"/>
      <c r="L7932" s="272">
        <f t="shared" si="567"/>
        <v>1900</v>
      </c>
      <c r="M7932" s="272">
        <f t="shared" si="568"/>
        <v>1</v>
      </c>
      <c r="O7932" s="61">
        <f t="shared" si="569"/>
        <v>1900</v>
      </c>
      <c r="P7932" s="61">
        <f t="shared" si="570"/>
        <v>1</v>
      </c>
    </row>
    <row r="7933" spans="9:16">
      <c r="I7933" s="213"/>
      <c r="J7933" s="213"/>
      <c r="L7933" s="272">
        <f t="shared" si="567"/>
        <v>1900</v>
      </c>
      <c r="M7933" s="272">
        <f t="shared" si="568"/>
        <v>1</v>
      </c>
      <c r="O7933" s="61">
        <f t="shared" si="569"/>
        <v>1900</v>
      </c>
      <c r="P7933" s="61">
        <f t="shared" si="570"/>
        <v>1</v>
      </c>
    </row>
    <row r="7934" spans="9:16">
      <c r="I7934" s="213"/>
      <c r="J7934" s="213"/>
      <c r="L7934" s="272">
        <f t="shared" si="567"/>
        <v>1900</v>
      </c>
      <c r="M7934" s="272">
        <f t="shared" si="568"/>
        <v>1</v>
      </c>
      <c r="O7934" s="61">
        <f t="shared" si="569"/>
        <v>1900</v>
      </c>
      <c r="P7934" s="61">
        <f t="shared" si="570"/>
        <v>1</v>
      </c>
    </row>
    <row r="7935" spans="9:16">
      <c r="I7935" s="213"/>
      <c r="J7935" s="213"/>
      <c r="L7935" s="272">
        <f t="shared" si="567"/>
        <v>1900</v>
      </c>
      <c r="M7935" s="272">
        <f t="shared" si="568"/>
        <v>1</v>
      </c>
      <c r="O7935" s="61">
        <f t="shared" si="569"/>
        <v>1900</v>
      </c>
      <c r="P7935" s="61">
        <f t="shared" si="570"/>
        <v>1</v>
      </c>
    </row>
    <row r="7936" spans="9:16">
      <c r="I7936" s="213"/>
      <c r="J7936" s="213"/>
      <c r="L7936" s="272">
        <f t="shared" si="567"/>
        <v>1900</v>
      </c>
      <c r="M7936" s="272">
        <f t="shared" si="568"/>
        <v>1</v>
      </c>
      <c r="O7936" s="61">
        <f t="shared" si="569"/>
        <v>1900</v>
      </c>
      <c r="P7936" s="61">
        <f t="shared" si="570"/>
        <v>1</v>
      </c>
    </row>
    <row r="7937" spans="9:16">
      <c r="I7937" s="213"/>
      <c r="J7937" s="213"/>
      <c r="L7937" s="272">
        <f t="shared" si="567"/>
        <v>1900</v>
      </c>
      <c r="M7937" s="272">
        <f t="shared" si="568"/>
        <v>1</v>
      </c>
      <c r="O7937" s="61">
        <f t="shared" si="569"/>
        <v>1900</v>
      </c>
      <c r="P7937" s="61">
        <f t="shared" si="570"/>
        <v>1</v>
      </c>
    </row>
    <row r="7938" spans="9:16">
      <c r="I7938" s="213"/>
      <c r="J7938" s="213"/>
      <c r="L7938" s="272">
        <f t="shared" si="567"/>
        <v>1900</v>
      </c>
      <c r="M7938" s="272">
        <f t="shared" si="568"/>
        <v>1</v>
      </c>
      <c r="O7938" s="61">
        <f t="shared" si="569"/>
        <v>1900</v>
      </c>
      <c r="P7938" s="61">
        <f t="shared" si="570"/>
        <v>1</v>
      </c>
    </row>
    <row r="7939" spans="9:16">
      <c r="I7939" s="213"/>
      <c r="J7939" s="213"/>
      <c r="L7939" s="272">
        <f t="shared" si="567"/>
        <v>1900</v>
      </c>
      <c r="M7939" s="272">
        <f t="shared" si="568"/>
        <v>1</v>
      </c>
      <c r="O7939" s="61">
        <f t="shared" si="569"/>
        <v>1900</v>
      </c>
      <c r="P7939" s="61">
        <f t="shared" si="570"/>
        <v>1</v>
      </c>
    </row>
    <row r="7940" spans="9:16">
      <c r="I7940" s="213"/>
      <c r="J7940" s="213"/>
      <c r="L7940" s="272">
        <f t="shared" si="567"/>
        <v>1900</v>
      </c>
      <c r="M7940" s="272">
        <f t="shared" si="568"/>
        <v>1</v>
      </c>
      <c r="O7940" s="61">
        <f t="shared" si="569"/>
        <v>1900</v>
      </c>
      <c r="P7940" s="61">
        <f t="shared" si="570"/>
        <v>1</v>
      </c>
    </row>
    <row r="7941" spans="9:16">
      <c r="I7941" s="213"/>
      <c r="J7941" s="213"/>
      <c r="L7941" s="272">
        <f t="shared" si="567"/>
        <v>1900</v>
      </c>
      <c r="M7941" s="272">
        <f t="shared" si="568"/>
        <v>1</v>
      </c>
      <c r="O7941" s="61">
        <f t="shared" si="569"/>
        <v>1900</v>
      </c>
      <c r="P7941" s="61">
        <f t="shared" si="570"/>
        <v>1</v>
      </c>
    </row>
    <row r="7942" spans="9:16">
      <c r="I7942" s="213"/>
      <c r="J7942" s="213"/>
      <c r="L7942" s="272">
        <f t="shared" si="567"/>
        <v>1900</v>
      </c>
      <c r="M7942" s="272">
        <f t="shared" si="568"/>
        <v>1</v>
      </c>
      <c r="O7942" s="61">
        <f t="shared" si="569"/>
        <v>1900</v>
      </c>
      <c r="P7942" s="61">
        <f t="shared" si="570"/>
        <v>1</v>
      </c>
    </row>
    <row r="7943" spans="9:16">
      <c r="I7943" s="213"/>
      <c r="J7943" s="213"/>
      <c r="L7943" s="272">
        <f t="shared" si="567"/>
        <v>1900</v>
      </c>
      <c r="M7943" s="272">
        <f t="shared" si="568"/>
        <v>1</v>
      </c>
      <c r="O7943" s="61">
        <f t="shared" si="569"/>
        <v>1900</v>
      </c>
      <c r="P7943" s="61">
        <f t="shared" si="570"/>
        <v>1</v>
      </c>
    </row>
    <row r="7944" spans="9:16">
      <c r="I7944" s="213"/>
      <c r="J7944" s="213"/>
      <c r="L7944" s="272">
        <f t="shared" si="567"/>
        <v>1900</v>
      </c>
      <c r="M7944" s="272">
        <f t="shared" si="568"/>
        <v>1</v>
      </c>
      <c r="O7944" s="61">
        <f t="shared" si="569"/>
        <v>1900</v>
      </c>
      <c r="P7944" s="61">
        <f t="shared" si="570"/>
        <v>1</v>
      </c>
    </row>
    <row r="7945" spans="9:16">
      <c r="I7945" s="213"/>
      <c r="J7945" s="213"/>
      <c r="L7945" s="272">
        <f t="shared" si="567"/>
        <v>1900</v>
      </c>
      <c r="M7945" s="272">
        <f t="shared" si="568"/>
        <v>1</v>
      </c>
      <c r="O7945" s="61">
        <f t="shared" si="569"/>
        <v>1900</v>
      </c>
      <c r="P7945" s="61">
        <f t="shared" si="570"/>
        <v>1</v>
      </c>
    </row>
    <row r="7946" spans="9:16">
      <c r="I7946" s="213"/>
      <c r="J7946" s="213"/>
      <c r="L7946" s="272">
        <f t="shared" si="567"/>
        <v>1900</v>
      </c>
      <c r="M7946" s="272">
        <f t="shared" si="568"/>
        <v>1</v>
      </c>
      <c r="O7946" s="61">
        <f t="shared" si="569"/>
        <v>1900</v>
      </c>
      <c r="P7946" s="61">
        <f t="shared" si="570"/>
        <v>1</v>
      </c>
    </row>
    <row r="7947" spans="9:16">
      <c r="I7947" s="213"/>
      <c r="J7947" s="213"/>
      <c r="L7947" s="272">
        <f t="shared" si="567"/>
        <v>1900</v>
      </c>
      <c r="M7947" s="272">
        <f t="shared" si="568"/>
        <v>1</v>
      </c>
      <c r="O7947" s="61">
        <f t="shared" si="569"/>
        <v>1900</v>
      </c>
      <c r="P7947" s="61">
        <f t="shared" si="570"/>
        <v>1</v>
      </c>
    </row>
    <row r="7948" spans="9:16">
      <c r="I7948" s="213"/>
      <c r="J7948" s="213"/>
      <c r="L7948" s="272">
        <f t="shared" si="567"/>
        <v>1900</v>
      </c>
      <c r="M7948" s="272">
        <f t="shared" si="568"/>
        <v>1</v>
      </c>
      <c r="O7948" s="61">
        <f t="shared" si="569"/>
        <v>1900</v>
      </c>
      <c r="P7948" s="61">
        <f t="shared" si="570"/>
        <v>1</v>
      </c>
    </row>
    <row r="7949" spans="9:16">
      <c r="I7949" s="213"/>
      <c r="J7949" s="213"/>
      <c r="L7949" s="272">
        <f t="shared" si="567"/>
        <v>1900</v>
      </c>
      <c r="M7949" s="272">
        <f t="shared" si="568"/>
        <v>1</v>
      </c>
      <c r="O7949" s="61">
        <f t="shared" si="569"/>
        <v>1900</v>
      </c>
      <c r="P7949" s="61">
        <f t="shared" si="570"/>
        <v>1</v>
      </c>
    </row>
    <row r="7950" spans="9:16">
      <c r="I7950" s="213"/>
      <c r="J7950" s="213"/>
      <c r="L7950" s="272">
        <f t="shared" si="567"/>
        <v>1900</v>
      </c>
      <c r="M7950" s="272">
        <f t="shared" si="568"/>
        <v>1</v>
      </c>
      <c r="O7950" s="61">
        <f t="shared" si="569"/>
        <v>1900</v>
      </c>
      <c r="P7950" s="61">
        <f t="shared" si="570"/>
        <v>1</v>
      </c>
    </row>
    <row r="7951" spans="9:16">
      <c r="I7951" s="213"/>
      <c r="J7951" s="213"/>
      <c r="L7951" s="272">
        <f t="shared" si="567"/>
        <v>1900</v>
      </c>
      <c r="M7951" s="272">
        <f t="shared" si="568"/>
        <v>1</v>
      </c>
      <c r="O7951" s="61">
        <f t="shared" si="569"/>
        <v>1900</v>
      </c>
      <c r="P7951" s="61">
        <f t="shared" si="570"/>
        <v>1</v>
      </c>
    </row>
    <row r="7952" spans="9:16">
      <c r="I7952" s="213"/>
      <c r="J7952" s="213"/>
      <c r="L7952" s="272">
        <f t="shared" ref="L7952:L8015" si="571">YEAR(B7952)</f>
        <v>1900</v>
      </c>
      <c r="M7952" s="272">
        <f t="shared" ref="M7952:M8015" si="572">MONTH(B7952)</f>
        <v>1</v>
      </c>
      <c r="O7952" s="61">
        <f t="shared" ref="O7952:O8015" si="573">YEAR(B7952)</f>
        <v>1900</v>
      </c>
      <c r="P7952" s="61">
        <f t="shared" ref="P7952:P8015" si="574">MONTH(B7952)</f>
        <v>1</v>
      </c>
    </row>
    <row r="7953" spans="9:16">
      <c r="I7953" s="213"/>
      <c r="J7953" s="213"/>
      <c r="L7953" s="272">
        <f t="shared" si="571"/>
        <v>1900</v>
      </c>
      <c r="M7953" s="272">
        <f t="shared" si="572"/>
        <v>1</v>
      </c>
      <c r="O7953" s="61">
        <f t="shared" si="573"/>
        <v>1900</v>
      </c>
      <c r="P7953" s="61">
        <f t="shared" si="574"/>
        <v>1</v>
      </c>
    </row>
    <row r="7954" spans="9:16">
      <c r="I7954" s="213"/>
      <c r="J7954" s="213"/>
      <c r="L7954" s="272">
        <f t="shared" si="571"/>
        <v>1900</v>
      </c>
      <c r="M7954" s="272">
        <f t="shared" si="572"/>
        <v>1</v>
      </c>
      <c r="O7954" s="61">
        <f t="shared" si="573"/>
        <v>1900</v>
      </c>
      <c r="P7954" s="61">
        <f t="shared" si="574"/>
        <v>1</v>
      </c>
    </row>
    <row r="7955" spans="9:16">
      <c r="I7955" s="213"/>
      <c r="J7955" s="213"/>
      <c r="L7955" s="272">
        <f t="shared" si="571"/>
        <v>1900</v>
      </c>
      <c r="M7955" s="272">
        <f t="shared" si="572"/>
        <v>1</v>
      </c>
      <c r="O7955" s="61">
        <f t="shared" si="573"/>
        <v>1900</v>
      </c>
      <c r="P7955" s="61">
        <f t="shared" si="574"/>
        <v>1</v>
      </c>
    </row>
    <row r="7956" spans="9:16">
      <c r="I7956" s="213"/>
      <c r="J7956" s="213"/>
      <c r="L7956" s="272">
        <f t="shared" si="571"/>
        <v>1900</v>
      </c>
      <c r="M7956" s="272">
        <f t="shared" si="572"/>
        <v>1</v>
      </c>
      <c r="O7956" s="61">
        <f t="shared" si="573"/>
        <v>1900</v>
      </c>
      <c r="P7956" s="61">
        <f t="shared" si="574"/>
        <v>1</v>
      </c>
    </row>
    <row r="7957" spans="9:16">
      <c r="I7957" s="213"/>
      <c r="J7957" s="213"/>
      <c r="L7957" s="272">
        <f t="shared" si="571"/>
        <v>1900</v>
      </c>
      <c r="M7957" s="272">
        <f t="shared" si="572"/>
        <v>1</v>
      </c>
      <c r="O7957" s="61">
        <f t="shared" si="573"/>
        <v>1900</v>
      </c>
      <c r="P7957" s="61">
        <f t="shared" si="574"/>
        <v>1</v>
      </c>
    </row>
    <row r="7958" spans="9:16">
      <c r="I7958" s="213"/>
      <c r="J7958" s="213"/>
      <c r="L7958" s="272">
        <f t="shared" si="571"/>
        <v>1900</v>
      </c>
      <c r="M7958" s="272">
        <f t="shared" si="572"/>
        <v>1</v>
      </c>
      <c r="O7958" s="61">
        <f t="shared" si="573"/>
        <v>1900</v>
      </c>
      <c r="P7958" s="61">
        <f t="shared" si="574"/>
        <v>1</v>
      </c>
    </row>
    <row r="7959" spans="9:16">
      <c r="I7959" s="213"/>
      <c r="J7959" s="213"/>
      <c r="L7959" s="272">
        <f t="shared" si="571"/>
        <v>1900</v>
      </c>
      <c r="M7959" s="272">
        <f t="shared" si="572"/>
        <v>1</v>
      </c>
      <c r="O7959" s="61">
        <f t="shared" si="573"/>
        <v>1900</v>
      </c>
      <c r="P7959" s="61">
        <f t="shared" si="574"/>
        <v>1</v>
      </c>
    </row>
    <row r="7960" spans="9:16">
      <c r="I7960" s="213"/>
      <c r="J7960" s="213"/>
      <c r="L7960" s="272">
        <f t="shared" si="571"/>
        <v>1900</v>
      </c>
      <c r="M7960" s="272">
        <f t="shared" si="572"/>
        <v>1</v>
      </c>
      <c r="O7960" s="61">
        <f t="shared" si="573"/>
        <v>1900</v>
      </c>
      <c r="P7960" s="61">
        <f t="shared" si="574"/>
        <v>1</v>
      </c>
    </row>
    <row r="7961" spans="9:16">
      <c r="I7961" s="213"/>
      <c r="J7961" s="213"/>
      <c r="L7961" s="272">
        <f t="shared" si="571"/>
        <v>1900</v>
      </c>
      <c r="M7961" s="272">
        <f t="shared" si="572"/>
        <v>1</v>
      </c>
      <c r="O7961" s="61">
        <f t="shared" si="573"/>
        <v>1900</v>
      </c>
      <c r="P7961" s="61">
        <f t="shared" si="574"/>
        <v>1</v>
      </c>
    </row>
    <row r="7962" spans="9:16">
      <c r="I7962" s="213"/>
      <c r="J7962" s="213"/>
      <c r="L7962" s="272">
        <f t="shared" si="571"/>
        <v>1900</v>
      </c>
      <c r="M7962" s="272">
        <f t="shared" si="572"/>
        <v>1</v>
      </c>
      <c r="O7962" s="61">
        <f t="shared" si="573"/>
        <v>1900</v>
      </c>
      <c r="P7962" s="61">
        <f t="shared" si="574"/>
        <v>1</v>
      </c>
    </row>
    <row r="7963" spans="9:16">
      <c r="I7963" s="213"/>
      <c r="J7963" s="213"/>
      <c r="L7963" s="272">
        <f t="shared" si="571"/>
        <v>1900</v>
      </c>
      <c r="M7963" s="272">
        <f t="shared" si="572"/>
        <v>1</v>
      </c>
      <c r="O7963" s="61">
        <f t="shared" si="573"/>
        <v>1900</v>
      </c>
      <c r="P7963" s="61">
        <f t="shared" si="574"/>
        <v>1</v>
      </c>
    </row>
    <row r="7964" spans="9:16">
      <c r="I7964" s="213"/>
      <c r="J7964" s="213"/>
      <c r="L7964" s="272">
        <f t="shared" si="571"/>
        <v>1900</v>
      </c>
      <c r="M7964" s="272">
        <f t="shared" si="572"/>
        <v>1</v>
      </c>
      <c r="O7964" s="61">
        <f t="shared" si="573"/>
        <v>1900</v>
      </c>
      <c r="P7964" s="61">
        <f t="shared" si="574"/>
        <v>1</v>
      </c>
    </row>
    <row r="7965" spans="9:16">
      <c r="I7965" s="213"/>
      <c r="J7965" s="213"/>
      <c r="L7965" s="272">
        <f t="shared" si="571"/>
        <v>1900</v>
      </c>
      <c r="M7965" s="272">
        <f t="shared" si="572"/>
        <v>1</v>
      </c>
      <c r="O7965" s="61">
        <f t="shared" si="573"/>
        <v>1900</v>
      </c>
      <c r="P7965" s="61">
        <f t="shared" si="574"/>
        <v>1</v>
      </c>
    </row>
    <row r="7966" spans="9:16">
      <c r="I7966" s="213"/>
      <c r="J7966" s="213"/>
      <c r="L7966" s="272">
        <f t="shared" si="571"/>
        <v>1900</v>
      </c>
      <c r="M7966" s="272">
        <f t="shared" si="572"/>
        <v>1</v>
      </c>
      <c r="O7966" s="61">
        <f t="shared" si="573"/>
        <v>1900</v>
      </c>
      <c r="P7966" s="61">
        <f t="shared" si="574"/>
        <v>1</v>
      </c>
    </row>
    <row r="7967" spans="9:16">
      <c r="I7967" s="213"/>
      <c r="J7967" s="213"/>
      <c r="L7967" s="272">
        <f t="shared" si="571"/>
        <v>1900</v>
      </c>
      <c r="M7967" s="272">
        <f t="shared" si="572"/>
        <v>1</v>
      </c>
      <c r="O7967" s="61">
        <f t="shared" si="573"/>
        <v>1900</v>
      </c>
      <c r="P7967" s="61">
        <f t="shared" si="574"/>
        <v>1</v>
      </c>
    </row>
    <row r="7968" spans="9:16">
      <c r="I7968" s="213"/>
      <c r="J7968" s="213"/>
      <c r="L7968" s="272">
        <f t="shared" si="571"/>
        <v>1900</v>
      </c>
      <c r="M7968" s="272">
        <f t="shared" si="572"/>
        <v>1</v>
      </c>
      <c r="O7968" s="61">
        <f t="shared" si="573"/>
        <v>1900</v>
      </c>
      <c r="P7968" s="61">
        <f t="shared" si="574"/>
        <v>1</v>
      </c>
    </row>
    <row r="7969" spans="9:16">
      <c r="I7969" s="213"/>
      <c r="J7969" s="213"/>
      <c r="L7969" s="272">
        <f t="shared" si="571"/>
        <v>1900</v>
      </c>
      <c r="M7969" s="272">
        <f t="shared" si="572"/>
        <v>1</v>
      </c>
      <c r="O7969" s="61">
        <f t="shared" si="573"/>
        <v>1900</v>
      </c>
      <c r="P7969" s="61">
        <f t="shared" si="574"/>
        <v>1</v>
      </c>
    </row>
    <row r="7970" spans="9:16">
      <c r="I7970" s="213"/>
      <c r="J7970" s="213"/>
      <c r="L7970" s="272">
        <f t="shared" si="571"/>
        <v>1900</v>
      </c>
      <c r="M7970" s="272">
        <f t="shared" si="572"/>
        <v>1</v>
      </c>
      <c r="O7970" s="61">
        <f t="shared" si="573"/>
        <v>1900</v>
      </c>
      <c r="P7970" s="61">
        <f t="shared" si="574"/>
        <v>1</v>
      </c>
    </row>
    <row r="7971" spans="9:16">
      <c r="I7971" s="213"/>
      <c r="J7971" s="213"/>
      <c r="L7971" s="272">
        <f t="shared" si="571"/>
        <v>1900</v>
      </c>
      <c r="M7971" s="272">
        <f t="shared" si="572"/>
        <v>1</v>
      </c>
      <c r="O7971" s="61">
        <f t="shared" si="573"/>
        <v>1900</v>
      </c>
      <c r="P7971" s="61">
        <f t="shared" si="574"/>
        <v>1</v>
      </c>
    </row>
    <row r="7972" spans="9:16">
      <c r="I7972" s="213"/>
      <c r="J7972" s="213"/>
      <c r="L7972" s="272">
        <f t="shared" si="571"/>
        <v>1900</v>
      </c>
      <c r="M7972" s="272">
        <f t="shared" si="572"/>
        <v>1</v>
      </c>
      <c r="O7972" s="61">
        <f t="shared" si="573"/>
        <v>1900</v>
      </c>
      <c r="P7972" s="61">
        <f t="shared" si="574"/>
        <v>1</v>
      </c>
    </row>
    <row r="7973" spans="9:16">
      <c r="I7973" s="213"/>
      <c r="J7973" s="213"/>
      <c r="L7973" s="272">
        <f t="shared" si="571"/>
        <v>1900</v>
      </c>
      <c r="M7973" s="272">
        <f t="shared" si="572"/>
        <v>1</v>
      </c>
      <c r="O7973" s="61">
        <f t="shared" si="573"/>
        <v>1900</v>
      </c>
      <c r="P7973" s="61">
        <f t="shared" si="574"/>
        <v>1</v>
      </c>
    </row>
    <row r="7974" spans="9:16">
      <c r="I7974" s="213"/>
      <c r="J7974" s="213"/>
      <c r="L7974" s="272">
        <f t="shared" si="571"/>
        <v>1900</v>
      </c>
      <c r="M7974" s="272">
        <f t="shared" si="572"/>
        <v>1</v>
      </c>
      <c r="O7974" s="61">
        <f t="shared" si="573"/>
        <v>1900</v>
      </c>
      <c r="P7974" s="61">
        <f t="shared" si="574"/>
        <v>1</v>
      </c>
    </row>
    <row r="7975" spans="9:16">
      <c r="I7975" s="213"/>
      <c r="J7975" s="213"/>
      <c r="L7975" s="272">
        <f t="shared" si="571"/>
        <v>1900</v>
      </c>
      <c r="M7975" s="272">
        <f t="shared" si="572"/>
        <v>1</v>
      </c>
      <c r="O7975" s="61">
        <f t="shared" si="573"/>
        <v>1900</v>
      </c>
      <c r="P7975" s="61">
        <f t="shared" si="574"/>
        <v>1</v>
      </c>
    </row>
    <row r="7976" spans="9:16">
      <c r="I7976" s="213"/>
      <c r="J7976" s="213"/>
      <c r="L7976" s="272">
        <f t="shared" si="571"/>
        <v>1900</v>
      </c>
      <c r="M7976" s="272">
        <f t="shared" si="572"/>
        <v>1</v>
      </c>
      <c r="O7976" s="61">
        <f t="shared" si="573"/>
        <v>1900</v>
      </c>
      <c r="P7976" s="61">
        <f t="shared" si="574"/>
        <v>1</v>
      </c>
    </row>
    <row r="7977" spans="9:16">
      <c r="I7977" s="213"/>
      <c r="J7977" s="213"/>
      <c r="L7977" s="272">
        <f t="shared" si="571"/>
        <v>1900</v>
      </c>
      <c r="M7977" s="272">
        <f t="shared" si="572"/>
        <v>1</v>
      </c>
      <c r="O7977" s="61">
        <f t="shared" si="573"/>
        <v>1900</v>
      </c>
      <c r="P7977" s="61">
        <f t="shared" si="574"/>
        <v>1</v>
      </c>
    </row>
    <row r="7978" spans="9:16">
      <c r="I7978" s="213"/>
      <c r="J7978" s="213"/>
      <c r="L7978" s="272">
        <f t="shared" si="571"/>
        <v>1900</v>
      </c>
      <c r="M7978" s="272">
        <f t="shared" si="572"/>
        <v>1</v>
      </c>
      <c r="O7978" s="61">
        <f t="shared" si="573"/>
        <v>1900</v>
      </c>
      <c r="P7978" s="61">
        <f t="shared" si="574"/>
        <v>1</v>
      </c>
    </row>
    <row r="7979" spans="9:16">
      <c r="I7979" s="213"/>
      <c r="J7979" s="213"/>
      <c r="L7979" s="272">
        <f t="shared" si="571"/>
        <v>1900</v>
      </c>
      <c r="M7979" s="272">
        <f t="shared" si="572"/>
        <v>1</v>
      </c>
      <c r="O7979" s="61">
        <f t="shared" si="573"/>
        <v>1900</v>
      </c>
      <c r="P7979" s="61">
        <f t="shared" si="574"/>
        <v>1</v>
      </c>
    </row>
    <row r="7980" spans="9:16">
      <c r="I7980" s="213"/>
      <c r="J7980" s="213"/>
      <c r="L7980" s="272">
        <f t="shared" si="571"/>
        <v>1900</v>
      </c>
      <c r="M7980" s="272">
        <f t="shared" si="572"/>
        <v>1</v>
      </c>
      <c r="O7980" s="61">
        <f t="shared" si="573"/>
        <v>1900</v>
      </c>
      <c r="P7980" s="61">
        <f t="shared" si="574"/>
        <v>1</v>
      </c>
    </row>
    <row r="7981" spans="9:16">
      <c r="I7981" s="213"/>
      <c r="J7981" s="213"/>
      <c r="L7981" s="272">
        <f t="shared" si="571"/>
        <v>1900</v>
      </c>
      <c r="M7981" s="272">
        <f t="shared" si="572"/>
        <v>1</v>
      </c>
      <c r="O7981" s="61">
        <f t="shared" si="573"/>
        <v>1900</v>
      </c>
      <c r="P7981" s="61">
        <f t="shared" si="574"/>
        <v>1</v>
      </c>
    </row>
    <row r="7982" spans="9:16">
      <c r="I7982" s="213"/>
      <c r="J7982" s="213"/>
      <c r="L7982" s="272">
        <f t="shared" si="571"/>
        <v>1900</v>
      </c>
      <c r="M7982" s="272">
        <f t="shared" si="572"/>
        <v>1</v>
      </c>
      <c r="O7982" s="61">
        <f t="shared" si="573"/>
        <v>1900</v>
      </c>
      <c r="P7982" s="61">
        <f t="shared" si="574"/>
        <v>1</v>
      </c>
    </row>
    <row r="7983" spans="9:16">
      <c r="I7983" s="213"/>
      <c r="J7983" s="213"/>
      <c r="L7983" s="272">
        <f t="shared" si="571"/>
        <v>1900</v>
      </c>
      <c r="M7983" s="272">
        <f t="shared" si="572"/>
        <v>1</v>
      </c>
      <c r="O7983" s="61">
        <f t="shared" si="573"/>
        <v>1900</v>
      </c>
      <c r="P7983" s="61">
        <f t="shared" si="574"/>
        <v>1</v>
      </c>
    </row>
    <row r="7984" spans="9:16">
      <c r="I7984" s="213"/>
      <c r="J7984" s="213"/>
      <c r="L7984" s="272">
        <f t="shared" si="571"/>
        <v>1900</v>
      </c>
      <c r="M7984" s="272">
        <f t="shared" si="572"/>
        <v>1</v>
      </c>
      <c r="O7984" s="61">
        <f t="shared" si="573"/>
        <v>1900</v>
      </c>
      <c r="P7984" s="61">
        <f t="shared" si="574"/>
        <v>1</v>
      </c>
    </row>
    <row r="7985" spans="9:16">
      <c r="I7985" s="213"/>
      <c r="J7985" s="213"/>
      <c r="L7985" s="272">
        <f t="shared" si="571"/>
        <v>1900</v>
      </c>
      <c r="M7985" s="272">
        <f t="shared" si="572"/>
        <v>1</v>
      </c>
      <c r="O7985" s="61">
        <f t="shared" si="573"/>
        <v>1900</v>
      </c>
      <c r="P7985" s="61">
        <f t="shared" si="574"/>
        <v>1</v>
      </c>
    </row>
    <row r="7986" spans="9:16">
      <c r="I7986" s="213"/>
      <c r="J7986" s="213"/>
      <c r="L7986" s="272">
        <f t="shared" si="571"/>
        <v>1900</v>
      </c>
      <c r="M7986" s="272">
        <f t="shared" si="572"/>
        <v>1</v>
      </c>
      <c r="O7986" s="61">
        <f t="shared" si="573"/>
        <v>1900</v>
      </c>
      <c r="P7986" s="61">
        <f t="shared" si="574"/>
        <v>1</v>
      </c>
    </row>
    <row r="7987" spans="9:16">
      <c r="I7987" s="213"/>
      <c r="J7987" s="213"/>
      <c r="L7987" s="272">
        <f t="shared" si="571"/>
        <v>1900</v>
      </c>
      <c r="M7987" s="272">
        <f t="shared" si="572"/>
        <v>1</v>
      </c>
      <c r="O7987" s="61">
        <f t="shared" si="573"/>
        <v>1900</v>
      </c>
      <c r="P7987" s="61">
        <f t="shared" si="574"/>
        <v>1</v>
      </c>
    </row>
    <row r="7988" spans="9:16">
      <c r="I7988" s="213"/>
      <c r="J7988" s="213"/>
      <c r="L7988" s="272">
        <f t="shared" si="571"/>
        <v>1900</v>
      </c>
      <c r="M7988" s="272">
        <f t="shared" si="572"/>
        <v>1</v>
      </c>
      <c r="O7988" s="61">
        <f t="shared" si="573"/>
        <v>1900</v>
      </c>
      <c r="P7988" s="61">
        <f t="shared" si="574"/>
        <v>1</v>
      </c>
    </row>
    <row r="7989" spans="9:16">
      <c r="I7989" s="213"/>
      <c r="J7989" s="213"/>
      <c r="L7989" s="272">
        <f t="shared" si="571"/>
        <v>1900</v>
      </c>
      <c r="M7989" s="272">
        <f t="shared" si="572"/>
        <v>1</v>
      </c>
      <c r="O7989" s="61">
        <f t="shared" si="573"/>
        <v>1900</v>
      </c>
      <c r="P7989" s="61">
        <f t="shared" si="574"/>
        <v>1</v>
      </c>
    </row>
    <row r="7990" spans="9:16">
      <c r="I7990" s="213"/>
      <c r="J7990" s="213"/>
      <c r="L7990" s="272">
        <f t="shared" si="571"/>
        <v>1900</v>
      </c>
      <c r="M7990" s="272">
        <f t="shared" si="572"/>
        <v>1</v>
      </c>
      <c r="O7990" s="61">
        <f t="shared" si="573"/>
        <v>1900</v>
      </c>
      <c r="P7990" s="61">
        <f t="shared" si="574"/>
        <v>1</v>
      </c>
    </row>
    <row r="7991" spans="9:16">
      <c r="I7991" s="213"/>
      <c r="J7991" s="213"/>
      <c r="L7991" s="272">
        <f t="shared" si="571"/>
        <v>1900</v>
      </c>
      <c r="M7991" s="272">
        <f t="shared" si="572"/>
        <v>1</v>
      </c>
      <c r="O7991" s="61">
        <f t="shared" si="573"/>
        <v>1900</v>
      </c>
      <c r="P7991" s="61">
        <f t="shared" si="574"/>
        <v>1</v>
      </c>
    </row>
    <row r="7992" spans="9:16">
      <c r="I7992" s="213"/>
      <c r="J7992" s="213"/>
      <c r="L7992" s="272">
        <f t="shared" si="571"/>
        <v>1900</v>
      </c>
      <c r="M7992" s="272">
        <f t="shared" si="572"/>
        <v>1</v>
      </c>
      <c r="O7992" s="61">
        <f t="shared" si="573"/>
        <v>1900</v>
      </c>
      <c r="P7992" s="61">
        <f t="shared" si="574"/>
        <v>1</v>
      </c>
    </row>
    <row r="7993" spans="9:16">
      <c r="I7993" s="213"/>
      <c r="J7993" s="213"/>
      <c r="L7993" s="272">
        <f t="shared" si="571"/>
        <v>1900</v>
      </c>
      <c r="M7993" s="272">
        <f t="shared" si="572"/>
        <v>1</v>
      </c>
      <c r="O7993" s="61">
        <f t="shared" si="573"/>
        <v>1900</v>
      </c>
      <c r="P7993" s="61">
        <f t="shared" si="574"/>
        <v>1</v>
      </c>
    </row>
    <row r="7994" spans="9:16">
      <c r="I7994" s="213"/>
      <c r="J7994" s="213"/>
      <c r="L7994" s="272">
        <f t="shared" si="571"/>
        <v>1900</v>
      </c>
      <c r="M7994" s="272">
        <f t="shared" si="572"/>
        <v>1</v>
      </c>
      <c r="O7994" s="61">
        <f t="shared" si="573"/>
        <v>1900</v>
      </c>
      <c r="P7994" s="61">
        <f t="shared" si="574"/>
        <v>1</v>
      </c>
    </row>
    <row r="7995" spans="9:16">
      <c r="I7995" s="213"/>
      <c r="J7995" s="213"/>
      <c r="L7995" s="272">
        <f t="shared" si="571"/>
        <v>1900</v>
      </c>
      <c r="M7995" s="272">
        <f t="shared" si="572"/>
        <v>1</v>
      </c>
      <c r="O7995" s="61">
        <f t="shared" si="573"/>
        <v>1900</v>
      </c>
      <c r="P7995" s="61">
        <f t="shared" si="574"/>
        <v>1</v>
      </c>
    </row>
    <row r="7996" spans="9:16">
      <c r="I7996" s="213"/>
      <c r="J7996" s="213"/>
      <c r="L7996" s="272">
        <f t="shared" si="571"/>
        <v>1900</v>
      </c>
      <c r="M7996" s="272">
        <f t="shared" si="572"/>
        <v>1</v>
      </c>
      <c r="O7996" s="61">
        <f t="shared" si="573"/>
        <v>1900</v>
      </c>
      <c r="P7996" s="61">
        <f t="shared" si="574"/>
        <v>1</v>
      </c>
    </row>
    <row r="7997" spans="9:16">
      <c r="I7997" s="213"/>
      <c r="J7997" s="213"/>
      <c r="L7997" s="272">
        <f t="shared" si="571"/>
        <v>1900</v>
      </c>
      <c r="M7997" s="272">
        <f t="shared" si="572"/>
        <v>1</v>
      </c>
      <c r="O7997" s="61">
        <f t="shared" si="573"/>
        <v>1900</v>
      </c>
      <c r="P7997" s="61">
        <f t="shared" si="574"/>
        <v>1</v>
      </c>
    </row>
    <row r="7998" spans="9:16">
      <c r="I7998" s="213"/>
      <c r="J7998" s="213"/>
      <c r="L7998" s="272">
        <f t="shared" si="571"/>
        <v>1900</v>
      </c>
      <c r="M7998" s="272">
        <f t="shared" si="572"/>
        <v>1</v>
      </c>
      <c r="O7998" s="61">
        <f t="shared" si="573"/>
        <v>1900</v>
      </c>
      <c r="P7998" s="61">
        <f t="shared" si="574"/>
        <v>1</v>
      </c>
    </row>
    <row r="7999" spans="9:16">
      <c r="I7999" s="213"/>
      <c r="J7999" s="213"/>
      <c r="L7999" s="272">
        <f t="shared" si="571"/>
        <v>1900</v>
      </c>
      <c r="M7999" s="272">
        <f t="shared" si="572"/>
        <v>1</v>
      </c>
      <c r="O7999" s="61">
        <f t="shared" si="573"/>
        <v>1900</v>
      </c>
      <c r="P7999" s="61">
        <f t="shared" si="574"/>
        <v>1</v>
      </c>
    </row>
    <row r="8000" spans="9:16">
      <c r="I8000" s="213"/>
      <c r="J8000" s="213"/>
      <c r="L8000" s="272">
        <f t="shared" si="571"/>
        <v>1900</v>
      </c>
      <c r="M8000" s="272">
        <f t="shared" si="572"/>
        <v>1</v>
      </c>
      <c r="O8000" s="61">
        <f t="shared" si="573"/>
        <v>1900</v>
      </c>
      <c r="P8000" s="61">
        <f t="shared" si="574"/>
        <v>1</v>
      </c>
    </row>
    <row r="8001" spans="9:16">
      <c r="I8001" s="213"/>
      <c r="J8001" s="213"/>
      <c r="L8001" s="272">
        <f t="shared" si="571"/>
        <v>1900</v>
      </c>
      <c r="M8001" s="272">
        <f t="shared" si="572"/>
        <v>1</v>
      </c>
      <c r="O8001" s="61">
        <f t="shared" si="573"/>
        <v>1900</v>
      </c>
      <c r="P8001" s="61">
        <f t="shared" si="574"/>
        <v>1</v>
      </c>
    </row>
    <row r="8002" spans="9:16">
      <c r="I8002" s="213"/>
      <c r="J8002" s="213"/>
      <c r="L8002" s="272">
        <f t="shared" si="571"/>
        <v>1900</v>
      </c>
      <c r="M8002" s="272">
        <f t="shared" si="572"/>
        <v>1</v>
      </c>
      <c r="O8002" s="61">
        <f t="shared" si="573"/>
        <v>1900</v>
      </c>
      <c r="P8002" s="61">
        <f t="shared" si="574"/>
        <v>1</v>
      </c>
    </row>
    <row r="8003" spans="9:16">
      <c r="I8003" s="213"/>
      <c r="J8003" s="213"/>
      <c r="L8003" s="272">
        <f t="shared" si="571"/>
        <v>1900</v>
      </c>
      <c r="M8003" s="272">
        <f t="shared" si="572"/>
        <v>1</v>
      </c>
      <c r="O8003" s="61">
        <f t="shared" si="573"/>
        <v>1900</v>
      </c>
      <c r="P8003" s="61">
        <f t="shared" si="574"/>
        <v>1</v>
      </c>
    </row>
    <row r="8004" spans="9:16">
      <c r="I8004" s="213"/>
      <c r="J8004" s="213"/>
      <c r="L8004" s="272">
        <f t="shared" si="571"/>
        <v>1900</v>
      </c>
      <c r="M8004" s="272">
        <f t="shared" si="572"/>
        <v>1</v>
      </c>
      <c r="O8004" s="61">
        <f t="shared" si="573"/>
        <v>1900</v>
      </c>
      <c r="P8004" s="61">
        <f t="shared" si="574"/>
        <v>1</v>
      </c>
    </row>
    <row r="8005" spans="9:16">
      <c r="I8005" s="213"/>
      <c r="J8005" s="213"/>
      <c r="L8005" s="272">
        <f t="shared" si="571"/>
        <v>1900</v>
      </c>
      <c r="M8005" s="272">
        <f t="shared" si="572"/>
        <v>1</v>
      </c>
      <c r="O8005" s="61">
        <f t="shared" si="573"/>
        <v>1900</v>
      </c>
      <c r="P8005" s="61">
        <f t="shared" si="574"/>
        <v>1</v>
      </c>
    </row>
    <row r="8006" spans="9:16">
      <c r="I8006" s="213"/>
      <c r="J8006" s="213"/>
      <c r="L8006" s="272">
        <f t="shared" si="571"/>
        <v>1900</v>
      </c>
      <c r="M8006" s="272">
        <f t="shared" si="572"/>
        <v>1</v>
      </c>
      <c r="O8006" s="61">
        <f t="shared" si="573"/>
        <v>1900</v>
      </c>
      <c r="P8006" s="61">
        <f t="shared" si="574"/>
        <v>1</v>
      </c>
    </row>
    <row r="8007" spans="9:16">
      <c r="I8007" s="213"/>
      <c r="J8007" s="213"/>
      <c r="L8007" s="272">
        <f t="shared" si="571"/>
        <v>1900</v>
      </c>
      <c r="M8007" s="272">
        <f t="shared" si="572"/>
        <v>1</v>
      </c>
      <c r="O8007" s="61">
        <f t="shared" si="573"/>
        <v>1900</v>
      </c>
      <c r="P8007" s="61">
        <f t="shared" si="574"/>
        <v>1</v>
      </c>
    </row>
    <row r="8008" spans="9:16">
      <c r="I8008" s="213"/>
      <c r="J8008" s="213"/>
      <c r="L8008" s="272">
        <f t="shared" si="571"/>
        <v>1900</v>
      </c>
      <c r="M8008" s="272">
        <f t="shared" si="572"/>
        <v>1</v>
      </c>
      <c r="O8008" s="61">
        <f t="shared" si="573"/>
        <v>1900</v>
      </c>
      <c r="P8008" s="61">
        <f t="shared" si="574"/>
        <v>1</v>
      </c>
    </row>
    <row r="8009" spans="9:16">
      <c r="I8009" s="213"/>
      <c r="J8009" s="213"/>
      <c r="L8009" s="272">
        <f t="shared" si="571"/>
        <v>1900</v>
      </c>
      <c r="M8009" s="272">
        <f t="shared" si="572"/>
        <v>1</v>
      </c>
      <c r="O8009" s="61">
        <f t="shared" si="573"/>
        <v>1900</v>
      </c>
      <c r="P8009" s="61">
        <f t="shared" si="574"/>
        <v>1</v>
      </c>
    </row>
    <row r="8010" spans="9:16">
      <c r="I8010" s="213"/>
      <c r="J8010" s="213"/>
      <c r="L8010" s="272">
        <f t="shared" si="571"/>
        <v>1900</v>
      </c>
      <c r="M8010" s="272">
        <f t="shared" si="572"/>
        <v>1</v>
      </c>
      <c r="O8010" s="61">
        <f t="shared" si="573"/>
        <v>1900</v>
      </c>
      <c r="P8010" s="61">
        <f t="shared" si="574"/>
        <v>1</v>
      </c>
    </row>
    <row r="8011" spans="9:16">
      <c r="I8011" s="213"/>
      <c r="J8011" s="213"/>
      <c r="L8011" s="272">
        <f t="shared" si="571"/>
        <v>1900</v>
      </c>
      <c r="M8011" s="272">
        <f t="shared" si="572"/>
        <v>1</v>
      </c>
      <c r="O8011" s="61">
        <f t="shared" si="573"/>
        <v>1900</v>
      </c>
      <c r="P8011" s="61">
        <f t="shared" si="574"/>
        <v>1</v>
      </c>
    </row>
    <row r="8012" spans="9:16">
      <c r="I8012" s="213"/>
      <c r="J8012" s="213"/>
      <c r="L8012" s="272">
        <f t="shared" si="571"/>
        <v>1900</v>
      </c>
      <c r="M8012" s="272">
        <f t="shared" si="572"/>
        <v>1</v>
      </c>
      <c r="O8012" s="61">
        <f t="shared" si="573"/>
        <v>1900</v>
      </c>
      <c r="P8012" s="61">
        <f t="shared" si="574"/>
        <v>1</v>
      </c>
    </row>
    <row r="8013" spans="9:16">
      <c r="I8013" s="213"/>
      <c r="J8013" s="213"/>
      <c r="L8013" s="272">
        <f t="shared" si="571"/>
        <v>1900</v>
      </c>
      <c r="M8013" s="272">
        <f t="shared" si="572"/>
        <v>1</v>
      </c>
      <c r="O8013" s="61">
        <f t="shared" si="573"/>
        <v>1900</v>
      </c>
      <c r="P8013" s="61">
        <f t="shared" si="574"/>
        <v>1</v>
      </c>
    </row>
    <row r="8014" spans="9:16">
      <c r="I8014" s="213"/>
      <c r="J8014" s="213"/>
      <c r="L8014" s="272">
        <f t="shared" si="571"/>
        <v>1900</v>
      </c>
      <c r="M8014" s="272">
        <f t="shared" si="572"/>
        <v>1</v>
      </c>
      <c r="O8014" s="61">
        <f t="shared" si="573"/>
        <v>1900</v>
      </c>
      <c r="P8014" s="61">
        <f t="shared" si="574"/>
        <v>1</v>
      </c>
    </row>
    <row r="8015" spans="9:16">
      <c r="I8015" s="213"/>
      <c r="J8015" s="213"/>
      <c r="L8015" s="272">
        <f t="shared" si="571"/>
        <v>1900</v>
      </c>
      <c r="M8015" s="272">
        <f t="shared" si="572"/>
        <v>1</v>
      </c>
      <c r="O8015" s="61">
        <f t="shared" si="573"/>
        <v>1900</v>
      </c>
      <c r="P8015" s="61">
        <f t="shared" si="574"/>
        <v>1</v>
      </c>
    </row>
    <row r="8016" spans="9:16">
      <c r="I8016" s="213"/>
      <c r="J8016" s="213"/>
      <c r="L8016" s="272">
        <f t="shared" ref="L8016:L8079" si="575">YEAR(B8016)</f>
        <v>1900</v>
      </c>
      <c r="M8016" s="272">
        <f t="shared" ref="M8016:M8079" si="576">MONTH(B8016)</f>
        <v>1</v>
      </c>
      <c r="O8016" s="61">
        <f t="shared" ref="O8016:O8079" si="577">YEAR(B8016)</f>
        <v>1900</v>
      </c>
      <c r="P8016" s="61">
        <f t="shared" ref="P8016:P8079" si="578">MONTH(B8016)</f>
        <v>1</v>
      </c>
    </row>
    <row r="8017" spans="9:16">
      <c r="I8017" s="213"/>
      <c r="J8017" s="213"/>
      <c r="L8017" s="272">
        <f t="shared" si="575"/>
        <v>1900</v>
      </c>
      <c r="M8017" s="272">
        <f t="shared" si="576"/>
        <v>1</v>
      </c>
      <c r="O8017" s="61">
        <f t="shared" si="577"/>
        <v>1900</v>
      </c>
      <c r="P8017" s="61">
        <f t="shared" si="578"/>
        <v>1</v>
      </c>
    </row>
    <row r="8018" spans="9:16">
      <c r="I8018" s="213"/>
      <c r="J8018" s="213"/>
      <c r="L8018" s="272">
        <f t="shared" si="575"/>
        <v>1900</v>
      </c>
      <c r="M8018" s="272">
        <f t="shared" si="576"/>
        <v>1</v>
      </c>
      <c r="O8018" s="61">
        <f t="shared" si="577"/>
        <v>1900</v>
      </c>
      <c r="P8018" s="61">
        <f t="shared" si="578"/>
        <v>1</v>
      </c>
    </row>
    <row r="8019" spans="9:16">
      <c r="I8019" s="213"/>
      <c r="J8019" s="213"/>
      <c r="L8019" s="272">
        <f t="shared" si="575"/>
        <v>1900</v>
      </c>
      <c r="M8019" s="272">
        <f t="shared" si="576"/>
        <v>1</v>
      </c>
      <c r="O8019" s="61">
        <f t="shared" si="577"/>
        <v>1900</v>
      </c>
      <c r="P8019" s="61">
        <f t="shared" si="578"/>
        <v>1</v>
      </c>
    </row>
    <row r="8020" spans="9:16">
      <c r="I8020" s="213"/>
      <c r="J8020" s="213"/>
      <c r="L8020" s="272">
        <f t="shared" si="575"/>
        <v>1900</v>
      </c>
      <c r="M8020" s="272">
        <f t="shared" si="576"/>
        <v>1</v>
      </c>
      <c r="O8020" s="61">
        <f t="shared" si="577"/>
        <v>1900</v>
      </c>
      <c r="P8020" s="61">
        <f t="shared" si="578"/>
        <v>1</v>
      </c>
    </row>
    <row r="8021" spans="9:16">
      <c r="I8021" s="213"/>
      <c r="J8021" s="213"/>
      <c r="L8021" s="272">
        <f t="shared" si="575"/>
        <v>1900</v>
      </c>
      <c r="M8021" s="272">
        <f t="shared" si="576"/>
        <v>1</v>
      </c>
      <c r="O8021" s="61">
        <f t="shared" si="577"/>
        <v>1900</v>
      </c>
      <c r="P8021" s="61">
        <f t="shared" si="578"/>
        <v>1</v>
      </c>
    </row>
    <row r="8022" spans="9:16">
      <c r="I8022" s="213"/>
      <c r="J8022" s="213"/>
      <c r="L8022" s="272">
        <f t="shared" si="575"/>
        <v>1900</v>
      </c>
      <c r="M8022" s="272">
        <f t="shared" si="576"/>
        <v>1</v>
      </c>
      <c r="O8022" s="61">
        <f t="shared" si="577"/>
        <v>1900</v>
      </c>
      <c r="P8022" s="61">
        <f t="shared" si="578"/>
        <v>1</v>
      </c>
    </row>
    <row r="8023" spans="9:16">
      <c r="I8023" s="213"/>
      <c r="J8023" s="213"/>
      <c r="L8023" s="272">
        <f t="shared" si="575"/>
        <v>1900</v>
      </c>
      <c r="M8023" s="272">
        <f t="shared" si="576"/>
        <v>1</v>
      </c>
      <c r="O8023" s="61">
        <f t="shared" si="577"/>
        <v>1900</v>
      </c>
      <c r="P8023" s="61">
        <f t="shared" si="578"/>
        <v>1</v>
      </c>
    </row>
    <row r="8024" spans="9:16">
      <c r="I8024" s="213"/>
      <c r="J8024" s="213"/>
      <c r="L8024" s="272">
        <f t="shared" si="575"/>
        <v>1900</v>
      </c>
      <c r="M8024" s="272">
        <f t="shared" si="576"/>
        <v>1</v>
      </c>
      <c r="O8024" s="61">
        <f t="shared" si="577"/>
        <v>1900</v>
      </c>
      <c r="P8024" s="61">
        <f t="shared" si="578"/>
        <v>1</v>
      </c>
    </row>
    <row r="8025" spans="9:16">
      <c r="I8025" s="213"/>
      <c r="J8025" s="213"/>
      <c r="L8025" s="272">
        <f t="shared" si="575"/>
        <v>1900</v>
      </c>
      <c r="M8025" s="272">
        <f t="shared" si="576"/>
        <v>1</v>
      </c>
      <c r="O8025" s="61">
        <f t="shared" si="577"/>
        <v>1900</v>
      </c>
      <c r="P8025" s="61">
        <f t="shared" si="578"/>
        <v>1</v>
      </c>
    </row>
    <row r="8026" spans="9:16">
      <c r="I8026" s="213"/>
      <c r="J8026" s="213"/>
      <c r="L8026" s="272">
        <f t="shared" si="575"/>
        <v>1900</v>
      </c>
      <c r="M8026" s="272">
        <f t="shared" si="576"/>
        <v>1</v>
      </c>
      <c r="O8026" s="61">
        <f t="shared" si="577"/>
        <v>1900</v>
      </c>
      <c r="P8026" s="61">
        <f t="shared" si="578"/>
        <v>1</v>
      </c>
    </row>
    <row r="8027" spans="9:16">
      <c r="I8027" s="213"/>
      <c r="J8027" s="213"/>
      <c r="L8027" s="272">
        <f t="shared" si="575"/>
        <v>1900</v>
      </c>
      <c r="M8027" s="272">
        <f t="shared" si="576"/>
        <v>1</v>
      </c>
      <c r="O8027" s="61">
        <f t="shared" si="577"/>
        <v>1900</v>
      </c>
      <c r="P8027" s="61">
        <f t="shared" si="578"/>
        <v>1</v>
      </c>
    </row>
    <row r="8028" spans="9:16">
      <c r="I8028" s="213"/>
      <c r="J8028" s="213"/>
      <c r="L8028" s="272">
        <f t="shared" si="575"/>
        <v>1900</v>
      </c>
      <c r="M8028" s="272">
        <f t="shared" si="576"/>
        <v>1</v>
      </c>
      <c r="O8028" s="61">
        <f t="shared" si="577"/>
        <v>1900</v>
      </c>
      <c r="P8028" s="61">
        <f t="shared" si="578"/>
        <v>1</v>
      </c>
    </row>
    <row r="8029" spans="9:16">
      <c r="I8029" s="213"/>
      <c r="J8029" s="213"/>
      <c r="L8029" s="272">
        <f t="shared" si="575"/>
        <v>1900</v>
      </c>
      <c r="M8029" s="272">
        <f t="shared" si="576"/>
        <v>1</v>
      </c>
      <c r="O8029" s="61">
        <f t="shared" si="577"/>
        <v>1900</v>
      </c>
      <c r="P8029" s="61">
        <f t="shared" si="578"/>
        <v>1</v>
      </c>
    </row>
    <row r="8030" spans="9:16">
      <c r="I8030" s="213"/>
      <c r="J8030" s="213"/>
      <c r="L8030" s="272">
        <f t="shared" si="575"/>
        <v>1900</v>
      </c>
      <c r="M8030" s="272">
        <f t="shared" si="576"/>
        <v>1</v>
      </c>
      <c r="O8030" s="61">
        <f t="shared" si="577"/>
        <v>1900</v>
      </c>
      <c r="P8030" s="61">
        <f t="shared" si="578"/>
        <v>1</v>
      </c>
    </row>
    <row r="8031" spans="9:16">
      <c r="I8031" s="213"/>
      <c r="J8031" s="213"/>
      <c r="L8031" s="272">
        <f t="shared" si="575"/>
        <v>1900</v>
      </c>
      <c r="M8031" s="272">
        <f t="shared" si="576"/>
        <v>1</v>
      </c>
      <c r="O8031" s="61">
        <f t="shared" si="577"/>
        <v>1900</v>
      </c>
      <c r="P8031" s="61">
        <f t="shared" si="578"/>
        <v>1</v>
      </c>
    </row>
    <row r="8032" spans="9:16">
      <c r="I8032" s="213"/>
      <c r="J8032" s="213"/>
      <c r="L8032" s="272">
        <f t="shared" si="575"/>
        <v>1900</v>
      </c>
      <c r="M8032" s="272">
        <f t="shared" si="576"/>
        <v>1</v>
      </c>
      <c r="O8032" s="61">
        <f t="shared" si="577"/>
        <v>1900</v>
      </c>
      <c r="P8032" s="61">
        <f t="shared" si="578"/>
        <v>1</v>
      </c>
    </row>
    <row r="8033" spans="9:16">
      <c r="I8033" s="213"/>
      <c r="J8033" s="213"/>
      <c r="L8033" s="272">
        <f t="shared" si="575"/>
        <v>1900</v>
      </c>
      <c r="M8033" s="272">
        <f t="shared" si="576"/>
        <v>1</v>
      </c>
      <c r="O8033" s="61">
        <f t="shared" si="577"/>
        <v>1900</v>
      </c>
      <c r="P8033" s="61">
        <f t="shared" si="578"/>
        <v>1</v>
      </c>
    </row>
    <row r="8034" spans="9:16">
      <c r="I8034" s="213"/>
      <c r="J8034" s="213"/>
      <c r="L8034" s="272">
        <f t="shared" si="575"/>
        <v>1900</v>
      </c>
      <c r="M8034" s="272">
        <f t="shared" si="576"/>
        <v>1</v>
      </c>
      <c r="O8034" s="61">
        <f t="shared" si="577"/>
        <v>1900</v>
      </c>
      <c r="P8034" s="61">
        <f t="shared" si="578"/>
        <v>1</v>
      </c>
    </row>
    <row r="8035" spans="9:16">
      <c r="I8035" s="213"/>
      <c r="J8035" s="213"/>
      <c r="L8035" s="272">
        <f t="shared" si="575"/>
        <v>1900</v>
      </c>
      <c r="M8035" s="272">
        <f t="shared" si="576"/>
        <v>1</v>
      </c>
      <c r="O8035" s="61">
        <f t="shared" si="577"/>
        <v>1900</v>
      </c>
      <c r="P8035" s="61">
        <f t="shared" si="578"/>
        <v>1</v>
      </c>
    </row>
    <row r="8036" spans="9:16">
      <c r="I8036" s="213"/>
      <c r="J8036" s="213"/>
      <c r="L8036" s="272">
        <f t="shared" si="575"/>
        <v>1900</v>
      </c>
      <c r="M8036" s="272">
        <f t="shared" si="576"/>
        <v>1</v>
      </c>
      <c r="O8036" s="61">
        <f t="shared" si="577"/>
        <v>1900</v>
      </c>
      <c r="P8036" s="61">
        <f t="shared" si="578"/>
        <v>1</v>
      </c>
    </row>
    <row r="8037" spans="9:16">
      <c r="I8037" s="213"/>
      <c r="J8037" s="213"/>
      <c r="L8037" s="272">
        <f t="shared" si="575"/>
        <v>1900</v>
      </c>
      <c r="M8037" s="272">
        <f t="shared" si="576"/>
        <v>1</v>
      </c>
      <c r="O8037" s="61">
        <f t="shared" si="577"/>
        <v>1900</v>
      </c>
      <c r="P8037" s="61">
        <f t="shared" si="578"/>
        <v>1</v>
      </c>
    </row>
    <row r="8038" spans="9:16">
      <c r="I8038" s="213"/>
      <c r="J8038" s="213"/>
      <c r="L8038" s="272">
        <f t="shared" si="575"/>
        <v>1900</v>
      </c>
      <c r="M8038" s="272">
        <f t="shared" si="576"/>
        <v>1</v>
      </c>
      <c r="O8038" s="61">
        <f t="shared" si="577"/>
        <v>1900</v>
      </c>
      <c r="P8038" s="61">
        <f t="shared" si="578"/>
        <v>1</v>
      </c>
    </row>
    <row r="8039" spans="9:16">
      <c r="I8039" s="213"/>
      <c r="J8039" s="213"/>
      <c r="L8039" s="272">
        <f t="shared" si="575"/>
        <v>1900</v>
      </c>
      <c r="M8039" s="272">
        <f t="shared" si="576"/>
        <v>1</v>
      </c>
      <c r="O8039" s="61">
        <f t="shared" si="577"/>
        <v>1900</v>
      </c>
      <c r="P8039" s="61">
        <f t="shared" si="578"/>
        <v>1</v>
      </c>
    </row>
    <row r="8040" spans="9:16">
      <c r="I8040" s="213"/>
      <c r="J8040" s="213"/>
      <c r="L8040" s="272">
        <f t="shared" si="575"/>
        <v>1900</v>
      </c>
      <c r="M8040" s="272">
        <f t="shared" si="576"/>
        <v>1</v>
      </c>
      <c r="O8040" s="61">
        <f t="shared" si="577"/>
        <v>1900</v>
      </c>
      <c r="P8040" s="61">
        <f t="shared" si="578"/>
        <v>1</v>
      </c>
    </row>
    <row r="8041" spans="9:16">
      <c r="I8041" s="213"/>
      <c r="J8041" s="213"/>
      <c r="L8041" s="272">
        <f t="shared" si="575"/>
        <v>1900</v>
      </c>
      <c r="M8041" s="272">
        <f t="shared" si="576"/>
        <v>1</v>
      </c>
      <c r="O8041" s="61">
        <f t="shared" si="577"/>
        <v>1900</v>
      </c>
      <c r="P8041" s="61">
        <f t="shared" si="578"/>
        <v>1</v>
      </c>
    </row>
    <row r="8042" spans="9:16">
      <c r="I8042" s="213"/>
      <c r="J8042" s="213"/>
      <c r="L8042" s="272">
        <f t="shared" si="575"/>
        <v>1900</v>
      </c>
      <c r="M8042" s="272">
        <f t="shared" si="576"/>
        <v>1</v>
      </c>
      <c r="O8042" s="61">
        <f t="shared" si="577"/>
        <v>1900</v>
      </c>
      <c r="P8042" s="61">
        <f t="shared" si="578"/>
        <v>1</v>
      </c>
    </row>
    <row r="8043" spans="9:16">
      <c r="I8043" s="213"/>
      <c r="J8043" s="213"/>
      <c r="L8043" s="272">
        <f t="shared" si="575"/>
        <v>1900</v>
      </c>
      <c r="M8043" s="272">
        <f t="shared" si="576"/>
        <v>1</v>
      </c>
      <c r="O8043" s="61">
        <f t="shared" si="577"/>
        <v>1900</v>
      </c>
      <c r="P8043" s="61">
        <f t="shared" si="578"/>
        <v>1</v>
      </c>
    </row>
    <row r="8044" spans="9:16">
      <c r="I8044" s="213"/>
      <c r="J8044" s="213"/>
      <c r="L8044" s="272">
        <f t="shared" si="575"/>
        <v>1900</v>
      </c>
      <c r="M8044" s="272">
        <f t="shared" si="576"/>
        <v>1</v>
      </c>
      <c r="O8044" s="61">
        <f t="shared" si="577"/>
        <v>1900</v>
      </c>
      <c r="P8044" s="61">
        <f t="shared" si="578"/>
        <v>1</v>
      </c>
    </row>
    <row r="8045" spans="9:16">
      <c r="I8045" s="213"/>
      <c r="J8045" s="213"/>
      <c r="L8045" s="272">
        <f t="shared" si="575"/>
        <v>1900</v>
      </c>
      <c r="M8045" s="272">
        <f t="shared" si="576"/>
        <v>1</v>
      </c>
      <c r="O8045" s="61">
        <f t="shared" si="577"/>
        <v>1900</v>
      </c>
      <c r="P8045" s="61">
        <f t="shared" si="578"/>
        <v>1</v>
      </c>
    </row>
    <row r="8046" spans="9:16">
      <c r="I8046" s="213"/>
      <c r="J8046" s="213"/>
      <c r="L8046" s="272">
        <f t="shared" si="575"/>
        <v>1900</v>
      </c>
      <c r="M8046" s="272">
        <f t="shared" si="576"/>
        <v>1</v>
      </c>
      <c r="O8046" s="61">
        <f t="shared" si="577"/>
        <v>1900</v>
      </c>
      <c r="P8046" s="61">
        <f t="shared" si="578"/>
        <v>1</v>
      </c>
    </row>
    <row r="8047" spans="9:16">
      <c r="I8047" s="213"/>
      <c r="J8047" s="213"/>
      <c r="L8047" s="272">
        <f t="shared" si="575"/>
        <v>1900</v>
      </c>
      <c r="M8047" s="272">
        <f t="shared" si="576"/>
        <v>1</v>
      </c>
      <c r="O8047" s="61">
        <f t="shared" si="577"/>
        <v>1900</v>
      </c>
      <c r="P8047" s="61">
        <f t="shared" si="578"/>
        <v>1</v>
      </c>
    </row>
    <row r="8048" spans="9:16">
      <c r="I8048" s="213"/>
      <c r="J8048" s="213"/>
      <c r="L8048" s="272">
        <f t="shared" si="575"/>
        <v>1900</v>
      </c>
      <c r="M8048" s="272">
        <f t="shared" si="576"/>
        <v>1</v>
      </c>
      <c r="O8048" s="61">
        <f t="shared" si="577"/>
        <v>1900</v>
      </c>
      <c r="P8048" s="61">
        <f t="shared" si="578"/>
        <v>1</v>
      </c>
    </row>
    <row r="8049" spans="9:16">
      <c r="I8049" s="213"/>
      <c r="J8049" s="213"/>
      <c r="L8049" s="272">
        <f t="shared" si="575"/>
        <v>1900</v>
      </c>
      <c r="M8049" s="272">
        <f t="shared" si="576"/>
        <v>1</v>
      </c>
      <c r="O8049" s="61">
        <f t="shared" si="577"/>
        <v>1900</v>
      </c>
      <c r="P8049" s="61">
        <f t="shared" si="578"/>
        <v>1</v>
      </c>
    </row>
    <row r="8050" spans="9:16">
      <c r="I8050" s="213"/>
      <c r="J8050" s="213"/>
      <c r="L8050" s="272">
        <f t="shared" si="575"/>
        <v>1900</v>
      </c>
      <c r="M8050" s="272">
        <f t="shared" si="576"/>
        <v>1</v>
      </c>
      <c r="O8050" s="61">
        <f t="shared" si="577"/>
        <v>1900</v>
      </c>
      <c r="P8050" s="61">
        <f t="shared" si="578"/>
        <v>1</v>
      </c>
    </row>
    <row r="8051" spans="9:16">
      <c r="I8051" s="213"/>
      <c r="J8051" s="213"/>
      <c r="L8051" s="272">
        <f t="shared" si="575"/>
        <v>1900</v>
      </c>
      <c r="M8051" s="272">
        <f t="shared" si="576"/>
        <v>1</v>
      </c>
      <c r="O8051" s="61">
        <f t="shared" si="577"/>
        <v>1900</v>
      </c>
      <c r="P8051" s="61">
        <f t="shared" si="578"/>
        <v>1</v>
      </c>
    </row>
    <row r="8052" spans="9:16">
      <c r="I8052" s="213"/>
      <c r="J8052" s="213"/>
      <c r="L8052" s="272">
        <f t="shared" si="575"/>
        <v>1900</v>
      </c>
      <c r="M8052" s="272">
        <f t="shared" si="576"/>
        <v>1</v>
      </c>
      <c r="O8052" s="61">
        <f t="shared" si="577"/>
        <v>1900</v>
      </c>
      <c r="P8052" s="61">
        <f t="shared" si="578"/>
        <v>1</v>
      </c>
    </row>
    <row r="8053" spans="9:16">
      <c r="I8053" s="213"/>
      <c r="J8053" s="213"/>
      <c r="L8053" s="272">
        <f t="shared" si="575"/>
        <v>1900</v>
      </c>
      <c r="M8053" s="272">
        <f t="shared" si="576"/>
        <v>1</v>
      </c>
      <c r="O8053" s="61">
        <f t="shared" si="577"/>
        <v>1900</v>
      </c>
      <c r="P8053" s="61">
        <f t="shared" si="578"/>
        <v>1</v>
      </c>
    </row>
    <row r="8054" spans="9:16">
      <c r="I8054" s="213"/>
      <c r="J8054" s="213"/>
      <c r="L8054" s="272">
        <f t="shared" si="575"/>
        <v>1900</v>
      </c>
      <c r="M8054" s="272">
        <f t="shared" si="576"/>
        <v>1</v>
      </c>
      <c r="O8054" s="61">
        <f t="shared" si="577"/>
        <v>1900</v>
      </c>
      <c r="P8054" s="61">
        <f t="shared" si="578"/>
        <v>1</v>
      </c>
    </row>
    <row r="8055" spans="9:16">
      <c r="I8055" s="213"/>
      <c r="J8055" s="213"/>
      <c r="L8055" s="272">
        <f t="shared" si="575"/>
        <v>1900</v>
      </c>
      <c r="M8055" s="272">
        <f t="shared" si="576"/>
        <v>1</v>
      </c>
      <c r="O8055" s="61">
        <f t="shared" si="577"/>
        <v>1900</v>
      </c>
      <c r="P8055" s="61">
        <f t="shared" si="578"/>
        <v>1</v>
      </c>
    </row>
    <row r="8056" spans="9:16">
      <c r="I8056" s="213"/>
      <c r="J8056" s="213"/>
      <c r="L8056" s="272">
        <f t="shared" si="575"/>
        <v>1900</v>
      </c>
      <c r="M8056" s="272">
        <f t="shared" si="576"/>
        <v>1</v>
      </c>
      <c r="O8056" s="61">
        <f t="shared" si="577"/>
        <v>1900</v>
      </c>
      <c r="P8056" s="61">
        <f t="shared" si="578"/>
        <v>1</v>
      </c>
    </row>
    <row r="8057" spans="9:16">
      <c r="I8057" s="213"/>
      <c r="J8057" s="213"/>
      <c r="L8057" s="272">
        <f t="shared" si="575"/>
        <v>1900</v>
      </c>
      <c r="M8057" s="272">
        <f t="shared" si="576"/>
        <v>1</v>
      </c>
      <c r="O8057" s="61">
        <f t="shared" si="577"/>
        <v>1900</v>
      </c>
      <c r="P8057" s="61">
        <f t="shared" si="578"/>
        <v>1</v>
      </c>
    </row>
    <row r="8058" spans="9:16">
      <c r="I8058" s="213"/>
      <c r="J8058" s="213"/>
      <c r="L8058" s="272">
        <f t="shared" si="575"/>
        <v>1900</v>
      </c>
      <c r="M8058" s="272">
        <f t="shared" si="576"/>
        <v>1</v>
      </c>
      <c r="O8058" s="61">
        <f t="shared" si="577"/>
        <v>1900</v>
      </c>
      <c r="P8058" s="61">
        <f t="shared" si="578"/>
        <v>1</v>
      </c>
    </row>
    <row r="8059" spans="9:16">
      <c r="I8059" s="213"/>
      <c r="J8059" s="213"/>
      <c r="L8059" s="272">
        <f t="shared" si="575"/>
        <v>1900</v>
      </c>
      <c r="M8059" s="272">
        <f t="shared" si="576"/>
        <v>1</v>
      </c>
      <c r="O8059" s="61">
        <f t="shared" si="577"/>
        <v>1900</v>
      </c>
      <c r="P8059" s="61">
        <f t="shared" si="578"/>
        <v>1</v>
      </c>
    </row>
    <row r="8060" spans="9:16">
      <c r="I8060" s="213"/>
      <c r="J8060" s="213"/>
      <c r="L8060" s="272">
        <f t="shared" si="575"/>
        <v>1900</v>
      </c>
      <c r="M8060" s="272">
        <f t="shared" si="576"/>
        <v>1</v>
      </c>
      <c r="O8060" s="61">
        <f t="shared" si="577"/>
        <v>1900</v>
      </c>
      <c r="P8060" s="61">
        <f t="shared" si="578"/>
        <v>1</v>
      </c>
    </row>
    <row r="8061" spans="9:16">
      <c r="I8061" s="213"/>
      <c r="J8061" s="213"/>
      <c r="L8061" s="272">
        <f t="shared" si="575"/>
        <v>1900</v>
      </c>
      <c r="M8061" s="272">
        <f t="shared" si="576"/>
        <v>1</v>
      </c>
      <c r="O8061" s="61">
        <f t="shared" si="577"/>
        <v>1900</v>
      </c>
      <c r="P8061" s="61">
        <f t="shared" si="578"/>
        <v>1</v>
      </c>
    </row>
    <row r="8062" spans="9:16">
      <c r="I8062" s="213"/>
      <c r="J8062" s="213"/>
      <c r="L8062" s="272">
        <f t="shared" si="575"/>
        <v>1900</v>
      </c>
      <c r="M8062" s="272">
        <f t="shared" si="576"/>
        <v>1</v>
      </c>
      <c r="O8062" s="61">
        <f t="shared" si="577"/>
        <v>1900</v>
      </c>
      <c r="P8062" s="61">
        <f t="shared" si="578"/>
        <v>1</v>
      </c>
    </row>
    <row r="8063" spans="9:16">
      <c r="I8063" s="213"/>
      <c r="J8063" s="213"/>
      <c r="L8063" s="272">
        <f t="shared" si="575"/>
        <v>1900</v>
      </c>
      <c r="M8063" s="272">
        <f t="shared" si="576"/>
        <v>1</v>
      </c>
      <c r="O8063" s="61">
        <f t="shared" si="577"/>
        <v>1900</v>
      </c>
      <c r="P8063" s="61">
        <f t="shared" si="578"/>
        <v>1</v>
      </c>
    </row>
    <row r="8064" spans="9:16">
      <c r="I8064" s="213"/>
      <c r="J8064" s="213"/>
      <c r="L8064" s="272">
        <f t="shared" si="575"/>
        <v>1900</v>
      </c>
      <c r="M8064" s="272">
        <f t="shared" si="576"/>
        <v>1</v>
      </c>
      <c r="O8064" s="61">
        <f t="shared" si="577"/>
        <v>1900</v>
      </c>
      <c r="P8064" s="61">
        <f t="shared" si="578"/>
        <v>1</v>
      </c>
    </row>
    <row r="8065" spans="9:16">
      <c r="I8065" s="213"/>
      <c r="J8065" s="213"/>
      <c r="L8065" s="272">
        <f t="shared" si="575"/>
        <v>1900</v>
      </c>
      <c r="M8065" s="272">
        <f t="shared" si="576"/>
        <v>1</v>
      </c>
      <c r="O8065" s="61">
        <f t="shared" si="577"/>
        <v>1900</v>
      </c>
      <c r="P8065" s="61">
        <f t="shared" si="578"/>
        <v>1</v>
      </c>
    </row>
    <row r="8066" spans="9:16">
      <c r="I8066" s="213"/>
      <c r="J8066" s="213"/>
      <c r="L8066" s="272">
        <f t="shared" si="575"/>
        <v>1900</v>
      </c>
      <c r="M8066" s="272">
        <f t="shared" si="576"/>
        <v>1</v>
      </c>
      <c r="O8066" s="61">
        <f t="shared" si="577"/>
        <v>1900</v>
      </c>
      <c r="P8066" s="61">
        <f t="shared" si="578"/>
        <v>1</v>
      </c>
    </row>
    <row r="8067" spans="9:16">
      <c r="I8067" s="213"/>
      <c r="J8067" s="213"/>
      <c r="L8067" s="272">
        <f t="shared" si="575"/>
        <v>1900</v>
      </c>
      <c r="M8067" s="272">
        <f t="shared" si="576"/>
        <v>1</v>
      </c>
      <c r="O8067" s="61">
        <f t="shared" si="577"/>
        <v>1900</v>
      </c>
      <c r="P8067" s="61">
        <f t="shared" si="578"/>
        <v>1</v>
      </c>
    </row>
    <row r="8068" spans="9:16">
      <c r="I8068" s="213"/>
      <c r="J8068" s="213"/>
      <c r="L8068" s="272">
        <f t="shared" si="575"/>
        <v>1900</v>
      </c>
      <c r="M8068" s="272">
        <f t="shared" si="576"/>
        <v>1</v>
      </c>
      <c r="O8068" s="61">
        <f t="shared" si="577"/>
        <v>1900</v>
      </c>
      <c r="P8068" s="61">
        <f t="shared" si="578"/>
        <v>1</v>
      </c>
    </row>
    <row r="8069" spans="9:16">
      <c r="I8069" s="213"/>
      <c r="J8069" s="213"/>
      <c r="L8069" s="272">
        <f t="shared" si="575"/>
        <v>1900</v>
      </c>
      <c r="M8069" s="272">
        <f t="shared" si="576"/>
        <v>1</v>
      </c>
      <c r="O8069" s="61">
        <f t="shared" si="577"/>
        <v>1900</v>
      </c>
      <c r="P8069" s="61">
        <f t="shared" si="578"/>
        <v>1</v>
      </c>
    </row>
    <row r="8070" spans="9:16">
      <c r="I8070" s="213"/>
      <c r="J8070" s="213"/>
      <c r="L8070" s="272">
        <f t="shared" si="575"/>
        <v>1900</v>
      </c>
      <c r="M8070" s="272">
        <f t="shared" si="576"/>
        <v>1</v>
      </c>
      <c r="O8070" s="61">
        <f t="shared" si="577"/>
        <v>1900</v>
      </c>
      <c r="P8070" s="61">
        <f t="shared" si="578"/>
        <v>1</v>
      </c>
    </row>
    <row r="8071" spans="9:16">
      <c r="I8071" s="213"/>
      <c r="J8071" s="213"/>
      <c r="L8071" s="272">
        <f t="shared" si="575"/>
        <v>1900</v>
      </c>
      <c r="M8071" s="272">
        <f t="shared" si="576"/>
        <v>1</v>
      </c>
      <c r="O8071" s="61">
        <f t="shared" si="577"/>
        <v>1900</v>
      </c>
      <c r="P8071" s="61">
        <f t="shared" si="578"/>
        <v>1</v>
      </c>
    </row>
    <row r="8072" spans="9:16">
      <c r="I8072" s="213"/>
      <c r="J8072" s="213"/>
      <c r="L8072" s="272">
        <f t="shared" si="575"/>
        <v>1900</v>
      </c>
      <c r="M8072" s="272">
        <f t="shared" si="576"/>
        <v>1</v>
      </c>
      <c r="O8072" s="61">
        <f t="shared" si="577"/>
        <v>1900</v>
      </c>
      <c r="P8072" s="61">
        <f t="shared" si="578"/>
        <v>1</v>
      </c>
    </row>
    <row r="8073" spans="9:16">
      <c r="I8073" s="213"/>
      <c r="J8073" s="213"/>
      <c r="L8073" s="272">
        <f t="shared" si="575"/>
        <v>1900</v>
      </c>
      <c r="M8073" s="272">
        <f t="shared" si="576"/>
        <v>1</v>
      </c>
      <c r="O8073" s="61">
        <f t="shared" si="577"/>
        <v>1900</v>
      </c>
      <c r="P8073" s="61">
        <f t="shared" si="578"/>
        <v>1</v>
      </c>
    </row>
    <row r="8074" spans="9:16">
      <c r="I8074" s="213"/>
      <c r="J8074" s="213"/>
      <c r="L8074" s="272">
        <f t="shared" si="575"/>
        <v>1900</v>
      </c>
      <c r="M8074" s="272">
        <f t="shared" si="576"/>
        <v>1</v>
      </c>
      <c r="O8074" s="61">
        <f t="shared" si="577"/>
        <v>1900</v>
      </c>
      <c r="P8074" s="61">
        <f t="shared" si="578"/>
        <v>1</v>
      </c>
    </row>
    <row r="8075" spans="9:16">
      <c r="I8075" s="213"/>
      <c r="J8075" s="213"/>
      <c r="L8075" s="272">
        <f t="shared" si="575"/>
        <v>1900</v>
      </c>
      <c r="M8075" s="272">
        <f t="shared" si="576"/>
        <v>1</v>
      </c>
      <c r="O8075" s="61">
        <f t="shared" si="577"/>
        <v>1900</v>
      </c>
      <c r="P8075" s="61">
        <f t="shared" si="578"/>
        <v>1</v>
      </c>
    </row>
    <row r="8076" spans="9:16">
      <c r="I8076" s="213"/>
      <c r="J8076" s="213"/>
      <c r="L8076" s="272">
        <f t="shared" si="575"/>
        <v>1900</v>
      </c>
      <c r="M8076" s="272">
        <f t="shared" si="576"/>
        <v>1</v>
      </c>
      <c r="O8076" s="61">
        <f t="shared" si="577"/>
        <v>1900</v>
      </c>
      <c r="P8076" s="61">
        <f t="shared" si="578"/>
        <v>1</v>
      </c>
    </row>
    <row r="8077" spans="9:16">
      <c r="I8077" s="213"/>
      <c r="J8077" s="213"/>
      <c r="L8077" s="272">
        <f t="shared" si="575"/>
        <v>1900</v>
      </c>
      <c r="M8077" s="272">
        <f t="shared" si="576"/>
        <v>1</v>
      </c>
      <c r="O8077" s="61">
        <f t="shared" si="577"/>
        <v>1900</v>
      </c>
      <c r="P8077" s="61">
        <f t="shared" si="578"/>
        <v>1</v>
      </c>
    </row>
    <row r="8078" spans="9:16">
      <c r="I8078" s="213"/>
      <c r="J8078" s="213"/>
      <c r="L8078" s="272">
        <f t="shared" si="575"/>
        <v>1900</v>
      </c>
      <c r="M8078" s="272">
        <f t="shared" si="576"/>
        <v>1</v>
      </c>
      <c r="O8078" s="61">
        <f t="shared" si="577"/>
        <v>1900</v>
      </c>
      <c r="P8078" s="61">
        <f t="shared" si="578"/>
        <v>1</v>
      </c>
    </row>
    <row r="8079" spans="9:16">
      <c r="I8079" s="213"/>
      <c r="J8079" s="213"/>
      <c r="L8079" s="272">
        <f t="shared" si="575"/>
        <v>1900</v>
      </c>
      <c r="M8079" s="272">
        <f t="shared" si="576"/>
        <v>1</v>
      </c>
      <c r="O8079" s="61">
        <f t="shared" si="577"/>
        <v>1900</v>
      </c>
      <c r="P8079" s="61">
        <f t="shared" si="578"/>
        <v>1</v>
      </c>
    </row>
    <row r="8080" spans="9:16">
      <c r="I8080" s="213"/>
      <c r="J8080" s="213"/>
      <c r="L8080" s="272">
        <f t="shared" ref="L8080:L8143" si="579">YEAR(B8080)</f>
        <v>1900</v>
      </c>
      <c r="M8080" s="272">
        <f t="shared" ref="M8080:M8143" si="580">MONTH(B8080)</f>
        <v>1</v>
      </c>
      <c r="O8080" s="61">
        <f t="shared" ref="O8080:O8143" si="581">YEAR(B8080)</f>
        <v>1900</v>
      </c>
      <c r="P8080" s="61">
        <f t="shared" ref="P8080:P8143" si="582">MONTH(B8080)</f>
        <v>1</v>
      </c>
    </row>
    <row r="8081" spans="9:16">
      <c r="I8081" s="213"/>
      <c r="J8081" s="213"/>
      <c r="L8081" s="272">
        <f t="shared" si="579"/>
        <v>1900</v>
      </c>
      <c r="M8081" s="272">
        <f t="shared" si="580"/>
        <v>1</v>
      </c>
      <c r="O8081" s="61">
        <f t="shared" si="581"/>
        <v>1900</v>
      </c>
      <c r="P8081" s="61">
        <f t="shared" si="582"/>
        <v>1</v>
      </c>
    </row>
    <row r="8082" spans="9:16">
      <c r="I8082" s="213"/>
      <c r="J8082" s="213"/>
      <c r="L8082" s="272">
        <f t="shared" si="579"/>
        <v>1900</v>
      </c>
      <c r="M8082" s="272">
        <f t="shared" si="580"/>
        <v>1</v>
      </c>
      <c r="O8082" s="61">
        <f t="shared" si="581"/>
        <v>1900</v>
      </c>
      <c r="P8082" s="61">
        <f t="shared" si="582"/>
        <v>1</v>
      </c>
    </row>
    <row r="8083" spans="9:16">
      <c r="I8083" s="213"/>
      <c r="J8083" s="213"/>
      <c r="L8083" s="272">
        <f t="shared" si="579"/>
        <v>1900</v>
      </c>
      <c r="M8083" s="272">
        <f t="shared" si="580"/>
        <v>1</v>
      </c>
      <c r="O8083" s="61">
        <f t="shared" si="581"/>
        <v>1900</v>
      </c>
      <c r="P8083" s="61">
        <f t="shared" si="582"/>
        <v>1</v>
      </c>
    </row>
    <row r="8084" spans="9:16">
      <c r="I8084" s="213"/>
      <c r="J8084" s="213"/>
      <c r="L8084" s="272">
        <f t="shared" si="579"/>
        <v>1900</v>
      </c>
      <c r="M8084" s="272">
        <f t="shared" si="580"/>
        <v>1</v>
      </c>
      <c r="O8084" s="61">
        <f t="shared" si="581"/>
        <v>1900</v>
      </c>
      <c r="P8084" s="61">
        <f t="shared" si="582"/>
        <v>1</v>
      </c>
    </row>
    <row r="8085" spans="9:16">
      <c r="I8085" s="213"/>
      <c r="J8085" s="213"/>
      <c r="L8085" s="272">
        <f t="shared" si="579"/>
        <v>1900</v>
      </c>
      <c r="M8085" s="272">
        <f t="shared" si="580"/>
        <v>1</v>
      </c>
      <c r="O8085" s="61">
        <f t="shared" si="581"/>
        <v>1900</v>
      </c>
      <c r="P8085" s="61">
        <f t="shared" si="582"/>
        <v>1</v>
      </c>
    </row>
    <row r="8086" spans="9:16">
      <c r="I8086" s="213"/>
      <c r="J8086" s="213"/>
      <c r="L8086" s="272">
        <f t="shared" si="579"/>
        <v>1900</v>
      </c>
      <c r="M8086" s="272">
        <f t="shared" si="580"/>
        <v>1</v>
      </c>
      <c r="O8086" s="61">
        <f t="shared" si="581"/>
        <v>1900</v>
      </c>
      <c r="P8086" s="61">
        <f t="shared" si="582"/>
        <v>1</v>
      </c>
    </row>
    <row r="8087" spans="9:16">
      <c r="I8087" s="213"/>
      <c r="J8087" s="213"/>
      <c r="L8087" s="272">
        <f t="shared" si="579"/>
        <v>1900</v>
      </c>
      <c r="M8087" s="272">
        <f t="shared" si="580"/>
        <v>1</v>
      </c>
      <c r="O8087" s="61">
        <f t="shared" si="581"/>
        <v>1900</v>
      </c>
      <c r="P8087" s="61">
        <f t="shared" si="582"/>
        <v>1</v>
      </c>
    </row>
    <row r="8088" spans="9:16">
      <c r="I8088" s="213"/>
      <c r="J8088" s="213"/>
      <c r="L8088" s="272">
        <f t="shared" si="579"/>
        <v>1900</v>
      </c>
      <c r="M8088" s="272">
        <f t="shared" si="580"/>
        <v>1</v>
      </c>
      <c r="O8088" s="61">
        <f t="shared" si="581"/>
        <v>1900</v>
      </c>
      <c r="P8088" s="61">
        <f t="shared" si="582"/>
        <v>1</v>
      </c>
    </row>
    <row r="8089" spans="9:16">
      <c r="I8089" s="213"/>
      <c r="J8089" s="213"/>
      <c r="L8089" s="272">
        <f t="shared" si="579"/>
        <v>1900</v>
      </c>
      <c r="M8089" s="272">
        <f t="shared" si="580"/>
        <v>1</v>
      </c>
      <c r="O8089" s="61">
        <f t="shared" si="581"/>
        <v>1900</v>
      </c>
      <c r="P8089" s="61">
        <f t="shared" si="582"/>
        <v>1</v>
      </c>
    </row>
    <row r="8090" spans="9:16">
      <c r="I8090" s="213"/>
      <c r="J8090" s="213"/>
      <c r="L8090" s="272">
        <f t="shared" si="579"/>
        <v>1900</v>
      </c>
      <c r="M8090" s="272">
        <f t="shared" si="580"/>
        <v>1</v>
      </c>
      <c r="O8090" s="61">
        <f t="shared" si="581"/>
        <v>1900</v>
      </c>
      <c r="P8090" s="61">
        <f t="shared" si="582"/>
        <v>1</v>
      </c>
    </row>
    <row r="8091" spans="9:16">
      <c r="I8091" s="213"/>
      <c r="J8091" s="213"/>
      <c r="L8091" s="272">
        <f t="shared" si="579"/>
        <v>1900</v>
      </c>
      <c r="M8091" s="272">
        <f t="shared" si="580"/>
        <v>1</v>
      </c>
      <c r="O8091" s="61">
        <f t="shared" si="581"/>
        <v>1900</v>
      </c>
      <c r="P8091" s="61">
        <f t="shared" si="582"/>
        <v>1</v>
      </c>
    </row>
    <row r="8092" spans="9:16">
      <c r="I8092" s="213"/>
      <c r="J8092" s="213"/>
      <c r="L8092" s="272">
        <f t="shared" si="579"/>
        <v>1900</v>
      </c>
      <c r="M8092" s="272">
        <f t="shared" si="580"/>
        <v>1</v>
      </c>
      <c r="O8092" s="61">
        <f t="shared" si="581"/>
        <v>1900</v>
      </c>
      <c r="P8092" s="61">
        <f t="shared" si="582"/>
        <v>1</v>
      </c>
    </row>
    <row r="8093" spans="9:16">
      <c r="I8093" s="213"/>
      <c r="J8093" s="213"/>
      <c r="L8093" s="272">
        <f t="shared" si="579"/>
        <v>1900</v>
      </c>
      <c r="M8093" s="272">
        <f t="shared" si="580"/>
        <v>1</v>
      </c>
      <c r="O8093" s="61">
        <f t="shared" si="581"/>
        <v>1900</v>
      </c>
      <c r="P8093" s="61">
        <f t="shared" si="582"/>
        <v>1</v>
      </c>
    </row>
    <row r="8094" spans="9:16">
      <c r="I8094" s="213"/>
      <c r="J8094" s="213"/>
      <c r="L8094" s="272">
        <f t="shared" si="579"/>
        <v>1900</v>
      </c>
      <c r="M8094" s="272">
        <f t="shared" si="580"/>
        <v>1</v>
      </c>
      <c r="O8094" s="61">
        <f t="shared" si="581"/>
        <v>1900</v>
      </c>
      <c r="P8094" s="61">
        <f t="shared" si="582"/>
        <v>1</v>
      </c>
    </row>
    <row r="8095" spans="9:16">
      <c r="I8095" s="213"/>
      <c r="J8095" s="213"/>
      <c r="L8095" s="272">
        <f t="shared" si="579"/>
        <v>1900</v>
      </c>
      <c r="M8095" s="272">
        <f t="shared" si="580"/>
        <v>1</v>
      </c>
      <c r="O8095" s="61">
        <f t="shared" si="581"/>
        <v>1900</v>
      </c>
      <c r="P8095" s="61">
        <f t="shared" si="582"/>
        <v>1</v>
      </c>
    </row>
    <row r="8096" spans="9:16">
      <c r="I8096" s="213"/>
      <c r="J8096" s="213"/>
      <c r="L8096" s="272">
        <f t="shared" si="579"/>
        <v>1900</v>
      </c>
      <c r="M8096" s="272">
        <f t="shared" si="580"/>
        <v>1</v>
      </c>
      <c r="O8096" s="61">
        <f t="shared" si="581"/>
        <v>1900</v>
      </c>
      <c r="P8096" s="61">
        <f t="shared" si="582"/>
        <v>1</v>
      </c>
    </row>
    <row r="8097" spans="9:16">
      <c r="I8097" s="213"/>
      <c r="J8097" s="213"/>
      <c r="L8097" s="272">
        <f t="shared" si="579"/>
        <v>1900</v>
      </c>
      <c r="M8097" s="272">
        <f t="shared" si="580"/>
        <v>1</v>
      </c>
      <c r="O8097" s="61">
        <f t="shared" si="581"/>
        <v>1900</v>
      </c>
      <c r="P8097" s="61">
        <f t="shared" si="582"/>
        <v>1</v>
      </c>
    </row>
    <row r="8098" spans="9:16">
      <c r="I8098" s="213"/>
      <c r="J8098" s="213"/>
      <c r="L8098" s="272">
        <f t="shared" si="579"/>
        <v>1900</v>
      </c>
      <c r="M8098" s="272">
        <f t="shared" si="580"/>
        <v>1</v>
      </c>
      <c r="O8098" s="61">
        <f t="shared" si="581"/>
        <v>1900</v>
      </c>
      <c r="P8098" s="61">
        <f t="shared" si="582"/>
        <v>1</v>
      </c>
    </row>
    <row r="8099" spans="9:16">
      <c r="I8099" s="213"/>
      <c r="J8099" s="213"/>
      <c r="L8099" s="272">
        <f t="shared" si="579"/>
        <v>1900</v>
      </c>
      <c r="M8099" s="272">
        <f t="shared" si="580"/>
        <v>1</v>
      </c>
      <c r="O8099" s="61">
        <f t="shared" si="581"/>
        <v>1900</v>
      </c>
      <c r="P8099" s="61">
        <f t="shared" si="582"/>
        <v>1</v>
      </c>
    </row>
    <row r="8100" spans="9:16">
      <c r="I8100" s="213"/>
      <c r="J8100" s="213"/>
      <c r="L8100" s="272">
        <f t="shared" si="579"/>
        <v>1900</v>
      </c>
      <c r="M8100" s="272">
        <f t="shared" si="580"/>
        <v>1</v>
      </c>
      <c r="O8100" s="61">
        <f t="shared" si="581"/>
        <v>1900</v>
      </c>
      <c r="P8100" s="61">
        <f t="shared" si="582"/>
        <v>1</v>
      </c>
    </row>
    <row r="8101" spans="9:16">
      <c r="I8101" s="213"/>
      <c r="J8101" s="213"/>
      <c r="L8101" s="272">
        <f t="shared" si="579"/>
        <v>1900</v>
      </c>
      <c r="M8101" s="272">
        <f t="shared" si="580"/>
        <v>1</v>
      </c>
      <c r="O8101" s="61">
        <f t="shared" si="581"/>
        <v>1900</v>
      </c>
      <c r="P8101" s="61">
        <f t="shared" si="582"/>
        <v>1</v>
      </c>
    </row>
    <row r="8102" spans="9:16">
      <c r="I8102" s="213"/>
      <c r="J8102" s="213"/>
      <c r="L8102" s="272">
        <f t="shared" si="579"/>
        <v>1900</v>
      </c>
      <c r="M8102" s="272">
        <f t="shared" si="580"/>
        <v>1</v>
      </c>
      <c r="O8102" s="61">
        <f t="shared" si="581"/>
        <v>1900</v>
      </c>
      <c r="P8102" s="61">
        <f t="shared" si="582"/>
        <v>1</v>
      </c>
    </row>
    <row r="8103" spans="9:16">
      <c r="I8103" s="213"/>
      <c r="J8103" s="213"/>
      <c r="L8103" s="272">
        <f t="shared" si="579"/>
        <v>1900</v>
      </c>
      <c r="M8103" s="272">
        <f t="shared" si="580"/>
        <v>1</v>
      </c>
      <c r="O8103" s="61">
        <f t="shared" si="581"/>
        <v>1900</v>
      </c>
      <c r="P8103" s="61">
        <f t="shared" si="582"/>
        <v>1</v>
      </c>
    </row>
    <row r="8104" spans="9:16">
      <c r="I8104" s="213"/>
      <c r="J8104" s="213"/>
      <c r="L8104" s="272">
        <f t="shared" si="579"/>
        <v>1900</v>
      </c>
      <c r="M8104" s="272">
        <f t="shared" si="580"/>
        <v>1</v>
      </c>
      <c r="O8104" s="61">
        <f t="shared" si="581"/>
        <v>1900</v>
      </c>
      <c r="P8104" s="61">
        <f t="shared" si="582"/>
        <v>1</v>
      </c>
    </row>
    <row r="8105" spans="9:16">
      <c r="I8105" s="213"/>
      <c r="J8105" s="213"/>
      <c r="L8105" s="272">
        <f t="shared" si="579"/>
        <v>1900</v>
      </c>
      <c r="M8105" s="272">
        <f t="shared" si="580"/>
        <v>1</v>
      </c>
      <c r="O8105" s="61">
        <f t="shared" si="581"/>
        <v>1900</v>
      </c>
      <c r="P8105" s="61">
        <f t="shared" si="582"/>
        <v>1</v>
      </c>
    </row>
    <row r="8106" spans="9:16">
      <c r="I8106" s="213"/>
      <c r="J8106" s="213"/>
      <c r="L8106" s="272">
        <f t="shared" si="579"/>
        <v>1900</v>
      </c>
      <c r="M8106" s="272">
        <f t="shared" si="580"/>
        <v>1</v>
      </c>
      <c r="O8106" s="61">
        <f t="shared" si="581"/>
        <v>1900</v>
      </c>
      <c r="P8106" s="61">
        <f t="shared" si="582"/>
        <v>1</v>
      </c>
    </row>
    <row r="8107" spans="9:16">
      <c r="I8107" s="213"/>
      <c r="J8107" s="213"/>
      <c r="L8107" s="272">
        <f t="shared" si="579"/>
        <v>1900</v>
      </c>
      <c r="M8107" s="272">
        <f t="shared" si="580"/>
        <v>1</v>
      </c>
      <c r="O8107" s="61">
        <f t="shared" si="581"/>
        <v>1900</v>
      </c>
      <c r="P8107" s="61">
        <f t="shared" si="582"/>
        <v>1</v>
      </c>
    </row>
    <row r="8108" spans="9:16">
      <c r="I8108" s="213"/>
      <c r="J8108" s="213"/>
      <c r="L8108" s="272">
        <f t="shared" si="579"/>
        <v>1900</v>
      </c>
      <c r="M8108" s="272">
        <f t="shared" si="580"/>
        <v>1</v>
      </c>
      <c r="O8108" s="61">
        <f t="shared" si="581"/>
        <v>1900</v>
      </c>
      <c r="P8108" s="61">
        <f t="shared" si="582"/>
        <v>1</v>
      </c>
    </row>
    <row r="8109" spans="9:16">
      <c r="I8109" s="213"/>
      <c r="J8109" s="213"/>
      <c r="L8109" s="272">
        <f t="shared" si="579"/>
        <v>1900</v>
      </c>
      <c r="M8109" s="272">
        <f t="shared" si="580"/>
        <v>1</v>
      </c>
      <c r="O8109" s="61">
        <f t="shared" si="581"/>
        <v>1900</v>
      </c>
      <c r="P8109" s="61">
        <f t="shared" si="582"/>
        <v>1</v>
      </c>
    </row>
    <row r="8110" spans="9:16">
      <c r="I8110" s="213"/>
      <c r="J8110" s="213"/>
      <c r="L8110" s="272">
        <f t="shared" si="579"/>
        <v>1900</v>
      </c>
      <c r="M8110" s="272">
        <f t="shared" si="580"/>
        <v>1</v>
      </c>
      <c r="O8110" s="61">
        <f t="shared" si="581"/>
        <v>1900</v>
      </c>
      <c r="P8110" s="61">
        <f t="shared" si="582"/>
        <v>1</v>
      </c>
    </row>
    <row r="8111" spans="9:16">
      <c r="I8111" s="213"/>
      <c r="J8111" s="213"/>
      <c r="L8111" s="272">
        <f t="shared" si="579"/>
        <v>1900</v>
      </c>
      <c r="M8111" s="272">
        <f t="shared" si="580"/>
        <v>1</v>
      </c>
      <c r="O8111" s="61">
        <f t="shared" si="581"/>
        <v>1900</v>
      </c>
      <c r="P8111" s="61">
        <f t="shared" si="582"/>
        <v>1</v>
      </c>
    </row>
    <row r="8112" spans="9:16">
      <c r="I8112" s="213"/>
      <c r="J8112" s="213"/>
      <c r="L8112" s="272">
        <f t="shared" si="579"/>
        <v>1900</v>
      </c>
      <c r="M8112" s="272">
        <f t="shared" si="580"/>
        <v>1</v>
      </c>
      <c r="O8112" s="61">
        <f t="shared" si="581"/>
        <v>1900</v>
      </c>
      <c r="P8112" s="61">
        <f t="shared" si="582"/>
        <v>1</v>
      </c>
    </row>
    <row r="8113" spans="9:16">
      <c r="I8113" s="213"/>
      <c r="J8113" s="213"/>
      <c r="L8113" s="272">
        <f t="shared" si="579"/>
        <v>1900</v>
      </c>
      <c r="M8113" s="272">
        <f t="shared" si="580"/>
        <v>1</v>
      </c>
      <c r="O8113" s="61">
        <f t="shared" si="581"/>
        <v>1900</v>
      </c>
      <c r="P8113" s="61">
        <f t="shared" si="582"/>
        <v>1</v>
      </c>
    </row>
    <row r="8114" spans="9:16">
      <c r="I8114" s="213"/>
      <c r="J8114" s="213"/>
      <c r="L8114" s="272">
        <f t="shared" si="579"/>
        <v>1900</v>
      </c>
      <c r="M8114" s="272">
        <f t="shared" si="580"/>
        <v>1</v>
      </c>
      <c r="O8114" s="61">
        <f t="shared" si="581"/>
        <v>1900</v>
      </c>
      <c r="P8114" s="61">
        <f t="shared" si="582"/>
        <v>1</v>
      </c>
    </row>
    <row r="8115" spans="9:16">
      <c r="I8115" s="213"/>
      <c r="J8115" s="213"/>
      <c r="L8115" s="272">
        <f t="shared" si="579"/>
        <v>1900</v>
      </c>
      <c r="M8115" s="272">
        <f t="shared" si="580"/>
        <v>1</v>
      </c>
      <c r="O8115" s="61">
        <f t="shared" si="581"/>
        <v>1900</v>
      </c>
      <c r="P8115" s="61">
        <f t="shared" si="582"/>
        <v>1</v>
      </c>
    </row>
    <row r="8116" spans="9:16">
      <c r="I8116" s="213"/>
      <c r="J8116" s="213"/>
      <c r="L8116" s="272">
        <f t="shared" si="579"/>
        <v>1900</v>
      </c>
      <c r="M8116" s="272">
        <f t="shared" si="580"/>
        <v>1</v>
      </c>
      <c r="O8116" s="61">
        <f t="shared" si="581"/>
        <v>1900</v>
      </c>
      <c r="P8116" s="61">
        <f t="shared" si="582"/>
        <v>1</v>
      </c>
    </row>
    <row r="8117" spans="9:16">
      <c r="I8117" s="213"/>
      <c r="J8117" s="213"/>
      <c r="L8117" s="272">
        <f t="shared" si="579"/>
        <v>1900</v>
      </c>
      <c r="M8117" s="272">
        <f t="shared" si="580"/>
        <v>1</v>
      </c>
      <c r="O8117" s="61">
        <f t="shared" si="581"/>
        <v>1900</v>
      </c>
      <c r="P8117" s="61">
        <f t="shared" si="582"/>
        <v>1</v>
      </c>
    </row>
    <row r="8118" spans="9:16">
      <c r="I8118" s="213"/>
      <c r="J8118" s="213"/>
      <c r="L8118" s="272">
        <f t="shared" si="579"/>
        <v>1900</v>
      </c>
      <c r="M8118" s="272">
        <f t="shared" si="580"/>
        <v>1</v>
      </c>
      <c r="O8118" s="61">
        <f t="shared" si="581"/>
        <v>1900</v>
      </c>
      <c r="P8118" s="61">
        <f t="shared" si="582"/>
        <v>1</v>
      </c>
    </row>
    <row r="8119" spans="9:16">
      <c r="I8119" s="213"/>
      <c r="J8119" s="213"/>
      <c r="L8119" s="272">
        <f t="shared" si="579"/>
        <v>1900</v>
      </c>
      <c r="M8119" s="272">
        <f t="shared" si="580"/>
        <v>1</v>
      </c>
      <c r="O8119" s="61">
        <f t="shared" si="581"/>
        <v>1900</v>
      </c>
      <c r="P8119" s="61">
        <f t="shared" si="582"/>
        <v>1</v>
      </c>
    </row>
    <row r="8120" spans="9:16">
      <c r="I8120" s="213"/>
      <c r="J8120" s="213"/>
      <c r="L8120" s="272">
        <f t="shared" si="579"/>
        <v>1900</v>
      </c>
      <c r="M8120" s="272">
        <f t="shared" si="580"/>
        <v>1</v>
      </c>
      <c r="O8120" s="61">
        <f t="shared" si="581"/>
        <v>1900</v>
      </c>
      <c r="P8120" s="61">
        <f t="shared" si="582"/>
        <v>1</v>
      </c>
    </row>
    <row r="8121" spans="9:16">
      <c r="I8121" s="213"/>
      <c r="J8121" s="213"/>
      <c r="L8121" s="272">
        <f t="shared" si="579"/>
        <v>1900</v>
      </c>
      <c r="M8121" s="272">
        <f t="shared" si="580"/>
        <v>1</v>
      </c>
      <c r="O8121" s="61">
        <f t="shared" si="581"/>
        <v>1900</v>
      </c>
      <c r="P8121" s="61">
        <f t="shared" si="582"/>
        <v>1</v>
      </c>
    </row>
    <row r="8122" spans="9:16">
      <c r="I8122" s="213"/>
      <c r="J8122" s="213"/>
      <c r="L8122" s="272">
        <f t="shared" si="579"/>
        <v>1900</v>
      </c>
      <c r="M8122" s="272">
        <f t="shared" si="580"/>
        <v>1</v>
      </c>
      <c r="O8122" s="61">
        <f t="shared" si="581"/>
        <v>1900</v>
      </c>
      <c r="P8122" s="61">
        <f t="shared" si="582"/>
        <v>1</v>
      </c>
    </row>
    <row r="8123" spans="9:16">
      <c r="I8123" s="213"/>
      <c r="J8123" s="213"/>
      <c r="L8123" s="272">
        <f t="shared" si="579"/>
        <v>1900</v>
      </c>
      <c r="M8123" s="272">
        <f t="shared" si="580"/>
        <v>1</v>
      </c>
      <c r="O8123" s="61">
        <f t="shared" si="581"/>
        <v>1900</v>
      </c>
      <c r="P8123" s="61">
        <f t="shared" si="582"/>
        <v>1</v>
      </c>
    </row>
    <row r="8124" spans="9:16">
      <c r="I8124" s="213"/>
      <c r="J8124" s="213"/>
      <c r="L8124" s="272">
        <f t="shared" si="579"/>
        <v>1900</v>
      </c>
      <c r="M8124" s="272">
        <f t="shared" si="580"/>
        <v>1</v>
      </c>
      <c r="O8124" s="61">
        <f t="shared" si="581"/>
        <v>1900</v>
      </c>
      <c r="P8124" s="61">
        <f t="shared" si="582"/>
        <v>1</v>
      </c>
    </row>
    <row r="8125" spans="9:16">
      <c r="I8125" s="213"/>
      <c r="J8125" s="213"/>
      <c r="L8125" s="272">
        <f t="shared" si="579"/>
        <v>1900</v>
      </c>
      <c r="M8125" s="272">
        <f t="shared" si="580"/>
        <v>1</v>
      </c>
      <c r="O8125" s="61">
        <f t="shared" si="581"/>
        <v>1900</v>
      </c>
      <c r="P8125" s="61">
        <f t="shared" si="582"/>
        <v>1</v>
      </c>
    </row>
    <row r="8126" spans="9:16">
      <c r="I8126" s="213"/>
      <c r="J8126" s="213"/>
      <c r="L8126" s="272">
        <f t="shared" si="579"/>
        <v>1900</v>
      </c>
      <c r="M8126" s="272">
        <f t="shared" si="580"/>
        <v>1</v>
      </c>
      <c r="O8126" s="61">
        <f t="shared" si="581"/>
        <v>1900</v>
      </c>
      <c r="P8126" s="61">
        <f t="shared" si="582"/>
        <v>1</v>
      </c>
    </row>
    <row r="8127" spans="9:16">
      <c r="I8127" s="213"/>
      <c r="J8127" s="213"/>
      <c r="L8127" s="272">
        <f t="shared" si="579"/>
        <v>1900</v>
      </c>
      <c r="M8127" s="272">
        <f t="shared" si="580"/>
        <v>1</v>
      </c>
      <c r="O8127" s="61">
        <f t="shared" si="581"/>
        <v>1900</v>
      </c>
      <c r="P8127" s="61">
        <f t="shared" si="582"/>
        <v>1</v>
      </c>
    </row>
    <row r="8128" spans="9:16">
      <c r="I8128" s="213"/>
      <c r="J8128" s="213"/>
      <c r="L8128" s="272">
        <f t="shared" si="579"/>
        <v>1900</v>
      </c>
      <c r="M8128" s="272">
        <f t="shared" si="580"/>
        <v>1</v>
      </c>
      <c r="O8128" s="61">
        <f t="shared" si="581"/>
        <v>1900</v>
      </c>
      <c r="P8128" s="61">
        <f t="shared" si="582"/>
        <v>1</v>
      </c>
    </row>
    <row r="8129" spans="9:16">
      <c r="I8129" s="213"/>
      <c r="J8129" s="213"/>
      <c r="L8129" s="272">
        <f t="shared" si="579"/>
        <v>1900</v>
      </c>
      <c r="M8129" s="272">
        <f t="shared" si="580"/>
        <v>1</v>
      </c>
      <c r="O8129" s="61">
        <f t="shared" si="581"/>
        <v>1900</v>
      </c>
      <c r="P8129" s="61">
        <f t="shared" si="582"/>
        <v>1</v>
      </c>
    </row>
    <row r="8130" spans="9:16">
      <c r="I8130" s="213"/>
      <c r="J8130" s="213"/>
      <c r="L8130" s="272">
        <f t="shared" si="579"/>
        <v>1900</v>
      </c>
      <c r="M8130" s="272">
        <f t="shared" si="580"/>
        <v>1</v>
      </c>
      <c r="O8130" s="61">
        <f t="shared" si="581"/>
        <v>1900</v>
      </c>
      <c r="P8130" s="61">
        <f t="shared" si="582"/>
        <v>1</v>
      </c>
    </row>
    <row r="8131" spans="9:16">
      <c r="I8131" s="213"/>
      <c r="J8131" s="213"/>
      <c r="L8131" s="272">
        <f t="shared" si="579"/>
        <v>1900</v>
      </c>
      <c r="M8131" s="272">
        <f t="shared" si="580"/>
        <v>1</v>
      </c>
      <c r="O8131" s="61">
        <f t="shared" si="581"/>
        <v>1900</v>
      </c>
      <c r="P8131" s="61">
        <f t="shared" si="582"/>
        <v>1</v>
      </c>
    </row>
    <row r="8132" spans="9:16">
      <c r="I8132" s="213"/>
      <c r="J8132" s="213"/>
      <c r="L8132" s="272">
        <f t="shared" si="579"/>
        <v>1900</v>
      </c>
      <c r="M8132" s="272">
        <f t="shared" si="580"/>
        <v>1</v>
      </c>
      <c r="O8132" s="61">
        <f t="shared" si="581"/>
        <v>1900</v>
      </c>
      <c r="P8132" s="61">
        <f t="shared" si="582"/>
        <v>1</v>
      </c>
    </row>
    <row r="8133" spans="9:16">
      <c r="I8133" s="213"/>
      <c r="J8133" s="213"/>
      <c r="L8133" s="272">
        <f t="shared" si="579"/>
        <v>1900</v>
      </c>
      <c r="M8133" s="272">
        <f t="shared" si="580"/>
        <v>1</v>
      </c>
      <c r="O8133" s="61">
        <f t="shared" si="581"/>
        <v>1900</v>
      </c>
      <c r="P8133" s="61">
        <f t="shared" si="582"/>
        <v>1</v>
      </c>
    </row>
    <row r="8134" spans="9:16">
      <c r="I8134" s="213"/>
      <c r="J8134" s="213"/>
      <c r="L8134" s="272">
        <f t="shared" si="579"/>
        <v>1900</v>
      </c>
      <c r="M8134" s="272">
        <f t="shared" si="580"/>
        <v>1</v>
      </c>
      <c r="O8134" s="61">
        <f t="shared" si="581"/>
        <v>1900</v>
      </c>
      <c r="P8134" s="61">
        <f t="shared" si="582"/>
        <v>1</v>
      </c>
    </row>
    <row r="8135" spans="9:16">
      <c r="I8135" s="213"/>
      <c r="J8135" s="213"/>
      <c r="L8135" s="272">
        <f t="shared" si="579"/>
        <v>1900</v>
      </c>
      <c r="M8135" s="272">
        <f t="shared" si="580"/>
        <v>1</v>
      </c>
      <c r="O8135" s="61">
        <f t="shared" si="581"/>
        <v>1900</v>
      </c>
      <c r="P8135" s="61">
        <f t="shared" si="582"/>
        <v>1</v>
      </c>
    </row>
    <row r="8136" spans="9:16">
      <c r="I8136" s="213"/>
      <c r="J8136" s="213"/>
      <c r="L8136" s="272">
        <f t="shared" si="579"/>
        <v>1900</v>
      </c>
      <c r="M8136" s="272">
        <f t="shared" si="580"/>
        <v>1</v>
      </c>
      <c r="O8136" s="61">
        <f t="shared" si="581"/>
        <v>1900</v>
      </c>
      <c r="P8136" s="61">
        <f t="shared" si="582"/>
        <v>1</v>
      </c>
    </row>
    <row r="8137" spans="9:16">
      <c r="I8137" s="213"/>
      <c r="J8137" s="213"/>
      <c r="L8137" s="272">
        <f t="shared" si="579"/>
        <v>1900</v>
      </c>
      <c r="M8137" s="272">
        <f t="shared" si="580"/>
        <v>1</v>
      </c>
      <c r="O8137" s="61">
        <f t="shared" si="581"/>
        <v>1900</v>
      </c>
      <c r="P8137" s="61">
        <f t="shared" si="582"/>
        <v>1</v>
      </c>
    </row>
    <row r="8138" spans="9:16">
      <c r="I8138" s="213"/>
      <c r="J8138" s="213"/>
      <c r="L8138" s="272">
        <f t="shared" si="579"/>
        <v>1900</v>
      </c>
      <c r="M8138" s="272">
        <f t="shared" si="580"/>
        <v>1</v>
      </c>
      <c r="O8138" s="61">
        <f t="shared" si="581"/>
        <v>1900</v>
      </c>
      <c r="P8138" s="61">
        <f t="shared" si="582"/>
        <v>1</v>
      </c>
    </row>
    <row r="8139" spans="9:16">
      <c r="I8139" s="213"/>
      <c r="J8139" s="213"/>
      <c r="L8139" s="272">
        <f t="shared" si="579"/>
        <v>1900</v>
      </c>
      <c r="M8139" s="272">
        <f t="shared" si="580"/>
        <v>1</v>
      </c>
      <c r="O8139" s="61">
        <f t="shared" si="581"/>
        <v>1900</v>
      </c>
      <c r="P8139" s="61">
        <f t="shared" si="582"/>
        <v>1</v>
      </c>
    </row>
    <row r="8140" spans="9:16">
      <c r="I8140" s="213"/>
      <c r="J8140" s="213"/>
      <c r="L8140" s="272">
        <f t="shared" si="579"/>
        <v>1900</v>
      </c>
      <c r="M8140" s="272">
        <f t="shared" si="580"/>
        <v>1</v>
      </c>
      <c r="O8140" s="61">
        <f t="shared" si="581"/>
        <v>1900</v>
      </c>
      <c r="P8140" s="61">
        <f t="shared" si="582"/>
        <v>1</v>
      </c>
    </row>
    <row r="8141" spans="9:16">
      <c r="I8141" s="213"/>
      <c r="J8141" s="213"/>
      <c r="L8141" s="272">
        <f t="shared" si="579"/>
        <v>1900</v>
      </c>
      <c r="M8141" s="272">
        <f t="shared" si="580"/>
        <v>1</v>
      </c>
      <c r="O8141" s="61">
        <f t="shared" si="581"/>
        <v>1900</v>
      </c>
      <c r="P8141" s="61">
        <f t="shared" si="582"/>
        <v>1</v>
      </c>
    </row>
    <row r="8142" spans="9:16">
      <c r="I8142" s="213"/>
      <c r="J8142" s="213"/>
      <c r="L8142" s="272">
        <f t="shared" si="579"/>
        <v>1900</v>
      </c>
      <c r="M8142" s="272">
        <f t="shared" si="580"/>
        <v>1</v>
      </c>
      <c r="O8142" s="61">
        <f t="shared" si="581"/>
        <v>1900</v>
      </c>
      <c r="P8142" s="61">
        <f t="shared" si="582"/>
        <v>1</v>
      </c>
    </row>
    <row r="8143" spans="9:16">
      <c r="I8143" s="213"/>
      <c r="J8143" s="213"/>
      <c r="L8143" s="272">
        <f t="shared" si="579"/>
        <v>1900</v>
      </c>
      <c r="M8143" s="272">
        <f t="shared" si="580"/>
        <v>1</v>
      </c>
      <c r="O8143" s="61">
        <f t="shared" si="581"/>
        <v>1900</v>
      </c>
      <c r="P8143" s="61">
        <f t="shared" si="582"/>
        <v>1</v>
      </c>
    </row>
    <row r="8144" spans="9:16">
      <c r="I8144" s="213"/>
      <c r="J8144" s="213"/>
      <c r="L8144" s="272">
        <f t="shared" ref="L8144:L8207" si="583">YEAR(B8144)</f>
        <v>1900</v>
      </c>
      <c r="M8144" s="272">
        <f t="shared" ref="M8144:M8207" si="584">MONTH(B8144)</f>
        <v>1</v>
      </c>
      <c r="O8144" s="61">
        <f t="shared" ref="O8144:O8207" si="585">YEAR(B8144)</f>
        <v>1900</v>
      </c>
      <c r="P8144" s="61">
        <f t="shared" ref="P8144:P8207" si="586">MONTH(B8144)</f>
        <v>1</v>
      </c>
    </row>
    <row r="8145" spans="9:16">
      <c r="I8145" s="213"/>
      <c r="J8145" s="213"/>
      <c r="L8145" s="272">
        <f t="shared" si="583"/>
        <v>1900</v>
      </c>
      <c r="M8145" s="272">
        <f t="shared" si="584"/>
        <v>1</v>
      </c>
      <c r="O8145" s="61">
        <f t="shared" si="585"/>
        <v>1900</v>
      </c>
      <c r="P8145" s="61">
        <f t="shared" si="586"/>
        <v>1</v>
      </c>
    </row>
    <row r="8146" spans="9:16">
      <c r="I8146" s="213"/>
      <c r="J8146" s="213"/>
      <c r="L8146" s="272">
        <f t="shared" si="583"/>
        <v>1900</v>
      </c>
      <c r="M8146" s="272">
        <f t="shared" si="584"/>
        <v>1</v>
      </c>
      <c r="O8146" s="61">
        <f t="shared" si="585"/>
        <v>1900</v>
      </c>
      <c r="P8146" s="61">
        <f t="shared" si="586"/>
        <v>1</v>
      </c>
    </row>
    <row r="8147" spans="9:16">
      <c r="I8147" s="213"/>
      <c r="J8147" s="213"/>
      <c r="L8147" s="272">
        <f t="shared" si="583"/>
        <v>1900</v>
      </c>
      <c r="M8147" s="272">
        <f t="shared" si="584"/>
        <v>1</v>
      </c>
      <c r="O8147" s="61">
        <f t="shared" si="585"/>
        <v>1900</v>
      </c>
      <c r="P8147" s="61">
        <f t="shared" si="586"/>
        <v>1</v>
      </c>
    </row>
    <row r="8148" spans="9:16">
      <c r="I8148" s="213"/>
      <c r="J8148" s="213"/>
      <c r="L8148" s="272">
        <f t="shared" si="583"/>
        <v>1900</v>
      </c>
      <c r="M8148" s="272">
        <f t="shared" si="584"/>
        <v>1</v>
      </c>
      <c r="O8148" s="61">
        <f t="shared" si="585"/>
        <v>1900</v>
      </c>
      <c r="P8148" s="61">
        <f t="shared" si="586"/>
        <v>1</v>
      </c>
    </row>
    <row r="8149" spans="9:16">
      <c r="I8149" s="213"/>
      <c r="J8149" s="213"/>
      <c r="L8149" s="272">
        <f t="shared" si="583"/>
        <v>1900</v>
      </c>
      <c r="M8149" s="272">
        <f t="shared" si="584"/>
        <v>1</v>
      </c>
      <c r="O8149" s="61">
        <f t="shared" si="585"/>
        <v>1900</v>
      </c>
      <c r="P8149" s="61">
        <f t="shared" si="586"/>
        <v>1</v>
      </c>
    </row>
    <row r="8150" spans="9:16">
      <c r="I8150" s="213"/>
      <c r="J8150" s="213"/>
      <c r="L8150" s="272">
        <f t="shared" si="583"/>
        <v>1900</v>
      </c>
      <c r="M8150" s="272">
        <f t="shared" si="584"/>
        <v>1</v>
      </c>
      <c r="O8150" s="61">
        <f t="shared" si="585"/>
        <v>1900</v>
      </c>
      <c r="P8150" s="61">
        <f t="shared" si="586"/>
        <v>1</v>
      </c>
    </row>
    <row r="8151" spans="9:16">
      <c r="I8151" s="213"/>
      <c r="J8151" s="213"/>
      <c r="L8151" s="272">
        <f t="shared" si="583"/>
        <v>1900</v>
      </c>
      <c r="M8151" s="272">
        <f t="shared" si="584"/>
        <v>1</v>
      </c>
      <c r="O8151" s="61">
        <f t="shared" si="585"/>
        <v>1900</v>
      </c>
      <c r="P8151" s="61">
        <f t="shared" si="586"/>
        <v>1</v>
      </c>
    </row>
    <row r="8152" spans="9:16">
      <c r="I8152" s="213"/>
      <c r="J8152" s="213"/>
      <c r="L8152" s="272">
        <f t="shared" si="583"/>
        <v>1900</v>
      </c>
      <c r="M8152" s="272">
        <f t="shared" si="584"/>
        <v>1</v>
      </c>
      <c r="O8152" s="61">
        <f t="shared" si="585"/>
        <v>1900</v>
      </c>
      <c r="P8152" s="61">
        <f t="shared" si="586"/>
        <v>1</v>
      </c>
    </row>
    <row r="8153" spans="9:16">
      <c r="I8153" s="213"/>
      <c r="J8153" s="213"/>
      <c r="L8153" s="272">
        <f t="shared" si="583"/>
        <v>1900</v>
      </c>
      <c r="M8153" s="272">
        <f t="shared" si="584"/>
        <v>1</v>
      </c>
      <c r="O8153" s="61">
        <f t="shared" si="585"/>
        <v>1900</v>
      </c>
      <c r="P8153" s="61">
        <f t="shared" si="586"/>
        <v>1</v>
      </c>
    </row>
    <row r="8154" spans="9:16">
      <c r="I8154" s="213"/>
      <c r="J8154" s="213"/>
      <c r="L8154" s="272">
        <f t="shared" si="583"/>
        <v>1900</v>
      </c>
      <c r="M8154" s="272">
        <f t="shared" si="584"/>
        <v>1</v>
      </c>
      <c r="O8154" s="61">
        <f t="shared" si="585"/>
        <v>1900</v>
      </c>
      <c r="P8154" s="61">
        <f t="shared" si="586"/>
        <v>1</v>
      </c>
    </row>
    <row r="8155" spans="9:16">
      <c r="I8155" s="213"/>
      <c r="J8155" s="213"/>
      <c r="L8155" s="272">
        <f t="shared" si="583"/>
        <v>1900</v>
      </c>
      <c r="M8155" s="272">
        <f t="shared" si="584"/>
        <v>1</v>
      </c>
      <c r="O8155" s="61">
        <f t="shared" si="585"/>
        <v>1900</v>
      </c>
      <c r="P8155" s="61">
        <f t="shared" si="586"/>
        <v>1</v>
      </c>
    </row>
    <row r="8156" spans="9:16">
      <c r="I8156" s="213"/>
      <c r="J8156" s="213"/>
      <c r="L8156" s="272">
        <f t="shared" si="583"/>
        <v>1900</v>
      </c>
      <c r="M8156" s="272">
        <f t="shared" si="584"/>
        <v>1</v>
      </c>
      <c r="O8156" s="61">
        <f t="shared" si="585"/>
        <v>1900</v>
      </c>
      <c r="P8156" s="61">
        <f t="shared" si="586"/>
        <v>1</v>
      </c>
    </row>
    <row r="8157" spans="9:16">
      <c r="I8157" s="213"/>
      <c r="J8157" s="213"/>
      <c r="L8157" s="272">
        <f t="shared" si="583"/>
        <v>1900</v>
      </c>
      <c r="M8157" s="272">
        <f t="shared" si="584"/>
        <v>1</v>
      </c>
      <c r="O8157" s="61">
        <f t="shared" si="585"/>
        <v>1900</v>
      </c>
      <c r="P8157" s="61">
        <f t="shared" si="586"/>
        <v>1</v>
      </c>
    </row>
    <row r="8158" spans="9:16">
      <c r="I8158" s="213"/>
      <c r="J8158" s="213"/>
      <c r="L8158" s="272">
        <f t="shared" si="583"/>
        <v>1900</v>
      </c>
      <c r="M8158" s="272">
        <f t="shared" si="584"/>
        <v>1</v>
      </c>
      <c r="O8158" s="61">
        <f t="shared" si="585"/>
        <v>1900</v>
      </c>
      <c r="P8158" s="61">
        <f t="shared" si="586"/>
        <v>1</v>
      </c>
    </row>
    <row r="8159" spans="9:16">
      <c r="I8159" s="213"/>
      <c r="J8159" s="213"/>
      <c r="L8159" s="272">
        <f t="shared" si="583"/>
        <v>1900</v>
      </c>
      <c r="M8159" s="272">
        <f t="shared" si="584"/>
        <v>1</v>
      </c>
      <c r="O8159" s="61">
        <f t="shared" si="585"/>
        <v>1900</v>
      </c>
      <c r="P8159" s="61">
        <f t="shared" si="586"/>
        <v>1</v>
      </c>
    </row>
    <row r="8160" spans="9:16">
      <c r="I8160" s="213"/>
      <c r="J8160" s="213"/>
      <c r="L8160" s="272">
        <f t="shared" si="583"/>
        <v>1900</v>
      </c>
      <c r="M8160" s="272">
        <f t="shared" si="584"/>
        <v>1</v>
      </c>
      <c r="O8160" s="61">
        <f t="shared" si="585"/>
        <v>1900</v>
      </c>
      <c r="P8160" s="61">
        <f t="shared" si="586"/>
        <v>1</v>
      </c>
    </row>
    <row r="8161" spans="9:16">
      <c r="I8161" s="213"/>
      <c r="J8161" s="213"/>
      <c r="L8161" s="272">
        <f t="shared" si="583"/>
        <v>1900</v>
      </c>
      <c r="M8161" s="272">
        <f t="shared" si="584"/>
        <v>1</v>
      </c>
      <c r="O8161" s="61">
        <f t="shared" si="585"/>
        <v>1900</v>
      </c>
      <c r="P8161" s="61">
        <f t="shared" si="586"/>
        <v>1</v>
      </c>
    </row>
    <row r="8162" spans="9:16">
      <c r="I8162" s="213"/>
      <c r="J8162" s="213"/>
      <c r="L8162" s="272">
        <f t="shared" si="583"/>
        <v>1900</v>
      </c>
      <c r="M8162" s="272">
        <f t="shared" si="584"/>
        <v>1</v>
      </c>
      <c r="O8162" s="61">
        <f t="shared" si="585"/>
        <v>1900</v>
      </c>
      <c r="P8162" s="61">
        <f t="shared" si="586"/>
        <v>1</v>
      </c>
    </row>
    <row r="8163" spans="9:16">
      <c r="I8163" s="213"/>
      <c r="J8163" s="213"/>
      <c r="L8163" s="272">
        <f t="shared" si="583"/>
        <v>1900</v>
      </c>
      <c r="M8163" s="272">
        <f t="shared" si="584"/>
        <v>1</v>
      </c>
      <c r="O8163" s="61">
        <f t="shared" si="585"/>
        <v>1900</v>
      </c>
      <c r="P8163" s="61">
        <f t="shared" si="586"/>
        <v>1</v>
      </c>
    </row>
    <row r="8164" spans="9:16">
      <c r="I8164" s="213"/>
      <c r="J8164" s="213"/>
      <c r="L8164" s="272">
        <f t="shared" si="583"/>
        <v>1900</v>
      </c>
      <c r="M8164" s="272">
        <f t="shared" si="584"/>
        <v>1</v>
      </c>
      <c r="O8164" s="61">
        <f t="shared" si="585"/>
        <v>1900</v>
      </c>
      <c r="P8164" s="61">
        <f t="shared" si="586"/>
        <v>1</v>
      </c>
    </row>
    <row r="8165" spans="9:16">
      <c r="I8165" s="213"/>
      <c r="J8165" s="213"/>
      <c r="L8165" s="272">
        <f t="shared" si="583"/>
        <v>1900</v>
      </c>
      <c r="M8165" s="272">
        <f t="shared" si="584"/>
        <v>1</v>
      </c>
      <c r="O8165" s="61">
        <f t="shared" si="585"/>
        <v>1900</v>
      </c>
      <c r="P8165" s="61">
        <f t="shared" si="586"/>
        <v>1</v>
      </c>
    </row>
    <row r="8166" spans="9:16">
      <c r="I8166" s="213"/>
      <c r="J8166" s="213"/>
      <c r="L8166" s="272">
        <f t="shared" si="583"/>
        <v>1900</v>
      </c>
      <c r="M8166" s="272">
        <f t="shared" si="584"/>
        <v>1</v>
      </c>
      <c r="O8166" s="61">
        <f t="shared" si="585"/>
        <v>1900</v>
      </c>
      <c r="P8166" s="61">
        <f t="shared" si="586"/>
        <v>1</v>
      </c>
    </row>
    <row r="8167" spans="9:16">
      <c r="I8167" s="213"/>
      <c r="J8167" s="213"/>
      <c r="L8167" s="272">
        <f t="shared" si="583"/>
        <v>1900</v>
      </c>
      <c r="M8167" s="272">
        <f t="shared" si="584"/>
        <v>1</v>
      </c>
      <c r="O8167" s="61">
        <f t="shared" si="585"/>
        <v>1900</v>
      </c>
      <c r="P8167" s="61">
        <f t="shared" si="586"/>
        <v>1</v>
      </c>
    </row>
    <row r="8168" spans="9:16">
      <c r="I8168" s="213"/>
      <c r="J8168" s="213"/>
      <c r="L8168" s="272">
        <f t="shared" si="583"/>
        <v>1900</v>
      </c>
      <c r="M8168" s="272">
        <f t="shared" si="584"/>
        <v>1</v>
      </c>
      <c r="O8168" s="61">
        <f t="shared" si="585"/>
        <v>1900</v>
      </c>
      <c r="P8168" s="61">
        <f t="shared" si="586"/>
        <v>1</v>
      </c>
    </row>
    <row r="8169" spans="9:16">
      <c r="I8169" s="213"/>
      <c r="J8169" s="213"/>
      <c r="L8169" s="272">
        <f t="shared" si="583"/>
        <v>1900</v>
      </c>
      <c r="M8169" s="272">
        <f t="shared" si="584"/>
        <v>1</v>
      </c>
      <c r="O8169" s="61">
        <f t="shared" si="585"/>
        <v>1900</v>
      </c>
      <c r="P8169" s="61">
        <f t="shared" si="586"/>
        <v>1</v>
      </c>
    </row>
    <row r="8170" spans="9:16">
      <c r="I8170" s="213"/>
      <c r="J8170" s="213"/>
      <c r="L8170" s="272">
        <f t="shared" si="583"/>
        <v>1900</v>
      </c>
      <c r="M8170" s="272">
        <f t="shared" si="584"/>
        <v>1</v>
      </c>
      <c r="O8170" s="61">
        <f t="shared" si="585"/>
        <v>1900</v>
      </c>
      <c r="P8170" s="61">
        <f t="shared" si="586"/>
        <v>1</v>
      </c>
    </row>
    <row r="8171" spans="9:16">
      <c r="I8171" s="213"/>
      <c r="J8171" s="213"/>
      <c r="L8171" s="272">
        <f t="shared" si="583"/>
        <v>1900</v>
      </c>
      <c r="M8171" s="272">
        <f t="shared" si="584"/>
        <v>1</v>
      </c>
      <c r="O8171" s="61">
        <f t="shared" si="585"/>
        <v>1900</v>
      </c>
      <c r="P8171" s="61">
        <f t="shared" si="586"/>
        <v>1</v>
      </c>
    </row>
    <row r="8172" spans="9:16">
      <c r="I8172" s="213"/>
      <c r="J8172" s="213"/>
      <c r="L8172" s="272">
        <f t="shared" si="583"/>
        <v>1900</v>
      </c>
      <c r="M8172" s="272">
        <f t="shared" si="584"/>
        <v>1</v>
      </c>
      <c r="O8172" s="61">
        <f t="shared" si="585"/>
        <v>1900</v>
      </c>
      <c r="P8172" s="61">
        <f t="shared" si="586"/>
        <v>1</v>
      </c>
    </row>
    <row r="8173" spans="9:16">
      <c r="I8173" s="213"/>
      <c r="J8173" s="213"/>
      <c r="L8173" s="272">
        <f t="shared" si="583"/>
        <v>1900</v>
      </c>
      <c r="M8173" s="272">
        <f t="shared" si="584"/>
        <v>1</v>
      </c>
      <c r="O8173" s="61">
        <f t="shared" si="585"/>
        <v>1900</v>
      </c>
      <c r="P8173" s="61">
        <f t="shared" si="586"/>
        <v>1</v>
      </c>
    </row>
    <row r="8174" spans="9:16">
      <c r="I8174" s="213"/>
      <c r="J8174" s="213"/>
      <c r="L8174" s="272">
        <f t="shared" si="583"/>
        <v>1900</v>
      </c>
      <c r="M8174" s="272">
        <f t="shared" si="584"/>
        <v>1</v>
      </c>
      <c r="O8174" s="61">
        <f t="shared" si="585"/>
        <v>1900</v>
      </c>
      <c r="P8174" s="61">
        <f t="shared" si="586"/>
        <v>1</v>
      </c>
    </row>
    <row r="8175" spans="9:16">
      <c r="I8175" s="213"/>
      <c r="J8175" s="213"/>
      <c r="L8175" s="272">
        <f t="shared" si="583"/>
        <v>1900</v>
      </c>
      <c r="M8175" s="272">
        <f t="shared" si="584"/>
        <v>1</v>
      </c>
      <c r="O8175" s="61">
        <f t="shared" si="585"/>
        <v>1900</v>
      </c>
      <c r="P8175" s="61">
        <f t="shared" si="586"/>
        <v>1</v>
      </c>
    </row>
    <row r="8176" spans="9:16">
      <c r="I8176" s="213"/>
      <c r="J8176" s="213"/>
      <c r="L8176" s="272">
        <f t="shared" si="583"/>
        <v>1900</v>
      </c>
      <c r="M8176" s="272">
        <f t="shared" si="584"/>
        <v>1</v>
      </c>
      <c r="O8176" s="61">
        <f t="shared" si="585"/>
        <v>1900</v>
      </c>
      <c r="P8176" s="61">
        <f t="shared" si="586"/>
        <v>1</v>
      </c>
    </row>
    <row r="8177" spans="9:16">
      <c r="I8177" s="213"/>
      <c r="J8177" s="213"/>
      <c r="L8177" s="272">
        <f t="shared" si="583"/>
        <v>1900</v>
      </c>
      <c r="M8177" s="272">
        <f t="shared" si="584"/>
        <v>1</v>
      </c>
      <c r="O8177" s="61">
        <f t="shared" si="585"/>
        <v>1900</v>
      </c>
      <c r="P8177" s="61">
        <f t="shared" si="586"/>
        <v>1</v>
      </c>
    </row>
    <row r="8178" spans="9:16">
      <c r="I8178" s="213"/>
      <c r="J8178" s="213"/>
      <c r="L8178" s="272">
        <f t="shared" si="583"/>
        <v>1900</v>
      </c>
      <c r="M8178" s="272">
        <f t="shared" si="584"/>
        <v>1</v>
      </c>
      <c r="O8178" s="61">
        <f t="shared" si="585"/>
        <v>1900</v>
      </c>
      <c r="P8178" s="61">
        <f t="shared" si="586"/>
        <v>1</v>
      </c>
    </row>
    <row r="8179" spans="9:16">
      <c r="I8179" s="213"/>
      <c r="J8179" s="213"/>
      <c r="L8179" s="272">
        <f t="shared" si="583"/>
        <v>1900</v>
      </c>
      <c r="M8179" s="272">
        <f t="shared" si="584"/>
        <v>1</v>
      </c>
      <c r="O8179" s="61">
        <f t="shared" si="585"/>
        <v>1900</v>
      </c>
      <c r="P8179" s="61">
        <f t="shared" si="586"/>
        <v>1</v>
      </c>
    </row>
    <row r="8180" spans="9:16">
      <c r="I8180" s="213"/>
      <c r="J8180" s="213"/>
      <c r="L8180" s="272">
        <f t="shared" si="583"/>
        <v>1900</v>
      </c>
      <c r="M8180" s="272">
        <f t="shared" si="584"/>
        <v>1</v>
      </c>
      <c r="O8180" s="61">
        <f t="shared" si="585"/>
        <v>1900</v>
      </c>
      <c r="P8180" s="61">
        <f t="shared" si="586"/>
        <v>1</v>
      </c>
    </row>
    <row r="8181" spans="9:16">
      <c r="I8181" s="213"/>
      <c r="J8181" s="213"/>
      <c r="L8181" s="272">
        <f t="shared" si="583"/>
        <v>1900</v>
      </c>
      <c r="M8181" s="272">
        <f t="shared" si="584"/>
        <v>1</v>
      </c>
      <c r="O8181" s="61">
        <f t="shared" si="585"/>
        <v>1900</v>
      </c>
      <c r="P8181" s="61">
        <f t="shared" si="586"/>
        <v>1</v>
      </c>
    </row>
    <row r="8182" spans="9:16">
      <c r="I8182" s="213"/>
      <c r="J8182" s="213"/>
      <c r="L8182" s="272">
        <f t="shared" si="583"/>
        <v>1900</v>
      </c>
      <c r="M8182" s="272">
        <f t="shared" si="584"/>
        <v>1</v>
      </c>
      <c r="O8182" s="61">
        <f t="shared" si="585"/>
        <v>1900</v>
      </c>
      <c r="P8182" s="61">
        <f t="shared" si="586"/>
        <v>1</v>
      </c>
    </row>
    <row r="8183" spans="9:16">
      <c r="I8183" s="213"/>
      <c r="J8183" s="213"/>
      <c r="L8183" s="272">
        <f t="shared" si="583"/>
        <v>1900</v>
      </c>
      <c r="M8183" s="272">
        <f t="shared" si="584"/>
        <v>1</v>
      </c>
      <c r="O8183" s="61">
        <f t="shared" si="585"/>
        <v>1900</v>
      </c>
      <c r="P8183" s="61">
        <f t="shared" si="586"/>
        <v>1</v>
      </c>
    </row>
    <row r="8184" spans="9:16">
      <c r="I8184" s="213"/>
      <c r="J8184" s="213"/>
      <c r="L8184" s="272">
        <f t="shared" si="583"/>
        <v>1900</v>
      </c>
      <c r="M8184" s="272">
        <f t="shared" si="584"/>
        <v>1</v>
      </c>
      <c r="O8184" s="61">
        <f t="shared" si="585"/>
        <v>1900</v>
      </c>
      <c r="P8184" s="61">
        <f t="shared" si="586"/>
        <v>1</v>
      </c>
    </row>
    <row r="8185" spans="9:16">
      <c r="I8185" s="213"/>
      <c r="J8185" s="213"/>
      <c r="L8185" s="272">
        <f t="shared" si="583"/>
        <v>1900</v>
      </c>
      <c r="M8185" s="272">
        <f t="shared" si="584"/>
        <v>1</v>
      </c>
      <c r="O8185" s="61">
        <f t="shared" si="585"/>
        <v>1900</v>
      </c>
      <c r="P8185" s="61">
        <f t="shared" si="586"/>
        <v>1</v>
      </c>
    </row>
    <row r="8186" spans="9:16">
      <c r="I8186" s="213"/>
      <c r="J8186" s="213"/>
      <c r="L8186" s="272">
        <f t="shared" si="583"/>
        <v>1900</v>
      </c>
      <c r="M8186" s="272">
        <f t="shared" si="584"/>
        <v>1</v>
      </c>
      <c r="O8186" s="61">
        <f t="shared" si="585"/>
        <v>1900</v>
      </c>
      <c r="P8186" s="61">
        <f t="shared" si="586"/>
        <v>1</v>
      </c>
    </row>
    <row r="8187" spans="9:16">
      <c r="I8187" s="213"/>
      <c r="J8187" s="213"/>
      <c r="L8187" s="272">
        <f t="shared" si="583"/>
        <v>1900</v>
      </c>
      <c r="M8187" s="272">
        <f t="shared" si="584"/>
        <v>1</v>
      </c>
      <c r="O8187" s="61">
        <f t="shared" si="585"/>
        <v>1900</v>
      </c>
      <c r="P8187" s="61">
        <f t="shared" si="586"/>
        <v>1</v>
      </c>
    </row>
    <row r="8188" spans="9:16">
      <c r="I8188" s="213"/>
      <c r="J8188" s="213"/>
      <c r="L8188" s="272">
        <f t="shared" si="583"/>
        <v>1900</v>
      </c>
      <c r="M8188" s="272">
        <f t="shared" si="584"/>
        <v>1</v>
      </c>
      <c r="O8188" s="61">
        <f t="shared" si="585"/>
        <v>1900</v>
      </c>
      <c r="P8188" s="61">
        <f t="shared" si="586"/>
        <v>1</v>
      </c>
    </row>
    <row r="8189" spans="9:16">
      <c r="I8189" s="213"/>
      <c r="J8189" s="213"/>
      <c r="L8189" s="272">
        <f t="shared" si="583"/>
        <v>1900</v>
      </c>
      <c r="M8189" s="272">
        <f t="shared" si="584"/>
        <v>1</v>
      </c>
      <c r="O8189" s="61">
        <f t="shared" si="585"/>
        <v>1900</v>
      </c>
      <c r="P8189" s="61">
        <f t="shared" si="586"/>
        <v>1</v>
      </c>
    </row>
    <row r="8190" spans="9:16">
      <c r="I8190" s="213"/>
      <c r="J8190" s="213"/>
      <c r="L8190" s="272">
        <f t="shared" si="583"/>
        <v>1900</v>
      </c>
      <c r="M8190" s="272">
        <f t="shared" si="584"/>
        <v>1</v>
      </c>
      <c r="O8190" s="61">
        <f t="shared" si="585"/>
        <v>1900</v>
      </c>
      <c r="P8190" s="61">
        <f t="shared" si="586"/>
        <v>1</v>
      </c>
    </row>
    <row r="8191" spans="9:16">
      <c r="I8191" s="213"/>
      <c r="J8191" s="213"/>
      <c r="L8191" s="272">
        <f t="shared" si="583"/>
        <v>1900</v>
      </c>
      <c r="M8191" s="272">
        <f t="shared" si="584"/>
        <v>1</v>
      </c>
      <c r="O8191" s="61">
        <f t="shared" si="585"/>
        <v>1900</v>
      </c>
      <c r="P8191" s="61">
        <f t="shared" si="586"/>
        <v>1</v>
      </c>
    </row>
    <row r="8192" spans="9:16">
      <c r="I8192" s="213"/>
      <c r="J8192" s="213"/>
      <c r="L8192" s="272">
        <f t="shared" si="583"/>
        <v>1900</v>
      </c>
      <c r="M8192" s="272">
        <f t="shared" si="584"/>
        <v>1</v>
      </c>
      <c r="O8192" s="61">
        <f t="shared" si="585"/>
        <v>1900</v>
      </c>
      <c r="P8192" s="61">
        <f t="shared" si="586"/>
        <v>1</v>
      </c>
    </row>
    <row r="8193" spans="9:16">
      <c r="I8193" s="213"/>
      <c r="J8193" s="213"/>
      <c r="L8193" s="272">
        <f t="shared" si="583"/>
        <v>1900</v>
      </c>
      <c r="M8193" s="272">
        <f t="shared" si="584"/>
        <v>1</v>
      </c>
      <c r="O8193" s="61">
        <f t="shared" si="585"/>
        <v>1900</v>
      </c>
      <c r="P8193" s="61">
        <f t="shared" si="586"/>
        <v>1</v>
      </c>
    </row>
    <row r="8194" spans="9:16">
      <c r="I8194" s="213"/>
      <c r="J8194" s="213"/>
      <c r="L8194" s="272">
        <f t="shared" si="583"/>
        <v>1900</v>
      </c>
      <c r="M8194" s="272">
        <f t="shared" si="584"/>
        <v>1</v>
      </c>
      <c r="O8194" s="61">
        <f t="shared" si="585"/>
        <v>1900</v>
      </c>
      <c r="P8194" s="61">
        <f t="shared" si="586"/>
        <v>1</v>
      </c>
    </row>
    <row r="8195" spans="9:16">
      <c r="I8195" s="213"/>
      <c r="J8195" s="213"/>
      <c r="L8195" s="272">
        <f t="shared" si="583"/>
        <v>1900</v>
      </c>
      <c r="M8195" s="272">
        <f t="shared" si="584"/>
        <v>1</v>
      </c>
      <c r="O8195" s="61">
        <f t="shared" si="585"/>
        <v>1900</v>
      </c>
      <c r="P8195" s="61">
        <f t="shared" si="586"/>
        <v>1</v>
      </c>
    </row>
    <row r="8196" spans="9:16">
      <c r="I8196" s="213"/>
      <c r="J8196" s="213"/>
      <c r="L8196" s="272">
        <f t="shared" si="583"/>
        <v>1900</v>
      </c>
      <c r="M8196" s="272">
        <f t="shared" si="584"/>
        <v>1</v>
      </c>
      <c r="O8196" s="61">
        <f t="shared" si="585"/>
        <v>1900</v>
      </c>
      <c r="P8196" s="61">
        <f t="shared" si="586"/>
        <v>1</v>
      </c>
    </row>
    <row r="8197" spans="9:16">
      <c r="I8197" s="213"/>
      <c r="J8197" s="213"/>
      <c r="L8197" s="272">
        <f t="shared" si="583"/>
        <v>1900</v>
      </c>
      <c r="M8197" s="272">
        <f t="shared" si="584"/>
        <v>1</v>
      </c>
      <c r="O8197" s="61">
        <f t="shared" si="585"/>
        <v>1900</v>
      </c>
      <c r="P8197" s="61">
        <f t="shared" si="586"/>
        <v>1</v>
      </c>
    </row>
    <row r="8198" spans="9:16">
      <c r="I8198" s="213"/>
      <c r="J8198" s="213"/>
      <c r="L8198" s="272">
        <f t="shared" si="583"/>
        <v>1900</v>
      </c>
      <c r="M8198" s="272">
        <f t="shared" si="584"/>
        <v>1</v>
      </c>
      <c r="O8198" s="61">
        <f t="shared" si="585"/>
        <v>1900</v>
      </c>
      <c r="P8198" s="61">
        <f t="shared" si="586"/>
        <v>1</v>
      </c>
    </row>
    <row r="8199" spans="9:16">
      <c r="I8199" s="213"/>
      <c r="J8199" s="213"/>
      <c r="L8199" s="272">
        <f t="shared" si="583"/>
        <v>1900</v>
      </c>
      <c r="M8199" s="272">
        <f t="shared" si="584"/>
        <v>1</v>
      </c>
      <c r="O8199" s="61">
        <f t="shared" si="585"/>
        <v>1900</v>
      </c>
      <c r="P8199" s="61">
        <f t="shared" si="586"/>
        <v>1</v>
      </c>
    </row>
    <row r="8200" spans="9:16">
      <c r="I8200" s="213"/>
      <c r="J8200" s="213"/>
      <c r="L8200" s="272">
        <f t="shared" si="583"/>
        <v>1900</v>
      </c>
      <c r="M8200" s="272">
        <f t="shared" si="584"/>
        <v>1</v>
      </c>
      <c r="O8200" s="61">
        <f t="shared" si="585"/>
        <v>1900</v>
      </c>
      <c r="P8200" s="61">
        <f t="shared" si="586"/>
        <v>1</v>
      </c>
    </row>
    <row r="8201" spans="9:16">
      <c r="I8201" s="213"/>
      <c r="J8201" s="213"/>
      <c r="L8201" s="272">
        <f t="shared" si="583"/>
        <v>1900</v>
      </c>
      <c r="M8201" s="272">
        <f t="shared" si="584"/>
        <v>1</v>
      </c>
      <c r="O8201" s="61">
        <f t="shared" si="585"/>
        <v>1900</v>
      </c>
      <c r="P8201" s="61">
        <f t="shared" si="586"/>
        <v>1</v>
      </c>
    </row>
    <row r="8202" spans="9:16">
      <c r="I8202" s="213"/>
      <c r="J8202" s="213"/>
      <c r="L8202" s="272">
        <f t="shared" si="583"/>
        <v>1900</v>
      </c>
      <c r="M8202" s="272">
        <f t="shared" si="584"/>
        <v>1</v>
      </c>
      <c r="O8202" s="61">
        <f t="shared" si="585"/>
        <v>1900</v>
      </c>
      <c r="P8202" s="61">
        <f t="shared" si="586"/>
        <v>1</v>
      </c>
    </row>
    <row r="8203" spans="9:16">
      <c r="I8203" s="213"/>
      <c r="J8203" s="213"/>
      <c r="L8203" s="272">
        <f t="shared" si="583"/>
        <v>1900</v>
      </c>
      <c r="M8203" s="272">
        <f t="shared" si="584"/>
        <v>1</v>
      </c>
      <c r="O8203" s="61">
        <f t="shared" si="585"/>
        <v>1900</v>
      </c>
      <c r="P8203" s="61">
        <f t="shared" si="586"/>
        <v>1</v>
      </c>
    </row>
    <row r="8204" spans="9:16">
      <c r="I8204" s="213"/>
      <c r="J8204" s="213"/>
      <c r="L8204" s="272">
        <f t="shared" si="583"/>
        <v>1900</v>
      </c>
      <c r="M8204" s="272">
        <f t="shared" si="584"/>
        <v>1</v>
      </c>
      <c r="O8204" s="61">
        <f t="shared" si="585"/>
        <v>1900</v>
      </c>
      <c r="P8204" s="61">
        <f t="shared" si="586"/>
        <v>1</v>
      </c>
    </row>
    <row r="8205" spans="9:16">
      <c r="I8205" s="213"/>
      <c r="J8205" s="213"/>
      <c r="L8205" s="272">
        <f t="shared" si="583"/>
        <v>1900</v>
      </c>
      <c r="M8205" s="272">
        <f t="shared" si="584"/>
        <v>1</v>
      </c>
      <c r="O8205" s="61">
        <f t="shared" si="585"/>
        <v>1900</v>
      </c>
      <c r="P8205" s="61">
        <f t="shared" si="586"/>
        <v>1</v>
      </c>
    </row>
    <row r="8206" spans="9:16">
      <c r="I8206" s="213"/>
      <c r="J8206" s="213"/>
      <c r="L8206" s="272">
        <f t="shared" si="583"/>
        <v>1900</v>
      </c>
      <c r="M8206" s="272">
        <f t="shared" si="584"/>
        <v>1</v>
      </c>
      <c r="O8206" s="61">
        <f t="shared" si="585"/>
        <v>1900</v>
      </c>
      <c r="P8206" s="61">
        <f t="shared" si="586"/>
        <v>1</v>
      </c>
    </row>
    <row r="8207" spans="9:16">
      <c r="I8207" s="213"/>
      <c r="J8207" s="213"/>
      <c r="L8207" s="272">
        <f t="shared" si="583"/>
        <v>1900</v>
      </c>
      <c r="M8207" s="272">
        <f t="shared" si="584"/>
        <v>1</v>
      </c>
      <c r="O8207" s="61">
        <f t="shared" si="585"/>
        <v>1900</v>
      </c>
      <c r="P8207" s="61">
        <f t="shared" si="586"/>
        <v>1</v>
      </c>
    </row>
    <row r="8208" spans="9:16">
      <c r="I8208" s="213"/>
      <c r="J8208" s="213"/>
      <c r="L8208" s="272">
        <f t="shared" ref="L8208:L8271" si="587">YEAR(B8208)</f>
        <v>1900</v>
      </c>
      <c r="M8208" s="272">
        <f t="shared" ref="M8208:M8271" si="588">MONTH(B8208)</f>
        <v>1</v>
      </c>
      <c r="O8208" s="61">
        <f t="shared" ref="O8208:O8271" si="589">YEAR(B8208)</f>
        <v>1900</v>
      </c>
      <c r="P8208" s="61">
        <f t="shared" ref="P8208:P8271" si="590">MONTH(B8208)</f>
        <v>1</v>
      </c>
    </row>
    <row r="8209" spans="9:16">
      <c r="I8209" s="213"/>
      <c r="J8209" s="213"/>
      <c r="L8209" s="272">
        <f t="shared" si="587"/>
        <v>1900</v>
      </c>
      <c r="M8209" s="272">
        <f t="shared" si="588"/>
        <v>1</v>
      </c>
      <c r="O8209" s="61">
        <f t="shared" si="589"/>
        <v>1900</v>
      </c>
      <c r="P8209" s="61">
        <f t="shared" si="590"/>
        <v>1</v>
      </c>
    </row>
    <row r="8210" spans="9:16">
      <c r="I8210" s="213"/>
      <c r="J8210" s="213"/>
      <c r="L8210" s="272">
        <f t="shared" si="587"/>
        <v>1900</v>
      </c>
      <c r="M8210" s="272">
        <f t="shared" si="588"/>
        <v>1</v>
      </c>
      <c r="O8210" s="61">
        <f t="shared" si="589"/>
        <v>1900</v>
      </c>
      <c r="P8210" s="61">
        <f t="shared" si="590"/>
        <v>1</v>
      </c>
    </row>
    <row r="8211" spans="9:16">
      <c r="I8211" s="213"/>
      <c r="J8211" s="213"/>
      <c r="L8211" s="272">
        <f t="shared" si="587"/>
        <v>1900</v>
      </c>
      <c r="M8211" s="272">
        <f t="shared" si="588"/>
        <v>1</v>
      </c>
      <c r="O8211" s="61">
        <f t="shared" si="589"/>
        <v>1900</v>
      </c>
      <c r="P8211" s="61">
        <f t="shared" si="590"/>
        <v>1</v>
      </c>
    </row>
    <row r="8212" spans="9:16">
      <c r="I8212" s="213"/>
      <c r="J8212" s="213"/>
      <c r="L8212" s="272">
        <f t="shared" si="587"/>
        <v>1900</v>
      </c>
      <c r="M8212" s="272">
        <f t="shared" si="588"/>
        <v>1</v>
      </c>
      <c r="O8212" s="61">
        <f t="shared" si="589"/>
        <v>1900</v>
      </c>
      <c r="P8212" s="61">
        <f t="shared" si="590"/>
        <v>1</v>
      </c>
    </row>
    <row r="8213" spans="9:16">
      <c r="I8213" s="213"/>
      <c r="J8213" s="213"/>
      <c r="L8213" s="272">
        <f t="shared" si="587"/>
        <v>1900</v>
      </c>
      <c r="M8213" s="272">
        <f t="shared" si="588"/>
        <v>1</v>
      </c>
      <c r="O8213" s="61">
        <f t="shared" si="589"/>
        <v>1900</v>
      </c>
      <c r="P8213" s="61">
        <f t="shared" si="590"/>
        <v>1</v>
      </c>
    </row>
    <row r="8214" spans="9:16">
      <c r="I8214" s="213"/>
      <c r="J8214" s="213"/>
      <c r="L8214" s="272">
        <f t="shared" si="587"/>
        <v>1900</v>
      </c>
      <c r="M8214" s="272">
        <f t="shared" si="588"/>
        <v>1</v>
      </c>
      <c r="O8214" s="61">
        <f t="shared" si="589"/>
        <v>1900</v>
      </c>
      <c r="P8214" s="61">
        <f t="shared" si="590"/>
        <v>1</v>
      </c>
    </row>
    <row r="8215" spans="9:16">
      <c r="I8215" s="213"/>
      <c r="J8215" s="213"/>
      <c r="L8215" s="272">
        <f t="shared" si="587"/>
        <v>1900</v>
      </c>
      <c r="M8215" s="272">
        <f t="shared" si="588"/>
        <v>1</v>
      </c>
      <c r="O8215" s="61">
        <f t="shared" si="589"/>
        <v>1900</v>
      </c>
      <c r="P8215" s="61">
        <f t="shared" si="590"/>
        <v>1</v>
      </c>
    </row>
    <row r="8216" spans="9:16">
      <c r="I8216" s="213"/>
      <c r="J8216" s="213"/>
      <c r="L8216" s="272">
        <f t="shared" si="587"/>
        <v>1900</v>
      </c>
      <c r="M8216" s="272">
        <f t="shared" si="588"/>
        <v>1</v>
      </c>
      <c r="O8216" s="61">
        <f t="shared" si="589"/>
        <v>1900</v>
      </c>
      <c r="P8216" s="61">
        <f t="shared" si="590"/>
        <v>1</v>
      </c>
    </row>
    <row r="8217" spans="9:16">
      <c r="I8217" s="213"/>
      <c r="J8217" s="213"/>
      <c r="L8217" s="272">
        <f t="shared" si="587"/>
        <v>1900</v>
      </c>
      <c r="M8217" s="272">
        <f t="shared" si="588"/>
        <v>1</v>
      </c>
      <c r="O8217" s="61">
        <f t="shared" si="589"/>
        <v>1900</v>
      </c>
      <c r="P8217" s="61">
        <f t="shared" si="590"/>
        <v>1</v>
      </c>
    </row>
    <row r="8218" spans="9:16">
      <c r="I8218" s="213"/>
      <c r="J8218" s="213"/>
      <c r="L8218" s="272">
        <f t="shared" si="587"/>
        <v>1900</v>
      </c>
      <c r="M8218" s="272">
        <f t="shared" si="588"/>
        <v>1</v>
      </c>
      <c r="O8218" s="61">
        <f t="shared" si="589"/>
        <v>1900</v>
      </c>
      <c r="P8218" s="61">
        <f t="shared" si="590"/>
        <v>1</v>
      </c>
    </row>
    <row r="8219" spans="9:16">
      <c r="I8219" s="213"/>
      <c r="J8219" s="213"/>
      <c r="L8219" s="272">
        <f t="shared" si="587"/>
        <v>1900</v>
      </c>
      <c r="M8219" s="272">
        <f t="shared" si="588"/>
        <v>1</v>
      </c>
      <c r="O8219" s="61">
        <f t="shared" si="589"/>
        <v>1900</v>
      </c>
      <c r="P8219" s="61">
        <f t="shared" si="590"/>
        <v>1</v>
      </c>
    </row>
    <row r="8220" spans="9:16">
      <c r="I8220" s="213"/>
      <c r="J8220" s="213"/>
      <c r="L8220" s="272">
        <f t="shared" si="587"/>
        <v>1900</v>
      </c>
      <c r="M8220" s="272">
        <f t="shared" si="588"/>
        <v>1</v>
      </c>
      <c r="O8220" s="61">
        <f t="shared" si="589"/>
        <v>1900</v>
      </c>
      <c r="P8220" s="61">
        <f t="shared" si="590"/>
        <v>1</v>
      </c>
    </row>
    <row r="8221" spans="9:16">
      <c r="I8221" s="213"/>
      <c r="J8221" s="213"/>
      <c r="L8221" s="272">
        <f t="shared" si="587"/>
        <v>1900</v>
      </c>
      <c r="M8221" s="272">
        <f t="shared" si="588"/>
        <v>1</v>
      </c>
      <c r="O8221" s="61">
        <f t="shared" si="589"/>
        <v>1900</v>
      </c>
      <c r="P8221" s="61">
        <f t="shared" si="590"/>
        <v>1</v>
      </c>
    </row>
    <row r="8222" spans="9:16">
      <c r="I8222" s="213"/>
      <c r="J8222" s="213"/>
      <c r="L8222" s="272">
        <f t="shared" si="587"/>
        <v>1900</v>
      </c>
      <c r="M8222" s="272">
        <f t="shared" si="588"/>
        <v>1</v>
      </c>
      <c r="O8222" s="61">
        <f t="shared" si="589"/>
        <v>1900</v>
      </c>
      <c r="P8222" s="61">
        <f t="shared" si="590"/>
        <v>1</v>
      </c>
    </row>
    <row r="8223" spans="9:16">
      <c r="I8223" s="213"/>
      <c r="J8223" s="213"/>
      <c r="L8223" s="272">
        <f t="shared" si="587"/>
        <v>1900</v>
      </c>
      <c r="M8223" s="272">
        <f t="shared" si="588"/>
        <v>1</v>
      </c>
      <c r="O8223" s="61">
        <f t="shared" si="589"/>
        <v>1900</v>
      </c>
      <c r="P8223" s="61">
        <f t="shared" si="590"/>
        <v>1</v>
      </c>
    </row>
    <row r="8224" spans="9:16">
      <c r="I8224" s="213"/>
      <c r="J8224" s="213"/>
      <c r="L8224" s="272">
        <f t="shared" si="587"/>
        <v>1900</v>
      </c>
      <c r="M8224" s="272">
        <f t="shared" si="588"/>
        <v>1</v>
      </c>
      <c r="O8224" s="61">
        <f t="shared" si="589"/>
        <v>1900</v>
      </c>
      <c r="P8224" s="61">
        <f t="shared" si="590"/>
        <v>1</v>
      </c>
    </row>
    <row r="8225" spans="9:16">
      <c r="I8225" s="213"/>
      <c r="J8225" s="213"/>
      <c r="L8225" s="272">
        <f t="shared" si="587"/>
        <v>1900</v>
      </c>
      <c r="M8225" s="272">
        <f t="shared" si="588"/>
        <v>1</v>
      </c>
      <c r="O8225" s="61">
        <f t="shared" si="589"/>
        <v>1900</v>
      </c>
      <c r="P8225" s="61">
        <f t="shared" si="590"/>
        <v>1</v>
      </c>
    </row>
    <row r="8226" spans="9:16">
      <c r="I8226" s="213"/>
      <c r="J8226" s="213"/>
      <c r="L8226" s="272">
        <f t="shared" si="587"/>
        <v>1900</v>
      </c>
      <c r="M8226" s="272">
        <f t="shared" si="588"/>
        <v>1</v>
      </c>
      <c r="O8226" s="61">
        <f t="shared" si="589"/>
        <v>1900</v>
      </c>
      <c r="P8226" s="61">
        <f t="shared" si="590"/>
        <v>1</v>
      </c>
    </row>
    <row r="8227" spans="9:16">
      <c r="I8227" s="213"/>
      <c r="J8227" s="213"/>
      <c r="L8227" s="272">
        <f t="shared" si="587"/>
        <v>1900</v>
      </c>
      <c r="M8227" s="272">
        <f t="shared" si="588"/>
        <v>1</v>
      </c>
      <c r="O8227" s="61">
        <f t="shared" si="589"/>
        <v>1900</v>
      </c>
      <c r="P8227" s="61">
        <f t="shared" si="590"/>
        <v>1</v>
      </c>
    </row>
    <row r="8228" spans="9:16">
      <c r="I8228" s="213"/>
      <c r="J8228" s="213"/>
      <c r="L8228" s="272">
        <f t="shared" si="587"/>
        <v>1900</v>
      </c>
      <c r="M8228" s="272">
        <f t="shared" si="588"/>
        <v>1</v>
      </c>
      <c r="O8228" s="61">
        <f t="shared" si="589"/>
        <v>1900</v>
      </c>
      <c r="P8228" s="61">
        <f t="shared" si="590"/>
        <v>1</v>
      </c>
    </row>
    <row r="8229" spans="9:16">
      <c r="I8229" s="213"/>
      <c r="J8229" s="213"/>
      <c r="L8229" s="272">
        <f t="shared" si="587"/>
        <v>1900</v>
      </c>
      <c r="M8229" s="272">
        <f t="shared" si="588"/>
        <v>1</v>
      </c>
      <c r="O8229" s="61">
        <f t="shared" si="589"/>
        <v>1900</v>
      </c>
      <c r="P8229" s="61">
        <f t="shared" si="590"/>
        <v>1</v>
      </c>
    </row>
    <row r="8230" spans="9:16">
      <c r="I8230" s="213"/>
      <c r="J8230" s="213"/>
      <c r="L8230" s="272">
        <f t="shared" si="587"/>
        <v>1900</v>
      </c>
      <c r="M8230" s="272">
        <f t="shared" si="588"/>
        <v>1</v>
      </c>
      <c r="O8230" s="61">
        <f t="shared" si="589"/>
        <v>1900</v>
      </c>
      <c r="P8230" s="61">
        <f t="shared" si="590"/>
        <v>1</v>
      </c>
    </row>
    <row r="8231" spans="9:16">
      <c r="I8231" s="213"/>
      <c r="J8231" s="213"/>
      <c r="L8231" s="272">
        <f t="shared" si="587"/>
        <v>1900</v>
      </c>
      <c r="M8231" s="272">
        <f t="shared" si="588"/>
        <v>1</v>
      </c>
      <c r="O8231" s="61">
        <f t="shared" si="589"/>
        <v>1900</v>
      </c>
      <c r="P8231" s="61">
        <f t="shared" si="590"/>
        <v>1</v>
      </c>
    </row>
    <row r="8232" spans="9:16">
      <c r="I8232" s="213"/>
      <c r="J8232" s="213"/>
      <c r="L8232" s="272">
        <f t="shared" si="587"/>
        <v>1900</v>
      </c>
      <c r="M8232" s="272">
        <f t="shared" si="588"/>
        <v>1</v>
      </c>
      <c r="O8232" s="61">
        <f t="shared" si="589"/>
        <v>1900</v>
      </c>
      <c r="P8232" s="61">
        <f t="shared" si="590"/>
        <v>1</v>
      </c>
    </row>
    <row r="8233" spans="9:16">
      <c r="I8233" s="213"/>
      <c r="J8233" s="213"/>
      <c r="L8233" s="272">
        <f t="shared" si="587"/>
        <v>1900</v>
      </c>
      <c r="M8233" s="272">
        <f t="shared" si="588"/>
        <v>1</v>
      </c>
      <c r="O8233" s="61">
        <f t="shared" si="589"/>
        <v>1900</v>
      </c>
      <c r="P8233" s="61">
        <f t="shared" si="590"/>
        <v>1</v>
      </c>
    </row>
    <row r="8234" spans="9:16">
      <c r="I8234" s="213"/>
      <c r="J8234" s="213"/>
      <c r="L8234" s="272">
        <f t="shared" si="587"/>
        <v>1900</v>
      </c>
      <c r="M8234" s="272">
        <f t="shared" si="588"/>
        <v>1</v>
      </c>
      <c r="O8234" s="61">
        <f t="shared" si="589"/>
        <v>1900</v>
      </c>
      <c r="P8234" s="61">
        <f t="shared" si="590"/>
        <v>1</v>
      </c>
    </row>
    <row r="8235" spans="9:16">
      <c r="I8235" s="213"/>
      <c r="J8235" s="213"/>
      <c r="L8235" s="272">
        <f t="shared" si="587"/>
        <v>1900</v>
      </c>
      <c r="M8235" s="272">
        <f t="shared" si="588"/>
        <v>1</v>
      </c>
      <c r="O8235" s="61">
        <f t="shared" si="589"/>
        <v>1900</v>
      </c>
      <c r="P8235" s="61">
        <f t="shared" si="590"/>
        <v>1</v>
      </c>
    </row>
    <row r="8236" spans="9:16">
      <c r="I8236" s="213"/>
      <c r="J8236" s="213"/>
      <c r="L8236" s="272">
        <f t="shared" si="587"/>
        <v>1900</v>
      </c>
      <c r="M8236" s="272">
        <f t="shared" si="588"/>
        <v>1</v>
      </c>
      <c r="O8236" s="61">
        <f t="shared" si="589"/>
        <v>1900</v>
      </c>
      <c r="P8236" s="61">
        <f t="shared" si="590"/>
        <v>1</v>
      </c>
    </row>
    <row r="8237" spans="9:16">
      <c r="I8237" s="213"/>
      <c r="J8237" s="213"/>
      <c r="L8237" s="272">
        <f t="shared" si="587"/>
        <v>1900</v>
      </c>
      <c r="M8237" s="272">
        <f t="shared" si="588"/>
        <v>1</v>
      </c>
      <c r="O8237" s="61">
        <f t="shared" si="589"/>
        <v>1900</v>
      </c>
      <c r="P8237" s="61">
        <f t="shared" si="590"/>
        <v>1</v>
      </c>
    </row>
    <row r="8238" spans="9:16">
      <c r="I8238" s="213"/>
      <c r="J8238" s="213"/>
      <c r="L8238" s="272">
        <f t="shared" si="587"/>
        <v>1900</v>
      </c>
      <c r="M8238" s="272">
        <f t="shared" si="588"/>
        <v>1</v>
      </c>
      <c r="O8238" s="61">
        <f t="shared" si="589"/>
        <v>1900</v>
      </c>
      <c r="P8238" s="61">
        <f t="shared" si="590"/>
        <v>1</v>
      </c>
    </row>
    <row r="8239" spans="9:16">
      <c r="I8239" s="213"/>
      <c r="J8239" s="213"/>
      <c r="L8239" s="272">
        <f t="shared" si="587"/>
        <v>1900</v>
      </c>
      <c r="M8239" s="272">
        <f t="shared" si="588"/>
        <v>1</v>
      </c>
      <c r="O8239" s="61">
        <f t="shared" si="589"/>
        <v>1900</v>
      </c>
      <c r="P8239" s="61">
        <f t="shared" si="590"/>
        <v>1</v>
      </c>
    </row>
    <row r="8240" spans="9:16">
      <c r="I8240" s="213"/>
      <c r="J8240" s="213"/>
      <c r="L8240" s="272">
        <f t="shared" si="587"/>
        <v>1900</v>
      </c>
      <c r="M8240" s="272">
        <f t="shared" si="588"/>
        <v>1</v>
      </c>
      <c r="O8240" s="61">
        <f t="shared" si="589"/>
        <v>1900</v>
      </c>
      <c r="P8240" s="61">
        <f t="shared" si="590"/>
        <v>1</v>
      </c>
    </row>
    <row r="8241" spans="9:16">
      <c r="I8241" s="213"/>
      <c r="J8241" s="213"/>
      <c r="L8241" s="272">
        <f t="shared" si="587"/>
        <v>1900</v>
      </c>
      <c r="M8241" s="272">
        <f t="shared" si="588"/>
        <v>1</v>
      </c>
      <c r="O8241" s="61">
        <f t="shared" si="589"/>
        <v>1900</v>
      </c>
      <c r="P8241" s="61">
        <f t="shared" si="590"/>
        <v>1</v>
      </c>
    </row>
    <row r="8242" spans="9:16">
      <c r="I8242" s="213"/>
      <c r="J8242" s="213"/>
      <c r="L8242" s="272">
        <f t="shared" si="587"/>
        <v>1900</v>
      </c>
      <c r="M8242" s="272">
        <f t="shared" si="588"/>
        <v>1</v>
      </c>
      <c r="O8242" s="61">
        <f t="shared" si="589"/>
        <v>1900</v>
      </c>
      <c r="P8242" s="61">
        <f t="shared" si="590"/>
        <v>1</v>
      </c>
    </row>
    <row r="8243" spans="9:16">
      <c r="I8243" s="213"/>
      <c r="J8243" s="213"/>
      <c r="L8243" s="272">
        <f t="shared" si="587"/>
        <v>1900</v>
      </c>
      <c r="M8243" s="272">
        <f t="shared" si="588"/>
        <v>1</v>
      </c>
      <c r="O8243" s="61">
        <f t="shared" si="589"/>
        <v>1900</v>
      </c>
      <c r="P8243" s="61">
        <f t="shared" si="590"/>
        <v>1</v>
      </c>
    </row>
    <row r="8244" spans="9:16">
      <c r="I8244" s="213"/>
      <c r="J8244" s="213"/>
      <c r="L8244" s="272">
        <f t="shared" si="587"/>
        <v>1900</v>
      </c>
      <c r="M8244" s="272">
        <f t="shared" si="588"/>
        <v>1</v>
      </c>
      <c r="O8244" s="61">
        <f t="shared" si="589"/>
        <v>1900</v>
      </c>
      <c r="P8244" s="61">
        <f t="shared" si="590"/>
        <v>1</v>
      </c>
    </row>
    <row r="8245" spans="9:16">
      <c r="I8245" s="213"/>
      <c r="J8245" s="213"/>
      <c r="L8245" s="272">
        <f t="shared" si="587"/>
        <v>1900</v>
      </c>
      <c r="M8245" s="272">
        <f t="shared" si="588"/>
        <v>1</v>
      </c>
      <c r="O8245" s="61">
        <f t="shared" si="589"/>
        <v>1900</v>
      </c>
      <c r="P8245" s="61">
        <f t="shared" si="590"/>
        <v>1</v>
      </c>
    </row>
    <row r="8246" spans="9:16">
      <c r="I8246" s="213"/>
      <c r="J8246" s="213"/>
      <c r="L8246" s="272">
        <f t="shared" si="587"/>
        <v>1900</v>
      </c>
      <c r="M8246" s="272">
        <f t="shared" si="588"/>
        <v>1</v>
      </c>
      <c r="O8246" s="61">
        <f t="shared" si="589"/>
        <v>1900</v>
      </c>
      <c r="P8246" s="61">
        <f t="shared" si="590"/>
        <v>1</v>
      </c>
    </row>
    <row r="8247" spans="9:16">
      <c r="I8247" s="213"/>
      <c r="J8247" s="213"/>
      <c r="L8247" s="272">
        <f t="shared" si="587"/>
        <v>1900</v>
      </c>
      <c r="M8247" s="272">
        <f t="shared" si="588"/>
        <v>1</v>
      </c>
      <c r="O8247" s="61">
        <f t="shared" si="589"/>
        <v>1900</v>
      </c>
      <c r="P8247" s="61">
        <f t="shared" si="590"/>
        <v>1</v>
      </c>
    </row>
    <row r="8248" spans="9:16">
      <c r="I8248" s="213"/>
      <c r="J8248" s="213"/>
      <c r="L8248" s="272">
        <f t="shared" si="587"/>
        <v>1900</v>
      </c>
      <c r="M8248" s="272">
        <f t="shared" si="588"/>
        <v>1</v>
      </c>
      <c r="O8248" s="61">
        <f t="shared" si="589"/>
        <v>1900</v>
      </c>
      <c r="P8248" s="61">
        <f t="shared" si="590"/>
        <v>1</v>
      </c>
    </row>
    <row r="8249" spans="9:16">
      <c r="I8249" s="213"/>
      <c r="J8249" s="213"/>
      <c r="L8249" s="272">
        <f t="shared" si="587"/>
        <v>1900</v>
      </c>
      <c r="M8249" s="272">
        <f t="shared" si="588"/>
        <v>1</v>
      </c>
      <c r="O8249" s="61">
        <f t="shared" si="589"/>
        <v>1900</v>
      </c>
      <c r="P8249" s="61">
        <f t="shared" si="590"/>
        <v>1</v>
      </c>
    </row>
    <row r="8250" spans="9:16">
      <c r="I8250" s="213"/>
      <c r="J8250" s="213"/>
      <c r="L8250" s="272">
        <f t="shared" si="587"/>
        <v>1900</v>
      </c>
      <c r="M8250" s="272">
        <f t="shared" si="588"/>
        <v>1</v>
      </c>
      <c r="O8250" s="61">
        <f t="shared" si="589"/>
        <v>1900</v>
      </c>
      <c r="P8250" s="61">
        <f t="shared" si="590"/>
        <v>1</v>
      </c>
    </row>
    <row r="8251" spans="9:16">
      <c r="I8251" s="213"/>
      <c r="J8251" s="213"/>
      <c r="L8251" s="272">
        <f t="shared" si="587"/>
        <v>1900</v>
      </c>
      <c r="M8251" s="272">
        <f t="shared" si="588"/>
        <v>1</v>
      </c>
      <c r="O8251" s="61">
        <f t="shared" si="589"/>
        <v>1900</v>
      </c>
      <c r="P8251" s="61">
        <f t="shared" si="590"/>
        <v>1</v>
      </c>
    </row>
    <row r="8252" spans="9:16">
      <c r="I8252" s="213"/>
      <c r="J8252" s="213"/>
      <c r="L8252" s="272">
        <f t="shared" si="587"/>
        <v>1900</v>
      </c>
      <c r="M8252" s="272">
        <f t="shared" si="588"/>
        <v>1</v>
      </c>
      <c r="O8252" s="61">
        <f t="shared" si="589"/>
        <v>1900</v>
      </c>
      <c r="P8252" s="61">
        <f t="shared" si="590"/>
        <v>1</v>
      </c>
    </row>
    <row r="8253" spans="9:16">
      <c r="I8253" s="213"/>
      <c r="J8253" s="213"/>
      <c r="L8253" s="272">
        <f t="shared" si="587"/>
        <v>1900</v>
      </c>
      <c r="M8253" s="272">
        <f t="shared" si="588"/>
        <v>1</v>
      </c>
      <c r="O8253" s="61">
        <f t="shared" si="589"/>
        <v>1900</v>
      </c>
      <c r="P8253" s="61">
        <f t="shared" si="590"/>
        <v>1</v>
      </c>
    </row>
    <row r="8254" spans="9:16">
      <c r="I8254" s="213"/>
      <c r="J8254" s="213"/>
      <c r="L8254" s="272">
        <f t="shared" si="587"/>
        <v>1900</v>
      </c>
      <c r="M8254" s="272">
        <f t="shared" si="588"/>
        <v>1</v>
      </c>
      <c r="O8254" s="61">
        <f t="shared" si="589"/>
        <v>1900</v>
      </c>
      <c r="P8254" s="61">
        <f t="shared" si="590"/>
        <v>1</v>
      </c>
    </row>
    <row r="8255" spans="9:16">
      <c r="I8255" s="213"/>
      <c r="J8255" s="213"/>
      <c r="L8255" s="272">
        <f t="shared" si="587"/>
        <v>1900</v>
      </c>
      <c r="M8255" s="272">
        <f t="shared" si="588"/>
        <v>1</v>
      </c>
      <c r="O8255" s="61">
        <f t="shared" si="589"/>
        <v>1900</v>
      </c>
      <c r="P8255" s="61">
        <f t="shared" si="590"/>
        <v>1</v>
      </c>
    </row>
    <row r="8256" spans="9:16">
      <c r="I8256" s="213"/>
      <c r="J8256" s="213"/>
      <c r="L8256" s="272">
        <f t="shared" si="587"/>
        <v>1900</v>
      </c>
      <c r="M8256" s="272">
        <f t="shared" si="588"/>
        <v>1</v>
      </c>
      <c r="O8256" s="61">
        <f t="shared" si="589"/>
        <v>1900</v>
      </c>
      <c r="P8256" s="61">
        <f t="shared" si="590"/>
        <v>1</v>
      </c>
    </row>
    <row r="8257" spans="9:16">
      <c r="I8257" s="213"/>
      <c r="J8257" s="213"/>
      <c r="L8257" s="272">
        <f t="shared" si="587"/>
        <v>1900</v>
      </c>
      <c r="M8257" s="272">
        <f t="shared" si="588"/>
        <v>1</v>
      </c>
      <c r="O8257" s="61">
        <f t="shared" si="589"/>
        <v>1900</v>
      </c>
      <c r="P8257" s="61">
        <f t="shared" si="590"/>
        <v>1</v>
      </c>
    </row>
    <row r="8258" spans="9:16">
      <c r="I8258" s="213"/>
      <c r="J8258" s="213"/>
      <c r="L8258" s="272">
        <f t="shared" si="587"/>
        <v>1900</v>
      </c>
      <c r="M8258" s="272">
        <f t="shared" si="588"/>
        <v>1</v>
      </c>
      <c r="O8258" s="61">
        <f t="shared" si="589"/>
        <v>1900</v>
      </c>
      <c r="P8258" s="61">
        <f t="shared" si="590"/>
        <v>1</v>
      </c>
    </row>
    <row r="8259" spans="9:16">
      <c r="I8259" s="213"/>
      <c r="J8259" s="213"/>
      <c r="L8259" s="272">
        <f t="shared" si="587"/>
        <v>1900</v>
      </c>
      <c r="M8259" s="272">
        <f t="shared" si="588"/>
        <v>1</v>
      </c>
      <c r="O8259" s="61">
        <f t="shared" si="589"/>
        <v>1900</v>
      </c>
      <c r="P8259" s="61">
        <f t="shared" si="590"/>
        <v>1</v>
      </c>
    </row>
    <row r="8260" spans="9:16">
      <c r="I8260" s="213"/>
      <c r="J8260" s="213"/>
      <c r="L8260" s="272">
        <f t="shared" si="587"/>
        <v>1900</v>
      </c>
      <c r="M8260" s="272">
        <f t="shared" si="588"/>
        <v>1</v>
      </c>
      <c r="O8260" s="61">
        <f t="shared" si="589"/>
        <v>1900</v>
      </c>
      <c r="P8260" s="61">
        <f t="shared" si="590"/>
        <v>1</v>
      </c>
    </row>
    <row r="8261" spans="9:16">
      <c r="I8261" s="213"/>
      <c r="J8261" s="213"/>
      <c r="L8261" s="272">
        <f t="shared" si="587"/>
        <v>1900</v>
      </c>
      <c r="M8261" s="272">
        <f t="shared" si="588"/>
        <v>1</v>
      </c>
      <c r="O8261" s="61">
        <f t="shared" si="589"/>
        <v>1900</v>
      </c>
      <c r="P8261" s="61">
        <f t="shared" si="590"/>
        <v>1</v>
      </c>
    </row>
    <row r="8262" spans="9:16">
      <c r="I8262" s="213"/>
      <c r="J8262" s="213"/>
      <c r="L8262" s="272">
        <f t="shared" si="587"/>
        <v>1900</v>
      </c>
      <c r="M8262" s="272">
        <f t="shared" si="588"/>
        <v>1</v>
      </c>
      <c r="O8262" s="61">
        <f t="shared" si="589"/>
        <v>1900</v>
      </c>
      <c r="P8262" s="61">
        <f t="shared" si="590"/>
        <v>1</v>
      </c>
    </row>
    <row r="8263" spans="9:16">
      <c r="I8263" s="213"/>
      <c r="J8263" s="213"/>
      <c r="L8263" s="272">
        <f t="shared" si="587"/>
        <v>1900</v>
      </c>
      <c r="M8263" s="272">
        <f t="shared" si="588"/>
        <v>1</v>
      </c>
      <c r="O8263" s="61">
        <f t="shared" si="589"/>
        <v>1900</v>
      </c>
      <c r="P8263" s="61">
        <f t="shared" si="590"/>
        <v>1</v>
      </c>
    </row>
    <row r="8264" spans="9:16">
      <c r="I8264" s="213"/>
      <c r="J8264" s="213"/>
      <c r="L8264" s="272">
        <f t="shared" si="587"/>
        <v>1900</v>
      </c>
      <c r="M8264" s="272">
        <f t="shared" si="588"/>
        <v>1</v>
      </c>
      <c r="O8264" s="61">
        <f t="shared" si="589"/>
        <v>1900</v>
      </c>
      <c r="P8264" s="61">
        <f t="shared" si="590"/>
        <v>1</v>
      </c>
    </row>
    <row r="8265" spans="9:16">
      <c r="I8265" s="213"/>
      <c r="J8265" s="213"/>
      <c r="L8265" s="272">
        <f t="shared" si="587"/>
        <v>1900</v>
      </c>
      <c r="M8265" s="272">
        <f t="shared" si="588"/>
        <v>1</v>
      </c>
      <c r="O8265" s="61">
        <f t="shared" si="589"/>
        <v>1900</v>
      </c>
      <c r="P8265" s="61">
        <f t="shared" si="590"/>
        <v>1</v>
      </c>
    </row>
    <row r="8266" spans="9:16">
      <c r="I8266" s="213"/>
      <c r="J8266" s="213"/>
      <c r="L8266" s="272">
        <f t="shared" si="587"/>
        <v>1900</v>
      </c>
      <c r="M8266" s="272">
        <f t="shared" si="588"/>
        <v>1</v>
      </c>
      <c r="O8266" s="61">
        <f t="shared" si="589"/>
        <v>1900</v>
      </c>
      <c r="P8266" s="61">
        <f t="shared" si="590"/>
        <v>1</v>
      </c>
    </row>
    <row r="8267" spans="9:16">
      <c r="I8267" s="213"/>
      <c r="J8267" s="213"/>
      <c r="L8267" s="272">
        <f t="shared" si="587"/>
        <v>1900</v>
      </c>
      <c r="M8267" s="272">
        <f t="shared" si="588"/>
        <v>1</v>
      </c>
      <c r="O8267" s="61">
        <f t="shared" si="589"/>
        <v>1900</v>
      </c>
      <c r="P8267" s="61">
        <f t="shared" si="590"/>
        <v>1</v>
      </c>
    </row>
    <row r="8268" spans="9:16">
      <c r="I8268" s="213"/>
      <c r="J8268" s="213"/>
      <c r="L8268" s="272">
        <f t="shared" si="587"/>
        <v>1900</v>
      </c>
      <c r="M8268" s="272">
        <f t="shared" si="588"/>
        <v>1</v>
      </c>
      <c r="O8268" s="61">
        <f t="shared" si="589"/>
        <v>1900</v>
      </c>
      <c r="P8268" s="61">
        <f t="shared" si="590"/>
        <v>1</v>
      </c>
    </row>
    <row r="8269" spans="9:16">
      <c r="I8269" s="213"/>
      <c r="J8269" s="213"/>
      <c r="L8269" s="272">
        <f t="shared" si="587"/>
        <v>1900</v>
      </c>
      <c r="M8269" s="272">
        <f t="shared" si="588"/>
        <v>1</v>
      </c>
      <c r="O8269" s="61">
        <f t="shared" si="589"/>
        <v>1900</v>
      </c>
      <c r="P8269" s="61">
        <f t="shared" si="590"/>
        <v>1</v>
      </c>
    </row>
    <row r="8270" spans="9:16">
      <c r="I8270" s="213"/>
      <c r="J8270" s="213"/>
      <c r="L8270" s="272">
        <f t="shared" si="587"/>
        <v>1900</v>
      </c>
      <c r="M8270" s="272">
        <f t="shared" si="588"/>
        <v>1</v>
      </c>
      <c r="O8270" s="61">
        <f t="shared" si="589"/>
        <v>1900</v>
      </c>
      <c r="P8270" s="61">
        <f t="shared" si="590"/>
        <v>1</v>
      </c>
    </row>
    <row r="8271" spans="9:16">
      <c r="I8271" s="213"/>
      <c r="J8271" s="213"/>
      <c r="L8271" s="272">
        <f t="shared" si="587"/>
        <v>1900</v>
      </c>
      <c r="M8271" s="272">
        <f t="shared" si="588"/>
        <v>1</v>
      </c>
      <c r="O8271" s="61">
        <f t="shared" si="589"/>
        <v>1900</v>
      </c>
      <c r="P8271" s="61">
        <f t="shared" si="590"/>
        <v>1</v>
      </c>
    </row>
    <row r="8272" spans="9:16">
      <c r="I8272" s="213"/>
      <c r="J8272" s="213"/>
      <c r="L8272" s="272">
        <f t="shared" ref="L8272:L8335" si="591">YEAR(B8272)</f>
        <v>1900</v>
      </c>
      <c r="M8272" s="272">
        <f t="shared" ref="M8272:M8335" si="592">MONTH(B8272)</f>
        <v>1</v>
      </c>
      <c r="O8272" s="61">
        <f t="shared" ref="O8272:O8335" si="593">YEAR(B8272)</f>
        <v>1900</v>
      </c>
      <c r="P8272" s="61">
        <f t="shared" ref="P8272:P8335" si="594">MONTH(B8272)</f>
        <v>1</v>
      </c>
    </row>
    <row r="8273" spans="9:16">
      <c r="I8273" s="213"/>
      <c r="J8273" s="213"/>
      <c r="L8273" s="272">
        <f t="shared" si="591"/>
        <v>1900</v>
      </c>
      <c r="M8273" s="272">
        <f t="shared" si="592"/>
        <v>1</v>
      </c>
      <c r="O8273" s="61">
        <f t="shared" si="593"/>
        <v>1900</v>
      </c>
      <c r="P8273" s="61">
        <f t="shared" si="594"/>
        <v>1</v>
      </c>
    </row>
    <row r="8274" spans="9:16">
      <c r="I8274" s="213"/>
      <c r="J8274" s="213"/>
      <c r="L8274" s="272">
        <f t="shared" si="591"/>
        <v>1900</v>
      </c>
      <c r="M8274" s="272">
        <f t="shared" si="592"/>
        <v>1</v>
      </c>
      <c r="O8274" s="61">
        <f t="shared" si="593"/>
        <v>1900</v>
      </c>
      <c r="P8274" s="61">
        <f t="shared" si="594"/>
        <v>1</v>
      </c>
    </row>
    <row r="8275" spans="9:16">
      <c r="I8275" s="213"/>
      <c r="J8275" s="213"/>
      <c r="L8275" s="272">
        <f t="shared" si="591"/>
        <v>1900</v>
      </c>
      <c r="M8275" s="272">
        <f t="shared" si="592"/>
        <v>1</v>
      </c>
      <c r="O8275" s="61">
        <f t="shared" si="593"/>
        <v>1900</v>
      </c>
      <c r="P8275" s="61">
        <f t="shared" si="594"/>
        <v>1</v>
      </c>
    </row>
    <row r="8276" spans="9:16">
      <c r="I8276" s="213"/>
      <c r="J8276" s="213"/>
      <c r="L8276" s="272">
        <f t="shared" si="591"/>
        <v>1900</v>
      </c>
      <c r="M8276" s="272">
        <f t="shared" si="592"/>
        <v>1</v>
      </c>
      <c r="O8276" s="61">
        <f t="shared" si="593"/>
        <v>1900</v>
      </c>
      <c r="P8276" s="61">
        <f t="shared" si="594"/>
        <v>1</v>
      </c>
    </row>
    <row r="8277" spans="9:16">
      <c r="I8277" s="213"/>
      <c r="J8277" s="213"/>
      <c r="L8277" s="272">
        <f t="shared" si="591"/>
        <v>1900</v>
      </c>
      <c r="M8277" s="272">
        <f t="shared" si="592"/>
        <v>1</v>
      </c>
      <c r="O8277" s="61">
        <f t="shared" si="593"/>
        <v>1900</v>
      </c>
      <c r="P8277" s="61">
        <f t="shared" si="594"/>
        <v>1</v>
      </c>
    </row>
    <row r="8278" spans="9:16">
      <c r="I8278" s="213"/>
      <c r="J8278" s="213"/>
      <c r="L8278" s="272">
        <f t="shared" si="591"/>
        <v>1900</v>
      </c>
      <c r="M8278" s="272">
        <f t="shared" si="592"/>
        <v>1</v>
      </c>
      <c r="O8278" s="61">
        <f t="shared" si="593"/>
        <v>1900</v>
      </c>
      <c r="P8278" s="61">
        <f t="shared" si="594"/>
        <v>1</v>
      </c>
    </row>
    <row r="8279" spans="9:16">
      <c r="I8279" s="213"/>
      <c r="J8279" s="213"/>
      <c r="L8279" s="272">
        <f t="shared" si="591"/>
        <v>1900</v>
      </c>
      <c r="M8279" s="272">
        <f t="shared" si="592"/>
        <v>1</v>
      </c>
      <c r="O8279" s="61">
        <f t="shared" si="593"/>
        <v>1900</v>
      </c>
      <c r="P8279" s="61">
        <f t="shared" si="594"/>
        <v>1</v>
      </c>
    </row>
    <row r="8280" spans="9:16">
      <c r="I8280" s="213"/>
      <c r="J8280" s="213"/>
      <c r="L8280" s="272">
        <f t="shared" si="591"/>
        <v>1900</v>
      </c>
      <c r="M8280" s="272">
        <f t="shared" si="592"/>
        <v>1</v>
      </c>
      <c r="O8280" s="61">
        <f t="shared" si="593"/>
        <v>1900</v>
      </c>
      <c r="P8280" s="61">
        <f t="shared" si="594"/>
        <v>1</v>
      </c>
    </row>
    <row r="8281" spans="9:16">
      <c r="I8281" s="213"/>
      <c r="J8281" s="213"/>
      <c r="L8281" s="272">
        <f t="shared" si="591"/>
        <v>1900</v>
      </c>
      <c r="M8281" s="272">
        <f t="shared" si="592"/>
        <v>1</v>
      </c>
      <c r="O8281" s="61">
        <f t="shared" si="593"/>
        <v>1900</v>
      </c>
      <c r="P8281" s="61">
        <f t="shared" si="594"/>
        <v>1</v>
      </c>
    </row>
    <row r="8282" spans="9:16">
      <c r="I8282" s="213"/>
      <c r="J8282" s="213"/>
      <c r="L8282" s="272">
        <f t="shared" si="591"/>
        <v>1900</v>
      </c>
      <c r="M8282" s="272">
        <f t="shared" si="592"/>
        <v>1</v>
      </c>
      <c r="O8282" s="61">
        <f t="shared" si="593"/>
        <v>1900</v>
      </c>
      <c r="P8282" s="61">
        <f t="shared" si="594"/>
        <v>1</v>
      </c>
    </row>
    <row r="8283" spans="9:16">
      <c r="I8283" s="213"/>
      <c r="J8283" s="213"/>
      <c r="L8283" s="272">
        <f t="shared" si="591"/>
        <v>1900</v>
      </c>
      <c r="M8283" s="272">
        <f t="shared" si="592"/>
        <v>1</v>
      </c>
      <c r="O8283" s="61">
        <f t="shared" si="593"/>
        <v>1900</v>
      </c>
      <c r="P8283" s="61">
        <f t="shared" si="594"/>
        <v>1</v>
      </c>
    </row>
    <row r="8284" spans="9:16">
      <c r="I8284" s="213"/>
      <c r="J8284" s="213"/>
      <c r="L8284" s="272">
        <f t="shared" si="591"/>
        <v>1900</v>
      </c>
      <c r="M8284" s="272">
        <f t="shared" si="592"/>
        <v>1</v>
      </c>
      <c r="O8284" s="61">
        <f t="shared" si="593"/>
        <v>1900</v>
      </c>
      <c r="P8284" s="61">
        <f t="shared" si="594"/>
        <v>1</v>
      </c>
    </row>
    <row r="8285" spans="9:16">
      <c r="I8285" s="213"/>
      <c r="J8285" s="213"/>
      <c r="L8285" s="272">
        <f t="shared" si="591"/>
        <v>1900</v>
      </c>
      <c r="M8285" s="272">
        <f t="shared" si="592"/>
        <v>1</v>
      </c>
      <c r="O8285" s="61">
        <f t="shared" si="593"/>
        <v>1900</v>
      </c>
      <c r="P8285" s="61">
        <f t="shared" si="594"/>
        <v>1</v>
      </c>
    </row>
    <row r="8286" spans="9:16">
      <c r="I8286" s="213"/>
      <c r="J8286" s="213"/>
      <c r="L8286" s="272">
        <f t="shared" si="591"/>
        <v>1900</v>
      </c>
      <c r="M8286" s="272">
        <f t="shared" si="592"/>
        <v>1</v>
      </c>
      <c r="O8286" s="61">
        <f t="shared" si="593"/>
        <v>1900</v>
      </c>
      <c r="P8286" s="61">
        <f t="shared" si="594"/>
        <v>1</v>
      </c>
    </row>
    <row r="8287" spans="9:16">
      <c r="I8287" s="213"/>
      <c r="J8287" s="213"/>
      <c r="L8287" s="272">
        <f t="shared" si="591"/>
        <v>1900</v>
      </c>
      <c r="M8287" s="272">
        <f t="shared" si="592"/>
        <v>1</v>
      </c>
      <c r="O8287" s="61">
        <f t="shared" si="593"/>
        <v>1900</v>
      </c>
      <c r="P8287" s="61">
        <f t="shared" si="594"/>
        <v>1</v>
      </c>
    </row>
    <row r="8288" spans="9:16">
      <c r="I8288" s="213"/>
      <c r="J8288" s="213"/>
      <c r="L8288" s="272">
        <f t="shared" si="591"/>
        <v>1900</v>
      </c>
      <c r="M8288" s="272">
        <f t="shared" si="592"/>
        <v>1</v>
      </c>
      <c r="O8288" s="61">
        <f t="shared" si="593"/>
        <v>1900</v>
      </c>
      <c r="P8288" s="61">
        <f t="shared" si="594"/>
        <v>1</v>
      </c>
    </row>
    <row r="8289" spans="9:16">
      <c r="I8289" s="213"/>
      <c r="J8289" s="213"/>
      <c r="L8289" s="272">
        <f t="shared" si="591"/>
        <v>1900</v>
      </c>
      <c r="M8289" s="272">
        <f t="shared" si="592"/>
        <v>1</v>
      </c>
      <c r="O8289" s="61">
        <f t="shared" si="593"/>
        <v>1900</v>
      </c>
      <c r="P8289" s="61">
        <f t="shared" si="594"/>
        <v>1</v>
      </c>
    </row>
    <row r="8290" spans="9:16">
      <c r="I8290" s="213"/>
      <c r="J8290" s="213"/>
      <c r="L8290" s="272">
        <f t="shared" si="591"/>
        <v>1900</v>
      </c>
      <c r="M8290" s="272">
        <f t="shared" si="592"/>
        <v>1</v>
      </c>
      <c r="O8290" s="61">
        <f t="shared" si="593"/>
        <v>1900</v>
      </c>
      <c r="P8290" s="61">
        <f t="shared" si="594"/>
        <v>1</v>
      </c>
    </row>
    <row r="8291" spans="9:16">
      <c r="I8291" s="213"/>
      <c r="J8291" s="213"/>
      <c r="L8291" s="272">
        <f t="shared" si="591"/>
        <v>1900</v>
      </c>
      <c r="M8291" s="272">
        <f t="shared" si="592"/>
        <v>1</v>
      </c>
      <c r="O8291" s="61">
        <f t="shared" si="593"/>
        <v>1900</v>
      </c>
      <c r="P8291" s="61">
        <f t="shared" si="594"/>
        <v>1</v>
      </c>
    </row>
    <row r="8292" spans="9:16">
      <c r="I8292" s="213"/>
      <c r="J8292" s="213"/>
      <c r="L8292" s="272">
        <f t="shared" si="591"/>
        <v>1900</v>
      </c>
      <c r="M8292" s="272">
        <f t="shared" si="592"/>
        <v>1</v>
      </c>
      <c r="O8292" s="61">
        <f t="shared" si="593"/>
        <v>1900</v>
      </c>
      <c r="P8292" s="61">
        <f t="shared" si="594"/>
        <v>1</v>
      </c>
    </row>
    <row r="8293" spans="9:16">
      <c r="I8293" s="213"/>
      <c r="J8293" s="213"/>
      <c r="L8293" s="272">
        <f t="shared" si="591"/>
        <v>1900</v>
      </c>
      <c r="M8293" s="272">
        <f t="shared" si="592"/>
        <v>1</v>
      </c>
      <c r="O8293" s="61">
        <f t="shared" si="593"/>
        <v>1900</v>
      </c>
      <c r="P8293" s="61">
        <f t="shared" si="594"/>
        <v>1</v>
      </c>
    </row>
    <row r="8294" spans="9:16">
      <c r="I8294" s="213"/>
      <c r="J8294" s="213"/>
      <c r="L8294" s="272">
        <f t="shared" si="591"/>
        <v>1900</v>
      </c>
      <c r="M8294" s="272">
        <f t="shared" si="592"/>
        <v>1</v>
      </c>
      <c r="O8294" s="61">
        <f t="shared" si="593"/>
        <v>1900</v>
      </c>
      <c r="P8294" s="61">
        <f t="shared" si="594"/>
        <v>1</v>
      </c>
    </row>
    <row r="8295" spans="9:16">
      <c r="I8295" s="213"/>
      <c r="J8295" s="213"/>
      <c r="L8295" s="272">
        <f t="shared" si="591"/>
        <v>1900</v>
      </c>
      <c r="M8295" s="272">
        <f t="shared" si="592"/>
        <v>1</v>
      </c>
      <c r="O8295" s="61">
        <f t="shared" si="593"/>
        <v>1900</v>
      </c>
      <c r="P8295" s="61">
        <f t="shared" si="594"/>
        <v>1</v>
      </c>
    </row>
    <row r="8296" spans="9:16">
      <c r="I8296" s="213"/>
      <c r="J8296" s="213"/>
      <c r="L8296" s="272">
        <f t="shared" si="591"/>
        <v>1900</v>
      </c>
      <c r="M8296" s="272">
        <f t="shared" si="592"/>
        <v>1</v>
      </c>
      <c r="O8296" s="61">
        <f t="shared" si="593"/>
        <v>1900</v>
      </c>
      <c r="P8296" s="61">
        <f t="shared" si="594"/>
        <v>1</v>
      </c>
    </row>
    <row r="8297" spans="9:16">
      <c r="I8297" s="213"/>
      <c r="J8297" s="213"/>
      <c r="L8297" s="272">
        <f t="shared" si="591"/>
        <v>1900</v>
      </c>
      <c r="M8297" s="272">
        <f t="shared" si="592"/>
        <v>1</v>
      </c>
      <c r="O8297" s="61">
        <f t="shared" si="593"/>
        <v>1900</v>
      </c>
      <c r="P8297" s="61">
        <f t="shared" si="594"/>
        <v>1</v>
      </c>
    </row>
    <row r="8298" spans="9:16">
      <c r="I8298" s="213"/>
      <c r="J8298" s="213"/>
      <c r="L8298" s="272">
        <f t="shared" si="591"/>
        <v>1900</v>
      </c>
      <c r="M8298" s="272">
        <f t="shared" si="592"/>
        <v>1</v>
      </c>
      <c r="O8298" s="61">
        <f t="shared" si="593"/>
        <v>1900</v>
      </c>
      <c r="P8298" s="61">
        <f t="shared" si="594"/>
        <v>1</v>
      </c>
    </row>
    <row r="8299" spans="9:16">
      <c r="I8299" s="213"/>
      <c r="J8299" s="213"/>
      <c r="L8299" s="272">
        <f t="shared" si="591"/>
        <v>1900</v>
      </c>
      <c r="M8299" s="272">
        <f t="shared" si="592"/>
        <v>1</v>
      </c>
      <c r="O8299" s="61">
        <f t="shared" si="593"/>
        <v>1900</v>
      </c>
      <c r="P8299" s="61">
        <f t="shared" si="594"/>
        <v>1</v>
      </c>
    </row>
    <row r="8300" spans="9:16">
      <c r="I8300" s="213"/>
      <c r="J8300" s="213"/>
      <c r="L8300" s="272">
        <f t="shared" si="591"/>
        <v>1900</v>
      </c>
      <c r="M8300" s="272">
        <f t="shared" si="592"/>
        <v>1</v>
      </c>
      <c r="O8300" s="61">
        <f t="shared" si="593"/>
        <v>1900</v>
      </c>
      <c r="P8300" s="61">
        <f t="shared" si="594"/>
        <v>1</v>
      </c>
    </row>
    <row r="8301" spans="9:16">
      <c r="I8301" s="213"/>
      <c r="J8301" s="213"/>
      <c r="L8301" s="272">
        <f t="shared" si="591"/>
        <v>1900</v>
      </c>
      <c r="M8301" s="272">
        <f t="shared" si="592"/>
        <v>1</v>
      </c>
      <c r="O8301" s="61">
        <f t="shared" si="593"/>
        <v>1900</v>
      </c>
      <c r="P8301" s="61">
        <f t="shared" si="594"/>
        <v>1</v>
      </c>
    </row>
    <row r="8302" spans="9:16">
      <c r="I8302" s="213"/>
      <c r="J8302" s="213"/>
      <c r="L8302" s="272">
        <f t="shared" si="591"/>
        <v>1900</v>
      </c>
      <c r="M8302" s="272">
        <f t="shared" si="592"/>
        <v>1</v>
      </c>
      <c r="O8302" s="61">
        <f t="shared" si="593"/>
        <v>1900</v>
      </c>
      <c r="P8302" s="61">
        <f t="shared" si="594"/>
        <v>1</v>
      </c>
    </row>
    <row r="8303" spans="9:16">
      <c r="I8303" s="213"/>
      <c r="J8303" s="213"/>
      <c r="L8303" s="272">
        <f t="shared" si="591"/>
        <v>1900</v>
      </c>
      <c r="M8303" s="272">
        <f t="shared" si="592"/>
        <v>1</v>
      </c>
      <c r="O8303" s="61">
        <f t="shared" si="593"/>
        <v>1900</v>
      </c>
      <c r="P8303" s="61">
        <f t="shared" si="594"/>
        <v>1</v>
      </c>
    </row>
    <row r="8304" spans="9:16">
      <c r="I8304" s="213"/>
      <c r="J8304" s="213"/>
      <c r="L8304" s="272">
        <f t="shared" si="591"/>
        <v>1900</v>
      </c>
      <c r="M8304" s="272">
        <f t="shared" si="592"/>
        <v>1</v>
      </c>
      <c r="O8304" s="61">
        <f t="shared" si="593"/>
        <v>1900</v>
      </c>
      <c r="P8304" s="61">
        <f t="shared" si="594"/>
        <v>1</v>
      </c>
    </row>
    <row r="8305" spans="9:16">
      <c r="I8305" s="213"/>
      <c r="J8305" s="213"/>
      <c r="L8305" s="272">
        <f t="shared" si="591"/>
        <v>1900</v>
      </c>
      <c r="M8305" s="272">
        <f t="shared" si="592"/>
        <v>1</v>
      </c>
      <c r="O8305" s="61">
        <f t="shared" si="593"/>
        <v>1900</v>
      </c>
      <c r="P8305" s="61">
        <f t="shared" si="594"/>
        <v>1</v>
      </c>
    </row>
    <row r="8306" spans="9:16">
      <c r="I8306" s="213"/>
      <c r="J8306" s="213"/>
      <c r="L8306" s="272">
        <f t="shared" si="591"/>
        <v>1900</v>
      </c>
      <c r="M8306" s="272">
        <f t="shared" si="592"/>
        <v>1</v>
      </c>
      <c r="O8306" s="61">
        <f t="shared" si="593"/>
        <v>1900</v>
      </c>
      <c r="P8306" s="61">
        <f t="shared" si="594"/>
        <v>1</v>
      </c>
    </row>
    <row r="8307" spans="9:16">
      <c r="I8307" s="213"/>
      <c r="J8307" s="213"/>
      <c r="L8307" s="272">
        <f t="shared" si="591"/>
        <v>1900</v>
      </c>
      <c r="M8307" s="272">
        <f t="shared" si="592"/>
        <v>1</v>
      </c>
      <c r="O8307" s="61">
        <f t="shared" si="593"/>
        <v>1900</v>
      </c>
      <c r="P8307" s="61">
        <f t="shared" si="594"/>
        <v>1</v>
      </c>
    </row>
    <row r="8308" spans="9:16">
      <c r="I8308" s="213"/>
      <c r="J8308" s="213"/>
      <c r="L8308" s="272">
        <f t="shared" si="591"/>
        <v>1900</v>
      </c>
      <c r="M8308" s="272">
        <f t="shared" si="592"/>
        <v>1</v>
      </c>
      <c r="O8308" s="61">
        <f t="shared" si="593"/>
        <v>1900</v>
      </c>
      <c r="P8308" s="61">
        <f t="shared" si="594"/>
        <v>1</v>
      </c>
    </row>
    <row r="8309" spans="9:16">
      <c r="I8309" s="213"/>
      <c r="J8309" s="213"/>
      <c r="L8309" s="272">
        <f t="shared" si="591"/>
        <v>1900</v>
      </c>
      <c r="M8309" s="272">
        <f t="shared" si="592"/>
        <v>1</v>
      </c>
      <c r="O8309" s="61">
        <f t="shared" si="593"/>
        <v>1900</v>
      </c>
      <c r="P8309" s="61">
        <f t="shared" si="594"/>
        <v>1</v>
      </c>
    </row>
    <row r="8310" spans="9:16">
      <c r="I8310" s="213"/>
      <c r="J8310" s="213"/>
      <c r="L8310" s="272">
        <f t="shared" si="591"/>
        <v>1900</v>
      </c>
      <c r="M8310" s="272">
        <f t="shared" si="592"/>
        <v>1</v>
      </c>
      <c r="O8310" s="61">
        <f t="shared" si="593"/>
        <v>1900</v>
      </c>
      <c r="P8310" s="61">
        <f t="shared" si="594"/>
        <v>1</v>
      </c>
    </row>
    <row r="8311" spans="9:16">
      <c r="I8311" s="213"/>
      <c r="J8311" s="213"/>
      <c r="L8311" s="272">
        <f t="shared" si="591"/>
        <v>1900</v>
      </c>
      <c r="M8311" s="272">
        <f t="shared" si="592"/>
        <v>1</v>
      </c>
      <c r="O8311" s="61">
        <f t="shared" si="593"/>
        <v>1900</v>
      </c>
      <c r="P8311" s="61">
        <f t="shared" si="594"/>
        <v>1</v>
      </c>
    </row>
    <row r="8312" spans="9:16">
      <c r="I8312" s="213"/>
      <c r="J8312" s="213"/>
      <c r="L8312" s="272">
        <f t="shared" si="591"/>
        <v>1900</v>
      </c>
      <c r="M8312" s="272">
        <f t="shared" si="592"/>
        <v>1</v>
      </c>
      <c r="O8312" s="61">
        <f t="shared" si="593"/>
        <v>1900</v>
      </c>
      <c r="P8312" s="61">
        <f t="shared" si="594"/>
        <v>1</v>
      </c>
    </row>
    <row r="8313" spans="9:16">
      <c r="I8313" s="213"/>
      <c r="J8313" s="213"/>
      <c r="L8313" s="272">
        <f t="shared" si="591"/>
        <v>1900</v>
      </c>
      <c r="M8313" s="272">
        <f t="shared" si="592"/>
        <v>1</v>
      </c>
      <c r="O8313" s="61">
        <f t="shared" si="593"/>
        <v>1900</v>
      </c>
      <c r="P8313" s="61">
        <f t="shared" si="594"/>
        <v>1</v>
      </c>
    </row>
    <row r="8314" spans="9:16">
      <c r="I8314" s="213"/>
      <c r="J8314" s="213"/>
      <c r="L8314" s="272">
        <f t="shared" si="591"/>
        <v>1900</v>
      </c>
      <c r="M8314" s="272">
        <f t="shared" si="592"/>
        <v>1</v>
      </c>
      <c r="O8314" s="61">
        <f t="shared" si="593"/>
        <v>1900</v>
      </c>
      <c r="P8314" s="61">
        <f t="shared" si="594"/>
        <v>1</v>
      </c>
    </row>
    <row r="8315" spans="9:16">
      <c r="I8315" s="213"/>
      <c r="J8315" s="213"/>
      <c r="L8315" s="272">
        <f t="shared" si="591"/>
        <v>1900</v>
      </c>
      <c r="M8315" s="272">
        <f t="shared" si="592"/>
        <v>1</v>
      </c>
      <c r="O8315" s="61">
        <f t="shared" si="593"/>
        <v>1900</v>
      </c>
      <c r="P8315" s="61">
        <f t="shared" si="594"/>
        <v>1</v>
      </c>
    </row>
    <row r="8316" spans="9:16">
      <c r="I8316" s="213"/>
      <c r="J8316" s="213"/>
      <c r="L8316" s="272">
        <f t="shared" si="591"/>
        <v>1900</v>
      </c>
      <c r="M8316" s="272">
        <f t="shared" si="592"/>
        <v>1</v>
      </c>
      <c r="O8316" s="61">
        <f t="shared" si="593"/>
        <v>1900</v>
      </c>
      <c r="P8316" s="61">
        <f t="shared" si="594"/>
        <v>1</v>
      </c>
    </row>
    <row r="8317" spans="9:16">
      <c r="I8317" s="213"/>
      <c r="J8317" s="213"/>
      <c r="L8317" s="272">
        <f t="shared" si="591"/>
        <v>1900</v>
      </c>
      <c r="M8317" s="272">
        <f t="shared" si="592"/>
        <v>1</v>
      </c>
      <c r="O8317" s="61">
        <f t="shared" si="593"/>
        <v>1900</v>
      </c>
      <c r="P8317" s="61">
        <f t="shared" si="594"/>
        <v>1</v>
      </c>
    </row>
    <row r="8318" spans="9:16">
      <c r="I8318" s="213"/>
      <c r="J8318" s="213"/>
      <c r="L8318" s="272">
        <f t="shared" si="591"/>
        <v>1900</v>
      </c>
      <c r="M8318" s="272">
        <f t="shared" si="592"/>
        <v>1</v>
      </c>
      <c r="O8318" s="61">
        <f t="shared" si="593"/>
        <v>1900</v>
      </c>
      <c r="P8318" s="61">
        <f t="shared" si="594"/>
        <v>1</v>
      </c>
    </row>
    <row r="8319" spans="9:16">
      <c r="I8319" s="213"/>
      <c r="J8319" s="213"/>
      <c r="L8319" s="272">
        <f t="shared" si="591"/>
        <v>1900</v>
      </c>
      <c r="M8319" s="272">
        <f t="shared" si="592"/>
        <v>1</v>
      </c>
      <c r="O8319" s="61">
        <f t="shared" si="593"/>
        <v>1900</v>
      </c>
      <c r="P8319" s="61">
        <f t="shared" si="594"/>
        <v>1</v>
      </c>
    </row>
    <row r="8320" spans="9:16">
      <c r="I8320" s="213"/>
      <c r="J8320" s="213"/>
      <c r="L8320" s="272">
        <f t="shared" si="591"/>
        <v>1900</v>
      </c>
      <c r="M8320" s="272">
        <f t="shared" si="592"/>
        <v>1</v>
      </c>
      <c r="O8320" s="61">
        <f t="shared" si="593"/>
        <v>1900</v>
      </c>
      <c r="P8320" s="61">
        <f t="shared" si="594"/>
        <v>1</v>
      </c>
    </row>
    <row r="8321" spans="9:16">
      <c r="I8321" s="213"/>
      <c r="J8321" s="213"/>
      <c r="L8321" s="272">
        <f t="shared" si="591"/>
        <v>1900</v>
      </c>
      <c r="M8321" s="272">
        <f t="shared" si="592"/>
        <v>1</v>
      </c>
      <c r="O8321" s="61">
        <f t="shared" si="593"/>
        <v>1900</v>
      </c>
      <c r="P8321" s="61">
        <f t="shared" si="594"/>
        <v>1</v>
      </c>
    </row>
    <row r="8322" spans="9:16">
      <c r="I8322" s="213"/>
      <c r="J8322" s="213"/>
      <c r="L8322" s="272">
        <f t="shared" si="591"/>
        <v>1900</v>
      </c>
      <c r="M8322" s="272">
        <f t="shared" si="592"/>
        <v>1</v>
      </c>
      <c r="O8322" s="61">
        <f t="shared" si="593"/>
        <v>1900</v>
      </c>
      <c r="P8322" s="61">
        <f t="shared" si="594"/>
        <v>1</v>
      </c>
    </row>
    <row r="8323" spans="9:16">
      <c r="I8323" s="213"/>
      <c r="J8323" s="213"/>
      <c r="L8323" s="272">
        <f t="shared" si="591"/>
        <v>1900</v>
      </c>
      <c r="M8323" s="272">
        <f t="shared" si="592"/>
        <v>1</v>
      </c>
      <c r="O8323" s="61">
        <f t="shared" si="593"/>
        <v>1900</v>
      </c>
      <c r="P8323" s="61">
        <f t="shared" si="594"/>
        <v>1</v>
      </c>
    </row>
    <row r="8324" spans="9:16">
      <c r="I8324" s="213"/>
      <c r="J8324" s="213"/>
      <c r="L8324" s="272">
        <f t="shared" si="591"/>
        <v>1900</v>
      </c>
      <c r="M8324" s="272">
        <f t="shared" si="592"/>
        <v>1</v>
      </c>
      <c r="O8324" s="61">
        <f t="shared" si="593"/>
        <v>1900</v>
      </c>
      <c r="P8324" s="61">
        <f t="shared" si="594"/>
        <v>1</v>
      </c>
    </row>
    <row r="8325" spans="9:16">
      <c r="I8325" s="213"/>
      <c r="J8325" s="213"/>
      <c r="L8325" s="272">
        <f t="shared" si="591"/>
        <v>1900</v>
      </c>
      <c r="M8325" s="272">
        <f t="shared" si="592"/>
        <v>1</v>
      </c>
      <c r="O8325" s="61">
        <f t="shared" si="593"/>
        <v>1900</v>
      </c>
      <c r="P8325" s="61">
        <f t="shared" si="594"/>
        <v>1</v>
      </c>
    </row>
    <row r="8326" spans="9:16">
      <c r="I8326" s="213"/>
      <c r="J8326" s="213"/>
      <c r="L8326" s="272">
        <f t="shared" si="591"/>
        <v>1900</v>
      </c>
      <c r="M8326" s="272">
        <f t="shared" si="592"/>
        <v>1</v>
      </c>
      <c r="O8326" s="61">
        <f t="shared" si="593"/>
        <v>1900</v>
      </c>
      <c r="P8326" s="61">
        <f t="shared" si="594"/>
        <v>1</v>
      </c>
    </row>
    <row r="8327" spans="9:16">
      <c r="I8327" s="213"/>
      <c r="J8327" s="213"/>
      <c r="L8327" s="272">
        <f t="shared" si="591"/>
        <v>1900</v>
      </c>
      <c r="M8327" s="272">
        <f t="shared" si="592"/>
        <v>1</v>
      </c>
      <c r="O8327" s="61">
        <f t="shared" si="593"/>
        <v>1900</v>
      </c>
      <c r="P8327" s="61">
        <f t="shared" si="594"/>
        <v>1</v>
      </c>
    </row>
    <row r="8328" spans="9:16">
      <c r="I8328" s="213"/>
      <c r="J8328" s="213"/>
      <c r="L8328" s="272">
        <f t="shared" si="591"/>
        <v>1900</v>
      </c>
      <c r="M8328" s="272">
        <f t="shared" si="592"/>
        <v>1</v>
      </c>
      <c r="O8328" s="61">
        <f t="shared" si="593"/>
        <v>1900</v>
      </c>
      <c r="P8328" s="61">
        <f t="shared" si="594"/>
        <v>1</v>
      </c>
    </row>
    <row r="8329" spans="9:16">
      <c r="I8329" s="213"/>
      <c r="J8329" s="213"/>
      <c r="L8329" s="272">
        <f t="shared" si="591"/>
        <v>1900</v>
      </c>
      <c r="M8329" s="272">
        <f t="shared" si="592"/>
        <v>1</v>
      </c>
      <c r="O8329" s="61">
        <f t="shared" si="593"/>
        <v>1900</v>
      </c>
      <c r="P8329" s="61">
        <f t="shared" si="594"/>
        <v>1</v>
      </c>
    </row>
    <row r="8330" spans="9:16">
      <c r="I8330" s="213"/>
      <c r="J8330" s="213"/>
      <c r="L8330" s="272">
        <f t="shared" si="591"/>
        <v>1900</v>
      </c>
      <c r="M8330" s="272">
        <f t="shared" si="592"/>
        <v>1</v>
      </c>
      <c r="O8330" s="61">
        <f t="shared" si="593"/>
        <v>1900</v>
      </c>
      <c r="P8330" s="61">
        <f t="shared" si="594"/>
        <v>1</v>
      </c>
    </row>
    <row r="8331" spans="9:16">
      <c r="I8331" s="213"/>
      <c r="J8331" s="213"/>
      <c r="L8331" s="272">
        <f t="shared" si="591"/>
        <v>1900</v>
      </c>
      <c r="M8331" s="272">
        <f t="shared" si="592"/>
        <v>1</v>
      </c>
      <c r="O8331" s="61">
        <f t="shared" si="593"/>
        <v>1900</v>
      </c>
      <c r="P8331" s="61">
        <f t="shared" si="594"/>
        <v>1</v>
      </c>
    </row>
    <row r="8332" spans="9:16">
      <c r="I8332" s="213"/>
      <c r="J8332" s="213"/>
      <c r="L8332" s="272">
        <f t="shared" si="591"/>
        <v>1900</v>
      </c>
      <c r="M8332" s="272">
        <f t="shared" si="592"/>
        <v>1</v>
      </c>
      <c r="O8332" s="61">
        <f t="shared" si="593"/>
        <v>1900</v>
      </c>
      <c r="P8332" s="61">
        <f t="shared" si="594"/>
        <v>1</v>
      </c>
    </row>
    <row r="8333" spans="9:16">
      <c r="I8333" s="213"/>
      <c r="J8333" s="213"/>
      <c r="L8333" s="272">
        <f t="shared" si="591"/>
        <v>1900</v>
      </c>
      <c r="M8333" s="272">
        <f t="shared" si="592"/>
        <v>1</v>
      </c>
      <c r="O8333" s="61">
        <f t="shared" si="593"/>
        <v>1900</v>
      </c>
      <c r="P8333" s="61">
        <f t="shared" si="594"/>
        <v>1</v>
      </c>
    </row>
    <row r="8334" spans="9:16">
      <c r="I8334" s="213"/>
      <c r="J8334" s="213"/>
      <c r="L8334" s="272">
        <f t="shared" si="591"/>
        <v>1900</v>
      </c>
      <c r="M8334" s="272">
        <f t="shared" si="592"/>
        <v>1</v>
      </c>
      <c r="O8334" s="61">
        <f t="shared" si="593"/>
        <v>1900</v>
      </c>
      <c r="P8334" s="61">
        <f t="shared" si="594"/>
        <v>1</v>
      </c>
    </row>
    <row r="8335" spans="9:16">
      <c r="I8335" s="213"/>
      <c r="J8335" s="213"/>
      <c r="L8335" s="272">
        <f t="shared" si="591"/>
        <v>1900</v>
      </c>
      <c r="M8335" s="272">
        <f t="shared" si="592"/>
        <v>1</v>
      </c>
      <c r="O8335" s="61">
        <f t="shared" si="593"/>
        <v>1900</v>
      </c>
      <c r="P8335" s="61">
        <f t="shared" si="594"/>
        <v>1</v>
      </c>
    </row>
    <row r="8336" spans="9:16">
      <c r="I8336" s="213"/>
      <c r="J8336" s="213"/>
      <c r="L8336" s="272">
        <f t="shared" ref="L8336:L8399" si="595">YEAR(B8336)</f>
        <v>1900</v>
      </c>
      <c r="M8336" s="272">
        <f t="shared" ref="M8336:M8399" si="596">MONTH(B8336)</f>
        <v>1</v>
      </c>
      <c r="O8336" s="61">
        <f t="shared" ref="O8336:O8399" si="597">YEAR(B8336)</f>
        <v>1900</v>
      </c>
      <c r="P8336" s="61">
        <f t="shared" ref="P8336:P8399" si="598">MONTH(B8336)</f>
        <v>1</v>
      </c>
    </row>
    <row r="8337" spans="9:16">
      <c r="I8337" s="213"/>
      <c r="J8337" s="213"/>
      <c r="L8337" s="272">
        <f t="shared" si="595"/>
        <v>1900</v>
      </c>
      <c r="M8337" s="272">
        <f t="shared" si="596"/>
        <v>1</v>
      </c>
      <c r="O8337" s="61">
        <f t="shared" si="597"/>
        <v>1900</v>
      </c>
      <c r="P8337" s="61">
        <f t="shared" si="598"/>
        <v>1</v>
      </c>
    </row>
    <row r="8338" spans="9:16">
      <c r="I8338" s="213"/>
      <c r="J8338" s="213"/>
      <c r="L8338" s="272">
        <f t="shared" si="595"/>
        <v>1900</v>
      </c>
      <c r="M8338" s="272">
        <f t="shared" si="596"/>
        <v>1</v>
      </c>
      <c r="O8338" s="61">
        <f t="shared" si="597"/>
        <v>1900</v>
      </c>
      <c r="P8338" s="61">
        <f t="shared" si="598"/>
        <v>1</v>
      </c>
    </row>
    <row r="8339" spans="9:16">
      <c r="I8339" s="213"/>
      <c r="J8339" s="213"/>
      <c r="L8339" s="272">
        <f t="shared" si="595"/>
        <v>1900</v>
      </c>
      <c r="M8339" s="272">
        <f t="shared" si="596"/>
        <v>1</v>
      </c>
      <c r="O8339" s="61">
        <f t="shared" si="597"/>
        <v>1900</v>
      </c>
      <c r="P8339" s="61">
        <f t="shared" si="598"/>
        <v>1</v>
      </c>
    </row>
    <row r="8340" spans="9:16">
      <c r="I8340" s="213"/>
      <c r="J8340" s="213"/>
      <c r="L8340" s="272">
        <f t="shared" si="595"/>
        <v>1900</v>
      </c>
      <c r="M8340" s="272">
        <f t="shared" si="596"/>
        <v>1</v>
      </c>
      <c r="O8340" s="61">
        <f t="shared" si="597"/>
        <v>1900</v>
      </c>
      <c r="P8340" s="61">
        <f t="shared" si="598"/>
        <v>1</v>
      </c>
    </row>
    <row r="8341" spans="9:16">
      <c r="I8341" s="213"/>
      <c r="J8341" s="213"/>
      <c r="L8341" s="272">
        <f t="shared" si="595"/>
        <v>1900</v>
      </c>
      <c r="M8341" s="272">
        <f t="shared" si="596"/>
        <v>1</v>
      </c>
      <c r="O8341" s="61">
        <f t="shared" si="597"/>
        <v>1900</v>
      </c>
      <c r="P8341" s="61">
        <f t="shared" si="598"/>
        <v>1</v>
      </c>
    </row>
    <row r="8342" spans="9:16">
      <c r="I8342" s="213"/>
      <c r="J8342" s="213"/>
      <c r="L8342" s="272">
        <f t="shared" si="595"/>
        <v>1900</v>
      </c>
      <c r="M8342" s="272">
        <f t="shared" si="596"/>
        <v>1</v>
      </c>
      <c r="O8342" s="61">
        <f t="shared" si="597"/>
        <v>1900</v>
      </c>
      <c r="P8342" s="61">
        <f t="shared" si="598"/>
        <v>1</v>
      </c>
    </row>
    <row r="8343" spans="9:16">
      <c r="I8343" s="213"/>
      <c r="J8343" s="213"/>
      <c r="L8343" s="272">
        <f t="shared" si="595"/>
        <v>1900</v>
      </c>
      <c r="M8343" s="272">
        <f t="shared" si="596"/>
        <v>1</v>
      </c>
      <c r="O8343" s="61">
        <f t="shared" si="597"/>
        <v>1900</v>
      </c>
      <c r="P8343" s="61">
        <f t="shared" si="598"/>
        <v>1</v>
      </c>
    </row>
    <row r="8344" spans="9:16">
      <c r="I8344" s="213"/>
      <c r="J8344" s="213"/>
      <c r="L8344" s="272">
        <f t="shared" si="595"/>
        <v>1900</v>
      </c>
      <c r="M8344" s="272">
        <f t="shared" si="596"/>
        <v>1</v>
      </c>
      <c r="O8344" s="61">
        <f t="shared" si="597"/>
        <v>1900</v>
      </c>
      <c r="P8344" s="61">
        <f t="shared" si="598"/>
        <v>1</v>
      </c>
    </row>
    <row r="8345" spans="9:16">
      <c r="I8345" s="213"/>
      <c r="J8345" s="213"/>
      <c r="L8345" s="272">
        <f t="shared" si="595"/>
        <v>1900</v>
      </c>
      <c r="M8345" s="272">
        <f t="shared" si="596"/>
        <v>1</v>
      </c>
      <c r="O8345" s="61">
        <f t="shared" si="597"/>
        <v>1900</v>
      </c>
      <c r="P8345" s="61">
        <f t="shared" si="598"/>
        <v>1</v>
      </c>
    </row>
    <row r="8346" spans="9:16">
      <c r="I8346" s="213"/>
      <c r="J8346" s="213"/>
      <c r="L8346" s="272">
        <f t="shared" si="595"/>
        <v>1900</v>
      </c>
      <c r="M8346" s="272">
        <f t="shared" si="596"/>
        <v>1</v>
      </c>
      <c r="O8346" s="61">
        <f t="shared" si="597"/>
        <v>1900</v>
      </c>
      <c r="P8346" s="61">
        <f t="shared" si="598"/>
        <v>1</v>
      </c>
    </row>
    <row r="8347" spans="9:16">
      <c r="I8347" s="213"/>
      <c r="J8347" s="213"/>
      <c r="L8347" s="272">
        <f t="shared" si="595"/>
        <v>1900</v>
      </c>
      <c r="M8347" s="272">
        <f t="shared" si="596"/>
        <v>1</v>
      </c>
      <c r="O8347" s="61">
        <f t="shared" si="597"/>
        <v>1900</v>
      </c>
      <c r="P8347" s="61">
        <f t="shared" si="598"/>
        <v>1</v>
      </c>
    </row>
    <row r="8348" spans="9:16">
      <c r="I8348" s="213"/>
      <c r="J8348" s="213"/>
      <c r="L8348" s="272">
        <f t="shared" si="595"/>
        <v>1900</v>
      </c>
      <c r="M8348" s="272">
        <f t="shared" si="596"/>
        <v>1</v>
      </c>
      <c r="O8348" s="61">
        <f t="shared" si="597"/>
        <v>1900</v>
      </c>
      <c r="P8348" s="61">
        <f t="shared" si="598"/>
        <v>1</v>
      </c>
    </row>
    <row r="8349" spans="9:16">
      <c r="I8349" s="213"/>
      <c r="J8349" s="213"/>
      <c r="L8349" s="272">
        <f t="shared" si="595"/>
        <v>1900</v>
      </c>
      <c r="M8349" s="272">
        <f t="shared" si="596"/>
        <v>1</v>
      </c>
      <c r="O8349" s="61">
        <f t="shared" si="597"/>
        <v>1900</v>
      </c>
      <c r="P8349" s="61">
        <f t="shared" si="598"/>
        <v>1</v>
      </c>
    </row>
    <row r="8350" spans="9:16">
      <c r="I8350" s="213"/>
      <c r="J8350" s="213"/>
      <c r="L8350" s="272">
        <f t="shared" si="595"/>
        <v>1900</v>
      </c>
      <c r="M8350" s="272">
        <f t="shared" si="596"/>
        <v>1</v>
      </c>
      <c r="O8350" s="61">
        <f t="shared" si="597"/>
        <v>1900</v>
      </c>
      <c r="P8350" s="61">
        <f t="shared" si="598"/>
        <v>1</v>
      </c>
    </row>
    <row r="8351" spans="9:16">
      <c r="I8351" s="213"/>
      <c r="J8351" s="213"/>
      <c r="L8351" s="272">
        <f t="shared" si="595"/>
        <v>1900</v>
      </c>
      <c r="M8351" s="272">
        <f t="shared" si="596"/>
        <v>1</v>
      </c>
      <c r="O8351" s="61">
        <f t="shared" si="597"/>
        <v>1900</v>
      </c>
      <c r="P8351" s="61">
        <f t="shared" si="598"/>
        <v>1</v>
      </c>
    </row>
    <row r="8352" spans="9:16">
      <c r="I8352" s="213"/>
      <c r="J8352" s="213"/>
      <c r="L8352" s="272">
        <f t="shared" si="595"/>
        <v>1900</v>
      </c>
      <c r="M8352" s="272">
        <f t="shared" si="596"/>
        <v>1</v>
      </c>
      <c r="O8352" s="61">
        <f t="shared" si="597"/>
        <v>1900</v>
      </c>
      <c r="P8352" s="61">
        <f t="shared" si="598"/>
        <v>1</v>
      </c>
    </row>
    <row r="8353" spans="9:16">
      <c r="I8353" s="213"/>
      <c r="J8353" s="213"/>
      <c r="L8353" s="272">
        <f t="shared" si="595"/>
        <v>1900</v>
      </c>
      <c r="M8353" s="272">
        <f t="shared" si="596"/>
        <v>1</v>
      </c>
      <c r="O8353" s="61">
        <f t="shared" si="597"/>
        <v>1900</v>
      </c>
      <c r="P8353" s="61">
        <f t="shared" si="598"/>
        <v>1</v>
      </c>
    </row>
    <row r="8354" spans="9:16">
      <c r="I8354" s="213"/>
      <c r="J8354" s="213"/>
      <c r="L8354" s="272">
        <f t="shared" si="595"/>
        <v>1900</v>
      </c>
      <c r="M8354" s="272">
        <f t="shared" si="596"/>
        <v>1</v>
      </c>
      <c r="O8354" s="61">
        <f t="shared" si="597"/>
        <v>1900</v>
      </c>
      <c r="P8354" s="61">
        <f t="shared" si="598"/>
        <v>1</v>
      </c>
    </row>
    <row r="8355" spans="9:16">
      <c r="I8355" s="213"/>
      <c r="J8355" s="213"/>
      <c r="L8355" s="272">
        <f t="shared" si="595"/>
        <v>1900</v>
      </c>
      <c r="M8355" s="272">
        <f t="shared" si="596"/>
        <v>1</v>
      </c>
      <c r="O8355" s="61">
        <f t="shared" si="597"/>
        <v>1900</v>
      </c>
      <c r="P8355" s="61">
        <f t="shared" si="598"/>
        <v>1</v>
      </c>
    </row>
    <row r="8356" spans="9:16">
      <c r="I8356" s="213"/>
      <c r="J8356" s="213"/>
      <c r="L8356" s="272">
        <f t="shared" si="595"/>
        <v>1900</v>
      </c>
      <c r="M8356" s="272">
        <f t="shared" si="596"/>
        <v>1</v>
      </c>
      <c r="O8356" s="61">
        <f t="shared" si="597"/>
        <v>1900</v>
      </c>
      <c r="P8356" s="61">
        <f t="shared" si="598"/>
        <v>1</v>
      </c>
    </row>
    <row r="8357" spans="9:16">
      <c r="I8357" s="213"/>
      <c r="J8357" s="213"/>
      <c r="L8357" s="272">
        <f t="shared" si="595"/>
        <v>1900</v>
      </c>
      <c r="M8357" s="272">
        <f t="shared" si="596"/>
        <v>1</v>
      </c>
      <c r="O8357" s="61">
        <f t="shared" si="597"/>
        <v>1900</v>
      </c>
      <c r="P8357" s="61">
        <f t="shared" si="598"/>
        <v>1</v>
      </c>
    </row>
    <row r="8358" spans="9:16">
      <c r="I8358" s="213"/>
      <c r="J8358" s="213"/>
      <c r="L8358" s="272">
        <f t="shared" si="595"/>
        <v>1900</v>
      </c>
      <c r="M8358" s="272">
        <f t="shared" si="596"/>
        <v>1</v>
      </c>
      <c r="O8358" s="61">
        <f t="shared" si="597"/>
        <v>1900</v>
      </c>
      <c r="P8358" s="61">
        <f t="shared" si="598"/>
        <v>1</v>
      </c>
    </row>
    <row r="8359" spans="9:16">
      <c r="I8359" s="213"/>
      <c r="J8359" s="213"/>
      <c r="L8359" s="272">
        <f t="shared" si="595"/>
        <v>1900</v>
      </c>
      <c r="M8359" s="272">
        <f t="shared" si="596"/>
        <v>1</v>
      </c>
      <c r="O8359" s="61">
        <f t="shared" si="597"/>
        <v>1900</v>
      </c>
      <c r="P8359" s="61">
        <f t="shared" si="598"/>
        <v>1</v>
      </c>
    </row>
    <row r="8360" spans="9:16">
      <c r="I8360" s="213"/>
      <c r="J8360" s="213"/>
      <c r="L8360" s="272">
        <f t="shared" si="595"/>
        <v>1900</v>
      </c>
      <c r="M8360" s="272">
        <f t="shared" si="596"/>
        <v>1</v>
      </c>
      <c r="O8360" s="61">
        <f t="shared" si="597"/>
        <v>1900</v>
      </c>
      <c r="P8360" s="61">
        <f t="shared" si="598"/>
        <v>1</v>
      </c>
    </row>
    <row r="8361" spans="9:16">
      <c r="I8361" s="213"/>
      <c r="J8361" s="213"/>
      <c r="L8361" s="272">
        <f t="shared" si="595"/>
        <v>1900</v>
      </c>
      <c r="M8361" s="272">
        <f t="shared" si="596"/>
        <v>1</v>
      </c>
      <c r="O8361" s="61">
        <f t="shared" si="597"/>
        <v>1900</v>
      </c>
      <c r="P8361" s="61">
        <f t="shared" si="598"/>
        <v>1</v>
      </c>
    </row>
    <row r="8362" spans="9:16">
      <c r="I8362" s="213"/>
      <c r="J8362" s="213"/>
      <c r="L8362" s="272">
        <f t="shared" si="595"/>
        <v>1900</v>
      </c>
      <c r="M8362" s="272">
        <f t="shared" si="596"/>
        <v>1</v>
      </c>
      <c r="O8362" s="61">
        <f t="shared" si="597"/>
        <v>1900</v>
      </c>
      <c r="P8362" s="61">
        <f t="shared" si="598"/>
        <v>1</v>
      </c>
    </row>
    <row r="8363" spans="9:16">
      <c r="I8363" s="213"/>
      <c r="J8363" s="213"/>
      <c r="L8363" s="272">
        <f t="shared" si="595"/>
        <v>1900</v>
      </c>
      <c r="M8363" s="272">
        <f t="shared" si="596"/>
        <v>1</v>
      </c>
      <c r="O8363" s="61">
        <f t="shared" si="597"/>
        <v>1900</v>
      </c>
      <c r="P8363" s="61">
        <f t="shared" si="598"/>
        <v>1</v>
      </c>
    </row>
    <row r="8364" spans="9:16">
      <c r="I8364" s="213"/>
      <c r="J8364" s="213"/>
      <c r="L8364" s="272">
        <f t="shared" si="595"/>
        <v>1900</v>
      </c>
      <c r="M8364" s="272">
        <f t="shared" si="596"/>
        <v>1</v>
      </c>
      <c r="O8364" s="61">
        <f t="shared" si="597"/>
        <v>1900</v>
      </c>
      <c r="P8364" s="61">
        <f t="shared" si="598"/>
        <v>1</v>
      </c>
    </row>
    <row r="8365" spans="9:16">
      <c r="I8365" s="213"/>
      <c r="J8365" s="213"/>
      <c r="L8365" s="272">
        <f t="shared" si="595"/>
        <v>1900</v>
      </c>
      <c r="M8365" s="272">
        <f t="shared" si="596"/>
        <v>1</v>
      </c>
      <c r="O8365" s="61">
        <f t="shared" si="597"/>
        <v>1900</v>
      </c>
      <c r="P8365" s="61">
        <f t="shared" si="598"/>
        <v>1</v>
      </c>
    </row>
    <row r="8366" spans="9:16">
      <c r="I8366" s="213"/>
      <c r="J8366" s="213"/>
      <c r="L8366" s="272">
        <f t="shared" si="595"/>
        <v>1900</v>
      </c>
      <c r="M8366" s="272">
        <f t="shared" si="596"/>
        <v>1</v>
      </c>
      <c r="O8366" s="61">
        <f t="shared" si="597"/>
        <v>1900</v>
      </c>
      <c r="P8366" s="61">
        <f t="shared" si="598"/>
        <v>1</v>
      </c>
    </row>
    <row r="8367" spans="9:16">
      <c r="I8367" s="213"/>
      <c r="J8367" s="213"/>
      <c r="L8367" s="272">
        <f t="shared" si="595"/>
        <v>1900</v>
      </c>
      <c r="M8367" s="272">
        <f t="shared" si="596"/>
        <v>1</v>
      </c>
      <c r="O8367" s="61">
        <f t="shared" si="597"/>
        <v>1900</v>
      </c>
      <c r="P8367" s="61">
        <f t="shared" si="598"/>
        <v>1</v>
      </c>
    </row>
    <row r="8368" spans="9:16">
      <c r="I8368" s="213"/>
      <c r="J8368" s="213"/>
      <c r="L8368" s="272">
        <f t="shared" si="595"/>
        <v>1900</v>
      </c>
      <c r="M8368" s="272">
        <f t="shared" si="596"/>
        <v>1</v>
      </c>
      <c r="O8368" s="61">
        <f t="shared" si="597"/>
        <v>1900</v>
      </c>
      <c r="P8368" s="61">
        <f t="shared" si="598"/>
        <v>1</v>
      </c>
    </row>
    <row r="8369" spans="9:16">
      <c r="I8369" s="213"/>
      <c r="J8369" s="213"/>
      <c r="L8369" s="272">
        <f t="shared" si="595"/>
        <v>1900</v>
      </c>
      <c r="M8369" s="272">
        <f t="shared" si="596"/>
        <v>1</v>
      </c>
      <c r="O8369" s="61">
        <f t="shared" si="597"/>
        <v>1900</v>
      </c>
      <c r="P8369" s="61">
        <f t="shared" si="598"/>
        <v>1</v>
      </c>
    </row>
    <row r="8370" spans="9:16">
      <c r="I8370" s="213"/>
      <c r="J8370" s="213"/>
      <c r="L8370" s="272">
        <f t="shared" si="595"/>
        <v>1900</v>
      </c>
      <c r="M8370" s="272">
        <f t="shared" si="596"/>
        <v>1</v>
      </c>
      <c r="O8370" s="61">
        <f t="shared" si="597"/>
        <v>1900</v>
      </c>
      <c r="P8370" s="61">
        <f t="shared" si="598"/>
        <v>1</v>
      </c>
    </row>
    <row r="8371" spans="9:16">
      <c r="I8371" s="213"/>
      <c r="J8371" s="213"/>
      <c r="L8371" s="272">
        <f t="shared" si="595"/>
        <v>1900</v>
      </c>
      <c r="M8371" s="272">
        <f t="shared" si="596"/>
        <v>1</v>
      </c>
      <c r="O8371" s="61">
        <f t="shared" si="597"/>
        <v>1900</v>
      </c>
      <c r="P8371" s="61">
        <f t="shared" si="598"/>
        <v>1</v>
      </c>
    </row>
    <row r="8372" spans="9:16">
      <c r="I8372" s="213"/>
      <c r="J8372" s="213"/>
      <c r="L8372" s="272">
        <f t="shared" si="595"/>
        <v>1900</v>
      </c>
      <c r="M8372" s="272">
        <f t="shared" si="596"/>
        <v>1</v>
      </c>
      <c r="O8372" s="61">
        <f t="shared" si="597"/>
        <v>1900</v>
      </c>
      <c r="P8372" s="61">
        <f t="shared" si="598"/>
        <v>1</v>
      </c>
    </row>
    <row r="8373" spans="9:16">
      <c r="I8373" s="213"/>
      <c r="J8373" s="213"/>
      <c r="L8373" s="272">
        <f t="shared" si="595"/>
        <v>1900</v>
      </c>
      <c r="M8373" s="272">
        <f t="shared" si="596"/>
        <v>1</v>
      </c>
      <c r="O8373" s="61">
        <f t="shared" si="597"/>
        <v>1900</v>
      </c>
      <c r="P8373" s="61">
        <f t="shared" si="598"/>
        <v>1</v>
      </c>
    </row>
    <row r="8374" spans="9:16">
      <c r="I8374" s="213"/>
      <c r="J8374" s="213"/>
      <c r="L8374" s="272">
        <f t="shared" si="595"/>
        <v>1900</v>
      </c>
      <c r="M8374" s="272">
        <f t="shared" si="596"/>
        <v>1</v>
      </c>
      <c r="O8374" s="61">
        <f t="shared" si="597"/>
        <v>1900</v>
      </c>
      <c r="P8374" s="61">
        <f t="shared" si="598"/>
        <v>1</v>
      </c>
    </row>
    <row r="8375" spans="9:16">
      <c r="I8375" s="213"/>
      <c r="J8375" s="213"/>
      <c r="L8375" s="272">
        <f t="shared" si="595"/>
        <v>1900</v>
      </c>
      <c r="M8375" s="272">
        <f t="shared" si="596"/>
        <v>1</v>
      </c>
      <c r="O8375" s="61">
        <f t="shared" si="597"/>
        <v>1900</v>
      </c>
      <c r="P8375" s="61">
        <f t="shared" si="598"/>
        <v>1</v>
      </c>
    </row>
    <row r="8376" spans="9:16">
      <c r="I8376" s="213"/>
      <c r="J8376" s="213"/>
      <c r="L8376" s="272">
        <f t="shared" si="595"/>
        <v>1900</v>
      </c>
      <c r="M8376" s="272">
        <f t="shared" si="596"/>
        <v>1</v>
      </c>
      <c r="O8376" s="61">
        <f t="shared" si="597"/>
        <v>1900</v>
      </c>
      <c r="P8376" s="61">
        <f t="shared" si="598"/>
        <v>1</v>
      </c>
    </row>
    <row r="8377" spans="9:16">
      <c r="I8377" s="213"/>
      <c r="J8377" s="213"/>
      <c r="L8377" s="272">
        <f t="shared" si="595"/>
        <v>1900</v>
      </c>
      <c r="M8377" s="272">
        <f t="shared" si="596"/>
        <v>1</v>
      </c>
      <c r="O8377" s="61">
        <f t="shared" si="597"/>
        <v>1900</v>
      </c>
      <c r="P8377" s="61">
        <f t="shared" si="598"/>
        <v>1</v>
      </c>
    </row>
    <row r="8378" spans="9:16">
      <c r="I8378" s="213"/>
      <c r="J8378" s="213"/>
      <c r="L8378" s="272">
        <f t="shared" si="595"/>
        <v>1900</v>
      </c>
      <c r="M8378" s="272">
        <f t="shared" si="596"/>
        <v>1</v>
      </c>
      <c r="O8378" s="61">
        <f t="shared" si="597"/>
        <v>1900</v>
      </c>
      <c r="P8378" s="61">
        <f t="shared" si="598"/>
        <v>1</v>
      </c>
    </row>
    <row r="8379" spans="9:16">
      <c r="I8379" s="213"/>
      <c r="J8379" s="213"/>
      <c r="L8379" s="272">
        <f t="shared" si="595"/>
        <v>1900</v>
      </c>
      <c r="M8379" s="272">
        <f t="shared" si="596"/>
        <v>1</v>
      </c>
      <c r="O8379" s="61">
        <f t="shared" si="597"/>
        <v>1900</v>
      </c>
      <c r="P8379" s="61">
        <f t="shared" si="598"/>
        <v>1</v>
      </c>
    </row>
    <row r="8380" spans="9:16">
      <c r="I8380" s="213"/>
      <c r="J8380" s="213"/>
      <c r="L8380" s="272">
        <f t="shared" si="595"/>
        <v>1900</v>
      </c>
      <c r="M8380" s="272">
        <f t="shared" si="596"/>
        <v>1</v>
      </c>
      <c r="O8380" s="61">
        <f t="shared" si="597"/>
        <v>1900</v>
      </c>
      <c r="P8380" s="61">
        <f t="shared" si="598"/>
        <v>1</v>
      </c>
    </row>
    <row r="8381" spans="9:16">
      <c r="I8381" s="213"/>
      <c r="J8381" s="213"/>
      <c r="L8381" s="272">
        <f t="shared" si="595"/>
        <v>1900</v>
      </c>
      <c r="M8381" s="272">
        <f t="shared" si="596"/>
        <v>1</v>
      </c>
      <c r="O8381" s="61">
        <f t="shared" si="597"/>
        <v>1900</v>
      </c>
      <c r="P8381" s="61">
        <f t="shared" si="598"/>
        <v>1</v>
      </c>
    </row>
    <row r="8382" spans="9:16">
      <c r="I8382" s="213"/>
      <c r="J8382" s="213"/>
      <c r="L8382" s="272">
        <f t="shared" si="595"/>
        <v>1900</v>
      </c>
      <c r="M8382" s="272">
        <f t="shared" si="596"/>
        <v>1</v>
      </c>
      <c r="O8382" s="61">
        <f t="shared" si="597"/>
        <v>1900</v>
      </c>
      <c r="P8382" s="61">
        <f t="shared" si="598"/>
        <v>1</v>
      </c>
    </row>
    <row r="8383" spans="9:16">
      <c r="I8383" s="213"/>
      <c r="J8383" s="213"/>
      <c r="L8383" s="272">
        <f t="shared" si="595"/>
        <v>1900</v>
      </c>
      <c r="M8383" s="272">
        <f t="shared" si="596"/>
        <v>1</v>
      </c>
      <c r="O8383" s="61">
        <f t="shared" si="597"/>
        <v>1900</v>
      </c>
      <c r="P8383" s="61">
        <f t="shared" si="598"/>
        <v>1</v>
      </c>
    </row>
    <row r="8384" spans="9:16">
      <c r="I8384" s="213"/>
      <c r="J8384" s="213"/>
      <c r="L8384" s="272">
        <f t="shared" si="595"/>
        <v>1900</v>
      </c>
      <c r="M8384" s="272">
        <f t="shared" si="596"/>
        <v>1</v>
      </c>
      <c r="O8384" s="61">
        <f t="shared" si="597"/>
        <v>1900</v>
      </c>
      <c r="P8384" s="61">
        <f t="shared" si="598"/>
        <v>1</v>
      </c>
    </row>
    <row r="8385" spans="9:16">
      <c r="I8385" s="213"/>
      <c r="J8385" s="213"/>
      <c r="L8385" s="272">
        <f t="shared" si="595"/>
        <v>1900</v>
      </c>
      <c r="M8385" s="272">
        <f t="shared" si="596"/>
        <v>1</v>
      </c>
      <c r="O8385" s="61">
        <f t="shared" si="597"/>
        <v>1900</v>
      </c>
      <c r="P8385" s="61">
        <f t="shared" si="598"/>
        <v>1</v>
      </c>
    </row>
    <row r="8386" spans="9:16">
      <c r="I8386" s="213"/>
      <c r="J8386" s="213"/>
      <c r="L8386" s="272">
        <f t="shared" si="595"/>
        <v>1900</v>
      </c>
      <c r="M8386" s="272">
        <f t="shared" si="596"/>
        <v>1</v>
      </c>
      <c r="O8386" s="61">
        <f t="shared" si="597"/>
        <v>1900</v>
      </c>
      <c r="P8386" s="61">
        <f t="shared" si="598"/>
        <v>1</v>
      </c>
    </row>
    <row r="8387" spans="9:16">
      <c r="I8387" s="213"/>
      <c r="J8387" s="213"/>
      <c r="L8387" s="272">
        <f t="shared" si="595"/>
        <v>1900</v>
      </c>
      <c r="M8387" s="272">
        <f t="shared" si="596"/>
        <v>1</v>
      </c>
      <c r="O8387" s="61">
        <f t="shared" si="597"/>
        <v>1900</v>
      </c>
      <c r="P8387" s="61">
        <f t="shared" si="598"/>
        <v>1</v>
      </c>
    </row>
    <row r="8388" spans="9:16">
      <c r="I8388" s="213"/>
      <c r="J8388" s="213"/>
      <c r="L8388" s="272">
        <f t="shared" si="595"/>
        <v>1900</v>
      </c>
      <c r="M8388" s="272">
        <f t="shared" si="596"/>
        <v>1</v>
      </c>
      <c r="O8388" s="61">
        <f t="shared" si="597"/>
        <v>1900</v>
      </c>
      <c r="P8388" s="61">
        <f t="shared" si="598"/>
        <v>1</v>
      </c>
    </row>
    <row r="8389" spans="9:16">
      <c r="I8389" s="213"/>
      <c r="J8389" s="213"/>
      <c r="L8389" s="272">
        <f t="shared" si="595"/>
        <v>1900</v>
      </c>
      <c r="M8389" s="272">
        <f t="shared" si="596"/>
        <v>1</v>
      </c>
      <c r="O8389" s="61">
        <f t="shared" si="597"/>
        <v>1900</v>
      </c>
      <c r="P8389" s="61">
        <f t="shared" si="598"/>
        <v>1</v>
      </c>
    </row>
    <row r="8390" spans="9:16">
      <c r="I8390" s="213"/>
      <c r="J8390" s="213"/>
      <c r="L8390" s="272">
        <f t="shared" si="595"/>
        <v>1900</v>
      </c>
      <c r="M8390" s="272">
        <f t="shared" si="596"/>
        <v>1</v>
      </c>
      <c r="O8390" s="61">
        <f t="shared" si="597"/>
        <v>1900</v>
      </c>
      <c r="P8390" s="61">
        <f t="shared" si="598"/>
        <v>1</v>
      </c>
    </row>
    <row r="8391" spans="9:16">
      <c r="I8391" s="213"/>
      <c r="J8391" s="213"/>
      <c r="L8391" s="272">
        <f t="shared" si="595"/>
        <v>1900</v>
      </c>
      <c r="M8391" s="272">
        <f t="shared" si="596"/>
        <v>1</v>
      </c>
      <c r="O8391" s="61">
        <f t="shared" si="597"/>
        <v>1900</v>
      </c>
      <c r="P8391" s="61">
        <f t="shared" si="598"/>
        <v>1</v>
      </c>
    </row>
    <row r="8392" spans="9:16">
      <c r="I8392" s="213"/>
      <c r="J8392" s="213"/>
      <c r="L8392" s="272">
        <f t="shared" si="595"/>
        <v>1900</v>
      </c>
      <c r="M8392" s="272">
        <f t="shared" si="596"/>
        <v>1</v>
      </c>
      <c r="O8392" s="61">
        <f t="shared" si="597"/>
        <v>1900</v>
      </c>
      <c r="P8392" s="61">
        <f t="shared" si="598"/>
        <v>1</v>
      </c>
    </row>
    <row r="8393" spans="9:16">
      <c r="I8393" s="213"/>
      <c r="J8393" s="213"/>
      <c r="L8393" s="272">
        <f t="shared" si="595"/>
        <v>1900</v>
      </c>
      <c r="M8393" s="272">
        <f t="shared" si="596"/>
        <v>1</v>
      </c>
      <c r="O8393" s="61">
        <f t="shared" si="597"/>
        <v>1900</v>
      </c>
      <c r="P8393" s="61">
        <f t="shared" si="598"/>
        <v>1</v>
      </c>
    </row>
    <row r="8394" spans="9:16">
      <c r="I8394" s="213"/>
      <c r="J8394" s="213"/>
      <c r="L8394" s="272">
        <f t="shared" si="595"/>
        <v>1900</v>
      </c>
      <c r="M8394" s="272">
        <f t="shared" si="596"/>
        <v>1</v>
      </c>
      <c r="O8394" s="61">
        <f t="shared" si="597"/>
        <v>1900</v>
      </c>
      <c r="P8394" s="61">
        <f t="shared" si="598"/>
        <v>1</v>
      </c>
    </row>
    <row r="8395" spans="9:16">
      <c r="I8395" s="213"/>
      <c r="J8395" s="213"/>
      <c r="L8395" s="272">
        <f t="shared" si="595"/>
        <v>1900</v>
      </c>
      <c r="M8395" s="272">
        <f t="shared" si="596"/>
        <v>1</v>
      </c>
      <c r="O8395" s="61">
        <f t="shared" si="597"/>
        <v>1900</v>
      </c>
      <c r="P8395" s="61">
        <f t="shared" si="598"/>
        <v>1</v>
      </c>
    </row>
    <row r="8396" spans="9:16">
      <c r="I8396" s="213"/>
      <c r="J8396" s="213"/>
      <c r="L8396" s="272">
        <f t="shared" si="595"/>
        <v>1900</v>
      </c>
      <c r="M8396" s="272">
        <f t="shared" si="596"/>
        <v>1</v>
      </c>
      <c r="O8396" s="61">
        <f t="shared" si="597"/>
        <v>1900</v>
      </c>
      <c r="P8396" s="61">
        <f t="shared" si="598"/>
        <v>1</v>
      </c>
    </row>
    <row r="8397" spans="9:16">
      <c r="I8397" s="213"/>
      <c r="J8397" s="213"/>
      <c r="L8397" s="272">
        <f t="shared" si="595"/>
        <v>1900</v>
      </c>
      <c r="M8397" s="272">
        <f t="shared" si="596"/>
        <v>1</v>
      </c>
      <c r="O8397" s="61">
        <f t="shared" si="597"/>
        <v>1900</v>
      </c>
      <c r="P8397" s="61">
        <f t="shared" si="598"/>
        <v>1</v>
      </c>
    </row>
    <row r="8398" spans="9:16">
      <c r="I8398" s="213"/>
      <c r="J8398" s="213"/>
      <c r="L8398" s="272">
        <f t="shared" si="595"/>
        <v>1900</v>
      </c>
      <c r="M8398" s="272">
        <f t="shared" si="596"/>
        <v>1</v>
      </c>
      <c r="O8398" s="61">
        <f t="shared" si="597"/>
        <v>1900</v>
      </c>
      <c r="P8398" s="61">
        <f t="shared" si="598"/>
        <v>1</v>
      </c>
    </row>
    <row r="8399" spans="9:16">
      <c r="I8399" s="213"/>
      <c r="J8399" s="213"/>
      <c r="L8399" s="272">
        <f t="shared" si="595"/>
        <v>1900</v>
      </c>
      <c r="M8399" s="272">
        <f t="shared" si="596"/>
        <v>1</v>
      </c>
      <c r="O8399" s="61">
        <f t="shared" si="597"/>
        <v>1900</v>
      </c>
      <c r="P8399" s="61">
        <f t="shared" si="598"/>
        <v>1</v>
      </c>
    </row>
    <row r="8400" spans="9:16">
      <c r="I8400" s="213"/>
      <c r="J8400" s="213"/>
      <c r="L8400" s="272">
        <f t="shared" ref="L8400:L8463" si="599">YEAR(B8400)</f>
        <v>1900</v>
      </c>
      <c r="M8400" s="272">
        <f t="shared" ref="M8400:M8463" si="600">MONTH(B8400)</f>
        <v>1</v>
      </c>
      <c r="O8400" s="61">
        <f t="shared" ref="O8400:O8463" si="601">YEAR(B8400)</f>
        <v>1900</v>
      </c>
      <c r="P8400" s="61">
        <f t="shared" ref="P8400:P8463" si="602">MONTH(B8400)</f>
        <v>1</v>
      </c>
    </row>
    <row r="8401" spans="9:16">
      <c r="I8401" s="213"/>
      <c r="J8401" s="213"/>
      <c r="L8401" s="272">
        <f t="shared" si="599"/>
        <v>1900</v>
      </c>
      <c r="M8401" s="272">
        <f t="shared" si="600"/>
        <v>1</v>
      </c>
      <c r="O8401" s="61">
        <f t="shared" si="601"/>
        <v>1900</v>
      </c>
      <c r="P8401" s="61">
        <f t="shared" si="602"/>
        <v>1</v>
      </c>
    </row>
    <row r="8402" spans="9:16">
      <c r="I8402" s="213"/>
      <c r="J8402" s="213"/>
      <c r="L8402" s="272">
        <f t="shared" si="599"/>
        <v>1900</v>
      </c>
      <c r="M8402" s="272">
        <f t="shared" si="600"/>
        <v>1</v>
      </c>
      <c r="O8402" s="61">
        <f t="shared" si="601"/>
        <v>1900</v>
      </c>
      <c r="P8402" s="61">
        <f t="shared" si="602"/>
        <v>1</v>
      </c>
    </row>
    <row r="8403" spans="9:16">
      <c r="I8403" s="213"/>
      <c r="J8403" s="213"/>
      <c r="L8403" s="272">
        <f t="shared" si="599"/>
        <v>1900</v>
      </c>
      <c r="M8403" s="272">
        <f t="shared" si="600"/>
        <v>1</v>
      </c>
      <c r="O8403" s="61">
        <f t="shared" si="601"/>
        <v>1900</v>
      </c>
      <c r="P8403" s="61">
        <f t="shared" si="602"/>
        <v>1</v>
      </c>
    </row>
    <row r="8404" spans="9:16">
      <c r="I8404" s="213"/>
      <c r="J8404" s="213"/>
      <c r="L8404" s="272">
        <f t="shared" si="599"/>
        <v>1900</v>
      </c>
      <c r="M8404" s="272">
        <f t="shared" si="600"/>
        <v>1</v>
      </c>
      <c r="O8404" s="61">
        <f t="shared" si="601"/>
        <v>1900</v>
      </c>
      <c r="P8404" s="61">
        <f t="shared" si="602"/>
        <v>1</v>
      </c>
    </row>
    <row r="8405" spans="9:16">
      <c r="I8405" s="213"/>
      <c r="J8405" s="213"/>
      <c r="L8405" s="272">
        <f t="shared" si="599"/>
        <v>1900</v>
      </c>
      <c r="M8405" s="272">
        <f t="shared" si="600"/>
        <v>1</v>
      </c>
      <c r="O8405" s="61">
        <f t="shared" si="601"/>
        <v>1900</v>
      </c>
      <c r="P8405" s="61">
        <f t="shared" si="602"/>
        <v>1</v>
      </c>
    </row>
    <row r="8406" spans="9:16">
      <c r="I8406" s="213"/>
      <c r="J8406" s="213"/>
      <c r="L8406" s="272">
        <f t="shared" si="599"/>
        <v>1900</v>
      </c>
      <c r="M8406" s="272">
        <f t="shared" si="600"/>
        <v>1</v>
      </c>
      <c r="O8406" s="61">
        <f t="shared" si="601"/>
        <v>1900</v>
      </c>
      <c r="P8406" s="61">
        <f t="shared" si="602"/>
        <v>1</v>
      </c>
    </row>
    <row r="8407" spans="9:16">
      <c r="I8407" s="213"/>
      <c r="J8407" s="213"/>
      <c r="L8407" s="272">
        <f t="shared" si="599"/>
        <v>1900</v>
      </c>
      <c r="M8407" s="272">
        <f t="shared" si="600"/>
        <v>1</v>
      </c>
      <c r="O8407" s="61">
        <f t="shared" si="601"/>
        <v>1900</v>
      </c>
      <c r="P8407" s="61">
        <f t="shared" si="602"/>
        <v>1</v>
      </c>
    </row>
    <row r="8408" spans="9:16">
      <c r="I8408" s="213"/>
      <c r="J8408" s="213"/>
      <c r="L8408" s="272">
        <f t="shared" si="599"/>
        <v>1900</v>
      </c>
      <c r="M8408" s="272">
        <f t="shared" si="600"/>
        <v>1</v>
      </c>
      <c r="O8408" s="61">
        <f t="shared" si="601"/>
        <v>1900</v>
      </c>
      <c r="P8408" s="61">
        <f t="shared" si="602"/>
        <v>1</v>
      </c>
    </row>
    <row r="8409" spans="9:16">
      <c r="I8409" s="213"/>
      <c r="J8409" s="213"/>
      <c r="L8409" s="272">
        <f t="shared" si="599"/>
        <v>1900</v>
      </c>
      <c r="M8409" s="272">
        <f t="shared" si="600"/>
        <v>1</v>
      </c>
      <c r="O8409" s="61">
        <f t="shared" si="601"/>
        <v>1900</v>
      </c>
      <c r="P8409" s="61">
        <f t="shared" si="602"/>
        <v>1</v>
      </c>
    </row>
    <row r="8410" spans="9:16">
      <c r="I8410" s="213"/>
      <c r="J8410" s="213"/>
      <c r="L8410" s="272">
        <f t="shared" si="599"/>
        <v>1900</v>
      </c>
      <c r="M8410" s="272">
        <f t="shared" si="600"/>
        <v>1</v>
      </c>
      <c r="O8410" s="61">
        <f t="shared" si="601"/>
        <v>1900</v>
      </c>
      <c r="P8410" s="61">
        <f t="shared" si="602"/>
        <v>1</v>
      </c>
    </row>
    <row r="8411" spans="9:16">
      <c r="I8411" s="213"/>
      <c r="J8411" s="213"/>
      <c r="L8411" s="272">
        <f t="shared" si="599"/>
        <v>1900</v>
      </c>
      <c r="M8411" s="272">
        <f t="shared" si="600"/>
        <v>1</v>
      </c>
      <c r="O8411" s="61">
        <f t="shared" si="601"/>
        <v>1900</v>
      </c>
      <c r="P8411" s="61">
        <f t="shared" si="602"/>
        <v>1</v>
      </c>
    </row>
    <row r="8412" spans="9:16">
      <c r="I8412" s="213"/>
      <c r="J8412" s="213"/>
      <c r="L8412" s="272">
        <f t="shared" si="599"/>
        <v>1900</v>
      </c>
      <c r="M8412" s="272">
        <f t="shared" si="600"/>
        <v>1</v>
      </c>
      <c r="O8412" s="61">
        <f t="shared" si="601"/>
        <v>1900</v>
      </c>
      <c r="P8412" s="61">
        <f t="shared" si="602"/>
        <v>1</v>
      </c>
    </row>
    <row r="8413" spans="9:16">
      <c r="I8413" s="213"/>
      <c r="J8413" s="213"/>
      <c r="L8413" s="272">
        <f t="shared" si="599"/>
        <v>1900</v>
      </c>
      <c r="M8413" s="272">
        <f t="shared" si="600"/>
        <v>1</v>
      </c>
      <c r="O8413" s="61">
        <f t="shared" si="601"/>
        <v>1900</v>
      </c>
      <c r="P8413" s="61">
        <f t="shared" si="602"/>
        <v>1</v>
      </c>
    </row>
    <row r="8414" spans="9:16">
      <c r="I8414" s="213"/>
      <c r="J8414" s="213"/>
      <c r="L8414" s="272">
        <f t="shared" si="599"/>
        <v>1900</v>
      </c>
      <c r="M8414" s="272">
        <f t="shared" si="600"/>
        <v>1</v>
      </c>
      <c r="O8414" s="61">
        <f t="shared" si="601"/>
        <v>1900</v>
      </c>
      <c r="P8414" s="61">
        <f t="shared" si="602"/>
        <v>1</v>
      </c>
    </row>
    <row r="8415" spans="9:16">
      <c r="I8415" s="213"/>
      <c r="J8415" s="213"/>
      <c r="L8415" s="272">
        <f t="shared" si="599"/>
        <v>1900</v>
      </c>
      <c r="M8415" s="272">
        <f t="shared" si="600"/>
        <v>1</v>
      </c>
      <c r="O8415" s="61">
        <f t="shared" si="601"/>
        <v>1900</v>
      </c>
      <c r="P8415" s="61">
        <f t="shared" si="602"/>
        <v>1</v>
      </c>
    </row>
    <row r="8416" spans="9:16">
      <c r="I8416" s="213"/>
      <c r="J8416" s="213"/>
      <c r="L8416" s="272">
        <f t="shared" si="599"/>
        <v>1900</v>
      </c>
      <c r="M8416" s="272">
        <f t="shared" si="600"/>
        <v>1</v>
      </c>
      <c r="O8416" s="61">
        <f t="shared" si="601"/>
        <v>1900</v>
      </c>
      <c r="P8416" s="61">
        <f t="shared" si="602"/>
        <v>1</v>
      </c>
    </row>
    <row r="8417" spans="9:16">
      <c r="I8417" s="213"/>
      <c r="J8417" s="213"/>
      <c r="L8417" s="272">
        <f t="shared" si="599"/>
        <v>1900</v>
      </c>
      <c r="M8417" s="272">
        <f t="shared" si="600"/>
        <v>1</v>
      </c>
      <c r="O8417" s="61">
        <f t="shared" si="601"/>
        <v>1900</v>
      </c>
      <c r="P8417" s="61">
        <f t="shared" si="602"/>
        <v>1</v>
      </c>
    </row>
    <row r="8418" spans="9:16">
      <c r="I8418" s="213"/>
      <c r="J8418" s="213"/>
      <c r="L8418" s="272">
        <f t="shared" si="599"/>
        <v>1900</v>
      </c>
      <c r="M8418" s="272">
        <f t="shared" si="600"/>
        <v>1</v>
      </c>
      <c r="O8418" s="61">
        <f t="shared" si="601"/>
        <v>1900</v>
      </c>
      <c r="P8418" s="61">
        <f t="shared" si="602"/>
        <v>1</v>
      </c>
    </row>
    <row r="8419" spans="9:16">
      <c r="I8419" s="213"/>
      <c r="J8419" s="213"/>
      <c r="L8419" s="272">
        <f t="shared" si="599"/>
        <v>1900</v>
      </c>
      <c r="M8419" s="272">
        <f t="shared" si="600"/>
        <v>1</v>
      </c>
      <c r="O8419" s="61">
        <f t="shared" si="601"/>
        <v>1900</v>
      </c>
      <c r="P8419" s="61">
        <f t="shared" si="602"/>
        <v>1</v>
      </c>
    </row>
    <row r="8420" spans="9:16">
      <c r="I8420" s="213"/>
      <c r="J8420" s="213"/>
      <c r="L8420" s="272">
        <f t="shared" si="599"/>
        <v>1900</v>
      </c>
      <c r="M8420" s="272">
        <f t="shared" si="600"/>
        <v>1</v>
      </c>
      <c r="O8420" s="61">
        <f t="shared" si="601"/>
        <v>1900</v>
      </c>
      <c r="P8420" s="61">
        <f t="shared" si="602"/>
        <v>1</v>
      </c>
    </row>
    <row r="8421" spans="9:16">
      <c r="I8421" s="213"/>
      <c r="J8421" s="213"/>
      <c r="L8421" s="272">
        <f t="shared" si="599"/>
        <v>1900</v>
      </c>
      <c r="M8421" s="272">
        <f t="shared" si="600"/>
        <v>1</v>
      </c>
      <c r="O8421" s="61">
        <f t="shared" si="601"/>
        <v>1900</v>
      </c>
      <c r="P8421" s="61">
        <f t="shared" si="602"/>
        <v>1</v>
      </c>
    </row>
    <row r="8422" spans="9:16">
      <c r="I8422" s="213"/>
      <c r="J8422" s="213"/>
      <c r="L8422" s="272">
        <f t="shared" si="599"/>
        <v>1900</v>
      </c>
      <c r="M8422" s="272">
        <f t="shared" si="600"/>
        <v>1</v>
      </c>
      <c r="O8422" s="61">
        <f t="shared" si="601"/>
        <v>1900</v>
      </c>
      <c r="P8422" s="61">
        <f t="shared" si="602"/>
        <v>1</v>
      </c>
    </row>
    <row r="8423" spans="9:16">
      <c r="I8423" s="213"/>
      <c r="J8423" s="213"/>
      <c r="L8423" s="272">
        <f t="shared" si="599"/>
        <v>1900</v>
      </c>
      <c r="M8423" s="272">
        <f t="shared" si="600"/>
        <v>1</v>
      </c>
      <c r="O8423" s="61">
        <f t="shared" si="601"/>
        <v>1900</v>
      </c>
      <c r="P8423" s="61">
        <f t="shared" si="602"/>
        <v>1</v>
      </c>
    </row>
    <row r="8424" spans="9:16">
      <c r="I8424" s="213"/>
      <c r="J8424" s="213"/>
      <c r="L8424" s="272">
        <f t="shared" si="599"/>
        <v>1900</v>
      </c>
      <c r="M8424" s="272">
        <f t="shared" si="600"/>
        <v>1</v>
      </c>
      <c r="O8424" s="61">
        <f t="shared" si="601"/>
        <v>1900</v>
      </c>
      <c r="P8424" s="61">
        <f t="shared" si="602"/>
        <v>1</v>
      </c>
    </row>
    <row r="8425" spans="9:16">
      <c r="I8425" s="213"/>
      <c r="J8425" s="213"/>
      <c r="L8425" s="272">
        <f t="shared" si="599"/>
        <v>1900</v>
      </c>
      <c r="M8425" s="272">
        <f t="shared" si="600"/>
        <v>1</v>
      </c>
      <c r="O8425" s="61">
        <f t="shared" si="601"/>
        <v>1900</v>
      </c>
      <c r="P8425" s="61">
        <f t="shared" si="602"/>
        <v>1</v>
      </c>
    </row>
    <row r="8426" spans="9:16">
      <c r="I8426" s="213"/>
      <c r="J8426" s="213"/>
      <c r="L8426" s="272">
        <f t="shared" si="599"/>
        <v>1900</v>
      </c>
      <c r="M8426" s="272">
        <f t="shared" si="600"/>
        <v>1</v>
      </c>
      <c r="O8426" s="61">
        <f t="shared" si="601"/>
        <v>1900</v>
      </c>
      <c r="P8426" s="61">
        <f t="shared" si="602"/>
        <v>1</v>
      </c>
    </row>
    <row r="8427" spans="9:16">
      <c r="I8427" s="213"/>
      <c r="J8427" s="213"/>
      <c r="L8427" s="272">
        <f t="shared" si="599"/>
        <v>1900</v>
      </c>
      <c r="M8427" s="272">
        <f t="shared" si="600"/>
        <v>1</v>
      </c>
      <c r="O8427" s="61">
        <f t="shared" si="601"/>
        <v>1900</v>
      </c>
      <c r="P8427" s="61">
        <f t="shared" si="602"/>
        <v>1</v>
      </c>
    </row>
    <row r="8428" spans="9:16">
      <c r="I8428" s="213"/>
      <c r="J8428" s="213"/>
      <c r="L8428" s="272">
        <f t="shared" si="599"/>
        <v>1900</v>
      </c>
      <c r="M8428" s="272">
        <f t="shared" si="600"/>
        <v>1</v>
      </c>
      <c r="O8428" s="61">
        <f t="shared" si="601"/>
        <v>1900</v>
      </c>
      <c r="P8428" s="61">
        <f t="shared" si="602"/>
        <v>1</v>
      </c>
    </row>
    <row r="8429" spans="9:16">
      <c r="I8429" s="213"/>
      <c r="J8429" s="213"/>
      <c r="L8429" s="272">
        <f t="shared" si="599"/>
        <v>1900</v>
      </c>
      <c r="M8429" s="272">
        <f t="shared" si="600"/>
        <v>1</v>
      </c>
      <c r="O8429" s="61">
        <f t="shared" si="601"/>
        <v>1900</v>
      </c>
      <c r="P8429" s="61">
        <f t="shared" si="602"/>
        <v>1</v>
      </c>
    </row>
    <row r="8430" spans="9:16">
      <c r="I8430" s="213"/>
      <c r="J8430" s="213"/>
      <c r="L8430" s="272">
        <f t="shared" si="599"/>
        <v>1900</v>
      </c>
      <c r="M8430" s="272">
        <f t="shared" si="600"/>
        <v>1</v>
      </c>
      <c r="O8430" s="61">
        <f t="shared" si="601"/>
        <v>1900</v>
      </c>
      <c r="P8430" s="61">
        <f t="shared" si="602"/>
        <v>1</v>
      </c>
    </row>
    <row r="8431" spans="9:16">
      <c r="I8431" s="213"/>
      <c r="J8431" s="213"/>
      <c r="L8431" s="272">
        <f t="shared" si="599"/>
        <v>1900</v>
      </c>
      <c r="M8431" s="272">
        <f t="shared" si="600"/>
        <v>1</v>
      </c>
      <c r="O8431" s="61">
        <f t="shared" si="601"/>
        <v>1900</v>
      </c>
      <c r="P8431" s="61">
        <f t="shared" si="602"/>
        <v>1</v>
      </c>
    </row>
    <row r="8432" spans="9:16">
      <c r="I8432" s="213"/>
      <c r="J8432" s="213"/>
      <c r="L8432" s="272">
        <f t="shared" si="599"/>
        <v>1900</v>
      </c>
      <c r="M8432" s="272">
        <f t="shared" si="600"/>
        <v>1</v>
      </c>
      <c r="O8432" s="61">
        <f t="shared" si="601"/>
        <v>1900</v>
      </c>
      <c r="P8432" s="61">
        <f t="shared" si="602"/>
        <v>1</v>
      </c>
    </row>
    <row r="8433" spans="9:16">
      <c r="I8433" s="213"/>
      <c r="J8433" s="213"/>
      <c r="L8433" s="272">
        <f t="shared" si="599"/>
        <v>1900</v>
      </c>
      <c r="M8433" s="272">
        <f t="shared" si="600"/>
        <v>1</v>
      </c>
      <c r="O8433" s="61">
        <f t="shared" si="601"/>
        <v>1900</v>
      </c>
      <c r="P8433" s="61">
        <f t="shared" si="602"/>
        <v>1</v>
      </c>
    </row>
    <row r="8434" spans="9:16">
      <c r="I8434" s="213"/>
      <c r="J8434" s="213"/>
      <c r="L8434" s="272">
        <f t="shared" si="599"/>
        <v>1900</v>
      </c>
      <c r="M8434" s="272">
        <f t="shared" si="600"/>
        <v>1</v>
      </c>
      <c r="O8434" s="61">
        <f t="shared" si="601"/>
        <v>1900</v>
      </c>
      <c r="P8434" s="61">
        <f t="shared" si="602"/>
        <v>1</v>
      </c>
    </row>
    <row r="8435" spans="9:16">
      <c r="I8435" s="213"/>
      <c r="J8435" s="213"/>
      <c r="L8435" s="272">
        <f t="shared" si="599"/>
        <v>1900</v>
      </c>
      <c r="M8435" s="272">
        <f t="shared" si="600"/>
        <v>1</v>
      </c>
      <c r="O8435" s="61">
        <f t="shared" si="601"/>
        <v>1900</v>
      </c>
      <c r="P8435" s="61">
        <f t="shared" si="602"/>
        <v>1</v>
      </c>
    </row>
    <row r="8436" spans="9:16">
      <c r="I8436" s="213"/>
      <c r="J8436" s="213"/>
      <c r="L8436" s="272">
        <f t="shared" si="599"/>
        <v>1900</v>
      </c>
      <c r="M8436" s="272">
        <f t="shared" si="600"/>
        <v>1</v>
      </c>
      <c r="O8436" s="61">
        <f t="shared" si="601"/>
        <v>1900</v>
      </c>
      <c r="P8436" s="61">
        <f t="shared" si="602"/>
        <v>1</v>
      </c>
    </row>
    <row r="8437" spans="9:16">
      <c r="I8437" s="213"/>
      <c r="J8437" s="213"/>
      <c r="L8437" s="272">
        <f t="shared" si="599"/>
        <v>1900</v>
      </c>
      <c r="M8437" s="272">
        <f t="shared" si="600"/>
        <v>1</v>
      </c>
      <c r="O8437" s="61">
        <f t="shared" si="601"/>
        <v>1900</v>
      </c>
      <c r="P8437" s="61">
        <f t="shared" si="602"/>
        <v>1</v>
      </c>
    </row>
    <row r="8438" spans="9:16">
      <c r="I8438" s="213"/>
      <c r="J8438" s="213"/>
      <c r="L8438" s="272">
        <f t="shared" si="599"/>
        <v>1900</v>
      </c>
      <c r="M8438" s="272">
        <f t="shared" si="600"/>
        <v>1</v>
      </c>
      <c r="O8438" s="61">
        <f t="shared" si="601"/>
        <v>1900</v>
      </c>
      <c r="P8438" s="61">
        <f t="shared" si="602"/>
        <v>1</v>
      </c>
    </row>
    <row r="8439" spans="9:16">
      <c r="I8439" s="213"/>
      <c r="J8439" s="213"/>
      <c r="L8439" s="272">
        <f t="shared" si="599"/>
        <v>1900</v>
      </c>
      <c r="M8439" s="272">
        <f t="shared" si="600"/>
        <v>1</v>
      </c>
      <c r="O8439" s="61">
        <f t="shared" si="601"/>
        <v>1900</v>
      </c>
      <c r="P8439" s="61">
        <f t="shared" si="602"/>
        <v>1</v>
      </c>
    </row>
    <row r="8440" spans="9:16">
      <c r="I8440" s="213"/>
      <c r="J8440" s="213"/>
      <c r="L8440" s="272">
        <f t="shared" si="599"/>
        <v>1900</v>
      </c>
      <c r="M8440" s="272">
        <f t="shared" si="600"/>
        <v>1</v>
      </c>
      <c r="O8440" s="61">
        <f t="shared" si="601"/>
        <v>1900</v>
      </c>
      <c r="P8440" s="61">
        <f t="shared" si="602"/>
        <v>1</v>
      </c>
    </row>
    <row r="8441" spans="9:16">
      <c r="I8441" s="213"/>
      <c r="J8441" s="213"/>
      <c r="L8441" s="272">
        <f t="shared" si="599"/>
        <v>1900</v>
      </c>
      <c r="M8441" s="272">
        <f t="shared" si="600"/>
        <v>1</v>
      </c>
      <c r="O8441" s="61">
        <f t="shared" si="601"/>
        <v>1900</v>
      </c>
      <c r="P8441" s="61">
        <f t="shared" si="602"/>
        <v>1</v>
      </c>
    </row>
    <row r="8442" spans="9:16">
      <c r="I8442" s="213"/>
      <c r="J8442" s="213"/>
      <c r="L8442" s="272">
        <f t="shared" si="599"/>
        <v>1900</v>
      </c>
      <c r="M8442" s="272">
        <f t="shared" si="600"/>
        <v>1</v>
      </c>
      <c r="O8442" s="61">
        <f t="shared" si="601"/>
        <v>1900</v>
      </c>
      <c r="P8442" s="61">
        <f t="shared" si="602"/>
        <v>1</v>
      </c>
    </row>
    <row r="8443" spans="9:16">
      <c r="I8443" s="213"/>
      <c r="J8443" s="213"/>
      <c r="L8443" s="272">
        <f t="shared" si="599"/>
        <v>1900</v>
      </c>
      <c r="M8443" s="272">
        <f t="shared" si="600"/>
        <v>1</v>
      </c>
      <c r="O8443" s="61">
        <f t="shared" si="601"/>
        <v>1900</v>
      </c>
      <c r="P8443" s="61">
        <f t="shared" si="602"/>
        <v>1</v>
      </c>
    </row>
    <row r="8444" spans="9:16">
      <c r="I8444" s="213"/>
      <c r="J8444" s="213"/>
      <c r="L8444" s="272">
        <f t="shared" si="599"/>
        <v>1900</v>
      </c>
      <c r="M8444" s="272">
        <f t="shared" si="600"/>
        <v>1</v>
      </c>
      <c r="O8444" s="61">
        <f t="shared" si="601"/>
        <v>1900</v>
      </c>
      <c r="P8444" s="61">
        <f t="shared" si="602"/>
        <v>1</v>
      </c>
    </row>
    <row r="8445" spans="9:16">
      <c r="I8445" s="213"/>
      <c r="J8445" s="213"/>
      <c r="L8445" s="272">
        <f t="shared" si="599"/>
        <v>1900</v>
      </c>
      <c r="M8445" s="272">
        <f t="shared" si="600"/>
        <v>1</v>
      </c>
      <c r="O8445" s="61">
        <f t="shared" si="601"/>
        <v>1900</v>
      </c>
      <c r="P8445" s="61">
        <f t="shared" si="602"/>
        <v>1</v>
      </c>
    </row>
    <row r="8446" spans="9:16">
      <c r="I8446" s="213"/>
      <c r="J8446" s="213"/>
      <c r="L8446" s="272">
        <f t="shared" si="599"/>
        <v>1900</v>
      </c>
      <c r="M8446" s="272">
        <f t="shared" si="600"/>
        <v>1</v>
      </c>
      <c r="O8446" s="61">
        <f t="shared" si="601"/>
        <v>1900</v>
      </c>
      <c r="P8446" s="61">
        <f t="shared" si="602"/>
        <v>1</v>
      </c>
    </row>
    <row r="8447" spans="9:16">
      <c r="I8447" s="213"/>
      <c r="J8447" s="213"/>
      <c r="L8447" s="272">
        <f t="shared" si="599"/>
        <v>1900</v>
      </c>
      <c r="M8447" s="272">
        <f t="shared" si="600"/>
        <v>1</v>
      </c>
      <c r="O8447" s="61">
        <f t="shared" si="601"/>
        <v>1900</v>
      </c>
      <c r="P8447" s="61">
        <f t="shared" si="602"/>
        <v>1</v>
      </c>
    </row>
    <row r="8448" spans="9:16">
      <c r="I8448" s="213"/>
      <c r="J8448" s="213"/>
      <c r="L8448" s="272">
        <f t="shared" si="599"/>
        <v>1900</v>
      </c>
      <c r="M8448" s="272">
        <f t="shared" si="600"/>
        <v>1</v>
      </c>
      <c r="O8448" s="61">
        <f t="shared" si="601"/>
        <v>1900</v>
      </c>
      <c r="P8448" s="61">
        <f t="shared" si="602"/>
        <v>1</v>
      </c>
    </row>
    <row r="8449" spans="9:16">
      <c r="I8449" s="213"/>
      <c r="J8449" s="213"/>
      <c r="L8449" s="272">
        <f t="shared" si="599"/>
        <v>1900</v>
      </c>
      <c r="M8449" s="272">
        <f t="shared" si="600"/>
        <v>1</v>
      </c>
      <c r="O8449" s="61">
        <f t="shared" si="601"/>
        <v>1900</v>
      </c>
      <c r="P8449" s="61">
        <f t="shared" si="602"/>
        <v>1</v>
      </c>
    </row>
    <row r="8450" spans="9:16">
      <c r="I8450" s="213"/>
      <c r="J8450" s="213"/>
      <c r="L8450" s="272">
        <f t="shared" si="599"/>
        <v>1900</v>
      </c>
      <c r="M8450" s="272">
        <f t="shared" si="600"/>
        <v>1</v>
      </c>
      <c r="O8450" s="61">
        <f t="shared" si="601"/>
        <v>1900</v>
      </c>
      <c r="P8450" s="61">
        <f t="shared" si="602"/>
        <v>1</v>
      </c>
    </row>
    <row r="8451" spans="9:16">
      <c r="I8451" s="213"/>
      <c r="J8451" s="213"/>
      <c r="L8451" s="272">
        <f t="shared" si="599"/>
        <v>1900</v>
      </c>
      <c r="M8451" s="272">
        <f t="shared" si="600"/>
        <v>1</v>
      </c>
      <c r="O8451" s="61">
        <f t="shared" si="601"/>
        <v>1900</v>
      </c>
      <c r="P8451" s="61">
        <f t="shared" si="602"/>
        <v>1</v>
      </c>
    </row>
    <row r="8452" spans="9:16">
      <c r="I8452" s="213"/>
      <c r="J8452" s="213"/>
      <c r="L8452" s="272">
        <f t="shared" si="599"/>
        <v>1900</v>
      </c>
      <c r="M8452" s="272">
        <f t="shared" si="600"/>
        <v>1</v>
      </c>
      <c r="O8452" s="61">
        <f t="shared" si="601"/>
        <v>1900</v>
      </c>
      <c r="P8452" s="61">
        <f t="shared" si="602"/>
        <v>1</v>
      </c>
    </row>
    <row r="8453" spans="9:16">
      <c r="I8453" s="213"/>
      <c r="J8453" s="213"/>
      <c r="L8453" s="272">
        <f t="shared" si="599"/>
        <v>1900</v>
      </c>
      <c r="M8453" s="272">
        <f t="shared" si="600"/>
        <v>1</v>
      </c>
      <c r="O8453" s="61">
        <f t="shared" si="601"/>
        <v>1900</v>
      </c>
      <c r="P8453" s="61">
        <f t="shared" si="602"/>
        <v>1</v>
      </c>
    </row>
    <row r="8454" spans="9:16">
      <c r="I8454" s="213"/>
      <c r="J8454" s="213"/>
      <c r="L8454" s="272">
        <f t="shared" si="599"/>
        <v>1900</v>
      </c>
      <c r="M8454" s="272">
        <f t="shared" si="600"/>
        <v>1</v>
      </c>
      <c r="O8454" s="61">
        <f t="shared" si="601"/>
        <v>1900</v>
      </c>
      <c r="P8454" s="61">
        <f t="shared" si="602"/>
        <v>1</v>
      </c>
    </row>
    <row r="8455" spans="9:16">
      <c r="I8455" s="213"/>
      <c r="J8455" s="213"/>
      <c r="L8455" s="272">
        <f t="shared" si="599"/>
        <v>1900</v>
      </c>
      <c r="M8455" s="272">
        <f t="shared" si="600"/>
        <v>1</v>
      </c>
      <c r="O8455" s="61">
        <f t="shared" si="601"/>
        <v>1900</v>
      </c>
      <c r="P8455" s="61">
        <f t="shared" si="602"/>
        <v>1</v>
      </c>
    </row>
    <row r="8456" spans="9:16">
      <c r="I8456" s="213"/>
      <c r="J8456" s="213"/>
      <c r="L8456" s="272">
        <f t="shared" si="599"/>
        <v>1900</v>
      </c>
      <c r="M8456" s="272">
        <f t="shared" si="600"/>
        <v>1</v>
      </c>
      <c r="O8456" s="61">
        <f t="shared" si="601"/>
        <v>1900</v>
      </c>
      <c r="P8456" s="61">
        <f t="shared" si="602"/>
        <v>1</v>
      </c>
    </row>
    <row r="8457" spans="9:16">
      <c r="I8457" s="213"/>
      <c r="J8457" s="213"/>
      <c r="L8457" s="272">
        <f t="shared" si="599"/>
        <v>1900</v>
      </c>
      <c r="M8457" s="272">
        <f t="shared" si="600"/>
        <v>1</v>
      </c>
      <c r="O8457" s="61">
        <f t="shared" si="601"/>
        <v>1900</v>
      </c>
      <c r="P8457" s="61">
        <f t="shared" si="602"/>
        <v>1</v>
      </c>
    </row>
    <row r="8458" spans="9:16">
      <c r="I8458" s="213"/>
      <c r="J8458" s="213"/>
      <c r="L8458" s="272">
        <f t="shared" si="599"/>
        <v>1900</v>
      </c>
      <c r="M8458" s="272">
        <f t="shared" si="600"/>
        <v>1</v>
      </c>
      <c r="O8458" s="61">
        <f t="shared" si="601"/>
        <v>1900</v>
      </c>
      <c r="P8458" s="61">
        <f t="shared" si="602"/>
        <v>1</v>
      </c>
    </row>
    <row r="8459" spans="9:16">
      <c r="I8459" s="213"/>
      <c r="J8459" s="213"/>
      <c r="L8459" s="272">
        <f t="shared" si="599"/>
        <v>1900</v>
      </c>
      <c r="M8459" s="272">
        <f t="shared" si="600"/>
        <v>1</v>
      </c>
      <c r="O8459" s="61">
        <f t="shared" si="601"/>
        <v>1900</v>
      </c>
      <c r="P8459" s="61">
        <f t="shared" si="602"/>
        <v>1</v>
      </c>
    </row>
    <row r="8460" spans="9:16">
      <c r="I8460" s="213"/>
      <c r="J8460" s="213"/>
      <c r="L8460" s="272">
        <f t="shared" si="599"/>
        <v>1900</v>
      </c>
      <c r="M8460" s="272">
        <f t="shared" si="600"/>
        <v>1</v>
      </c>
      <c r="O8460" s="61">
        <f t="shared" si="601"/>
        <v>1900</v>
      </c>
      <c r="P8460" s="61">
        <f t="shared" si="602"/>
        <v>1</v>
      </c>
    </row>
    <row r="8461" spans="9:16">
      <c r="I8461" s="213"/>
      <c r="J8461" s="213"/>
      <c r="L8461" s="272">
        <f t="shared" si="599"/>
        <v>1900</v>
      </c>
      <c r="M8461" s="272">
        <f t="shared" si="600"/>
        <v>1</v>
      </c>
      <c r="O8461" s="61">
        <f t="shared" si="601"/>
        <v>1900</v>
      </c>
      <c r="P8461" s="61">
        <f t="shared" si="602"/>
        <v>1</v>
      </c>
    </row>
    <row r="8462" spans="9:16">
      <c r="I8462" s="213"/>
      <c r="J8462" s="213"/>
      <c r="L8462" s="272">
        <f t="shared" si="599"/>
        <v>1900</v>
      </c>
      <c r="M8462" s="272">
        <f t="shared" si="600"/>
        <v>1</v>
      </c>
      <c r="O8462" s="61">
        <f t="shared" si="601"/>
        <v>1900</v>
      </c>
      <c r="P8462" s="61">
        <f t="shared" si="602"/>
        <v>1</v>
      </c>
    </row>
    <row r="8463" spans="9:16">
      <c r="I8463" s="213"/>
      <c r="J8463" s="213"/>
      <c r="L8463" s="272">
        <f t="shared" si="599"/>
        <v>1900</v>
      </c>
      <c r="M8463" s="272">
        <f t="shared" si="600"/>
        <v>1</v>
      </c>
      <c r="O8463" s="61">
        <f t="shared" si="601"/>
        <v>1900</v>
      </c>
      <c r="P8463" s="61">
        <f t="shared" si="602"/>
        <v>1</v>
      </c>
    </row>
    <row r="8464" spans="9:16">
      <c r="I8464" s="213"/>
      <c r="J8464" s="213"/>
      <c r="L8464" s="272">
        <f t="shared" ref="L8464:L8527" si="603">YEAR(B8464)</f>
        <v>1900</v>
      </c>
      <c r="M8464" s="272">
        <f t="shared" ref="M8464:M8527" si="604">MONTH(B8464)</f>
        <v>1</v>
      </c>
      <c r="O8464" s="61">
        <f t="shared" ref="O8464:O8527" si="605">YEAR(B8464)</f>
        <v>1900</v>
      </c>
      <c r="P8464" s="61">
        <f t="shared" ref="P8464:P8527" si="606">MONTH(B8464)</f>
        <v>1</v>
      </c>
    </row>
    <row r="8465" spans="9:16">
      <c r="I8465" s="213"/>
      <c r="J8465" s="213"/>
      <c r="L8465" s="272">
        <f t="shared" si="603"/>
        <v>1900</v>
      </c>
      <c r="M8465" s="272">
        <f t="shared" si="604"/>
        <v>1</v>
      </c>
      <c r="O8465" s="61">
        <f t="shared" si="605"/>
        <v>1900</v>
      </c>
      <c r="P8465" s="61">
        <f t="shared" si="606"/>
        <v>1</v>
      </c>
    </row>
    <row r="8466" spans="9:16">
      <c r="I8466" s="213"/>
      <c r="J8466" s="213"/>
      <c r="L8466" s="272">
        <f t="shared" si="603"/>
        <v>1900</v>
      </c>
      <c r="M8466" s="272">
        <f t="shared" si="604"/>
        <v>1</v>
      </c>
      <c r="O8466" s="61">
        <f t="shared" si="605"/>
        <v>1900</v>
      </c>
      <c r="P8466" s="61">
        <f t="shared" si="606"/>
        <v>1</v>
      </c>
    </row>
    <row r="8467" spans="9:16">
      <c r="I8467" s="213"/>
      <c r="J8467" s="213"/>
      <c r="L8467" s="272">
        <f t="shared" si="603"/>
        <v>1900</v>
      </c>
      <c r="M8467" s="272">
        <f t="shared" si="604"/>
        <v>1</v>
      </c>
      <c r="O8467" s="61">
        <f t="shared" si="605"/>
        <v>1900</v>
      </c>
      <c r="P8467" s="61">
        <f t="shared" si="606"/>
        <v>1</v>
      </c>
    </row>
    <row r="8468" spans="9:16">
      <c r="I8468" s="213"/>
      <c r="J8468" s="213"/>
      <c r="L8468" s="272">
        <f t="shared" si="603"/>
        <v>1900</v>
      </c>
      <c r="M8468" s="272">
        <f t="shared" si="604"/>
        <v>1</v>
      </c>
      <c r="O8468" s="61">
        <f t="shared" si="605"/>
        <v>1900</v>
      </c>
      <c r="P8468" s="61">
        <f t="shared" si="606"/>
        <v>1</v>
      </c>
    </row>
    <row r="8469" spans="9:16">
      <c r="I8469" s="213"/>
      <c r="J8469" s="213"/>
      <c r="L8469" s="272">
        <f t="shared" si="603"/>
        <v>1900</v>
      </c>
      <c r="M8469" s="272">
        <f t="shared" si="604"/>
        <v>1</v>
      </c>
      <c r="O8469" s="61">
        <f t="shared" si="605"/>
        <v>1900</v>
      </c>
      <c r="P8469" s="61">
        <f t="shared" si="606"/>
        <v>1</v>
      </c>
    </row>
    <row r="8470" spans="9:16">
      <c r="I8470" s="213"/>
      <c r="J8470" s="213"/>
      <c r="L8470" s="272">
        <f t="shared" si="603"/>
        <v>1900</v>
      </c>
      <c r="M8470" s="272">
        <f t="shared" si="604"/>
        <v>1</v>
      </c>
      <c r="O8470" s="61">
        <f t="shared" si="605"/>
        <v>1900</v>
      </c>
      <c r="P8470" s="61">
        <f t="shared" si="606"/>
        <v>1</v>
      </c>
    </row>
    <row r="8471" spans="9:16">
      <c r="I8471" s="213"/>
      <c r="J8471" s="213"/>
      <c r="L8471" s="272">
        <f t="shared" si="603"/>
        <v>1900</v>
      </c>
      <c r="M8471" s="272">
        <f t="shared" si="604"/>
        <v>1</v>
      </c>
      <c r="O8471" s="61">
        <f t="shared" si="605"/>
        <v>1900</v>
      </c>
      <c r="P8471" s="61">
        <f t="shared" si="606"/>
        <v>1</v>
      </c>
    </row>
    <row r="8472" spans="9:16">
      <c r="I8472" s="213"/>
      <c r="J8472" s="213"/>
      <c r="L8472" s="272">
        <f t="shared" si="603"/>
        <v>1900</v>
      </c>
      <c r="M8472" s="272">
        <f t="shared" si="604"/>
        <v>1</v>
      </c>
      <c r="O8472" s="61">
        <f t="shared" si="605"/>
        <v>1900</v>
      </c>
      <c r="P8472" s="61">
        <f t="shared" si="606"/>
        <v>1</v>
      </c>
    </row>
    <row r="8473" spans="9:16">
      <c r="I8473" s="213"/>
      <c r="J8473" s="213"/>
      <c r="L8473" s="272">
        <f t="shared" si="603"/>
        <v>1900</v>
      </c>
      <c r="M8473" s="272">
        <f t="shared" si="604"/>
        <v>1</v>
      </c>
      <c r="O8473" s="61">
        <f t="shared" si="605"/>
        <v>1900</v>
      </c>
      <c r="P8473" s="61">
        <f t="shared" si="606"/>
        <v>1</v>
      </c>
    </row>
    <row r="8474" spans="9:16">
      <c r="I8474" s="213"/>
      <c r="J8474" s="213"/>
      <c r="L8474" s="272">
        <f t="shared" si="603"/>
        <v>1900</v>
      </c>
      <c r="M8474" s="272">
        <f t="shared" si="604"/>
        <v>1</v>
      </c>
      <c r="O8474" s="61">
        <f t="shared" si="605"/>
        <v>1900</v>
      </c>
      <c r="P8474" s="61">
        <f t="shared" si="606"/>
        <v>1</v>
      </c>
    </row>
    <row r="8475" spans="9:16">
      <c r="I8475" s="213"/>
      <c r="J8475" s="213"/>
      <c r="L8475" s="272">
        <f t="shared" si="603"/>
        <v>1900</v>
      </c>
      <c r="M8475" s="272">
        <f t="shared" si="604"/>
        <v>1</v>
      </c>
      <c r="O8475" s="61">
        <f t="shared" si="605"/>
        <v>1900</v>
      </c>
      <c r="P8475" s="61">
        <f t="shared" si="606"/>
        <v>1</v>
      </c>
    </row>
    <row r="8476" spans="9:16">
      <c r="I8476" s="213"/>
      <c r="J8476" s="213"/>
      <c r="L8476" s="272">
        <f t="shared" si="603"/>
        <v>1900</v>
      </c>
      <c r="M8476" s="272">
        <f t="shared" si="604"/>
        <v>1</v>
      </c>
      <c r="O8476" s="61">
        <f t="shared" si="605"/>
        <v>1900</v>
      </c>
      <c r="P8476" s="61">
        <f t="shared" si="606"/>
        <v>1</v>
      </c>
    </row>
    <row r="8477" spans="9:16">
      <c r="I8477" s="213"/>
      <c r="J8477" s="213"/>
      <c r="L8477" s="272">
        <f t="shared" si="603"/>
        <v>1900</v>
      </c>
      <c r="M8477" s="272">
        <f t="shared" si="604"/>
        <v>1</v>
      </c>
      <c r="O8477" s="61">
        <f t="shared" si="605"/>
        <v>1900</v>
      </c>
      <c r="P8477" s="61">
        <f t="shared" si="606"/>
        <v>1</v>
      </c>
    </row>
    <row r="8478" spans="9:16">
      <c r="I8478" s="213"/>
      <c r="J8478" s="213"/>
      <c r="L8478" s="272">
        <f t="shared" si="603"/>
        <v>1900</v>
      </c>
      <c r="M8478" s="272">
        <f t="shared" si="604"/>
        <v>1</v>
      </c>
      <c r="O8478" s="61">
        <f t="shared" si="605"/>
        <v>1900</v>
      </c>
      <c r="P8478" s="61">
        <f t="shared" si="606"/>
        <v>1</v>
      </c>
    </row>
    <row r="8479" spans="9:16">
      <c r="I8479" s="213"/>
      <c r="J8479" s="213"/>
      <c r="L8479" s="272">
        <f t="shared" si="603"/>
        <v>1900</v>
      </c>
      <c r="M8479" s="272">
        <f t="shared" si="604"/>
        <v>1</v>
      </c>
      <c r="O8479" s="61">
        <f t="shared" si="605"/>
        <v>1900</v>
      </c>
      <c r="P8479" s="61">
        <f t="shared" si="606"/>
        <v>1</v>
      </c>
    </row>
    <row r="8480" spans="9:16">
      <c r="I8480" s="213"/>
      <c r="J8480" s="213"/>
      <c r="L8480" s="272">
        <f t="shared" si="603"/>
        <v>1900</v>
      </c>
      <c r="M8480" s="272">
        <f t="shared" si="604"/>
        <v>1</v>
      </c>
      <c r="O8480" s="61">
        <f t="shared" si="605"/>
        <v>1900</v>
      </c>
      <c r="P8480" s="61">
        <f t="shared" si="606"/>
        <v>1</v>
      </c>
    </row>
    <row r="8481" spans="9:16">
      <c r="I8481" s="213"/>
      <c r="J8481" s="213"/>
      <c r="L8481" s="272">
        <f t="shared" si="603"/>
        <v>1900</v>
      </c>
      <c r="M8481" s="272">
        <f t="shared" si="604"/>
        <v>1</v>
      </c>
      <c r="O8481" s="61">
        <f t="shared" si="605"/>
        <v>1900</v>
      </c>
      <c r="P8481" s="61">
        <f t="shared" si="606"/>
        <v>1</v>
      </c>
    </row>
    <row r="8482" spans="9:16">
      <c r="I8482" s="213"/>
      <c r="J8482" s="213"/>
      <c r="L8482" s="272">
        <f t="shared" si="603"/>
        <v>1900</v>
      </c>
      <c r="M8482" s="272">
        <f t="shared" si="604"/>
        <v>1</v>
      </c>
      <c r="O8482" s="61">
        <f t="shared" si="605"/>
        <v>1900</v>
      </c>
      <c r="P8482" s="61">
        <f t="shared" si="606"/>
        <v>1</v>
      </c>
    </row>
    <row r="8483" spans="9:16">
      <c r="I8483" s="213"/>
      <c r="J8483" s="213"/>
      <c r="L8483" s="272">
        <f t="shared" si="603"/>
        <v>1900</v>
      </c>
      <c r="M8483" s="272">
        <f t="shared" si="604"/>
        <v>1</v>
      </c>
      <c r="O8483" s="61">
        <f t="shared" si="605"/>
        <v>1900</v>
      </c>
      <c r="P8483" s="61">
        <f t="shared" si="606"/>
        <v>1</v>
      </c>
    </row>
    <row r="8484" spans="9:16">
      <c r="I8484" s="213"/>
      <c r="J8484" s="213"/>
      <c r="L8484" s="272">
        <f t="shared" si="603"/>
        <v>1900</v>
      </c>
      <c r="M8484" s="272">
        <f t="shared" si="604"/>
        <v>1</v>
      </c>
      <c r="O8484" s="61">
        <f t="shared" si="605"/>
        <v>1900</v>
      </c>
      <c r="P8484" s="61">
        <f t="shared" si="606"/>
        <v>1</v>
      </c>
    </row>
    <row r="8485" spans="9:16">
      <c r="I8485" s="213"/>
      <c r="J8485" s="213"/>
      <c r="L8485" s="272">
        <f t="shared" si="603"/>
        <v>1900</v>
      </c>
      <c r="M8485" s="272">
        <f t="shared" si="604"/>
        <v>1</v>
      </c>
      <c r="O8485" s="61">
        <f t="shared" si="605"/>
        <v>1900</v>
      </c>
      <c r="P8485" s="61">
        <f t="shared" si="606"/>
        <v>1</v>
      </c>
    </row>
    <row r="8486" spans="9:16">
      <c r="I8486" s="213"/>
      <c r="J8486" s="213"/>
      <c r="L8486" s="272">
        <f t="shared" si="603"/>
        <v>1900</v>
      </c>
      <c r="M8486" s="272">
        <f t="shared" si="604"/>
        <v>1</v>
      </c>
      <c r="O8486" s="61">
        <f t="shared" si="605"/>
        <v>1900</v>
      </c>
      <c r="P8486" s="61">
        <f t="shared" si="606"/>
        <v>1</v>
      </c>
    </row>
    <row r="8487" spans="9:16">
      <c r="I8487" s="213"/>
      <c r="J8487" s="213"/>
      <c r="L8487" s="272">
        <f t="shared" si="603"/>
        <v>1900</v>
      </c>
      <c r="M8487" s="272">
        <f t="shared" si="604"/>
        <v>1</v>
      </c>
      <c r="O8487" s="61">
        <f t="shared" si="605"/>
        <v>1900</v>
      </c>
      <c r="P8487" s="61">
        <f t="shared" si="606"/>
        <v>1</v>
      </c>
    </row>
    <row r="8488" spans="9:16">
      <c r="I8488" s="213"/>
      <c r="J8488" s="213"/>
      <c r="L8488" s="272">
        <f t="shared" si="603"/>
        <v>1900</v>
      </c>
      <c r="M8488" s="272">
        <f t="shared" si="604"/>
        <v>1</v>
      </c>
      <c r="O8488" s="61">
        <f t="shared" si="605"/>
        <v>1900</v>
      </c>
      <c r="P8488" s="61">
        <f t="shared" si="606"/>
        <v>1</v>
      </c>
    </row>
    <row r="8489" spans="9:16">
      <c r="I8489" s="213"/>
      <c r="J8489" s="213"/>
      <c r="L8489" s="272">
        <f t="shared" si="603"/>
        <v>1900</v>
      </c>
      <c r="M8489" s="272">
        <f t="shared" si="604"/>
        <v>1</v>
      </c>
      <c r="O8489" s="61">
        <f t="shared" si="605"/>
        <v>1900</v>
      </c>
      <c r="P8489" s="61">
        <f t="shared" si="606"/>
        <v>1</v>
      </c>
    </row>
    <row r="8490" spans="9:16">
      <c r="I8490" s="213"/>
      <c r="J8490" s="213"/>
      <c r="L8490" s="272">
        <f t="shared" si="603"/>
        <v>1900</v>
      </c>
      <c r="M8490" s="272">
        <f t="shared" si="604"/>
        <v>1</v>
      </c>
      <c r="O8490" s="61">
        <f t="shared" si="605"/>
        <v>1900</v>
      </c>
      <c r="P8490" s="61">
        <f t="shared" si="606"/>
        <v>1</v>
      </c>
    </row>
    <row r="8491" spans="9:16">
      <c r="I8491" s="213"/>
      <c r="J8491" s="213"/>
      <c r="L8491" s="272">
        <f t="shared" si="603"/>
        <v>1900</v>
      </c>
      <c r="M8491" s="272">
        <f t="shared" si="604"/>
        <v>1</v>
      </c>
      <c r="O8491" s="61">
        <f t="shared" si="605"/>
        <v>1900</v>
      </c>
      <c r="P8491" s="61">
        <f t="shared" si="606"/>
        <v>1</v>
      </c>
    </row>
    <row r="8492" spans="9:16">
      <c r="I8492" s="213"/>
      <c r="J8492" s="213"/>
      <c r="L8492" s="272">
        <f t="shared" si="603"/>
        <v>1900</v>
      </c>
      <c r="M8492" s="272">
        <f t="shared" si="604"/>
        <v>1</v>
      </c>
      <c r="O8492" s="61">
        <f t="shared" si="605"/>
        <v>1900</v>
      </c>
      <c r="P8492" s="61">
        <f t="shared" si="606"/>
        <v>1</v>
      </c>
    </row>
    <row r="8493" spans="9:16">
      <c r="I8493" s="213"/>
      <c r="J8493" s="213"/>
      <c r="L8493" s="272">
        <f t="shared" si="603"/>
        <v>1900</v>
      </c>
      <c r="M8493" s="272">
        <f t="shared" si="604"/>
        <v>1</v>
      </c>
      <c r="O8493" s="61">
        <f t="shared" si="605"/>
        <v>1900</v>
      </c>
      <c r="P8493" s="61">
        <f t="shared" si="606"/>
        <v>1</v>
      </c>
    </row>
    <row r="8494" spans="9:16">
      <c r="I8494" s="213"/>
      <c r="J8494" s="213"/>
      <c r="L8494" s="272">
        <f t="shared" si="603"/>
        <v>1900</v>
      </c>
      <c r="M8494" s="272">
        <f t="shared" si="604"/>
        <v>1</v>
      </c>
      <c r="O8494" s="61">
        <f t="shared" si="605"/>
        <v>1900</v>
      </c>
      <c r="P8494" s="61">
        <f t="shared" si="606"/>
        <v>1</v>
      </c>
    </row>
    <row r="8495" spans="9:16">
      <c r="I8495" s="213"/>
      <c r="J8495" s="213"/>
      <c r="L8495" s="272">
        <f t="shared" si="603"/>
        <v>1900</v>
      </c>
      <c r="M8495" s="272">
        <f t="shared" si="604"/>
        <v>1</v>
      </c>
      <c r="O8495" s="61">
        <f t="shared" si="605"/>
        <v>1900</v>
      </c>
      <c r="P8495" s="61">
        <f t="shared" si="606"/>
        <v>1</v>
      </c>
    </row>
    <row r="8496" spans="9:16">
      <c r="I8496" s="213"/>
      <c r="J8496" s="213"/>
      <c r="L8496" s="272">
        <f t="shared" si="603"/>
        <v>1900</v>
      </c>
      <c r="M8496" s="272">
        <f t="shared" si="604"/>
        <v>1</v>
      </c>
      <c r="O8496" s="61">
        <f t="shared" si="605"/>
        <v>1900</v>
      </c>
      <c r="P8496" s="61">
        <f t="shared" si="606"/>
        <v>1</v>
      </c>
    </row>
    <row r="8497" spans="9:16">
      <c r="I8497" s="213"/>
      <c r="J8497" s="213"/>
      <c r="L8497" s="272">
        <f t="shared" si="603"/>
        <v>1900</v>
      </c>
      <c r="M8497" s="272">
        <f t="shared" si="604"/>
        <v>1</v>
      </c>
      <c r="O8497" s="61">
        <f t="shared" si="605"/>
        <v>1900</v>
      </c>
      <c r="P8497" s="61">
        <f t="shared" si="606"/>
        <v>1</v>
      </c>
    </row>
    <row r="8498" spans="9:16">
      <c r="I8498" s="213"/>
      <c r="J8498" s="213"/>
      <c r="L8498" s="272">
        <f t="shared" si="603"/>
        <v>1900</v>
      </c>
      <c r="M8498" s="272">
        <f t="shared" si="604"/>
        <v>1</v>
      </c>
      <c r="O8498" s="61">
        <f t="shared" si="605"/>
        <v>1900</v>
      </c>
      <c r="P8498" s="61">
        <f t="shared" si="606"/>
        <v>1</v>
      </c>
    </row>
    <row r="8499" spans="9:16">
      <c r="I8499" s="213"/>
      <c r="J8499" s="213"/>
      <c r="L8499" s="272">
        <f t="shared" si="603"/>
        <v>1900</v>
      </c>
      <c r="M8499" s="272">
        <f t="shared" si="604"/>
        <v>1</v>
      </c>
      <c r="O8499" s="61">
        <f t="shared" si="605"/>
        <v>1900</v>
      </c>
      <c r="P8499" s="61">
        <f t="shared" si="606"/>
        <v>1</v>
      </c>
    </row>
    <row r="8500" spans="9:16">
      <c r="I8500" s="213"/>
      <c r="J8500" s="213"/>
      <c r="L8500" s="272">
        <f t="shared" si="603"/>
        <v>1900</v>
      </c>
      <c r="M8500" s="272">
        <f t="shared" si="604"/>
        <v>1</v>
      </c>
      <c r="O8500" s="61">
        <f t="shared" si="605"/>
        <v>1900</v>
      </c>
      <c r="P8500" s="61">
        <f t="shared" si="606"/>
        <v>1</v>
      </c>
    </row>
    <row r="8501" spans="9:16">
      <c r="I8501" s="213"/>
      <c r="J8501" s="213"/>
      <c r="L8501" s="272">
        <f t="shared" si="603"/>
        <v>1900</v>
      </c>
      <c r="M8501" s="272">
        <f t="shared" si="604"/>
        <v>1</v>
      </c>
      <c r="O8501" s="61">
        <f t="shared" si="605"/>
        <v>1900</v>
      </c>
      <c r="P8501" s="61">
        <f t="shared" si="606"/>
        <v>1</v>
      </c>
    </row>
    <row r="8502" spans="9:16">
      <c r="I8502" s="213"/>
      <c r="J8502" s="213"/>
      <c r="L8502" s="272">
        <f t="shared" si="603"/>
        <v>1900</v>
      </c>
      <c r="M8502" s="272">
        <f t="shared" si="604"/>
        <v>1</v>
      </c>
      <c r="O8502" s="61">
        <f t="shared" si="605"/>
        <v>1900</v>
      </c>
      <c r="P8502" s="61">
        <f t="shared" si="606"/>
        <v>1</v>
      </c>
    </row>
    <row r="8503" spans="9:16">
      <c r="I8503" s="213"/>
      <c r="J8503" s="213"/>
      <c r="L8503" s="272">
        <f t="shared" si="603"/>
        <v>1900</v>
      </c>
      <c r="M8503" s="272">
        <f t="shared" si="604"/>
        <v>1</v>
      </c>
      <c r="O8503" s="61">
        <f t="shared" si="605"/>
        <v>1900</v>
      </c>
      <c r="P8503" s="61">
        <f t="shared" si="606"/>
        <v>1</v>
      </c>
    </row>
    <row r="8504" spans="9:16">
      <c r="I8504" s="213"/>
      <c r="J8504" s="213"/>
      <c r="L8504" s="272">
        <f t="shared" si="603"/>
        <v>1900</v>
      </c>
      <c r="M8504" s="272">
        <f t="shared" si="604"/>
        <v>1</v>
      </c>
      <c r="O8504" s="61">
        <f t="shared" si="605"/>
        <v>1900</v>
      </c>
      <c r="P8504" s="61">
        <f t="shared" si="606"/>
        <v>1</v>
      </c>
    </row>
    <row r="8505" spans="9:16">
      <c r="I8505" s="213"/>
      <c r="J8505" s="213"/>
      <c r="L8505" s="272">
        <f t="shared" si="603"/>
        <v>1900</v>
      </c>
      <c r="M8505" s="272">
        <f t="shared" si="604"/>
        <v>1</v>
      </c>
      <c r="O8505" s="61">
        <f t="shared" si="605"/>
        <v>1900</v>
      </c>
      <c r="P8505" s="61">
        <f t="shared" si="606"/>
        <v>1</v>
      </c>
    </row>
    <row r="8506" spans="9:16">
      <c r="I8506" s="213"/>
      <c r="J8506" s="213"/>
      <c r="L8506" s="272">
        <f t="shared" si="603"/>
        <v>1900</v>
      </c>
      <c r="M8506" s="272">
        <f t="shared" si="604"/>
        <v>1</v>
      </c>
      <c r="O8506" s="61">
        <f t="shared" si="605"/>
        <v>1900</v>
      </c>
      <c r="P8506" s="61">
        <f t="shared" si="606"/>
        <v>1</v>
      </c>
    </row>
    <row r="8507" spans="9:16">
      <c r="I8507" s="213"/>
      <c r="J8507" s="213"/>
      <c r="L8507" s="272">
        <f t="shared" si="603"/>
        <v>1900</v>
      </c>
      <c r="M8507" s="272">
        <f t="shared" si="604"/>
        <v>1</v>
      </c>
      <c r="O8507" s="61">
        <f t="shared" si="605"/>
        <v>1900</v>
      </c>
      <c r="P8507" s="61">
        <f t="shared" si="606"/>
        <v>1</v>
      </c>
    </row>
    <row r="8508" spans="9:16">
      <c r="I8508" s="213"/>
      <c r="J8508" s="213"/>
      <c r="L8508" s="272">
        <f t="shared" si="603"/>
        <v>1900</v>
      </c>
      <c r="M8508" s="272">
        <f t="shared" si="604"/>
        <v>1</v>
      </c>
      <c r="O8508" s="61">
        <f t="shared" si="605"/>
        <v>1900</v>
      </c>
      <c r="P8508" s="61">
        <f t="shared" si="606"/>
        <v>1</v>
      </c>
    </row>
    <row r="8509" spans="9:16">
      <c r="I8509" s="213"/>
      <c r="J8509" s="213"/>
      <c r="L8509" s="272">
        <f t="shared" si="603"/>
        <v>1900</v>
      </c>
      <c r="M8509" s="272">
        <f t="shared" si="604"/>
        <v>1</v>
      </c>
      <c r="O8509" s="61">
        <f t="shared" si="605"/>
        <v>1900</v>
      </c>
      <c r="P8509" s="61">
        <f t="shared" si="606"/>
        <v>1</v>
      </c>
    </row>
    <row r="8510" spans="9:16">
      <c r="I8510" s="213"/>
      <c r="J8510" s="213"/>
      <c r="L8510" s="272">
        <f t="shared" si="603"/>
        <v>1900</v>
      </c>
      <c r="M8510" s="272">
        <f t="shared" si="604"/>
        <v>1</v>
      </c>
      <c r="O8510" s="61">
        <f t="shared" si="605"/>
        <v>1900</v>
      </c>
      <c r="P8510" s="61">
        <f t="shared" si="606"/>
        <v>1</v>
      </c>
    </row>
    <row r="8511" spans="9:16">
      <c r="I8511" s="213"/>
      <c r="J8511" s="213"/>
      <c r="L8511" s="272">
        <f t="shared" si="603"/>
        <v>1900</v>
      </c>
      <c r="M8511" s="272">
        <f t="shared" si="604"/>
        <v>1</v>
      </c>
      <c r="O8511" s="61">
        <f t="shared" si="605"/>
        <v>1900</v>
      </c>
      <c r="P8511" s="61">
        <f t="shared" si="606"/>
        <v>1</v>
      </c>
    </row>
    <row r="8512" spans="9:16">
      <c r="I8512" s="213"/>
      <c r="J8512" s="213"/>
      <c r="L8512" s="272">
        <f t="shared" si="603"/>
        <v>1900</v>
      </c>
      <c r="M8512" s="272">
        <f t="shared" si="604"/>
        <v>1</v>
      </c>
      <c r="O8512" s="61">
        <f t="shared" si="605"/>
        <v>1900</v>
      </c>
      <c r="P8512" s="61">
        <f t="shared" si="606"/>
        <v>1</v>
      </c>
    </row>
    <row r="8513" spans="9:16">
      <c r="I8513" s="213"/>
      <c r="J8513" s="213"/>
      <c r="L8513" s="272">
        <f t="shared" si="603"/>
        <v>1900</v>
      </c>
      <c r="M8513" s="272">
        <f t="shared" si="604"/>
        <v>1</v>
      </c>
      <c r="O8513" s="61">
        <f t="shared" si="605"/>
        <v>1900</v>
      </c>
      <c r="P8513" s="61">
        <f t="shared" si="606"/>
        <v>1</v>
      </c>
    </row>
    <row r="8514" spans="9:16">
      <c r="I8514" s="213"/>
      <c r="J8514" s="213"/>
      <c r="L8514" s="272">
        <f t="shared" si="603"/>
        <v>1900</v>
      </c>
      <c r="M8514" s="272">
        <f t="shared" si="604"/>
        <v>1</v>
      </c>
      <c r="O8514" s="61">
        <f t="shared" si="605"/>
        <v>1900</v>
      </c>
      <c r="P8514" s="61">
        <f t="shared" si="606"/>
        <v>1</v>
      </c>
    </row>
    <row r="8515" spans="9:16">
      <c r="I8515" s="213"/>
      <c r="J8515" s="213"/>
      <c r="L8515" s="272">
        <f t="shared" si="603"/>
        <v>1900</v>
      </c>
      <c r="M8515" s="272">
        <f t="shared" si="604"/>
        <v>1</v>
      </c>
      <c r="O8515" s="61">
        <f t="shared" si="605"/>
        <v>1900</v>
      </c>
      <c r="P8515" s="61">
        <f t="shared" si="606"/>
        <v>1</v>
      </c>
    </row>
    <row r="8516" spans="9:16">
      <c r="I8516" s="213"/>
      <c r="J8516" s="213"/>
      <c r="L8516" s="272">
        <f t="shared" si="603"/>
        <v>1900</v>
      </c>
      <c r="M8516" s="272">
        <f t="shared" si="604"/>
        <v>1</v>
      </c>
      <c r="O8516" s="61">
        <f t="shared" si="605"/>
        <v>1900</v>
      </c>
      <c r="P8516" s="61">
        <f t="shared" si="606"/>
        <v>1</v>
      </c>
    </row>
    <row r="8517" spans="9:16">
      <c r="I8517" s="213"/>
      <c r="J8517" s="213"/>
      <c r="L8517" s="272">
        <f t="shared" si="603"/>
        <v>1900</v>
      </c>
      <c r="M8517" s="272">
        <f t="shared" si="604"/>
        <v>1</v>
      </c>
      <c r="O8517" s="61">
        <f t="shared" si="605"/>
        <v>1900</v>
      </c>
      <c r="P8517" s="61">
        <f t="shared" si="606"/>
        <v>1</v>
      </c>
    </row>
    <row r="8518" spans="9:16">
      <c r="I8518" s="213"/>
      <c r="J8518" s="213"/>
      <c r="L8518" s="272">
        <f t="shared" si="603"/>
        <v>1900</v>
      </c>
      <c r="M8518" s="272">
        <f t="shared" si="604"/>
        <v>1</v>
      </c>
      <c r="O8518" s="61">
        <f t="shared" si="605"/>
        <v>1900</v>
      </c>
      <c r="P8518" s="61">
        <f t="shared" si="606"/>
        <v>1</v>
      </c>
    </row>
    <row r="8519" spans="9:16">
      <c r="I8519" s="213"/>
      <c r="J8519" s="213"/>
      <c r="L8519" s="272">
        <f t="shared" si="603"/>
        <v>1900</v>
      </c>
      <c r="M8519" s="272">
        <f t="shared" si="604"/>
        <v>1</v>
      </c>
      <c r="O8519" s="61">
        <f t="shared" si="605"/>
        <v>1900</v>
      </c>
      <c r="P8519" s="61">
        <f t="shared" si="606"/>
        <v>1</v>
      </c>
    </row>
    <row r="8520" spans="9:16">
      <c r="I8520" s="213"/>
      <c r="J8520" s="213"/>
      <c r="L8520" s="272">
        <f t="shared" si="603"/>
        <v>1900</v>
      </c>
      <c r="M8520" s="272">
        <f t="shared" si="604"/>
        <v>1</v>
      </c>
      <c r="O8520" s="61">
        <f t="shared" si="605"/>
        <v>1900</v>
      </c>
      <c r="P8520" s="61">
        <f t="shared" si="606"/>
        <v>1</v>
      </c>
    </row>
    <row r="8521" spans="9:16">
      <c r="I8521" s="213"/>
      <c r="J8521" s="213"/>
      <c r="L8521" s="272">
        <f t="shared" si="603"/>
        <v>1900</v>
      </c>
      <c r="M8521" s="272">
        <f t="shared" si="604"/>
        <v>1</v>
      </c>
      <c r="O8521" s="61">
        <f t="shared" si="605"/>
        <v>1900</v>
      </c>
      <c r="P8521" s="61">
        <f t="shared" si="606"/>
        <v>1</v>
      </c>
    </row>
    <row r="8522" spans="9:16">
      <c r="I8522" s="213"/>
      <c r="J8522" s="213"/>
      <c r="L8522" s="272">
        <f t="shared" si="603"/>
        <v>1900</v>
      </c>
      <c r="M8522" s="272">
        <f t="shared" si="604"/>
        <v>1</v>
      </c>
      <c r="O8522" s="61">
        <f t="shared" si="605"/>
        <v>1900</v>
      </c>
      <c r="P8522" s="61">
        <f t="shared" si="606"/>
        <v>1</v>
      </c>
    </row>
    <row r="8523" spans="9:16">
      <c r="I8523" s="213"/>
      <c r="J8523" s="213"/>
      <c r="L8523" s="272">
        <f t="shared" si="603"/>
        <v>1900</v>
      </c>
      <c r="M8523" s="272">
        <f t="shared" si="604"/>
        <v>1</v>
      </c>
      <c r="O8523" s="61">
        <f t="shared" si="605"/>
        <v>1900</v>
      </c>
      <c r="P8523" s="61">
        <f t="shared" si="606"/>
        <v>1</v>
      </c>
    </row>
    <row r="8524" spans="9:16">
      <c r="I8524" s="213"/>
      <c r="J8524" s="213"/>
      <c r="L8524" s="272">
        <f t="shared" si="603"/>
        <v>1900</v>
      </c>
      <c r="M8524" s="272">
        <f t="shared" si="604"/>
        <v>1</v>
      </c>
      <c r="O8524" s="61">
        <f t="shared" si="605"/>
        <v>1900</v>
      </c>
      <c r="P8524" s="61">
        <f t="shared" si="606"/>
        <v>1</v>
      </c>
    </row>
    <row r="8525" spans="9:16">
      <c r="I8525" s="213"/>
      <c r="J8525" s="213"/>
      <c r="L8525" s="272">
        <f t="shared" si="603"/>
        <v>1900</v>
      </c>
      <c r="M8525" s="272">
        <f t="shared" si="604"/>
        <v>1</v>
      </c>
      <c r="O8525" s="61">
        <f t="shared" si="605"/>
        <v>1900</v>
      </c>
      <c r="P8525" s="61">
        <f t="shared" si="606"/>
        <v>1</v>
      </c>
    </row>
    <row r="8526" spans="9:16">
      <c r="I8526" s="213"/>
      <c r="J8526" s="213"/>
      <c r="L8526" s="272">
        <f t="shared" si="603"/>
        <v>1900</v>
      </c>
      <c r="M8526" s="272">
        <f t="shared" si="604"/>
        <v>1</v>
      </c>
      <c r="O8526" s="61">
        <f t="shared" si="605"/>
        <v>1900</v>
      </c>
      <c r="P8526" s="61">
        <f t="shared" si="606"/>
        <v>1</v>
      </c>
    </row>
    <row r="8527" spans="9:16">
      <c r="I8527" s="213"/>
      <c r="J8527" s="213"/>
      <c r="L8527" s="272">
        <f t="shared" si="603"/>
        <v>1900</v>
      </c>
      <c r="M8527" s="272">
        <f t="shared" si="604"/>
        <v>1</v>
      </c>
      <c r="O8527" s="61">
        <f t="shared" si="605"/>
        <v>1900</v>
      </c>
      <c r="P8527" s="61">
        <f t="shared" si="606"/>
        <v>1</v>
      </c>
    </row>
    <row r="8528" spans="9:16">
      <c r="I8528" s="213"/>
      <c r="J8528" s="213"/>
      <c r="L8528" s="272">
        <f t="shared" ref="L8528:L8591" si="607">YEAR(B8528)</f>
        <v>1900</v>
      </c>
      <c r="M8528" s="272">
        <f t="shared" ref="M8528:M8591" si="608">MONTH(B8528)</f>
        <v>1</v>
      </c>
      <c r="O8528" s="61">
        <f t="shared" ref="O8528:O8591" si="609">YEAR(B8528)</f>
        <v>1900</v>
      </c>
      <c r="P8528" s="61">
        <f t="shared" ref="P8528:P8591" si="610">MONTH(B8528)</f>
        <v>1</v>
      </c>
    </row>
    <row r="8529" spans="9:16">
      <c r="I8529" s="213"/>
      <c r="J8529" s="213"/>
      <c r="L8529" s="272">
        <f t="shared" si="607"/>
        <v>1900</v>
      </c>
      <c r="M8529" s="272">
        <f t="shared" si="608"/>
        <v>1</v>
      </c>
      <c r="O8529" s="61">
        <f t="shared" si="609"/>
        <v>1900</v>
      </c>
      <c r="P8529" s="61">
        <f t="shared" si="610"/>
        <v>1</v>
      </c>
    </row>
    <row r="8530" spans="9:16">
      <c r="I8530" s="213"/>
      <c r="J8530" s="213"/>
      <c r="L8530" s="272">
        <f t="shared" si="607"/>
        <v>1900</v>
      </c>
      <c r="M8530" s="272">
        <f t="shared" si="608"/>
        <v>1</v>
      </c>
      <c r="O8530" s="61">
        <f t="shared" si="609"/>
        <v>1900</v>
      </c>
      <c r="P8530" s="61">
        <f t="shared" si="610"/>
        <v>1</v>
      </c>
    </row>
    <row r="8531" spans="9:16">
      <c r="I8531" s="213"/>
      <c r="J8531" s="213"/>
      <c r="L8531" s="272">
        <f t="shared" si="607"/>
        <v>1900</v>
      </c>
      <c r="M8531" s="272">
        <f t="shared" si="608"/>
        <v>1</v>
      </c>
      <c r="O8531" s="61">
        <f t="shared" si="609"/>
        <v>1900</v>
      </c>
      <c r="P8531" s="61">
        <f t="shared" si="610"/>
        <v>1</v>
      </c>
    </row>
    <row r="8532" spans="9:16">
      <c r="I8532" s="213"/>
      <c r="J8532" s="213"/>
      <c r="L8532" s="272">
        <f t="shared" si="607"/>
        <v>1900</v>
      </c>
      <c r="M8532" s="272">
        <f t="shared" si="608"/>
        <v>1</v>
      </c>
      <c r="O8532" s="61">
        <f t="shared" si="609"/>
        <v>1900</v>
      </c>
      <c r="P8532" s="61">
        <f t="shared" si="610"/>
        <v>1</v>
      </c>
    </row>
    <row r="8533" spans="9:16">
      <c r="I8533" s="213"/>
      <c r="J8533" s="213"/>
      <c r="L8533" s="272">
        <f t="shared" si="607"/>
        <v>1900</v>
      </c>
      <c r="M8533" s="272">
        <f t="shared" si="608"/>
        <v>1</v>
      </c>
      <c r="O8533" s="61">
        <f t="shared" si="609"/>
        <v>1900</v>
      </c>
      <c r="P8533" s="61">
        <f t="shared" si="610"/>
        <v>1</v>
      </c>
    </row>
    <row r="8534" spans="9:16">
      <c r="I8534" s="213"/>
      <c r="J8534" s="213"/>
      <c r="L8534" s="272">
        <f t="shared" si="607"/>
        <v>1900</v>
      </c>
      <c r="M8534" s="272">
        <f t="shared" si="608"/>
        <v>1</v>
      </c>
      <c r="O8534" s="61">
        <f t="shared" si="609"/>
        <v>1900</v>
      </c>
      <c r="P8534" s="61">
        <f t="shared" si="610"/>
        <v>1</v>
      </c>
    </row>
    <row r="8535" spans="9:16">
      <c r="I8535" s="213"/>
      <c r="J8535" s="213"/>
      <c r="L8535" s="272">
        <f t="shared" si="607"/>
        <v>1900</v>
      </c>
      <c r="M8535" s="272">
        <f t="shared" si="608"/>
        <v>1</v>
      </c>
      <c r="O8535" s="61">
        <f t="shared" si="609"/>
        <v>1900</v>
      </c>
      <c r="P8535" s="61">
        <f t="shared" si="610"/>
        <v>1</v>
      </c>
    </row>
    <row r="8536" spans="9:16">
      <c r="I8536" s="213"/>
      <c r="J8536" s="213"/>
      <c r="L8536" s="272">
        <f t="shared" si="607"/>
        <v>1900</v>
      </c>
      <c r="M8536" s="272">
        <f t="shared" si="608"/>
        <v>1</v>
      </c>
      <c r="O8536" s="61">
        <f t="shared" si="609"/>
        <v>1900</v>
      </c>
      <c r="P8536" s="61">
        <f t="shared" si="610"/>
        <v>1</v>
      </c>
    </row>
    <row r="8537" spans="9:16">
      <c r="I8537" s="213"/>
      <c r="J8537" s="213"/>
      <c r="L8537" s="272">
        <f t="shared" si="607"/>
        <v>1900</v>
      </c>
      <c r="M8537" s="272">
        <f t="shared" si="608"/>
        <v>1</v>
      </c>
      <c r="O8537" s="61">
        <f t="shared" si="609"/>
        <v>1900</v>
      </c>
      <c r="P8537" s="61">
        <f t="shared" si="610"/>
        <v>1</v>
      </c>
    </row>
    <row r="8538" spans="9:16">
      <c r="I8538" s="213"/>
      <c r="J8538" s="213"/>
      <c r="L8538" s="272">
        <f t="shared" si="607"/>
        <v>1900</v>
      </c>
      <c r="M8538" s="272">
        <f t="shared" si="608"/>
        <v>1</v>
      </c>
      <c r="O8538" s="61">
        <f t="shared" si="609"/>
        <v>1900</v>
      </c>
      <c r="P8538" s="61">
        <f t="shared" si="610"/>
        <v>1</v>
      </c>
    </row>
    <row r="8539" spans="9:16">
      <c r="I8539" s="213"/>
      <c r="J8539" s="213"/>
      <c r="L8539" s="272">
        <f t="shared" si="607"/>
        <v>1900</v>
      </c>
      <c r="M8539" s="272">
        <f t="shared" si="608"/>
        <v>1</v>
      </c>
      <c r="O8539" s="61">
        <f t="shared" si="609"/>
        <v>1900</v>
      </c>
      <c r="P8539" s="61">
        <f t="shared" si="610"/>
        <v>1</v>
      </c>
    </row>
    <row r="8540" spans="9:16">
      <c r="I8540" s="213"/>
      <c r="J8540" s="213"/>
      <c r="L8540" s="272">
        <f t="shared" si="607"/>
        <v>1900</v>
      </c>
      <c r="M8540" s="272">
        <f t="shared" si="608"/>
        <v>1</v>
      </c>
      <c r="O8540" s="61">
        <f t="shared" si="609"/>
        <v>1900</v>
      </c>
      <c r="P8540" s="61">
        <f t="shared" si="610"/>
        <v>1</v>
      </c>
    </row>
    <row r="8541" spans="9:16">
      <c r="I8541" s="213"/>
      <c r="J8541" s="213"/>
      <c r="L8541" s="272">
        <f t="shared" si="607"/>
        <v>1900</v>
      </c>
      <c r="M8541" s="272">
        <f t="shared" si="608"/>
        <v>1</v>
      </c>
      <c r="O8541" s="61">
        <f t="shared" si="609"/>
        <v>1900</v>
      </c>
      <c r="P8541" s="61">
        <f t="shared" si="610"/>
        <v>1</v>
      </c>
    </row>
    <row r="8542" spans="9:16">
      <c r="I8542" s="213"/>
      <c r="J8542" s="213"/>
      <c r="L8542" s="272">
        <f t="shared" si="607"/>
        <v>1900</v>
      </c>
      <c r="M8542" s="272">
        <f t="shared" si="608"/>
        <v>1</v>
      </c>
      <c r="O8542" s="61">
        <f t="shared" si="609"/>
        <v>1900</v>
      </c>
      <c r="P8542" s="61">
        <f t="shared" si="610"/>
        <v>1</v>
      </c>
    </row>
    <row r="8543" spans="9:16">
      <c r="I8543" s="213"/>
      <c r="J8543" s="213"/>
      <c r="L8543" s="272">
        <f t="shared" si="607"/>
        <v>1900</v>
      </c>
      <c r="M8543" s="272">
        <f t="shared" si="608"/>
        <v>1</v>
      </c>
      <c r="O8543" s="61">
        <f t="shared" si="609"/>
        <v>1900</v>
      </c>
      <c r="P8543" s="61">
        <f t="shared" si="610"/>
        <v>1</v>
      </c>
    </row>
    <row r="8544" spans="9:16">
      <c r="I8544" s="213"/>
      <c r="J8544" s="213"/>
      <c r="L8544" s="272">
        <f t="shared" si="607"/>
        <v>1900</v>
      </c>
      <c r="M8544" s="272">
        <f t="shared" si="608"/>
        <v>1</v>
      </c>
      <c r="O8544" s="61">
        <f t="shared" si="609"/>
        <v>1900</v>
      </c>
      <c r="P8544" s="61">
        <f t="shared" si="610"/>
        <v>1</v>
      </c>
    </row>
    <row r="8545" spans="9:16">
      <c r="I8545" s="213"/>
      <c r="J8545" s="213"/>
      <c r="L8545" s="272">
        <f t="shared" si="607"/>
        <v>1900</v>
      </c>
      <c r="M8545" s="272">
        <f t="shared" si="608"/>
        <v>1</v>
      </c>
      <c r="O8545" s="61">
        <f t="shared" si="609"/>
        <v>1900</v>
      </c>
      <c r="P8545" s="61">
        <f t="shared" si="610"/>
        <v>1</v>
      </c>
    </row>
    <row r="8546" spans="9:16">
      <c r="I8546" s="213"/>
      <c r="J8546" s="213"/>
      <c r="L8546" s="272">
        <f t="shared" si="607"/>
        <v>1900</v>
      </c>
      <c r="M8546" s="272">
        <f t="shared" si="608"/>
        <v>1</v>
      </c>
      <c r="O8546" s="61">
        <f t="shared" si="609"/>
        <v>1900</v>
      </c>
      <c r="P8546" s="61">
        <f t="shared" si="610"/>
        <v>1</v>
      </c>
    </row>
    <row r="8547" spans="9:16">
      <c r="I8547" s="213"/>
      <c r="J8547" s="213"/>
      <c r="L8547" s="272">
        <f t="shared" si="607"/>
        <v>1900</v>
      </c>
      <c r="M8547" s="272">
        <f t="shared" si="608"/>
        <v>1</v>
      </c>
      <c r="O8547" s="61">
        <f t="shared" si="609"/>
        <v>1900</v>
      </c>
      <c r="P8547" s="61">
        <f t="shared" si="610"/>
        <v>1</v>
      </c>
    </row>
    <row r="8548" spans="9:16">
      <c r="I8548" s="213"/>
      <c r="J8548" s="213"/>
      <c r="L8548" s="272">
        <f t="shared" si="607"/>
        <v>1900</v>
      </c>
      <c r="M8548" s="272">
        <f t="shared" si="608"/>
        <v>1</v>
      </c>
      <c r="O8548" s="61">
        <f t="shared" si="609"/>
        <v>1900</v>
      </c>
      <c r="P8548" s="61">
        <f t="shared" si="610"/>
        <v>1</v>
      </c>
    </row>
    <row r="8549" spans="9:16">
      <c r="I8549" s="213"/>
      <c r="J8549" s="213"/>
      <c r="L8549" s="272">
        <f t="shared" si="607"/>
        <v>1900</v>
      </c>
      <c r="M8549" s="272">
        <f t="shared" si="608"/>
        <v>1</v>
      </c>
      <c r="O8549" s="61">
        <f t="shared" si="609"/>
        <v>1900</v>
      </c>
      <c r="P8549" s="61">
        <f t="shared" si="610"/>
        <v>1</v>
      </c>
    </row>
    <row r="8550" spans="9:16">
      <c r="I8550" s="213"/>
      <c r="J8550" s="213"/>
      <c r="L8550" s="272">
        <f t="shared" si="607"/>
        <v>1900</v>
      </c>
      <c r="M8550" s="272">
        <f t="shared" si="608"/>
        <v>1</v>
      </c>
      <c r="O8550" s="61">
        <f t="shared" si="609"/>
        <v>1900</v>
      </c>
      <c r="P8550" s="61">
        <f t="shared" si="610"/>
        <v>1</v>
      </c>
    </row>
    <row r="8551" spans="9:16">
      <c r="I8551" s="213"/>
      <c r="J8551" s="213"/>
      <c r="L8551" s="272">
        <f t="shared" si="607"/>
        <v>1900</v>
      </c>
      <c r="M8551" s="272">
        <f t="shared" si="608"/>
        <v>1</v>
      </c>
      <c r="O8551" s="61">
        <f t="shared" si="609"/>
        <v>1900</v>
      </c>
      <c r="P8551" s="61">
        <f t="shared" si="610"/>
        <v>1</v>
      </c>
    </row>
    <row r="8552" spans="9:16">
      <c r="I8552" s="213"/>
      <c r="J8552" s="213"/>
      <c r="L8552" s="272">
        <f t="shared" si="607"/>
        <v>1900</v>
      </c>
      <c r="M8552" s="272">
        <f t="shared" si="608"/>
        <v>1</v>
      </c>
      <c r="O8552" s="61">
        <f t="shared" si="609"/>
        <v>1900</v>
      </c>
      <c r="P8552" s="61">
        <f t="shared" si="610"/>
        <v>1</v>
      </c>
    </row>
    <row r="8553" spans="9:16">
      <c r="I8553" s="213"/>
      <c r="J8553" s="213"/>
      <c r="L8553" s="272">
        <f t="shared" si="607"/>
        <v>1900</v>
      </c>
      <c r="M8553" s="272">
        <f t="shared" si="608"/>
        <v>1</v>
      </c>
      <c r="O8553" s="61">
        <f t="shared" si="609"/>
        <v>1900</v>
      </c>
      <c r="P8553" s="61">
        <f t="shared" si="610"/>
        <v>1</v>
      </c>
    </row>
    <row r="8554" spans="9:16">
      <c r="I8554" s="213"/>
      <c r="J8554" s="213"/>
      <c r="L8554" s="272">
        <f t="shared" si="607"/>
        <v>1900</v>
      </c>
      <c r="M8554" s="272">
        <f t="shared" si="608"/>
        <v>1</v>
      </c>
      <c r="O8554" s="61">
        <f t="shared" si="609"/>
        <v>1900</v>
      </c>
      <c r="P8554" s="61">
        <f t="shared" si="610"/>
        <v>1</v>
      </c>
    </row>
    <row r="8555" spans="9:16">
      <c r="I8555" s="213"/>
      <c r="J8555" s="213"/>
      <c r="L8555" s="272">
        <f t="shared" si="607"/>
        <v>1900</v>
      </c>
      <c r="M8555" s="272">
        <f t="shared" si="608"/>
        <v>1</v>
      </c>
      <c r="O8555" s="61">
        <f t="shared" si="609"/>
        <v>1900</v>
      </c>
      <c r="P8555" s="61">
        <f t="shared" si="610"/>
        <v>1</v>
      </c>
    </row>
    <row r="8556" spans="9:16">
      <c r="I8556" s="213"/>
      <c r="J8556" s="213"/>
      <c r="L8556" s="272">
        <f t="shared" si="607"/>
        <v>1900</v>
      </c>
      <c r="M8556" s="272">
        <f t="shared" si="608"/>
        <v>1</v>
      </c>
      <c r="O8556" s="61">
        <f t="shared" si="609"/>
        <v>1900</v>
      </c>
      <c r="P8556" s="61">
        <f t="shared" si="610"/>
        <v>1</v>
      </c>
    </row>
    <row r="8557" spans="9:16">
      <c r="I8557" s="213"/>
      <c r="J8557" s="213"/>
      <c r="L8557" s="272">
        <f t="shared" si="607"/>
        <v>1900</v>
      </c>
      <c r="M8557" s="272">
        <f t="shared" si="608"/>
        <v>1</v>
      </c>
      <c r="O8557" s="61">
        <f t="shared" si="609"/>
        <v>1900</v>
      </c>
      <c r="P8557" s="61">
        <f t="shared" si="610"/>
        <v>1</v>
      </c>
    </row>
    <row r="8558" spans="9:16">
      <c r="I8558" s="213"/>
      <c r="J8558" s="213"/>
      <c r="L8558" s="272">
        <f t="shared" si="607"/>
        <v>1900</v>
      </c>
      <c r="M8558" s="272">
        <f t="shared" si="608"/>
        <v>1</v>
      </c>
      <c r="O8558" s="61">
        <f t="shared" si="609"/>
        <v>1900</v>
      </c>
      <c r="P8558" s="61">
        <f t="shared" si="610"/>
        <v>1</v>
      </c>
    </row>
    <row r="8559" spans="9:16">
      <c r="I8559" s="213"/>
      <c r="J8559" s="213"/>
      <c r="L8559" s="272">
        <f t="shared" si="607"/>
        <v>1900</v>
      </c>
      <c r="M8559" s="272">
        <f t="shared" si="608"/>
        <v>1</v>
      </c>
      <c r="O8559" s="61">
        <f t="shared" si="609"/>
        <v>1900</v>
      </c>
      <c r="P8559" s="61">
        <f t="shared" si="610"/>
        <v>1</v>
      </c>
    </row>
    <row r="8560" spans="9:16">
      <c r="I8560" s="213"/>
      <c r="J8560" s="213"/>
      <c r="L8560" s="272">
        <f t="shared" si="607"/>
        <v>1900</v>
      </c>
      <c r="M8560" s="272">
        <f t="shared" si="608"/>
        <v>1</v>
      </c>
      <c r="O8560" s="61">
        <f t="shared" si="609"/>
        <v>1900</v>
      </c>
      <c r="P8560" s="61">
        <f t="shared" si="610"/>
        <v>1</v>
      </c>
    </row>
    <row r="8561" spans="9:16">
      <c r="I8561" s="213"/>
      <c r="J8561" s="213"/>
      <c r="L8561" s="272">
        <f t="shared" si="607"/>
        <v>1900</v>
      </c>
      <c r="M8561" s="272">
        <f t="shared" si="608"/>
        <v>1</v>
      </c>
      <c r="O8561" s="61">
        <f t="shared" si="609"/>
        <v>1900</v>
      </c>
      <c r="P8561" s="61">
        <f t="shared" si="610"/>
        <v>1</v>
      </c>
    </row>
    <row r="8562" spans="9:16">
      <c r="I8562" s="213"/>
      <c r="J8562" s="213"/>
      <c r="L8562" s="272">
        <f t="shared" si="607"/>
        <v>1900</v>
      </c>
      <c r="M8562" s="272">
        <f t="shared" si="608"/>
        <v>1</v>
      </c>
      <c r="O8562" s="61">
        <f t="shared" si="609"/>
        <v>1900</v>
      </c>
      <c r="P8562" s="61">
        <f t="shared" si="610"/>
        <v>1</v>
      </c>
    </row>
    <row r="8563" spans="9:16">
      <c r="I8563" s="213"/>
      <c r="J8563" s="213"/>
      <c r="L8563" s="272">
        <f t="shared" si="607"/>
        <v>1900</v>
      </c>
      <c r="M8563" s="272">
        <f t="shared" si="608"/>
        <v>1</v>
      </c>
      <c r="O8563" s="61">
        <f t="shared" si="609"/>
        <v>1900</v>
      </c>
      <c r="P8563" s="61">
        <f t="shared" si="610"/>
        <v>1</v>
      </c>
    </row>
    <row r="8564" spans="9:16">
      <c r="I8564" s="213"/>
      <c r="J8564" s="213"/>
      <c r="L8564" s="272">
        <f t="shared" si="607"/>
        <v>1900</v>
      </c>
      <c r="M8564" s="272">
        <f t="shared" si="608"/>
        <v>1</v>
      </c>
      <c r="O8564" s="61">
        <f t="shared" si="609"/>
        <v>1900</v>
      </c>
      <c r="P8564" s="61">
        <f t="shared" si="610"/>
        <v>1</v>
      </c>
    </row>
    <row r="8565" spans="9:16">
      <c r="I8565" s="213"/>
      <c r="J8565" s="213"/>
      <c r="L8565" s="272">
        <f t="shared" si="607"/>
        <v>1900</v>
      </c>
      <c r="M8565" s="272">
        <f t="shared" si="608"/>
        <v>1</v>
      </c>
      <c r="O8565" s="61">
        <f t="shared" si="609"/>
        <v>1900</v>
      </c>
      <c r="P8565" s="61">
        <f t="shared" si="610"/>
        <v>1</v>
      </c>
    </row>
    <row r="8566" spans="9:16">
      <c r="I8566" s="213"/>
      <c r="J8566" s="213"/>
      <c r="L8566" s="272">
        <f t="shared" si="607"/>
        <v>1900</v>
      </c>
      <c r="M8566" s="272">
        <f t="shared" si="608"/>
        <v>1</v>
      </c>
      <c r="O8566" s="61">
        <f t="shared" si="609"/>
        <v>1900</v>
      </c>
      <c r="P8566" s="61">
        <f t="shared" si="610"/>
        <v>1</v>
      </c>
    </row>
    <row r="8567" spans="9:16">
      <c r="I8567" s="213"/>
      <c r="J8567" s="213"/>
      <c r="L8567" s="272">
        <f t="shared" si="607"/>
        <v>1900</v>
      </c>
      <c r="M8567" s="272">
        <f t="shared" si="608"/>
        <v>1</v>
      </c>
      <c r="O8567" s="61">
        <f t="shared" si="609"/>
        <v>1900</v>
      </c>
      <c r="P8567" s="61">
        <f t="shared" si="610"/>
        <v>1</v>
      </c>
    </row>
    <row r="8568" spans="9:16">
      <c r="I8568" s="213"/>
      <c r="J8568" s="213"/>
      <c r="L8568" s="272">
        <f t="shared" si="607"/>
        <v>1900</v>
      </c>
      <c r="M8568" s="272">
        <f t="shared" si="608"/>
        <v>1</v>
      </c>
      <c r="O8568" s="61">
        <f t="shared" si="609"/>
        <v>1900</v>
      </c>
      <c r="P8568" s="61">
        <f t="shared" si="610"/>
        <v>1</v>
      </c>
    </row>
    <row r="8569" spans="9:16">
      <c r="I8569" s="213"/>
      <c r="J8569" s="213"/>
      <c r="L8569" s="272">
        <f t="shared" si="607"/>
        <v>1900</v>
      </c>
      <c r="M8569" s="272">
        <f t="shared" si="608"/>
        <v>1</v>
      </c>
      <c r="O8569" s="61">
        <f t="shared" si="609"/>
        <v>1900</v>
      </c>
      <c r="P8569" s="61">
        <f t="shared" si="610"/>
        <v>1</v>
      </c>
    </row>
    <row r="8570" spans="9:16">
      <c r="I8570" s="213"/>
      <c r="J8570" s="213"/>
      <c r="L8570" s="272">
        <f t="shared" si="607"/>
        <v>1900</v>
      </c>
      <c r="M8570" s="272">
        <f t="shared" si="608"/>
        <v>1</v>
      </c>
      <c r="O8570" s="61">
        <f t="shared" si="609"/>
        <v>1900</v>
      </c>
      <c r="P8570" s="61">
        <f t="shared" si="610"/>
        <v>1</v>
      </c>
    </row>
    <row r="8571" spans="9:16">
      <c r="I8571" s="213"/>
      <c r="J8571" s="213"/>
      <c r="L8571" s="272">
        <f t="shared" si="607"/>
        <v>1900</v>
      </c>
      <c r="M8571" s="272">
        <f t="shared" si="608"/>
        <v>1</v>
      </c>
      <c r="O8571" s="61">
        <f t="shared" si="609"/>
        <v>1900</v>
      </c>
      <c r="P8571" s="61">
        <f t="shared" si="610"/>
        <v>1</v>
      </c>
    </row>
    <row r="8572" spans="9:16">
      <c r="I8572" s="213"/>
      <c r="J8572" s="213"/>
      <c r="L8572" s="272">
        <f t="shared" si="607"/>
        <v>1900</v>
      </c>
      <c r="M8572" s="272">
        <f t="shared" si="608"/>
        <v>1</v>
      </c>
      <c r="O8572" s="61">
        <f t="shared" si="609"/>
        <v>1900</v>
      </c>
      <c r="P8572" s="61">
        <f t="shared" si="610"/>
        <v>1</v>
      </c>
    </row>
    <row r="8573" spans="9:16">
      <c r="I8573" s="213"/>
      <c r="J8573" s="213"/>
      <c r="L8573" s="272">
        <f t="shared" si="607"/>
        <v>1900</v>
      </c>
      <c r="M8573" s="272">
        <f t="shared" si="608"/>
        <v>1</v>
      </c>
      <c r="O8573" s="61">
        <f t="shared" si="609"/>
        <v>1900</v>
      </c>
      <c r="P8573" s="61">
        <f t="shared" si="610"/>
        <v>1</v>
      </c>
    </row>
    <row r="8574" spans="9:16">
      <c r="I8574" s="213"/>
      <c r="J8574" s="213"/>
      <c r="L8574" s="272">
        <f t="shared" si="607"/>
        <v>1900</v>
      </c>
      <c r="M8574" s="272">
        <f t="shared" si="608"/>
        <v>1</v>
      </c>
      <c r="O8574" s="61">
        <f t="shared" si="609"/>
        <v>1900</v>
      </c>
      <c r="P8574" s="61">
        <f t="shared" si="610"/>
        <v>1</v>
      </c>
    </row>
    <row r="8575" spans="9:16">
      <c r="I8575" s="213"/>
      <c r="J8575" s="213"/>
      <c r="L8575" s="272">
        <f t="shared" si="607"/>
        <v>1900</v>
      </c>
      <c r="M8575" s="272">
        <f t="shared" si="608"/>
        <v>1</v>
      </c>
      <c r="O8575" s="61">
        <f t="shared" si="609"/>
        <v>1900</v>
      </c>
      <c r="P8575" s="61">
        <f t="shared" si="610"/>
        <v>1</v>
      </c>
    </row>
    <row r="8576" spans="9:16">
      <c r="I8576" s="213"/>
      <c r="J8576" s="213"/>
      <c r="L8576" s="272">
        <f t="shared" si="607"/>
        <v>1900</v>
      </c>
      <c r="M8576" s="272">
        <f t="shared" si="608"/>
        <v>1</v>
      </c>
      <c r="O8576" s="61">
        <f t="shared" si="609"/>
        <v>1900</v>
      </c>
      <c r="P8576" s="61">
        <f t="shared" si="610"/>
        <v>1</v>
      </c>
    </row>
    <row r="8577" spans="9:16">
      <c r="I8577" s="213"/>
      <c r="J8577" s="213"/>
      <c r="L8577" s="272">
        <f t="shared" si="607"/>
        <v>1900</v>
      </c>
      <c r="M8577" s="272">
        <f t="shared" si="608"/>
        <v>1</v>
      </c>
      <c r="O8577" s="61">
        <f t="shared" si="609"/>
        <v>1900</v>
      </c>
      <c r="P8577" s="61">
        <f t="shared" si="610"/>
        <v>1</v>
      </c>
    </row>
    <row r="8578" spans="9:16">
      <c r="I8578" s="213"/>
      <c r="J8578" s="213"/>
      <c r="L8578" s="272">
        <f t="shared" si="607"/>
        <v>1900</v>
      </c>
      <c r="M8578" s="272">
        <f t="shared" si="608"/>
        <v>1</v>
      </c>
      <c r="O8578" s="61">
        <f t="shared" si="609"/>
        <v>1900</v>
      </c>
      <c r="P8578" s="61">
        <f t="shared" si="610"/>
        <v>1</v>
      </c>
    </row>
    <row r="8579" spans="9:16">
      <c r="I8579" s="213"/>
      <c r="J8579" s="213"/>
      <c r="L8579" s="272">
        <f t="shared" si="607"/>
        <v>1900</v>
      </c>
      <c r="M8579" s="272">
        <f t="shared" si="608"/>
        <v>1</v>
      </c>
      <c r="O8579" s="61">
        <f t="shared" si="609"/>
        <v>1900</v>
      </c>
      <c r="P8579" s="61">
        <f t="shared" si="610"/>
        <v>1</v>
      </c>
    </row>
    <row r="8580" spans="9:16">
      <c r="I8580" s="213"/>
      <c r="J8580" s="213"/>
      <c r="L8580" s="272">
        <f t="shared" si="607"/>
        <v>1900</v>
      </c>
      <c r="M8580" s="272">
        <f t="shared" si="608"/>
        <v>1</v>
      </c>
      <c r="O8580" s="61">
        <f t="shared" si="609"/>
        <v>1900</v>
      </c>
      <c r="P8580" s="61">
        <f t="shared" si="610"/>
        <v>1</v>
      </c>
    </row>
    <row r="8581" spans="9:16">
      <c r="I8581" s="213"/>
      <c r="J8581" s="213"/>
      <c r="L8581" s="272">
        <f t="shared" si="607"/>
        <v>1900</v>
      </c>
      <c r="M8581" s="272">
        <f t="shared" si="608"/>
        <v>1</v>
      </c>
      <c r="O8581" s="61">
        <f t="shared" si="609"/>
        <v>1900</v>
      </c>
      <c r="P8581" s="61">
        <f t="shared" si="610"/>
        <v>1</v>
      </c>
    </row>
    <row r="8582" spans="9:16">
      <c r="I8582" s="213"/>
      <c r="J8582" s="213"/>
      <c r="L8582" s="272">
        <f t="shared" si="607"/>
        <v>1900</v>
      </c>
      <c r="M8582" s="272">
        <f t="shared" si="608"/>
        <v>1</v>
      </c>
      <c r="O8582" s="61">
        <f t="shared" si="609"/>
        <v>1900</v>
      </c>
      <c r="P8582" s="61">
        <f t="shared" si="610"/>
        <v>1</v>
      </c>
    </row>
    <row r="8583" spans="9:16">
      <c r="I8583" s="213"/>
      <c r="J8583" s="213"/>
      <c r="L8583" s="272">
        <f t="shared" si="607"/>
        <v>1900</v>
      </c>
      <c r="M8583" s="272">
        <f t="shared" si="608"/>
        <v>1</v>
      </c>
      <c r="O8583" s="61">
        <f t="shared" si="609"/>
        <v>1900</v>
      </c>
      <c r="P8583" s="61">
        <f t="shared" si="610"/>
        <v>1</v>
      </c>
    </row>
    <row r="8584" spans="9:16">
      <c r="I8584" s="213"/>
      <c r="J8584" s="213"/>
      <c r="L8584" s="272">
        <f t="shared" si="607"/>
        <v>1900</v>
      </c>
      <c r="M8584" s="272">
        <f t="shared" si="608"/>
        <v>1</v>
      </c>
      <c r="O8584" s="61">
        <f t="shared" si="609"/>
        <v>1900</v>
      </c>
      <c r="P8584" s="61">
        <f t="shared" si="610"/>
        <v>1</v>
      </c>
    </row>
    <row r="8585" spans="9:16">
      <c r="I8585" s="213"/>
      <c r="J8585" s="213"/>
      <c r="L8585" s="272">
        <f t="shared" si="607"/>
        <v>1900</v>
      </c>
      <c r="M8585" s="272">
        <f t="shared" si="608"/>
        <v>1</v>
      </c>
      <c r="O8585" s="61">
        <f t="shared" si="609"/>
        <v>1900</v>
      </c>
      <c r="P8585" s="61">
        <f t="shared" si="610"/>
        <v>1</v>
      </c>
    </row>
    <row r="8586" spans="9:16">
      <c r="I8586" s="213"/>
      <c r="J8586" s="213"/>
      <c r="L8586" s="272">
        <f t="shared" si="607"/>
        <v>1900</v>
      </c>
      <c r="M8586" s="272">
        <f t="shared" si="608"/>
        <v>1</v>
      </c>
      <c r="O8586" s="61">
        <f t="shared" si="609"/>
        <v>1900</v>
      </c>
      <c r="P8586" s="61">
        <f t="shared" si="610"/>
        <v>1</v>
      </c>
    </row>
    <row r="8587" spans="9:16">
      <c r="I8587" s="213"/>
      <c r="J8587" s="213"/>
      <c r="L8587" s="272">
        <f t="shared" si="607"/>
        <v>1900</v>
      </c>
      <c r="M8587" s="272">
        <f t="shared" si="608"/>
        <v>1</v>
      </c>
      <c r="O8587" s="61">
        <f t="shared" si="609"/>
        <v>1900</v>
      </c>
      <c r="P8587" s="61">
        <f t="shared" si="610"/>
        <v>1</v>
      </c>
    </row>
    <row r="8588" spans="9:16">
      <c r="I8588" s="213"/>
      <c r="J8588" s="213"/>
      <c r="L8588" s="272">
        <f t="shared" si="607"/>
        <v>1900</v>
      </c>
      <c r="M8588" s="272">
        <f t="shared" si="608"/>
        <v>1</v>
      </c>
      <c r="O8588" s="61">
        <f t="shared" si="609"/>
        <v>1900</v>
      </c>
      <c r="P8588" s="61">
        <f t="shared" si="610"/>
        <v>1</v>
      </c>
    </row>
    <row r="8589" spans="9:16">
      <c r="I8589" s="213"/>
      <c r="J8589" s="213"/>
      <c r="L8589" s="272">
        <f t="shared" si="607"/>
        <v>1900</v>
      </c>
      <c r="M8589" s="272">
        <f t="shared" si="608"/>
        <v>1</v>
      </c>
      <c r="O8589" s="61">
        <f t="shared" si="609"/>
        <v>1900</v>
      </c>
      <c r="P8589" s="61">
        <f t="shared" si="610"/>
        <v>1</v>
      </c>
    </row>
    <row r="8590" spans="9:16">
      <c r="I8590" s="213"/>
      <c r="J8590" s="213"/>
      <c r="L8590" s="272">
        <f t="shared" si="607"/>
        <v>1900</v>
      </c>
      <c r="M8590" s="272">
        <f t="shared" si="608"/>
        <v>1</v>
      </c>
      <c r="O8590" s="61">
        <f t="shared" si="609"/>
        <v>1900</v>
      </c>
      <c r="P8590" s="61">
        <f t="shared" si="610"/>
        <v>1</v>
      </c>
    </row>
    <row r="8591" spans="9:16">
      <c r="I8591" s="213"/>
      <c r="J8591" s="213"/>
      <c r="L8591" s="272">
        <f t="shared" si="607"/>
        <v>1900</v>
      </c>
      <c r="M8591" s="272">
        <f t="shared" si="608"/>
        <v>1</v>
      </c>
      <c r="O8591" s="61">
        <f t="shared" si="609"/>
        <v>1900</v>
      </c>
      <c r="P8591" s="61">
        <f t="shared" si="610"/>
        <v>1</v>
      </c>
    </row>
    <row r="8592" spans="9:16">
      <c r="I8592" s="213"/>
      <c r="J8592" s="213"/>
      <c r="L8592" s="272">
        <f t="shared" ref="L8592:L8655" si="611">YEAR(B8592)</f>
        <v>1900</v>
      </c>
      <c r="M8592" s="272">
        <f t="shared" ref="M8592:M8655" si="612">MONTH(B8592)</f>
        <v>1</v>
      </c>
      <c r="O8592" s="61">
        <f t="shared" ref="O8592:O8655" si="613">YEAR(B8592)</f>
        <v>1900</v>
      </c>
      <c r="P8592" s="61">
        <f t="shared" ref="P8592:P8655" si="614">MONTH(B8592)</f>
        <v>1</v>
      </c>
    </row>
    <row r="8593" spans="9:16">
      <c r="I8593" s="213"/>
      <c r="J8593" s="213"/>
      <c r="L8593" s="272">
        <f t="shared" si="611"/>
        <v>1900</v>
      </c>
      <c r="M8593" s="272">
        <f t="shared" si="612"/>
        <v>1</v>
      </c>
      <c r="O8593" s="61">
        <f t="shared" si="613"/>
        <v>1900</v>
      </c>
      <c r="P8593" s="61">
        <f t="shared" si="614"/>
        <v>1</v>
      </c>
    </row>
    <row r="8594" spans="9:16">
      <c r="I8594" s="213"/>
      <c r="J8594" s="213"/>
      <c r="L8594" s="272">
        <f t="shared" si="611"/>
        <v>1900</v>
      </c>
      <c r="M8594" s="272">
        <f t="shared" si="612"/>
        <v>1</v>
      </c>
      <c r="O8594" s="61">
        <f t="shared" si="613"/>
        <v>1900</v>
      </c>
      <c r="P8594" s="61">
        <f t="shared" si="614"/>
        <v>1</v>
      </c>
    </row>
    <row r="8595" spans="9:16">
      <c r="I8595" s="213"/>
      <c r="J8595" s="213"/>
      <c r="L8595" s="272">
        <f t="shared" si="611"/>
        <v>1900</v>
      </c>
      <c r="M8595" s="272">
        <f t="shared" si="612"/>
        <v>1</v>
      </c>
      <c r="O8595" s="61">
        <f t="shared" si="613"/>
        <v>1900</v>
      </c>
      <c r="P8595" s="61">
        <f t="shared" si="614"/>
        <v>1</v>
      </c>
    </row>
    <row r="8596" spans="9:16">
      <c r="I8596" s="213"/>
      <c r="J8596" s="213"/>
      <c r="L8596" s="272">
        <f t="shared" si="611"/>
        <v>1900</v>
      </c>
      <c r="M8596" s="272">
        <f t="shared" si="612"/>
        <v>1</v>
      </c>
      <c r="O8596" s="61">
        <f t="shared" si="613"/>
        <v>1900</v>
      </c>
      <c r="P8596" s="61">
        <f t="shared" si="614"/>
        <v>1</v>
      </c>
    </row>
    <row r="8597" spans="9:16">
      <c r="I8597" s="213"/>
      <c r="J8597" s="213"/>
      <c r="L8597" s="272">
        <f t="shared" si="611"/>
        <v>1900</v>
      </c>
      <c r="M8597" s="272">
        <f t="shared" si="612"/>
        <v>1</v>
      </c>
      <c r="O8597" s="61">
        <f t="shared" si="613"/>
        <v>1900</v>
      </c>
      <c r="P8597" s="61">
        <f t="shared" si="614"/>
        <v>1</v>
      </c>
    </row>
    <row r="8598" spans="9:16">
      <c r="I8598" s="213"/>
      <c r="J8598" s="213"/>
      <c r="L8598" s="272">
        <f t="shared" si="611"/>
        <v>1900</v>
      </c>
      <c r="M8598" s="272">
        <f t="shared" si="612"/>
        <v>1</v>
      </c>
      <c r="O8598" s="61">
        <f t="shared" si="613"/>
        <v>1900</v>
      </c>
      <c r="P8598" s="61">
        <f t="shared" si="614"/>
        <v>1</v>
      </c>
    </row>
    <row r="8599" spans="9:16">
      <c r="I8599" s="213"/>
      <c r="J8599" s="213"/>
      <c r="L8599" s="272">
        <f t="shared" si="611"/>
        <v>1900</v>
      </c>
      <c r="M8599" s="272">
        <f t="shared" si="612"/>
        <v>1</v>
      </c>
      <c r="O8599" s="61">
        <f t="shared" si="613"/>
        <v>1900</v>
      </c>
      <c r="P8599" s="61">
        <f t="shared" si="614"/>
        <v>1</v>
      </c>
    </row>
    <row r="8600" spans="9:16">
      <c r="I8600" s="213"/>
      <c r="J8600" s="213"/>
      <c r="L8600" s="272">
        <f t="shared" si="611"/>
        <v>1900</v>
      </c>
      <c r="M8600" s="272">
        <f t="shared" si="612"/>
        <v>1</v>
      </c>
      <c r="O8600" s="61">
        <f t="shared" si="613"/>
        <v>1900</v>
      </c>
      <c r="P8600" s="61">
        <f t="shared" si="614"/>
        <v>1</v>
      </c>
    </row>
    <row r="8601" spans="9:16">
      <c r="I8601" s="213"/>
      <c r="J8601" s="213"/>
      <c r="L8601" s="272">
        <f t="shared" si="611"/>
        <v>1900</v>
      </c>
      <c r="M8601" s="272">
        <f t="shared" si="612"/>
        <v>1</v>
      </c>
      <c r="O8601" s="61">
        <f t="shared" si="613"/>
        <v>1900</v>
      </c>
      <c r="P8601" s="61">
        <f t="shared" si="614"/>
        <v>1</v>
      </c>
    </row>
    <row r="8602" spans="9:16">
      <c r="I8602" s="213"/>
      <c r="J8602" s="213"/>
      <c r="L8602" s="272">
        <f t="shared" si="611"/>
        <v>1900</v>
      </c>
      <c r="M8602" s="272">
        <f t="shared" si="612"/>
        <v>1</v>
      </c>
      <c r="O8602" s="61">
        <f t="shared" si="613"/>
        <v>1900</v>
      </c>
      <c r="P8602" s="61">
        <f t="shared" si="614"/>
        <v>1</v>
      </c>
    </row>
    <row r="8603" spans="9:16">
      <c r="I8603" s="213"/>
      <c r="J8603" s="213"/>
      <c r="L8603" s="272">
        <f t="shared" si="611"/>
        <v>1900</v>
      </c>
      <c r="M8603" s="272">
        <f t="shared" si="612"/>
        <v>1</v>
      </c>
      <c r="O8603" s="61">
        <f t="shared" si="613"/>
        <v>1900</v>
      </c>
      <c r="P8603" s="61">
        <f t="shared" si="614"/>
        <v>1</v>
      </c>
    </row>
    <row r="8604" spans="9:16">
      <c r="I8604" s="213"/>
      <c r="J8604" s="213"/>
      <c r="L8604" s="272">
        <f t="shared" si="611"/>
        <v>1900</v>
      </c>
      <c r="M8604" s="272">
        <f t="shared" si="612"/>
        <v>1</v>
      </c>
      <c r="O8604" s="61">
        <f t="shared" si="613"/>
        <v>1900</v>
      </c>
      <c r="P8604" s="61">
        <f t="shared" si="614"/>
        <v>1</v>
      </c>
    </row>
    <row r="8605" spans="9:16">
      <c r="I8605" s="213"/>
      <c r="J8605" s="213"/>
      <c r="L8605" s="272">
        <f t="shared" si="611"/>
        <v>1900</v>
      </c>
      <c r="M8605" s="272">
        <f t="shared" si="612"/>
        <v>1</v>
      </c>
      <c r="O8605" s="61">
        <f t="shared" si="613"/>
        <v>1900</v>
      </c>
      <c r="P8605" s="61">
        <f t="shared" si="614"/>
        <v>1</v>
      </c>
    </row>
    <row r="8606" spans="9:16">
      <c r="I8606" s="213"/>
      <c r="J8606" s="213"/>
      <c r="L8606" s="272">
        <f t="shared" si="611"/>
        <v>1900</v>
      </c>
      <c r="M8606" s="272">
        <f t="shared" si="612"/>
        <v>1</v>
      </c>
      <c r="O8606" s="61">
        <f t="shared" si="613"/>
        <v>1900</v>
      </c>
      <c r="P8606" s="61">
        <f t="shared" si="614"/>
        <v>1</v>
      </c>
    </row>
    <row r="8607" spans="9:16">
      <c r="I8607" s="213"/>
      <c r="J8607" s="213"/>
      <c r="L8607" s="272">
        <f t="shared" si="611"/>
        <v>1900</v>
      </c>
      <c r="M8607" s="272">
        <f t="shared" si="612"/>
        <v>1</v>
      </c>
      <c r="O8607" s="61">
        <f t="shared" si="613"/>
        <v>1900</v>
      </c>
      <c r="P8607" s="61">
        <f t="shared" si="614"/>
        <v>1</v>
      </c>
    </row>
    <row r="8608" spans="9:16">
      <c r="I8608" s="213"/>
      <c r="J8608" s="213"/>
      <c r="L8608" s="272">
        <f t="shared" si="611"/>
        <v>1900</v>
      </c>
      <c r="M8608" s="272">
        <f t="shared" si="612"/>
        <v>1</v>
      </c>
      <c r="O8608" s="61">
        <f t="shared" si="613"/>
        <v>1900</v>
      </c>
      <c r="P8608" s="61">
        <f t="shared" si="614"/>
        <v>1</v>
      </c>
    </row>
    <row r="8609" spans="9:16">
      <c r="I8609" s="213"/>
      <c r="J8609" s="213"/>
      <c r="L8609" s="272">
        <f t="shared" si="611"/>
        <v>1900</v>
      </c>
      <c r="M8609" s="272">
        <f t="shared" si="612"/>
        <v>1</v>
      </c>
      <c r="O8609" s="61">
        <f t="shared" si="613"/>
        <v>1900</v>
      </c>
      <c r="P8609" s="61">
        <f t="shared" si="614"/>
        <v>1</v>
      </c>
    </row>
    <row r="8610" spans="9:16">
      <c r="I8610" s="213"/>
      <c r="J8610" s="213"/>
      <c r="L8610" s="272">
        <f t="shared" si="611"/>
        <v>1900</v>
      </c>
      <c r="M8610" s="272">
        <f t="shared" si="612"/>
        <v>1</v>
      </c>
      <c r="O8610" s="61">
        <f t="shared" si="613"/>
        <v>1900</v>
      </c>
      <c r="P8610" s="61">
        <f t="shared" si="614"/>
        <v>1</v>
      </c>
    </row>
    <row r="8611" spans="9:16">
      <c r="I8611" s="213"/>
      <c r="J8611" s="213"/>
      <c r="L8611" s="272">
        <f t="shared" si="611"/>
        <v>1900</v>
      </c>
      <c r="M8611" s="272">
        <f t="shared" si="612"/>
        <v>1</v>
      </c>
      <c r="O8611" s="61">
        <f t="shared" si="613"/>
        <v>1900</v>
      </c>
      <c r="P8611" s="61">
        <f t="shared" si="614"/>
        <v>1</v>
      </c>
    </row>
    <row r="8612" spans="9:16">
      <c r="I8612" s="213"/>
      <c r="J8612" s="213"/>
      <c r="L8612" s="272">
        <f t="shared" si="611"/>
        <v>1900</v>
      </c>
      <c r="M8612" s="272">
        <f t="shared" si="612"/>
        <v>1</v>
      </c>
      <c r="O8612" s="61">
        <f t="shared" si="613"/>
        <v>1900</v>
      </c>
      <c r="P8612" s="61">
        <f t="shared" si="614"/>
        <v>1</v>
      </c>
    </row>
    <row r="8613" spans="9:16">
      <c r="I8613" s="213"/>
      <c r="J8613" s="213"/>
      <c r="L8613" s="272">
        <f t="shared" si="611"/>
        <v>1900</v>
      </c>
      <c r="M8613" s="272">
        <f t="shared" si="612"/>
        <v>1</v>
      </c>
      <c r="O8613" s="61">
        <f t="shared" si="613"/>
        <v>1900</v>
      </c>
      <c r="P8613" s="61">
        <f t="shared" si="614"/>
        <v>1</v>
      </c>
    </row>
    <row r="8614" spans="9:16">
      <c r="I8614" s="213"/>
      <c r="J8614" s="213"/>
      <c r="L8614" s="272">
        <f t="shared" si="611"/>
        <v>1900</v>
      </c>
      <c r="M8614" s="272">
        <f t="shared" si="612"/>
        <v>1</v>
      </c>
      <c r="O8614" s="61">
        <f t="shared" si="613"/>
        <v>1900</v>
      </c>
      <c r="P8614" s="61">
        <f t="shared" si="614"/>
        <v>1</v>
      </c>
    </row>
    <row r="8615" spans="9:16">
      <c r="I8615" s="213"/>
      <c r="J8615" s="213"/>
      <c r="L8615" s="272">
        <f t="shared" si="611"/>
        <v>1900</v>
      </c>
      <c r="M8615" s="272">
        <f t="shared" si="612"/>
        <v>1</v>
      </c>
      <c r="O8615" s="61">
        <f t="shared" si="613"/>
        <v>1900</v>
      </c>
      <c r="P8615" s="61">
        <f t="shared" si="614"/>
        <v>1</v>
      </c>
    </row>
    <row r="8616" spans="9:16">
      <c r="I8616" s="213"/>
      <c r="J8616" s="213"/>
      <c r="L8616" s="272">
        <f t="shared" si="611"/>
        <v>1900</v>
      </c>
      <c r="M8616" s="272">
        <f t="shared" si="612"/>
        <v>1</v>
      </c>
      <c r="O8616" s="61">
        <f t="shared" si="613"/>
        <v>1900</v>
      </c>
      <c r="P8616" s="61">
        <f t="shared" si="614"/>
        <v>1</v>
      </c>
    </row>
    <row r="8617" spans="9:16">
      <c r="I8617" s="213"/>
      <c r="J8617" s="213"/>
      <c r="L8617" s="272">
        <f t="shared" si="611"/>
        <v>1900</v>
      </c>
      <c r="M8617" s="272">
        <f t="shared" si="612"/>
        <v>1</v>
      </c>
      <c r="O8617" s="61">
        <f t="shared" si="613"/>
        <v>1900</v>
      </c>
      <c r="P8617" s="61">
        <f t="shared" si="614"/>
        <v>1</v>
      </c>
    </row>
    <row r="8618" spans="9:16">
      <c r="I8618" s="213"/>
      <c r="J8618" s="213"/>
      <c r="L8618" s="272">
        <f t="shared" si="611"/>
        <v>1900</v>
      </c>
      <c r="M8618" s="272">
        <f t="shared" si="612"/>
        <v>1</v>
      </c>
      <c r="O8618" s="61">
        <f t="shared" si="613"/>
        <v>1900</v>
      </c>
      <c r="P8618" s="61">
        <f t="shared" si="614"/>
        <v>1</v>
      </c>
    </row>
    <row r="8619" spans="9:16">
      <c r="I8619" s="213"/>
      <c r="J8619" s="213"/>
      <c r="L8619" s="272">
        <f t="shared" si="611"/>
        <v>1900</v>
      </c>
      <c r="M8619" s="272">
        <f t="shared" si="612"/>
        <v>1</v>
      </c>
      <c r="O8619" s="61">
        <f t="shared" si="613"/>
        <v>1900</v>
      </c>
      <c r="P8619" s="61">
        <f t="shared" si="614"/>
        <v>1</v>
      </c>
    </row>
    <row r="8620" spans="9:16">
      <c r="I8620" s="213"/>
      <c r="J8620" s="213"/>
      <c r="L8620" s="272">
        <f t="shared" si="611"/>
        <v>1900</v>
      </c>
      <c r="M8620" s="272">
        <f t="shared" si="612"/>
        <v>1</v>
      </c>
      <c r="O8620" s="61">
        <f t="shared" si="613"/>
        <v>1900</v>
      </c>
      <c r="P8620" s="61">
        <f t="shared" si="614"/>
        <v>1</v>
      </c>
    </row>
    <row r="8621" spans="9:16">
      <c r="I8621" s="213"/>
      <c r="J8621" s="213"/>
      <c r="L8621" s="272">
        <f t="shared" si="611"/>
        <v>1900</v>
      </c>
      <c r="M8621" s="272">
        <f t="shared" si="612"/>
        <v>1</v>
      </c>
      <c r="O8621" s="61">
        <f t="shared" si="613"/>
        <v>1900</v>
      </c>
      <c r="P8621" s="61">
        <f t="shared" si="614"/>
        <v>1</v>
      </c>
    </row>
    <row r="8622" spans="9:16">
      <c r="I8622" s="213"/>
      <c r="J8622" s="213"/>
      <c r="L8622" s="272">
        <f t="shared" si="611"/>
        <v>1900</v>
      </c>
      <c r="M8622" s="272">
        <f t="shared" si="612"/>
        <v>1</v>
      </c>
      <c r="O8622" s="61">
        <f t="shared" si="613"/>
        <v>1900</v>
      </c>
      <c r="P8622" s="61">
        <f t="shared" si="614"/>
        <v>1</v>
      </c>
    </row>
    <row r="8623" spans="9:16">
      <c r="I8623" s="213"/>
      <c r="J8623" s="213"/>
      <c r="L8623" s="272">
        <f t="shared" si="611"/>
        <v>1900</v>
      </c>
      <c r="M8623" s="272">
        <f t="shared" si="612"/>
        <v>1</v>
      </c>
      <c r="O8623" s="61">
        <f t="shared" si="613"/>
        <v>1900</v>
      </c>
      <c r="P8623" s="61">
        <f t="shared" si="614"/>
        <v>1</v>
      </c>
    </row>
    <row r="8624" spans="9:16">
      <c r="I8624" s="213"/>
      <c r="J8624" s="213"/>
      <c r="L8624" s="272">
        <f t="shared" si="611"/>
        <v>1900</v>
      </c>
      <c r="M8624" s="272">
        <f t="shared" si="612"/>
        <v>1</v>
      </c>
      <c r="O8624" s="61">
        <f t="shared" si="613"/>
        <v>1900</v>
      </c>
      <c r="P8624" s="61">
        <f t="shared" si="614"/>
        <v>1</v>
      </c>
    </row>
    <row r="8625" spans="9:16">
      <c r="I8625" s="213"/>
      <c r="J8625" s="213"/>
      <c r="L8625" s="272">
        <f t="shared" si="611"/>
        <v>1900</v>
      </c>
      <c r="M8625" s="272">
        <f t="shared" si="612"/>
        <v>1</v>
      </c>
      <c r="O8625" s="61">
        <f t="shared" si="613"/>
        <v>1900</v>
      </c>
      <c r="P8625" s="61">
        <f t="shared" si="614"/>
        <v>1</v>
      </c>
    </row>
    <row r="8626" spans="9:16">
      <c r="I8626" s="213"/>
      <c r="J8626" s="213"/>
      <c r="L8626" s="272">
        <f t="shared" si="611"/>
        <v>1900</v>
      </c>
      <c r="M8626" s="272">
        <f t="shared" si="612"/>
        <v>1</v>
      </c>
      <c r="O8626" s="61">
        <f t="shared" si="613"/>
        <v>1900</v>
      </c>
      <c r="P8626" s="61">
        <f t="shared" si="614"/>
        <v>1</v>
      </c>
    </row>
    <row r="8627" spans="9:16">
      <c r="I8627" s="213"/>
      <c r="J8627" s="213"/>
      <c r="L8627" s="272">
        <f t="shared" si="611"/>
        <v>1900</v>
      </c>
      <c r="M8627" s="272">
        <f t="shared" si="612"/>
        <v>1</v>
      </c>
      <c r="O8627" s="61">
        <f t="shared" si="613"/>
        <v>1900</v>
      </c>
      <c r="P8627" s="61">
        <f t="shared" si="614"/>
        <v>1</v>
      </c>
    </row>
    <row r="8628" spans="9:16">
      <c r="I8628" s="213"/>
      <c r="J8628" s="213"/>
      <c r="L8628" s="272">
        <f t="shared" si="611"/>
        <v>1900</v>
      </c>
      <c r="M8628" s="272">
        <f t="shared" si="612"/>
        <v>1</v>
      </c>
      <c r="O8628" s="61">
        <f t="shared" si="613"/>
        <v>1900</v>
      </c>
      <c r="P8628" s="61">
        <f t="shared" si="614"/>
        <v>1</v>
      </c>
    </row>
    <row r="8629" spans="9:16">
      <c r="I8629" s="213"/>
      <c r="J8629" s="213"/>
      <c r="L8629" s="272">
        <f t="shared" si="611"/>
        <v>1900</v>
      </c>
      <c r="M8629" s="272">
        <f t="shared" si="612"/>
        <v>1</v>
      </c>
      <c r="O8629" s="61">
        <f t="shared" si="613"/>
        <v>1900</v>
      </c>
      <c r="P8629" s="61">
        <f t="shared" si="614"/>
        <v>1</v>
      </c>
    </row>
    <row r="8630" spans="9:16">
      <c r="I8630" s="213"/>
      <c r="J8630" s="213"/>
      <c r="L8630" s="272">
        <f t="shared" si="611"/>
        <v>1900</v>
      </c>
      <c r="M8630" s="272">
        <f t="shared" si="612"/>
        <v>1</v>
      </c>
      <c r="O8630" s="61">
        <f t="shared" si="613"/>
        <v>1900</v>
      </c>
      <c r="P8630" s="61">
        <f t="shared" si="614"/>
        <v>1</v>
      </c>
    </row>
    <row r="8631" spans="9:16">
      <c r="I8631" s="213"/>
      <c r="J8631" s="213"/>
      <c r="L8631" s="272">
        <f t="shared" si="611"/>
        <v>1900</v>
      </c>
      <c r="M8631" s="272">
        <f t="shared" si="612"/>
        <v>1</v>
      </c>
      <c r="O8631" s="61">
        <f t="shared" si="613"/>
        <v>1900</v>
      </c>
      <c r="P8631" s="61">
        <f t="shared" si="614"/>
        <v>1</v>
      </c>
    </row>
    <row r="8632" spans="9:16">
      <c r="I8632" s="213"/>
      <c r="J8632" s="213"/>
      <c r="L8632" s="272">
        <f t="shared" si="611"/>
        <v>1900</v>
      </c>
      <c r="M8632" s="272">
        <f t="shared" si="612"/>
        <v>1</v>
      </c>
      <c r="O8632" s="61">
        <f t="shared" si="613"/>
        <v>1900</v>
      </c>
      <c r="P8632" s="61">
        <f t="shared" si="614"/>
        <v>1</v>
      </c>
    </row>
    <row r="8633" spans="9:16">
      <c r="I8633" s="213"/>
      <c r="J8633" s="213"/>
      <c r="L8633" s="272">
        <f t="shared" si="611"/>
        <v>1900</v>
      </c>
      <c r="M8633" s="272">
        <f t="shared" si="612"/>
        <v>1</v>
      </c>
      <c r="O8633" s="61">
        <f t="shared" si="613"/>
        <v>1900</v>
      </c>
      <c r="P8633" s="61">
        <f t="shared" si="614"/>
        <v>1</v>
      </c>
    </row>
    <row r="8634" spans="9:16">
      <c r="I8634" s="213"/>
      <c r="J8634" s="213"/>
      <c r="L8634" s="272">
        <f t="shared" si="611"/>
        <v>1900</v>
      </c>
      <c r="M8634" s="272">
        <f t="shared" si="612"/>
        <v>1</v>
      </c>
      <c r="O8634" s="61">
        <f t="shared" si="613"/>
        <v>1900</v>
      </c>
      <c r="P8634" s="61">
        <f t="shared" si="614"/>
        <v>1</v>
      </c>
    </row>
    <row r="8635" spans="9:16">
      <c r="I8635" s="213"/>
      <c r="J8635" s="213"/>
      <c r="L8635" s="272">
        <f t="shared" si="611"/>
        <v>1900</v>
      </c>
      <c r="M8635" s="272">
        <f t="shared" si="612"/>
        <v>1</v>
      </c>
      <c r="O8635" s="61">
        <f t="shared" si="613"/>
        <v>1900</v>
      </c>
      <c r="P8635" s="61">
        <f t="shared" si="614"/>
        <v>1</v>
      </c>
    </row>
    <row r="8636" spans="9:16">
      <c r="I8636" s="213"/>
      <c r="J8636" s="213"/>
      <c r="L8636" s="272">
        <f t="shared" si="611"/>
        <v>1900</v>
      </c>
      <c r="M8636" s="272">
        <f t="shared" si="612"/>
        <v>1</v>
      </c>
      <c r="O8636" s="61">
        <f t="shared" si="613"/>
        <v>1900</v>
      </c>
      <c r="P8636" s="61">
        <f t="shared" si="614"/>
        <v>1</v>
      </c>
    </row>
    <row r="8637" spans="9:16">
      <c r="I8637" s="213"/>
      <c r="J8637" s="213"/>
      <c r="L8637" s="272">
        <f t="shared" si="611"/>
        <v>1900</v>
      </c>
      <c r="M8637" s="272">
        <f t="shared" si="612"/>
        <v>1</v>
      </c>
      <c r="O8637" s="61">
        <f t="shared" si="613"/>
        <v>1900</v>
      </c>
      <c r="P8637" s="61">
        <f t="shared" si="614"/>
        <v>1</v>
      </c>
    </row>
    <row r="8638" spans="9:16">
      <c r="I8638" s="213"/>
      <c r="J8638" s="213"/>
      <c r="L8638" s="272">
        <f t="shared" si="611"/>
        <v>1900</v>
      </c>
      <c r="M8638" s="272">
        <f t="shared" si="612"/>
        <v>1</v>
      </c>
      <c r="O8638" s="61">
        <f t="shared" si="613"/>
        <v>1900</v>
      </c>
      <c r="P8638" s="61">
        <f t="shared" si="614"/>
        <v>1</v>
      </c>
    </row>
    <row r="8639" spans="9:16">
      <c r="I8639" s="213"/>
      <c r="J8639" s="213"/>
      <c r="L8639" s="272">
        <f t="shared" si="611"/>
        <v>1900</v>
      </c>
      <c r="M8639" s="272">
        <f t="shared" si="612"/>
        <v>1</v>
      </c>
      <c r="O8639" s="61">
        <f t="shared" si="613"/>
        <v>1900</v>
      </c>
      <c r="P8639" s="61">
        <f t="shared" si="614"/>
        <v>1</v>
      </c>
    </row>
    <row r="8640" spans="9:16">
      <c r="I8640" s="213"/>
      <c r="J8640" s="213"/>
      <c r="L8640" s="272">
        <f t="shared" si="611"/>
        <v>1900</v>
      </c>
      <c r="M8640" s="272">
        <f t="shared" si="612"/>
        <v>1</v>
      </c>
      <c r="O8640" s="61">
        <f t="shared" si="613"/>
        <v>1900</v>
      </c>
      <c r="P8640" s="61">
        <f t="shared" si="614"/>
        <v>1</v>
      </c>
    </row>
    <row r="8641" spans="9:16">
      <c r="I8641" s="213"/>
      <c r="J8641" s="213"/>
      <c r="L8641" s="272">
        <f t="shared" si="611"/>
        <v>1900</v>
      </c>
      <c r="M8641" s="272">
        <f t="shared" si="612"/>
        <v>1</v>
      </c>
      <c r="O8641" s="61">
        <f t="shared" si="613"/>
        <v>1900</v>
      </c>
      <c r="P8641" s="61">
        <f t="shared" si="614"/>
        <v>1</v>
      </c>
    </row>
    <row r="8642" spans="9:16">
      <c r="I8642" s="213"/>
      <c r="J8642" s="213"/>
      <c r="L8642" s="272">
        <f t="shared" si="611"/>
        <v>1900</v>
      </c>
      <c r="M8642" s="272">
        <f t="shared" si="612"/>
        <v>1</v>
      </c>
      <c r="O8642" s="61">
        <f t="shared" si="613"/>
        <v>1900</v>
      </c>
      <c r="P8642" s="61">
        <f t="shared" si="614"/>
        <v>1</v>
      </c>
    </row>
    <row r="8643" spans="9:16">
      <c r="I8643" s="213"/>
      <c r="J8643" s="213"/>
      <c r="L8643" s="272">
        <f t="shared" si="611"/>
        <v>1900</v>
      </c>
      <c r="M8643" s="272">
        <f t="shared" si="612"/>
        <v>1</v>
      </c>
      <c r="O8643" s="61">
        <f t="shared" si="613"/>
        <v>1900</v>
      </c>
      <c r="P8643" s="61">
        <f t="shared" si="614"/>
        <v>1</v>
      </c>
    </row>
    <row r="8644" spans="9:16">
      <c r="I8644" s="213"/>
      <c r="J8644" s="213"/>
      <c r="L8644" s="272">
        <f t="shared" si="611"/>
        <v>1900</v>
      </c>
      <c r="M8644" s="272">
        <f t="shared" si="612"/>
        <v>1</v>
      </c>
      <c r="O8644" s="61">
        <f t="shared" si="613"/>
        <v>1900</v>
      </c>
      <c r="P8644" s="61">
        <f t="shared" si="614"/>
        <v>1</v>
      </c>
    </row>
    <row r="8645" spans="9:16">
      <c r="I8645" s="213"/>
      <c r="J8645" s="213"/>
      <c r="L8645" s="272">
        <f t="shared" si="611"/>
        <v>1900</v>
      </c>
      <c r="M8645" s="272">
        <f t="shared" si="612"/>
        <v>1</v>
      </c>
      <c r="O8645" s="61">
        <f t="shared" si="613"/>
        <v>1900</v>
      </c>
      <c r="P8645" s="61">
        <f t="shared" si="614"/>
        <v>1</v>
      </c>
    </row>
    <row r="8646" spans="9:16">
      <c r="I8646" s="213"/>
      <c r="J8646" s="213"/>
      <c r="L8646" s="272">
        <f t="shared" si="611"/>
        <v>1900</v>
      </c>
      <c r="M8646" s="272">
        <f t="shared" si="612"/>
        <v>1</v>
      </c>
      <c r="O8646" s="61">
        <f t="shared" si="613"/>
        <v>1900</v>
      </c>
      <c r="P8646" s="61">
        <f t="shared" si="614"/>
        <v>1</v>
      </c>
    </row>
    <row r="8647" spans="9:16">
      <c r="I8647" s="213"/>
      <c r="J8647" s="213"/>
      <c r="L8647" s="272">
        <f t="shared" si="611"/>
        <v>1900</v>
      </c>
      <c r="M8647" s="272">
        <f t="shared" si="612"/>
        <v>1</v>
      </c>
      <c r="O8647" s="61">
        <f t="shared" si="613"/>
        <v>1900</v>
      </c>
      <c r="P8647" s="61">
        <f t="shared" si="614"/>
        <v>1</v>
      </c>
    </row>
    <row r="8648" spans="9:16">
      <c r="I8648" s="213"/>
      <c r="J8648" s="213"/>
      <c r="L8648" s="272">
        <f t="shared" si="611"/>
        <v>1900</v>
      </c>
      <c r="M8648" s="272">
        <f t="shared" si="612"/>
        <v>1</v>
      </c>
      <c r="O8648" s="61">
        <f t="shared" si="613"/>
        <v>1900</v>
      </c>
      <c r="P8648" s="61">
        <f t="shared" si="614"/>
        <v>1</v>
      </c>
    </row>
    <row r="8649" spans="9:16">
      <c r="I8649" s="213"/>
      <c r="J8649" s="213"/>
      <c r="L8649" s="272">
        <f t="shared" si="611"/>
        <v>1900</v>
      </c>
      <c r="M8649" s="272">
        <f t="shared" si="612"/>
        <v>1</v>
      </c>
      <c r="O8649" s="61">
        <f t="shared" si="613"/>
        <v>1900</v>
      </c>
      <c r="P8649" s="61">
        <f t="shared" si="614"/>
        <v>1</v>
      </c>
    </row>
    <row r="8650" spans="9:16">
      <c r="I8650" s="213"/>
      <c r="J8650" s="213"/>
      <c r="L8650" s="272">
        <f t="shared" si="611"/>
        <v>1900</v>
      </c>
      <c r="M8650" s="272">
        <f t="shared" si="612"/>
        <v>1</v>
      </c>
      <c r="O8650" s="61">
        <f t="shared" si="613"/>
        <v>1900</v>
      </c>
      <c r="P8650" s="61">
        <f t="shared" si="614"/>
        <v>1</v>
      </c>
    </row>
    <row r="8651" spans="9:16">
      <c r="I8651" s="213"/>
      <c r="J8651" s="213"/>
      <c r="L8651" s="272">
        <f t="shared" si="611"/>
        <v>1900</v>
      </c>
      <c r="M8651" s="272">
        <f t="shared" si="612"/>
        <v>1</v>
      </c>
      <c r="O8651" s="61">
        <f t="shared" si="613"/>
        <v>1900</v>
      </c>
      <c r="P8651" s="61">
        <f t="shared" si="614"/>
        <v>1</v>
      </c>
    </row>
    <row r="8652" spans="9:16">
      <c r="I8652" s="213"/>
      <c r="J8652" s="213"/>
      <c r="L8652" s="272">
        <f t="shared" si="611"/>
        <v>1900</v>
      </c>
      <c r="M8652" s="272">
        <f t="shared" si="612"/>
        <v>1</v>
      </c>
      <c r="O8652" s="61">
        <f t="shared" si="613"/>
        <v>1900</v>
      </c>
      <c r="P8652" s="61">
        <f t="shared" si="614"/>
        <v>1</v>
      </c>
    </row>
    <row r="8653" spans="9:16">
      <c r="I8653" s="213"/>
      <c r="J8653" s="213"/>
      <c r="L8653" s="272">
        <f t="shared" si="611"/>
        <v>1900</v>
      </c>
      <c r="M8653" s="272">
        <f t="shared" si="612"/>
        <v>1</v>
      </c>
      <c r="O8653" s="61">
        <f t="shared" si="613"/>
        <v>1900</v>
      </c>
      <c r="P8653" s="61">
        <f t="shared" si="614"/>
        <v>1</v>
      </c>
    </row>
    <row r="8654" spans="9:16">
      <c r="I8654" s="213"/>
      <c r="J8654" s="213"/>
      <c r="L8654" s="272">
        <f t="shared" si="611"/>
        <v>1900</v>
      </c>
      <c r="M8654" s="272">
        <f t="shared" si="612"/>
        <v>1</v>
      </c>
      <c r="O8654" s="61">
        <f t="shared" si="613"/>
        <v>1900</v>
      </c>
      <c r="P8654" s="61">
        <f t="shared" si="614"/>
        <v>1</v>
      </c>
    </row>
    <row r="8655" spans="9:16">
      <c r="I8655" s="213"/>
      <c r="J8655" s="213"/>
      <c r="L8655" s="272">
        <f t="shared" si="611"/>
        <v>1900</v>
      </c>
      <c r="M8655" s="272">
        <f t="shared" si="612"/>
        <v>1</v>
      </c>
      <c r="O8655" s="61">
        <f t="shared" si="613"/>
        <v>1900</v>
      </c>
      <c r="P8655" s="61">
        <f t="shared" si="614"/>
        <v>1</v>
      </c>
    </row>
    <row r="8656" spans="9:16">
      <c r="I8656" s="213"/>
      <c r="J8656" s="213"/>
      <c r="L8656" s="272">
        <f t="shared" ref="L8656:L8719" si="615">YEAR(B8656)</f>
        <v>1900</v>
      </c>
      <c r="M8656" s="272">
        <f t="shared" ref="M8656:M8719" si="616">MONTH(B8656)</f>
        <v>1</v>
      </c>
      <c r="O8656" s="61">
        <f t="shared" ref="O8656:O8719" si="617">YEAR(B8656)</f>
        <v>1900</v>
      </c>
      <c r="P8656" s="61">
        <f t="shared" ref="P8656:P8719" si="618">MONTH(B8656)</f>
        <v>1</v>
      </c>
    </row>
    <row r="8657" spans="9:16">
      <c r="I8657" s="213"/>
      <c r="J8657" s="213"/>
      <c r="L8657" s="272">
        <f t="shared" si="615"/>
        <v>1900</v>
      </c>
      <c r="M8657" s="272">
        <f t="shared" si="616"/>
        <v>1</v>
      </c>
      <c r="O8657" s="61">
        <f t="shared" si="617"/>
        <v>1900</v>
      </c>
      <c r="P8657" s="61">
        <f t="shared" si="618"/>
        <v>1</v>
      </c>
    </row>
    <row r="8658" spans="9:16">
      <c r="I8658" s="213"/>
      <c r="J8658" s="213"/>
      <c r="L8658" s="272">
        <f t="shared" si="615"/>
        <v>1900</v>
      </c>
      <c r="M8658" s="272">
        <f t="shared" si="616"/>
        <v>1</v>
      </c>
      <c r="O8658" s="61">
        <f t="shared" si="617"/>
        <v>1900</v>
      </c>
      <c r="P8658" s="61">
        <f t="shared" si="618"/>
        <v>1</v>
      </c>
    </row>
    <row r="8659" spans="9:16">
      <c r="I8659" s="213"/>
      <c r="J8659" s="213"/>
      <c r="L8659" s="272">
        <f t="shared" si="615"/>
        <v>1900</v>
      </c>
      <c r="M8659" s="272">
        <f t="shared" si="616"/>
        <v>1</v>
      </c>
      <c r="O8659" s="61">
        <f t="shared" si="617"/>
        <v>1900</v>
      </c>
      <c r="P8659" s="61">
        <f t="shared" si="618"/>
        <v>1</v>
      </c>
    </row>
    <row r="8660" spans="9:16">
      <c r="I8660" s="213"/>
      <c r="J8660" s="213"/>
      <c r="L8660" s="272">
        <f t="shared" si="615"/>
        <v>1900</v>
      </c>
      <c r="M8660" s="272">
        <f t="shared" si="616"/>
        <v>1</v>
      </c>
      <c r="O8660" s="61">
        <f t="shared" si="617"/>
        <v>1900</v>
      </c>
      <c r="P8660" s="61">
        <f t="shared" si="618"/>
        <v>1</v>
      </c>
    </row>
    <row r="8661" spans="9:16">
      <c r="I8661" s="213"/>
      <c r="J8661" s="213"/>
      <c r="L8661" s="272">
        <f t="shared" si="615"/>
        <v>1900</v>
      </c>
      <c r="M8661" s="272">
        <f t="shared" si="616"/>
        <v>1</v>
      </c>
      <c r="O8661" s="61">
        <f t="shared" si="617"/>
        <v>1900</v>
      </c>
      <c r="P8661" s="61">
        <f t="shared" si="618"/>
        <v>1</v>
      </c>
    </row>
    <row r="8662" spans="9:16">
      <c r="I8662" s="213"/>
      <c r="J8662" s="213"/>
      <c r="L8662" s="272">
        <f t="shared" si="615"/>
        <v>1900</v>
      </c>
      <c r="M8662" s="272">
        <f t="shared" si="616"/>
        <v>1</v>
      </c>
      <c r="O8662" s="61">
        <f t="shared" si="617"/>
        <v>1900</v>
      </c>
      <c r="P8662" s="61">
        <f t="shared" si="618"/>
        <v>1</v>
      </c>
    </row>
    <row r="8663" spans="9:16">
      <c r="I8663" s="213"/>
      <c r="J8663" s="213"/>
      <c r="L8663" s="272">
        <f t="shared" si="615"/>
        <v>1900</v>
      </c>
      <c r="M8663" s="272">
        <f t="shared" si="616"/>
        <v>1</v>
      </c>
      <c r="O8663" s="61">
        <f t="shared" si="617"/>
        <v>1900</v>
      </c>
      <c r="P8663" s="61">
        <f t="shared" si="618"/>
        <v>1</v>
      </c>
    </row>
    <row r="8664" spans="9:16">
      <c r="I8664" s="213"/>
      <c r="J8664" s="213"/>
      <c r="L8664" s="272">
        <f t="shared" si="615"/>
        <v>1900</v>
      </c>
      <c r="M8664" s="272">
        <f t="shared" si="616"/>
        <v>1</v>
      </c>
      <c r="O8664" s="61">
        <f t="shared" si="617"/>
        <v>1900</v>
      </c>
      <c r="P8664" s="61">
        <f t="shared" si="618"/>
        <v>1</v>
      </c>
    </row>
    <row r="8665" spans="9:16">
      <c r="I8665" s="213"/>
      <c r="J8665" s="213"/>
      <c r="L8665" s="272">
        <f t="shared" si="615"/>
        <v>1900</v>
      </c>
      <c r="M8665" s="272">
        <f t="shared" si="616"/>
        <v>1</v>
      </c>
      <c r="O8665" s="61">
        <f t="shared" si="617"/>
        <v>1900</v>
      </c>
      <c r="P8665" s="61">
        <f t="shared" si="618"/>
        <v>1</v>
      </c>
    </row>
    <row r="8666" spans="9:16">
      <c r="I8666" s="213"/>
      <c r="J8666" s="213"/>
      <c r="L8666" s="272">
        <f t="shared" si="615"/>
        <v>1900</v>
      </c>
      <c r="M8666" s="272">
        <f t="shared" si="616"/>
        <v>1</v>
      </c>
      <c r="O8666" s="61">
        <f t="shared" si="617"/>
        <v>1900</v>
      </c>
      <c r="P8666" s="61">
        <f t="shared" si="618"/>
        <v>1</v>
      </c>
    </row>
    <row r="8667" spans="9:16">
      <c r="I8667" s="213"/>
      <c r="J8667" s="213"/>
      <c r="L8667" s="272">
        <f t="shared" si="615"/>
        <v>1900</v>
      </c>
      <c r="M8667" s="272">
        <f t="shared" si="616"/>
        <v>1</v>
      </c>
      <c r="O8667" s="61">
        <f t="shared" si="617"/>
        <v>1900</v>
      </c>
      <c r="P8667" s="61">
        <f t="shared" si="618"/>
        <v>1</v>
      </c>
    </row>
    <row r="8668" spans="9:16">
      <c r="I8668" s="213"/>
      <c r="J8668" s="213"/>
      <c r="L8668" s="272">
        <f t="shared" si="615"/>
        <v>1900</v>
      </c>
      <c r="M8668" s="272">
        <f t="shared" si="616"/>
        <v>1</v>
      </c>
      <c r="O8668" s="61">
        <f t="shared" si="617"/>
        <v>1900</v>
      </c>
      <c r="P8668" s="61">
        <f t="shared" si="618"/>
        <v>1</v>
      </c>
    </row>
    <row r="8669" spans="9:16">
      <c r="I8669" s="213"/>
      <c r="J8669" s="213"/>
      <c r="L8669" s="272">
        <f t="shared" si="615"/>
        <v>1900</v>
      </c>
      <c r="M8669" s="272">
        <f t="shared" si="616"/>
        <v>1</v>
      </c>
      <c r="O8669" s="61">
        <f t="shared" si="617"/>
        <v>1900</v>
      </c>
      <c r="P8669" s="61">
        <f t="shared" si="618"/>
        <v>1</v>
      </c>
    </row>
    <row r="8670" spans="9:16">
      <c r="I8670" s="213"/>
      <c r="J8670" s="213"/>
      <c r="L8670" s="272">
        <f t="shared" si="615"/>
        <v>1900</v>
      </c>
      <c r="M8670" s="272">
        <f t="shared" si="616"/>
        <v>1</v>
      </c>
      <c r="O8670" s="61">
        <f t="shared" si="617"/>
        <v>1900</v>
      </c>
      <c r="P8670" s="61">
        <f t="shared" si="618"/>
        <v>1</v>
      </c>
    </row>
    <row r="8671" spans="9:16">
      <c r="I8671" s="213"/>
      <c r="J8671" s="213"/>
      <c r="L8671" s="272">
        <f t="shared" si="615"/>
        <v>1900</v>
      </c>
      <c r="M8671" s="272">
        <f t="shared" si="616"/>
        <v>1</v>
      </c>
      <c r="O8671" s="61">
        <f t="shared" si="617"/>
        <v>1900</v>
      </c>
      <c r="P8671" s="61">
        <f t="shared" si="618"/>
        <v>1</v>
      </c>
    </row>
    <row r="8672" spans="9:16">
      <c r="I8672" s="213"/>
      <c r="J8672" s="213"/>
      <c r="L8672" s="272">
        <f t="shared" si="615"/>
        <v>1900</v>
      </c>
      <c r="M8672" s="272">
        <f t="shared" si="616"/>
        <v>1</v>
      </c>
      <c r="O8672" s="61">
        <f t="shared" si="617"/>
        <v>1900</v>
      </c>
      <c r="P8672" s="61">
        <f t="shared" si="618"/>
        <v>1</v>
      </c>
    </row>
    <row r="8673" spans="9:16">
      <c r="I8673" s="213"/>
      <c r="J8673" s="213"/>
      <c r="L8673" s="272">
        <f t="shared" si="615"/>
        <v>1900</v>
      </c>
      <c r="M8673" s="272">
        <f t="shared" si="616"/>
        <v>1</v>
      </c>
      <c r="O8673" s="61">
        <f t="shared" si="617"/>
        <v>1900</v>
      </c>
      <c r="P8673" s="61">
        <f t="shared" si="618"/>
        <v>1</v>
      </c>
    </row>
    <row r="8674" spans="9:16">
      <c r="I8674" s="213"/>
      <c r="J8674" s="213"/>
      <c r="L8674" s="272">
        <f t="shared" si="615"/>
        <v>1900</v>
      </c>
      <c r="M8674" s="272">
        <f t="shared" si="616"/>
        <v>1</v>
      </c>
      <c r="O8674" s="61">
        <f t="shared" si="617"/>
        <v>1900</v>
      </c>
      <c r="P8674" s="61">
        <f t="shared" si="618"/>
        <v>1</v>
      </c>
    </row>
    <row r="8675" spans="9:16">
      <c r="I8675" s="213"/>
      <c r="J8675" s="213"/>
      <c r="L8675" s="272">
        <f t="shared" si="615"/>
        <v>1900</v>
      </c>
      <c r="M8675" s="272">
        <f t="shared" si="616"/>
        <v>1</v>
      </c>
      <c r="O8675" s="61">
        <f t="shared" si="617"/>
        <v>1900</v>
      </c>
      <c r="P8675" s="61">
        <f t="shared" si="618"/>
        <v>1</v>
      </c>
    </row>
    <row r="8676" spans="9:16">
      <c r="I8676" s="213"/>
      <c r="J8676" s="213"/>
      <c r="L8676" s="272">
        <f t="shared" si="615"/>
        <v>1900</v>
      </c>
      <c r="M8676" s="272">
        <f t="shared" si="616"/>
        <v>1</v>
      </c>
      <c r="O8676" s="61">
        <f t="shared" si="617"/>
        <v>1900</v>
      </c>
      <c r="P8676" s="61">
        <f t="shared" si="618"/>
        <v>1</v>
      </c>
    </row>
    <row r="8677" spans="9:16">
      <c r="I8677" s="213"/>
      <c r="J8677" s="213"/>
      <c r="L8677" s="272">
        <f t="shared" si="615"/>
        <v>1900</v>
      </c>
      <c r="M8677" s="272">
        <f t="shared" si="616"/>
        <v>1</v>
      </c>
      <c r="O8677" s="61">
        <f t="shared" si="617"/>
        <v>1900</v>
      </c>
      <c r="P8677" s="61">
        <f t="shared" si="618"/>
        <v>1</v>
      </c>
    </row>
    <row r="8678" spans="9:16">
      <c r="I8678" s="213"/>
      <c r="J8678" s="213"/>
      <c r="L8678" s="272">
        <f t="shared" si="615"/>
        <v>1900</v>
      </c>
      <c r="M8678" s="272">
        <f t="shared" si="616"/>
        <v>1</v>
      </c>
      <c r="O8678" s="61">
        <f t="shared" si="617"/>
        <v>1900</v>
      </c>
      <c r="P8678" s="61">
        <f t="shared" si="618"/>
        <v>1</v>
      </c>
    </row>
    <row r="8679" spans="9:16">
      <c r="I8679" s="213"/>
      <c r="J8679" s="213"/>
      <c r="L8679" s="272">
        <f t="shared" si="615"/>
        <v>1900</v>
      </c>
      <c r="M8679" s="272">
        <f t="shared" si="616"/>
        <v>1</v>
      </c>
      <c r="O8679" s="61">
        <f t="shared" si="617"/>
        <v>1900</v>
      </c>
      <c r="P8679" s="61">
        <f t="shared" si="618"/>
        <v>1</v>
      </c>
    </row>
    <row r="8680" spans="9:16">
      <c r="I8680" s="213"/>
      <c r="J8680" s="213"/>
      <c r="L8680" s="272">
        <f t="shared" si="615"/>
        <v>1900</v>
      </c>
      <c r="M8680" s="272">
        <f t="shared" si="616"/>
        <v>1</v>
      </c>
      <c r="O8680" s="61">
        <f t="shared" si="617"/>
        <v>1900</v>
      </c>
      <c r="P8680" s="61">
        <f t="shared" si="618"/>
        <v>1</v>
      </c>
    </row>
    <row r="8681" spans="9:16">
      <c r="I8681" s="213"/>
      <c r="J8681" s="213"/>
      <c r="L8681" s="272">
        <f t="shared" si="615"/>
        <v>1900</v>
      </c>
      <c r="M8681" s="272">
        <f t="shared" si="616"/>
        <v>1</v>
      </c>
      <c r="O8681" s="61">
        <f t="shared" si="617"/>
        <v>1900</v>
      </c>
      <c r="P8681" s="61">
        <f t="shared" si="618"/>
        <v>1</v>
      </c>
    </row>
    <row r="8682" spans="9:16">
      <c r="I8682" s="213"/>
      <c r="J8682" s="213"/>
      <c r="L8682" s="272">
        <f t="shared" si="615"/>
        <v>1900</v>
      </c>
      <c r="M8682" s="272">
        <f t="shared" si="616"/>
        <v>1</v>
      </c>
      <c r="O8682" s="61">
        <f t="shared" si="617"/>
        <v>1900</v>
      </c>
      <c r="P8682" s="61">
        <f t="shared" si="618"/>
        <v>1</v>
      </c>
    </row>
    <row r="8683" spans="9:16">
      <c r="I8683" s="213"/>
      <c r="J8683" s="213"/>
      <c r="L8683" s="272">
        <f t="shared" si="615"/>
        <v>1900</v>
      </c>
      <c r="M8683" s="272">
        <f t="shared" si="616"/>
        <v>1</v>
      </c>
      <c r="O8683" s="61">
        <f t="shared" si="617"/>
        <v>1900</v>
      </c>
      <c r="P8683" s="61">
        <f t="shared" si="618"/>
        <v>1</v>
      </c>
    </row>
    <row r="8684" spans="9:16">
      <c r="I8684" s="213"/>
      <c r="J8684" s="213"/>
      <c r="L8684" s="272">
        <f t="shared" si="615"/>
        <v>1900</v>
      </c>
      <c r="M8684" s="272">
        <f t="shared" si="616"/>
        <v>1</v>
      </c>
      <c r="O8684" s="61">
        <f t="shared" si="617"/>
        <v>1900</v>
      </c>
      <c r="P8684" s="61">
        <f t="shared" si="618"/>
        <v>1</v>
      </c>
    </row>
    <row r="8685" spans="9:16">
      <c r="I8685" s="213"/>
      <c r="J8685" s="213"/>
      <c r="L8685" s="272">
        <f t="shared" si="615"/>
        <v>1900</v>
      </c>
      <c r="M8685" s="272">
        <f t="shared" si="616"/>
        <v>1</v>
      </c>
      <c r="O8685" s="61">
        <f t="shared" si="617"/>
        <v>1900</v>
      </c>
      <c r="P8685" s="61">
        <f t="shared" si="618"/>
        <v>1</v>
      </c>
    </row>
    <row r="8686" spans="9:16">
      <c r="I8686" s="213"/>
      <c r="J8686" s="213"/>
      <c r="L8686" s="272">
        <f t="shared" si="615"/>
        <v>1900</v>
      </c>
      <c r="M8686" s="272">
        <f t="shared" si="616"/>
        <v>1</v>
      </c>
      <c r="O8686" s="61">
        <f t="shared" si="617"/>
        <v>1900</v>
      </c>
      <c r="P8686" s="61">
        <f t="shared" si="618"/>
        <v>1</v>
      </c>
    </row>
    <row r="8687" spans="9:16">
      <c r="I8687" s="213"/>
      <c r="J8687" s="213"/>
      <c r="L8687" s="272">
        <f t="shared" si="615"/>
        <v>1900</v>
      </c>
      <c r="M8687" s="272">
        <f t="shared" si="616"/>
        <v>1</v>
      </c>
      <c r="O8687" s="61">
        <f t="shared" si="617"/>
        <v>1900</v>
      </c>
      <c r="P8687" s="61">
        <f t="shared" si="618"/>
        <v>1</v>
      </c>
    </row>
    <row r="8688" spans="9:16">
      <c r="I8688" s="213"/>
      <c r="J8688" s="213"/>
      <c r="L8688" s="272">
        <f t="shared" si="615"/>
        <v>1900</v>
      </c>
      <c r="M8688" s="272">
        <f t="shared" si="616"/>
        <v>1</v>
      </c>
      <c r="O8688" s="61">
        <f t="shared" si="617"/>
        <v>1900</v>
      </c>
      <c r="P8688" s="61">
        <f t="shared" si="618"/>
        <v>1</v>
      </c>
    </row>
    <row r="8689" spans="9:16">
      <c r="I8689" s="213"/>
      <c r="J8689" s="213"/>
      <c r="L8689" s="272">
        <f t="shared" si="615"/>
        <v>1900</v>
      </c>
      <c r="M8689" s="272">
        <f t="shared" si="616"/>
        <v>1</v>
      </c>
      <c r="O8689" s="61">
        <f t="shared" si="617"/>
        <v>1900</v>
      </c>
      <c r="P8689" s="61">
        <f t="shared" si="618"/>
        <v>1</v>
      </c>
    </row>
    <row r="8690" spans="9:16">
      <c r="I8690" s="213"/>
      <c r="J8690" s="213"/>
      <c r="L8690" s="272">
        <f t="shared" si="615"/>
        <v>1900</v>
      </c>
      <c r="M8690" s="272">
        <f t="shared" si="616"/>
        <v>1</v>
      </c>
      <c r="O8690" s="61">
        <f t="shared" si="617"/>
        <v>1900</v>
      </c>
      <c r="P8690" s="61">
        <f t="shared" si="618"/>
        <v>1</v>
      </c>
    </row>
    <row r="8691" spans="9:16">
      <c r="I8691" s="213"/>
      <c r="J8691" s="213"/>
      <c r="L8691" s="272">
        <f t="shared" si="615"/>
        <v>1900</v>
      </c>
      <c r="M8691" s="272">
        <f t="shared" si="616"/>
        <v>1</v>
      </c>
      <c r="O8691" s="61">
        <f t="shared" si="617"/>
        <v>1900</v>
      </c>
      <c r="P8691" s="61">
        <f t="shared" si="618"/>
        <v>1</v>
      </c>
    </row>
    <row r="8692" spans="9:16">
      <c r="I8692" s="213"/>
      <c r="J8692" s="213"/>
      <c r="L8692" s="272">
        <f t="shared" si="615"/>
        <v>1900</v>
      </c>
      <c r="M8692" s="272">
        <f t="shared" si="616"/>
        <v>1</v>
      </c>
      <c r="O8692" s="61">
        <f t="shared" si="617"/>
        <v>1900</v>
      </c>
      <c r="P8692" s="61">
        <f t="shared" si="618"/>
        <v>1</v>
      </c>
    </row>
    <row r="8693" spans="9:16">
      <c r="I8693" s="213"/>
      <c r="J8693" s="213"/>
      <c r="L8693" s="272">
        <f t="shared" si="615"/>
        <v>1900</v>
      </c>
      <c r="M8693" s="272">
        <f t="shared" si="616"/>
        <v>1</v>
      </c>
      <c r="O8693" s="61">
        <f t="shared" si="617"/>
        <v>1900</v>
      </c>
      <c r="P8693" s="61">
        <f t="shared" si="618"/>
        <v>1</v>
      </c>
    </row>
    <row r="8694" spans="9:16">
      <c r="I8694" s="213"/>
      <c r="J8694" s="213"/>
      <c r="L8694" s="272">
        <f t="shared" si="615"/>
        <v>1900</v>
      </c>
      <c r="M8694" s="272">
        <f t="shared" si="616"/>
        <v>1</v>
      </c>
      <c r="O8694" s="61">
        <f t="shared" si="617"/>
        <v>1900</v>
      </c>
      <c r="P8694" s="61">
        <f t="shared" si="618"/>
        <v>1</v>
      </c>
    </row>
    <row r="8695" spans="9:16">
      <c r="I8695" s="213"/>
      <c r="J8695" s="213"/>
      <c r="L8695" s="272">
        <f t="shared" si="615"/>
        <v>1900</v>
      </c>
      <c r="M8695" s="272">
        <f t="shared" si="616"/>
        <v>1</v>
      </c>
      <c r="O8695" s="61">
        <f t="shared" si="617"/>
        <v>1900</v>
      </c>
      <c r="P8695" s="61">
        <f t="shared" si="618"/>
        <v>1</v>
      </c>
    </row>
    <row r="8696" spans="9:16">
      <c r="I8696" s="213"/>
      <c r="J8696" s="213"/>
      <c r="L8696" s="272">
        <f t="shared" si="615"/>
        <v>1900</v>
      </c>
      <c r="M8696" s="272">
        <f t="shared" si="616"/>
        <v>1</v>
      </c>
      <c r="O8696" s="61">
        <f t="shared" si="617"/>
        <v>1900</v>
      </c>
      <c r="P8696" s="61">
        <f t="shared" si="618"/>
        <v>1</v>
      </c>
    </row>
    <row r="8697" spans="9:16">
      <c r="I8697" s="213"/>
      <c r="J8697" s="213"/>
      <c r="L8697" s="272">
        <f t="shared" si="615"/>
        <v>1900</v>
      </c>
      <c r="M8697" s="272">
        <f t="shared" si="616"/>
        <v>1</v>
      </c>
      <c r="O8697" s="61">
        <f t="shared" si="617"/>
        <v>1900</v>
      </c>
      <c r="P8697" s="61">
        <f t="shared" si="618"/>
        <v>1</v>
      </c>
    </row>
    <row r="8698" spans="9:16">
      <c r="I8698" s="213"/>
      <c r="J8698" s="213"/>
      <c r="L8698" s="272">
        <f t="shared" si="615"/>
        <v>1900</v>
      </c>
      <c r="M8698" s="272">
        <f t="shared" si="616"/>
        <v>1</v>
      </c>
      <c r="O8698" s="61">
        <f t="shared" si="617"/>
        <v>1900</v>
      </c>
      <c r="P8698" s="61">
        <f t="shared" si="618"/>
        <v>1</v>
      </c>
    </row>
    <row r="8699" spans="9:16">
      <c r="I8699" s="213"/>
      <c r="J8699" s="213"/>
      <c r="L8699" s="272">
        <f t="shared" si="615"/>
        <v>1900</v>
      </c>
      <c r="M8699" s="272">
        <f t="shared" si="616"/>
        <v>1</v>
      </c>
      <c r="O8699" s="61">
        <f t="shared" si="617"/>
        <v>1900</v>
      </c>
      <c r="P8699" s="61">
        <f t="shared" si="618"/>
        <v>1</v>
      </c>
    </row>
    <row r="8700" spans="9:16">
      <c r="I8700" s="213"/>
      <c r="J8700" s="213"/>
      <c r="L8700" s="272">
        <f t="shared" si="615"/>
        <v>1900</v>
      </c>
      <c r="M8700" s="272">
        <f t="shared" si="616"/>
        <v>1</v>
      </c>
      <c r="O8700" s="61">
        <f t="shared" si="617"/>
        <v>1900</v>
      </c>
      <c r="P8700" s="61">
        <f t="shared" si="618"/>
        <v>1</v>
      </c>
    </row>
    <row r="8701" spans="9:16">
      <c r="I8701" s="213"/>
      <c r="J8701" s="213"/>
      <c r="L8701" s="272">
        <f t="shared" si="615"/>
        <v>1900</v>
      </c>
      <c r="M8701" s="272">
        <f t="shared" si="616"/>
        <v>1</v>
      </c>
      <c r="O8701" s="61">
        <f t="shared" si="617"/>
        <v>1900</v>
      </c>
      <c r="P8701" s="61">
        <f t="shared" si="618"/>
        <v>1</v>
      </c>
    </row>
    <row r="8702" spans="9:16">
      <c r="I8702" s="213"/>
      <c r="J8702" s="213"/>
      <c r="L8702" s="272">
        <f t="shared" si="615"/>
        <v>1900</v>
      </c>
      <c r="M8702" s="272">
        <f t="shared" si="616"/>
        <v>1</v>
      </c>
      <c r="O8702" s="61">
        <f t="shared" si="617"/>
        <v>1900</v>
      </c>
      <c r="P8702" s="61">
        <f t="shared" si="618"/>
        <v>1</v>
      </c>
    </row>
    <row r="8703" spans="9:16">
      <c r="I8703" s="213"/>
      <c r="J8703" s="213"/>
      <c r="L8703" s="272">
        <f t="shared" si="615"/>
        <v>1900</v>
      </c>
      <c r="M8703" s="272">
        <f t="shared" si="616"/>
        <v>1</v>
      </c>
      <c r="O8703" s="61">
        <f t="shared" si="617"/>
        <v>1900</v>
      </c>
      <c r="P8703" s="61">
        <f t="shared" si="618"/>
        <v>1</v>
      </c>
    </row>
    <row r="8704" spans="9:16">
      <c r="I8704" s="213"/>
      <c r="J8704" s="213"/>
      <c r="L8704" s="272">
        <f t="shared" si="615"/>
        <v>1900</v>
      </c>
      <c r="M8704" s="272">
        <f t="shared" si="616"/>
        <v>1</v>
      </c>
      <c r="O8704" s="61">
        <f t="shared" si="617"/>
        <v>1900</v>
      </c>
      <c r="P8704" s="61">
        <f t="shared" si="618"/>
        <v>1</v>
      </c>
    </row>
    <row r="8705" spans="9:16">
      <c r="I8705" s="213"/>
      <c r="J8705" s="213"/>
      <c r="L8705" s="272">
        <f t="shared" si="615"/>
        <v>1900</v>
      </c>
      <c r="M8705" s="272">
        <f t="shared" si="616"/>
        <v>1</v>
      </c>
      <c r="O8705" s="61">
        <f t="shared" si="617"/>
        <v>1900</v>
      </c>
      <c r="P8705" s="61">
        <f t="shared" si="618"/>
        <v>1</v>
      </c>
    </row>
    <row r="8706" spans="9:16">
      <c r="I8706" s="213"/>
      <c r="J8706" s="213"/>
      <c r="L8706" s="272">
        <f t="shared" si="615"/>
        <v>1900</v>
      </c>
      <c r="M8706" s="272">
        <f t="shared" si="616"/>
        <v>1</v>
      </c>
      <c r="O8706" s="61">
        <f t="shared" si="617"/>
        <v>1900</v>
      </c>
      <c r="P8706" s="61">
        <f t="shared" si="618"/>
        <v>1</v>
      </c>
    </row>
    <row r="8707" spans="9:16">
      <c r="I8707" s="213"/>
      <c r="J8707" s="213"/>
      <c r="L8707" s="272">
        <f t="shared" si="615"/>
        <v>1900</v>
      </c>
      <c r="M8707" s="272">
        <f t="shared" si="616"/>
        <v>1</v>
      </c>
      <c r="O8707" s="61">
        <f t="shared" si="617"/>
        <v>1900</v>
      </c>
      <c r="P8707" s="61">
        <f t="shared" si="618"/>
        <v>1</v>
      </c>
    </row>
    <row r="8708" spans="9:16">
      <c r="I8708" s="213"/>
      <c r="J8708" s="213"/>
      <c r="L8708" s="272">
        <f t="shared" si="615"/>
        <v>1900</v>
      </c>
      <c r="M8708" s="272">
        <f t="shared" si="616"/>
        <v>1</v>
      </c>
      <c r="O8708" s="61">
        <f t="shared" si="617"/>
        <v>1900</v>
      </c>
      <c r="P8708" s="61">
        <f t="shared" si="618"/>
        <v>1</v>
      </c>
    </row>
    <row r="8709" spans="9:16">
      <c r="I8709" s="213"/>
      <c r="J8709" s="213"/>
      <c r="L8709" s="272">
        <f t="shared" si="615"/>
        <v>1900</v>
      </c>
      <c r="M8709" s="272">
        <f t="shared" si="616"/>
        <v>1</v>
      </c>
      <c r="O8709" s="61">
        <f t="shared" si="617"/>
        <v>1900</v>
      </c>
      <c r="P8709" s="61">
        <f t="shared" si="618"/>
        <v>1</v>
      </c>
    </row>
    <row r="8710" spans="9:16">
      <c r="I8710" s="213"/>
      <c r="J8710" s="213"/>
      <c r="L8710" s="272">
        <f t="shared" si="615"/>
        <v>1900</v>
      </c>
      <c r="M8710" s="272">
        <f t="shared" si="616"/>
        <v>1</v>
      </c>
      <c r="O8710" s="61">
        <f t="shared" si="617"/>
        <v>1900</v>
      </c>
      <c r="P8710" s="61">
        <f t="shared" si="618"/>
        <v>1</v>
      </c>
    </row>
    <row r="8711" spans="9:16">
      <c r="I8711" s="213"/>
      <c r="J8711" s="213"/>
      <c r="L8711" s="272">
        <f t="shared" si="615"/>
        <v>1900</v>
      </c>
      <c r="M8711" s="272">
        <f t="shared" si="616"/>
        <v>1</v>
      </c>
      <c r="O8711" s="61">
        <f t="shared" si="617"/>
        <v>1900</v>
      </c>
      <c r="P8711" s="61">
        <f t="shared" si="618"/>
        <v>1</v>
      </c>
    </row>
    <row r="8712" spans="9:16">
      <c r="I8712" s="213"/>
      <c r="J8712" s="213"/>
      <c r="L8712" s="272">
        <f t="shared" si="615"/>
        <v>1900</v>
      </c>
      <c r="M8712" s="272">
        <f t="shared" si="616"/>
        <v>1</v>
      </c>
      <c r="O8712" s="61">
        <f t="shared" si="617"/>
        <v>1900</v>
      </c>
      <c r="P8712" s="61">
        <f t="shared" si="618"/>
        <v>1</v>
      </c>
    </row>
    <row r="8713" spans="9:16">
      <c r="I8713" s="213"/>
      <c r="J8713" s="213"/>
      <c r="L8713" s="272">
        <f t="shared" si="615"/>
        <v>1900</v>
      </c>
      <c r="M8713" s="272">
        <f t="shared" si="616"/>
        <v>1</v>
      </c>
      <c r="O8713" s="61">
        <f t="shared" si="617"/>
        <v>1900</v>
      </c>
      <c r="P8713" s="61">
        <f t="shared" si="618"/>
        <v>1</v>
      </c>
    </row>
    <row r="8714" spans="9:16">
      <c r="I8714" s="213"/>
      <c r="J8714" s="213"/>
      <c r="L8714" s="272">
        <f t="shared" si="615"/>
        <v>1900</v>
      </c>
      <c r="M8714" s="272">
        <f t="shared" si="616"/>
        <v>1</v>
      </c>
      <c r="O8714" s="61">
        <f t="shared" si="617"/>
        <v>1900</v>
      </c>
      <c r="P8714" s="61">
        <f t="shared" si="618"/>
        <v>1</v>
      </c>
    </row>
    <row r="8715" spans="9:16">
      <c r="I8715" s="213"/>
      <c r="J8715" s="213"/>
      <c r="L8715" s="272">
        <f t="shared" si="615"/>
        <v>1900</v>
      </c>
      <c r="M8715" s="272">
        <f t="shared" si="616"/>
        <v>1</v>
      </c>
      <c r="O8715" s="61">
        <f t="shared" si="617"/>
        <v>1900</v>
      </c>
      <c r="P8715" s="61">
        <f t="shared" si="618"/>
        <v>1</v>
      </c>
    </row>
    <row r="8716" spans="9:16">
      <c r="I8716" s="213"/>
      <c r="J8716" s="213"/>
      <c r="L8716" s="272">
        <f t="shared" si="615"/>
        <v>1900</v>
      </c>
      <c r="M8716" s="272">
        <f t="shared" si="616"/>
        <v>1</v>
      </c>
      <c r="O8716" s="61">
        <f t="shared" si="617"/>
        <v>1900</v>
      </c>
      <c r="P8716" s="61">
        <f t="shared" si="618"/>
        <v>1</v>
      </c>
    </row>
    <row r="8717" spans="9:16">
      <c r="I8717" s="213"/>
      <c r="J8717" s="213"/>
      <c r="L8717" s="272">
        <f t="shared" si="615"/>
        <v>1900</v>
      </c>
      <c r="M8717" s="272">
        <f t="shared" si="616"/>
        <v>1</v>
      </c>
      <c r="O8717" s="61">
        <f t="shared" si="617"/>
        <v>1900</v>
      </c>
      <c r="P8717" s="61">
        <f t="shared" si="618"/>
        <v>1</v>
      </c>
    </row>
    <row r="8718" spans="9:16">
      <c r="I8718" s="213"/>
      <c r="J8718" s="213"/>
      <c r="L8718" s="272">
        <f t="shared" si="615"/>
        <v>1900</v>
      </c>
      <c r="M8718" s="272">
        <f t="shared" si="616"/>
        <v>1</v>
      </c>
      <c r="O8718" s="61">
        <f t="shared" si="617"/>
        <v>1900</v>
      </c>
      <c r="P8718" s="61">
        <f t="shared" si="618"/>
        <v>1</v>
      </c>
    </row>
    <row r="8719" spans="9:16">
      <c r="I8719" s="213"/>
      <c r="J8719" s="213"/>
      <c r="L8719" s="272">
        <f t="shared" si="615"/>
        <v>1900</v>
      </c>
      <c r="M8719" s="272">
        <f t="shared" si="616"/>
        <v>1</v>
      </c>
      <c r="O8719" s="61">
        <f t="shared" si="617"/>
        <v>1900</v>
      </c>
      <c r="P8719" s="61">
        <f t="shared" si="618"/>
        <v>1</v>
      </c>
    </row>
    <row r="8720" spans="9:16">
      <c r="I8720" s="213"/>
      <c r="J8720" s="213"/>
      <c r="L8720" s="272">
        <f t="shared" ref="L8720:L8783" si="619">YEAR(B8720)</f>
        <v>1900</v>
      </c>
      <c r="M8720" s="272">
        <f t="shared" ref="M8720:M8783" si="620">MONTH(B8720)</f>
        <v>1</v>
      </c>
      <c r="O8720" s="61">
        <f t="shared" ref="O8720:O8783" si="621">YEAR(B8720)</f>
        <v>1900</v>
      </c>
      <c r="P8720" s="61">
        <f t="shared" ref="P8720:P8783" si="622">MONTH(B8720)</f>
        <v>1</v>
      </c>
    </row>
    <row r="8721" spans="9:16">
      <c r="I8721" s="213"/>
      <c r="J8721" s="213"/>
      <c r="L8721" s="272">
        <f t="shared" si="619"/>
        <v>1900</v>
      </c>
      <c r="M8721" s="272">
        <f t="shared" si="620"/>
        <v>1</v>
      </c>
      <c r="O8721" s="61">
        <f t="shared" si="621"/>
        <v>1900</v>
      </c>
      <c r="P8721" s="61">
        <f t="shared" si="622"/>
        <v>1</v>
      </c>
    </row>
    <row r="8722" spans="9:16">
      <c r="I8722" s="213"/>
      <c r="J8722" s="213"/>
      <c r="L8722" s="272">
        <f t="shared" si="619"/>
        <v>1900</v>
      </c>
      <c r="M8722" s="272">
        <f t="shared" si="620"/>
        <v>1</v>
      </c>
      <c r="O8722" s="61">
        <f t="shared" si="621"/>
        <v>1900</v>
      </c>
      <c r="P8722" s="61">
        <f t="shared" si="622"/>
        <v>1</v>
      </c>
    </row>
    <row r="8723" spans="9:16">
      <c r="I8723" s="213"/>
      <c r="J8723" s="213"/>
      <c r="L8723" s="272">
        <f t="shared" si="619"/>
        <v>1900</v>
      </c>
      <c r="M8723" s="272">
        <f t="shared" si="620"/>
        <v>1</v>
      </c>
      <c r="O8723" s="61">
        <f t="shared" si="621"/>
        <v>1900</v>
      </c>
      <c r="P8723" s="61">
        <f t="shared" si="622"/>
        <v>1</v>
      </c>
    </row>
    <row r="8724" spans="9:16">
      <c r="I8724" s="213"/>
      <c r="J8724" s="213"/>
      <c r="L8724" s="272">
        <f t="shared" si="619"/>
        <v>1900</v>
      </c>
      <c r="M8724" s="272">
        <f t="shared" si="620"/>
        <v>1</v>
      </c>
      <c r="O8724" s="61">
        <f t="shared" si="621"/>
        <v>1900</v>
      </c>
      <c r="P8724" s="61">
        <f t="shared" si="622"/>
        <v>1</v>
      </c>
    </row>
    <row r="8725" spans="9:16">
      <c r="I8725" s="213"/>
      <c r="J8725" s="213"/>
      <c r="L8725" s="272">
        <f t="shared" si="619"/>
        <v>1900</v>
      </c>
      <c r="M8725" s="272">
        <f t="shared" si="620"/>
        <v>1</v>
      </c>
      <c r="O8725" s="61">
        <f t="shared" si="621"/>
        <v>1900</v>
      </c>
      <c r="P8725" s="61">
        <f t="shared" si="622"/>
        <v>1</v>
      </c>
    </row>
    <row r="8726" spans="9:16">
      <c r="I8726" s="213"/>
      <c r="J8726" s="213"/>
      <c r="L8726" s="272">
        <f t="shared" si="619"/>
        <v>1900</v>
      </c>
      <c r="M8726" s="272">
        <f t="shared" si="620"/>
        <v>1</v>
      </c>
      <c r="O8726" s="61">
        <f t="shared" si="621"/>
        <v>1900</v>
      </c>
      <c r="P8726" s="61">
        <f t="shared" si="622"/>
        <v>1</v>
      </c>
    </row>
    <row r="8727" spans="9:16">
      <c r="I8727" s="213"/>
      <c r="J8727" s="213"/>
      <c r="L8727" s="272">
        <f t="shared" si="619"/>
        <v>1900</v>
      </c>
      <c r="M8727" s="272">
        <f t="shared" si="620"/>
        <v>1</v>
      </c>
      <c r="O8727" s="61">
        <f t="shared" si="621"/>
        <v>1900</v>
      </c>
      <c r="P8727" s="61">
        <f t="shared" si="622"/>
        <v>1</v>
      </c>
    </row>
    <row r="8728" spans="9:16">
      <c r="I8728" s="213"/>
      <c r="J8728" s="213"/>
      <c r="L8728" s="272">
        <f t="shared" si="619"/>
        <v>1900</v>
      </c>
      <c r="M8728" s="272">
        <f t="shared" si="620"/>
        <v>1</v>
      </c>
      <c r="O8728" s="61">
        <f t="shared" si="621"/>
        <v>1900</v>
      </c>
      <c r="P8728" s="61">
        <f t="shared" si="622"/>
        <v>1</v>
      </c>
    </row>
    <row r="8729" spans="9:16">
      <c r="I8729" s="213"/>
      <c r="J8729" s="213"/>
      <c r="L8729" s="272">
        <f t="shared" si="619"/>
        <v>1900</v>
      </c>
      <c r="M8729" s="272">
        <f t="shared" si="620"/>
        <v>1</v>
      </c>
      <c r="O8729" s="61">
        <f t="shared" si="621"/>
        <v>1900</v>
      </c>
      <c r="P8729" s="61">
        <f t="shared" si="622"/>
        <v>1</v>
      </c>
    </row>
    <row r="8730" spans="9:16">
      <c r="I8730" s="213"/>
      <c r="J8730" s="213"/>
      <c r="L8730" s="272">
        <f t="shared" si="619"/>
        <v>1900</v>
      </c>
      <c r="M8730" s="272">
        <f t="shared" si="620"/>
        <v>1</v>
      </c>
      <c r="O8730" s="61">
        <f t="shared" si="621"/>
        <v>1900</v>
      </c>
      <c r="P8730" s="61">
        <f t="shared" si="622"/>
        <v>1</v>
      </c>
    </row>
    <row r="8731" spans="9:16">
      <c r="I8731" s="213"/>
      <c r="J8731" s="213"/>
      <c r="L8731" s="272">
        <f t="shared" si="619"/>
        <v>1900</v>
      </c>
      <c r="M8731" s="272">
        <f t="shared" si="620"/>
        <v>1</v>
      </c>
      <c r="O8731" s="61">
        <f t="shared" si="621"/>
        <v>1900</v>
      </c>
      <c r="P8731" s="61">
        <f t="shared" si="622"/>
        <v>1</v>
      </c>
    </row>
    <row r="8732" spans="9:16">
      <c r="I8732" s="213"/>
      <c r="J8732" s="213"/>
      <c r="L8732" s="272">
        <f t="shared" si="619"/>
        <v>1900</v>
      </c>
      <c r="M8732" s="272">
        <f t="shared" si="620"/>
        <v>1</v>
      </c>
      <c r="O8732" s="61">
        <f t="shared" si="621"/>
        <v>1900</v>
      </c>
      <c r="P8732" s="61">
        <f t="shared" si="622"/>
        <v>1</v>
      </c>
    </row>
    <row r="8733" spans="9:16">
      <c r="I8733" s="213"/>
      <c r="J8733" s="213"/>
      <c r="L8733" s="272">
        <f t="shared" si="619"/>
        <v>1900</v>
      </c>
      <c r="M8733" s="272">
        <f t="shared" si="620"/>
        <v>1</v>
      </c>
      <c r="O8733" s="61">
        <f t="shared" si="621"/>
        <v>1900</v>
      </c>
      <c r="P8733" s="61">
        <f t="shared" si="622"/>
        <v>1</v>
      </c>
    </row>
    <row r="8734" spans="9:16">
      <c r="I8734" s="213"/>
      <c r="J8734" s="213"/>
      <c r="L8734" s="272">
        <f t="shared" si="619"/>
        <v>1900</v>
      </c>
      <c r="M8734" s="272">
        <f t="shared" si="620"/>
        <v>1</v>
      </c>
      <c r="O8734" s="61">
        <f t="shared" si="621"/>
        <v>1900</v>
      </c>
      <c r="P8734" s="61">
        <f t="shared" si="622"/>
        <v>1</v>
      </c>
    </row>
    <row r="8735" spans="9:16">
      <c r="I8735" s="213"/>
      <c r="J8735" s="213"/>
      <c r="L8735" s="272">
        <f t="shared" si="619"/>
        <v>1900</v>
      </c>
      <c r="M8735" s="272">
        <f t="shared" si="620"/>
        <v>1</v>
      </c>
      <c r="O8735" s="61">
        <f t="shared" si="621"/>
        <v>1900</v>
      </c>
      <c r="P8735" s="61">
        <f t="shared" si="622"/>
        <v>1</v>
      </c>
    </row>
    <row r="8736" spans="9:16">
      <c r="I8736" s="213"/>
      <c r="J8736" s="213"/>
      <c r="L8736" s="272">
        <f t="shared" si="619"/>
        <v>1900</v>
      </c>
      <c r="M8736" s="272">
        <f t="shared" si="620"/>
        <v>1</v>
      </c>
      <c r="O8736" s="61">
        <f t="shared" si="621"/>
        <v>1900</v>
      </c>
      <c r="P8736" s="61">
        <f t="shared" si="622"/>
        <v>1</v>
      </c>
    </row>
    <row r="8737" spans="9:16">
      <c r="I8737" s="213"/>
      <c r="J8737" s="213"/>
      <c r="L8737" s="272">
        <f t="shared" si="619"/>
        <v>1900</v>
      </c>
      <c r="M8737" s="272">
        <f t="shared" si="620"/>
        <v>1</v>
      </c>
      <c r="O8737" s="61">
        <f t="shared" si="621"/>
        <v>1900</v>
      </c>
      <c r="P8737" s="61">
        <f t="shared" si="622"/>
        <v>1</v>
      </c>
    </row>
    <row r="8738" spans="9:16">
      <c r="I8738" s="213"/>
      <c r="J8738" s="213"/>
      <c r="L8738" s="272">
        <f t="shared" si="619"/>
        <v>1900</v>
      </c>
      <c r="M8738" s="272">
        <f t="shared" si="620"/>
        <v>1</v>
      </c>
      <c r="O8738" s="61">
        <f t="shared" si="621"/>
        <v>1900</v>
      </c>
      <c r="P8738" s="61">
        <f t="shared" si="622"/>
        <v>1</v>
      </c>
    </row>
    <row r="8739" spans="9:16">
      <c r="I8739" s="213"/>
      <c r="J8739" s="213"/>
      <c r="L8739" s="272">
        <f t="shared" si="619"/>
        <v>1900</v>
      </c>
      <c r="M8739" s="272">
        <f t="shared" si="620"/>
        <v>1</v>
      </c>
      <c r="O8739" s="61">
        <f t="shared" si="621"/>
        <v>1900</v>
      </c>
      <c r="P8739" s="61">
        <f t="shared" si="622"/>
        <v>1</v>
      </c>
    </row>
    <row r="8740" spans="9:16">
      <c r="I8740" s="213"/>
      <c r="J8740" s="213"/>
      <c r="L8740" s="272">
        <f t="shared" si="619"/>
        <v>1900</v>
      </c>
      <c r="M8740" s="272">
        <f t="shared" si="620"/>
        <v>1</v>
      </c>
      <c r="O8740" s="61">
        <f t="shared" si="621"/>
        <v>1900</v>
      </c>
      <c r="P8740" s="61">
        <f t="shared" si="622"/>
        <v>1</v>
      </c>
    </row>
    <row r="8741" spans="9:16">
      <c r="I8741" s="213"/>
      <c r="J8741" s="213"/>
      <c r="L8741" s="272">
        <f t="shared" si="619"/>
        <v>1900</v>
      </c>
      <c r="M8741" s="272">
        <f t="shared" si="620"/>
        <v>1</v>
      </c>
      <c r="O8741" s="61">
        <f t="shared" si="621"/>
        <v>1900</v>
      </c>
      <c r="P8741" s="61">
        <f t="shared" si="622"/>
        <v>1</v>
      </c>
    </row>
    <row r="8742" spans="9:16">
      <c r="I8742" s="213"/>
      <c r="J8742" s="213"/>
      <c r="L8742" s="272">
        <f t="shared" si="619"/>
        <v>1900</v>
      </c>
      <c r="M8742" s="272">
        <f t="shared" si="620"/>
        <v>1</v>
      </c>
      <c r="O8742" s="61">
        <f t="shared" si="621"/>
        <v>1900</v>
      </c>
      <c r="P8742" s="61">
        <f t="shared" si="622"/>
        <v>1</v>
      </c>
    </row>
    <row r="8743" spans="9:16">
      <c r="I8743" s="213"/>
      <c r="J8743" s="213"/>
      <c r="L8743" s="272">
        <f t="shared" si="619"/>
        <v>1900</v>
      </c>
      <c r="M8743" s="272">
        <f t="shared" si="620"/>
        <v>1</v>
      </c>
      <c r="O8743" s="61">
        <f t="shared" si="621"/>
        <v>1900</v>
      </c>
      <c r="P8743" s="61">
        <f t="shared" si="622"/>
        <v>1</v>
      </c>
    </row>
    <row r="8744" spans="9:16">
      <c r="I8744" s="213"/>
      <c r="J8744" s="213"/>
      <c r="L8744" s="272">
        <f t="shared" si="619"/>
        <v>1900</v>
      </c>
      <c r="M8744" s="272">
        <f t="shared" si="620"/>
        <v>1</v>
      </c>
      <c r="O8744" s="61">
        <f t="shared" si="621"/>
        <v>1900</v>
      </c>
      <c r="P8744" s="61">
        <f t="shared" si="622"/>
        <v>1</v>
      </c>
    </row>
    <row r="8745" spans="9:16">
      <c r="I8745" s="213"/>
      <c r="J8745" s="213"/>
      <c r="L8745" s="272">
        <f t="shared" si="619"/>
        <v>1900</v>
      </c>
      <c r="M8745" s="272">
        <f t="shared" si="620"/>
        <v>1</v>
      </c>
      <c r="O8745" s="61">
        <f t="shared" si="621"/>
        <v>1900</v>
      </c>
      <c r="P8745" s="61">
        <f t="shared" si="622"/>
        <v>1</v>
      </c>
    </row>
    <row r="8746" spans="9:16">
      <c r="I8746" s="213"/>
      <c r="J8746" s="213"/>
      <c r="L8746" s="272">
        <f t="shared" si="619"/>
        <v>1900</v>
      </c>
      <c r="M8746" s="272">
        <f t="shared" si="620"/>
        <v>1</v>
      </c>
      <c r="O8746" s="61">
        <f t="shared" si="621"/>
        <v>1900</v>
      </c>
      <c r="P8746" s="61">
        <f t="shared" si="622"/>
        <v>1</v>
      </c>
    </row>
    <row r="8747" spans="9:16">
      <c r="I8747" s="213"/>
      <c r="J8747" s="213"/>
      <c r="L8747" s="272">
        <f t="shared" si="619"/>
        <v>1900</v>
      </c>
      <c r="M8747" s="272">
        <f t="shared" si="620"/>
        <v>1</v>
      </c>
      <c r="O8747" s="61">
        <f t="shared" si="621"/>
        <v>1900</v>
      </c>
      <c r="P8747" s="61">
        <f t="shared" si="622"/>
        <v>1</v>
      </c>
    </row>
    <row r="8748" spans="9:16">
      <c r="I8748" s="213"/>
      <c r="J8748" s="213"/>
      <c r="L8748" s="272">
        <f t="shared" si="619"/>
        <v>1900</v>
      </c>
      <c r="M8748" s="272">
        <f t="shared" si="620"/>
        <v>1</v>
      </c>
      <c r="O8748" s="61">
        <f t="shared" si="621"/>
        <v>1900</v>
      </c>
      <c r="P8748" s="61">
        <f t="shared" si="622"/>
        <v>1</v>
      </c>
    </row>
    <row r="8749" spans="9:16">
      <c r="I8749" s="213"/>
      <c r="J8749" s="213"/>
      <c r="L8749" s="272">
        <f t="shared" si="619"/>
        <v>1900</v>
      </c>
      <c r="M8749" s="272">
        <f t="shared" si="620"/>
        <v>1</v>
      </c>
      <c r="O8749" s="61">
        <f t="shared" si="621"/>
        <v>1900</v>
      </c>
      <c r="P8749" s="61">
        <f t="shared" si="622"/>
        <v>1</v>
      </c>
    </row>
    <row r="8750" spans="9:16">
      <c r="I8750" s="213"/>
      <c r="J8750" s="213"/>
      <c r="L8750" s="272">
        <f t="shared" si="619"/>
        <v>1900</v>
      </c>
      <c r="M8750" s="272">
        <f t="shared" si="620"/>
        <v>1</v>
      </c>
      <c r="O8750" s="61">
        <f t="shared" si="621"/>
        <v>1900</v>
      </c>
      <c r="P8750" s="61">
        <f t="shared" si="622"/>
        <v>1</v>
      </c>
    </row>
    <row r="8751" spans="9:16">
      <c r="I8751" s="213"/>
      <c r="J8751" s="213"/>
      <c r="L8751" s="272">
        <f t="shared" si="619"/>
        <v>1900</v>
      </c>
      <c r="M8751" s="272">
        <f t="shared" si="620"/>
        <v>1</v>
      </c>
      <c r="O8751" s="61">
        <f t="shared" si="621"/>
        <v>1900</v>
      </c>
      <c r="P8751" s="61">
        <f t="shared" si="622"/>
        <v>1</v>
      </c>
    </row>
    <row r="8752" spans="9:16">
      <c r="I8752" s="213"/>
      <c r="J8752" s="213"/>
      <c r="L8752" s="272">
        <f t="shared" si="619"/>
        <v>1900</v>
      </c>
      <c r="M8752" s="272">
        <f t="shared" si="620"/>
        <v>1</v>
      </c>
      <c r="O8752" s="61">
        <f t="shared" si="621"/>
        <v>1900</v>
      </c>
      <c r="P8752" s="61">
        <f t="shared" si="622"/>
        <v>1</v>
      </c>
    </row>
    <row r="8753" spans="9:16">
      <c r="I8753" s="213"/>
      <c r="J8753" s="213"/>
      <c r="L8753" s="272">
        <f t="shared" si="619"/>
        <v>1900</v>
      </c>
      <c r="M8753" s="272">
        <f t="shared" si="620"/>
        <v>1</v>
      </c>
      <c r="O8753" s="61">
        <f t="shared" si="621"/>
        <v>1900</v>
      </c>
      <c r="P8753" s="61">
        <f t="shared" si="622"/>
        <v>1</v>
      </c>
    </row>
    <row r="8754" spans="9:16">
      <c r="I8754" s="213"/>
      <c r="J8754" s="213"/>
      <c r="L8754" s="272">
        <f t="shared" si="619"/>
        <v>1900</v>
      </c>
      <c r="M8754" s="272">
        <f t="shared" si="620"/>
        <v>1</v>
      </c>
      <c r="O8754" s="61">
        <f t="shared" si="621"/>
        <v>1900</v>
      </c>
      <c r="P8754" s="61">
        <f t="shared" si="622"/>
        <v>1</v>
      </c>
    </row>
    <row r="8755" spans="9:16">
      <c r="I8755" s="213"/>
      <c r="J8755" s="213"/>
      <c r="L8755" s="272">
        <f t="shared" si="619"/>
        <v>1900</v>
      </c>
      <c r="M8755" s="272">
        <f t="shared" si="620"/>
        <v>1</v>
      </c>
      <c r="O8755" s="61">
        <f t="shared" si="621"/>
        <v>1900</v>
      </c>
      <c r="P8755" s="61">
        <f t="shared" si="622"/>
        <v>1</v>
      </c>
    </row>
    <row r="8756" spans="9:16">
      <c r="I8756" s="213"/>
      <c r="J8756" s="213"/>
      <c r="L8756" s="272">
        <f t="shared" si="619"/>
        <v>1900</v>
      </c>
      <c r="M8756" s="272">
        <f t="shared" si="620"/>
        <v>1</v>
      </c>
      <c r="O8756" s="61">
        <f t="shared" si="621"/>
        <v>1900</v>
      </c>
      <c r="P8756" s="61">
        <f t="shared" si="622"/>
        <v>1</v>
      </c>
    </row>
    <row r="8757" spans="9:16">
      <c r="I8757" s="213"/>
      <c r="J8757" s="213"/>
      <c r="L8757" s="272">
        <f t="shared" si="619"/>
        <v>1900</v>
      </c>
      <c r="M8757" s="272">
        <f t="shared" si="620"/>
        <v>1</v>
      </c>
      <c r="O8757" s="61">
        <f t="shared" si="621"/>
        <v>1900</v>
      </c>
      <c r="P8757" s="61">
        <f t="shared" si="622"/>
        <v>1</v>
      </c>
    </row>
    <row r="8758" spans="9:16">
      <c r="I8758" s="213"/>
      <c r="J8758" s="213"/>
      <c r="L8758" s="272">
        <f t="shared" si="619"/>
        <v>1900</v>
      </c>
      <c r="M8758" s="272">
        <f t="shared" si="620"/>
        <v>1</v>
      </c>
      <c r="O8758" s="61">
        <f t="shared" si="621"/>
        <v>1900</v>
      </c>
      <c r="P8758" s="61">
        <f t="shared" si="622"/>
        <v>1</v>
      </c>
    </row>
    <row r="8759" spans="9:16">
      <c r="I8759" s="213"/>
      <c r="J8759" s="213"/>
      <c r="L8759" s="272">
        <f t="shared" si="619"/>
        <v>1900</v>
      </c>
      <c r="M8759" s="272">
        <f t="shared" si="620"/>
        <v>1</v>
      </c>
      <c r="O8759" s="61">
        <f t="shared" si="621"/>
        <v>1900</v>
      </c>
      <c r="P8759" s="61">
        <f t="shared" si="622"/>
        <v>1</v>
      </c>
    </row>
    <row r="8760" spans="9:16">
      <c r="I8760" s="213"/>
      <c r="J8760" s="213"/>
      <c r="L8760" s="272">
        <f t="shared" si="619"/>
        <v>1900</v>
      </c>
      <c r="M8760" s="272">
        <f t="shared" si="620"/>
        <v>1</v>
      </c>
      <c r="O8760" s="61">
        <f t="shared" si="621"/>
        <v>1900</v>
      </c>
      <c r="P8760" s="61">
        <f t="shared" si="622"/>
        <v>1</v>
      </c>
    </row>
    <row r="8761" spans="9:16">
      <c r="I8761" s="213"/>
      <c r="J8761" s="213"/>
      <c r="L8761" s="272">
        <f t="shared" si="619"/>
        <v>1900</v>
      </c>
      <c r="M8761" s="272">
        <f t="shared" si="620"/>
        <v>1</v>
      </c>
      <c r="O8761" s="61">
        <f t="shared" si="621"/>
        <v>1900</v>
      </c>
      <c r="P8761" s="61">
        <f t="shared" si="622"/>
        <v>1</v>
      </c>
    </row>
    <row r="8762" spans="9:16">
      <c r="I8762" s="213"/>
      <c r="J8762" s="213"/>
      <c r="L8762" s="272">
        <f t="shared" si="619"/>
        <v>1900</v>
      </c>
      <c r="M8762" s="272">
        <f t="shared" si="620"/>
        <v>1</v>
      </c>
      <c r="O8762" s="61">
        <f t="shared" si="621"/>
        <v>1900</v>
      </c>
      <c r="P8762" s="61">
        <f t="shared" si="622"/>
        <v>1</v>
      </c>
    </row>
    <row r="8763" spans="9:16">
      <c r="I8763" s="213"/>
      <c r="J8763" s="213"/>
      <c r="L8763" s="272">
        <f t="shared" si="619"/>
        <v>1900</v>
      </c>
      <c r="M8763" s="272">
        <f t="shared" si="620"/>
        <v>1</v>
      </c>
      <c r="O8763" s="61">
        <f t="shared" si="621"/>
        <v>1900</v>
      </c>
      <c r="P8763" s="61">
        <f t="shared" si="622"/>
        <v>1</v>
      </c>
    </row>
    <row r="8764" spans="9:16">
      <c r="I8764" s="213"/>
      <c r="J8764" s="213"/>
      <c r="L8764" s="272">
        <f t="shared" si="619"/>
        <v>1900</v>
      </c>
      <c r="M8764" s="272">
        <f t="shared" si="620"/>
        <v>1</v>
      </c>
      <c r="O8764" s="61">
        <f t="shared" si="621"/>
        <v>1900</v>
      </c>
      <c r="P8764" s="61">
        <f t="shared" si="622"/>
        <v>1</v>
      </c>
    </row>
    <row r="8765" spans="9:16">
      <c r="I8765" s="213"/>
      <c r="J8765" s="213"/>
      <c r="L8765" s="272">
        <f t="shared" si="619"/>
        <v>1900</v>
      </c>
      <c r="M8765" s="272">
        <f t="shared" si="620"/>
        <v>1</v>
      </c>
      <c r="O8765" s="61">
        <f t="shared" si="621"/>
        <v>1900</v>
      </c>
      <c r="P8765" s="61">
        <f t="shared" si="622"/>
        <v>1</v>
      </c>
    </row>
    <row r="8766" spans="9:16">
      <c r="I8766" s="213"/>
      <c r="J8766" s="213"/>
      <c r="L8766" s="272">
        <f t="shared" si="619"/>
        <v>1900</v>
      </c>
      <c r="M8766" s="272">
        <f t="shared" si="620"/>
        <v>1</v>
      </c>
      <c r="O8766" s="61">
        <f t="shared" si="621"/>
        <v>1900</v>
      </c>
      <c r="P8766" s="61">
        <f t="shared" si="622"/>
        <v>1</v>
      </c>
    </row>
    <row r="8767" spans="9:16">
      <c r="I8767" s="213"/>
      <c r="J8767" s="213"/>
      <c r="L8767" s="272">
        <f t="shared" si="619"/>
        <v>1900</v>
      </c>
      <c r="M8767" s="272">
        <f t="shared" si="620"/>
        <v>1</v>
      </c>
      <c r="O8767" s="61">
        <f t="shared" si="621"/>
        <v>1900</v>
      </c>
      <c r="P8767" s="61">
        <f t="shared" si="622"/>
        <v>1</v>
      </c>
    </row>
    <row r="8768" spans="9:16">
      <c r="I8768" s="213"/>
      <c r="J8768" s="213"/>
      <c r="L8768" s="272">
        <f t="shared" si="619"/>
        <v>1900</v>
      </c>
      <c r="M8768" s="272">
        <f t="shared" si="620"/>
        <v>1</v>
      </c>
      <c r="O8768" s="61">
        <f t="shared" si="621"/>
        <v>1900</v>
      </c>
      <c r="P8768" s="61">
        <f t="shared" si="622"/>
        <v>1</v>
      </c>
    </row>
    <row r="8769" spans="9:16">
      <c r="I8769" s="213"/>
      <c r="J8769" s="213"/>
      <c r="L8769" s="272">
        <f t="shared" si="619"/>
        <v>1900</v>
      </c>
      <c r="M8769" s="272">
        <f t="shared" si="620"/>
        <v>1</v>
      </c>
      <c r="O8769" s="61">
        <f t="shared" si="621"/>
        <v>1900</v>
      </c>
      <c r="P8769" s="61">
        <f t="shared" si="622"/>
        <v>1</v>
      </c>
    </row>
    <row r="8770" spans="9:16">
      <c r="I8770" s="213"/>
      <c r="J8770" s="213"/>
      <c r="L8770" s="272">
        <f t="shared" si="619"/>
        <v>1900</v>
      </c>
      <c r="M8770" s="272">
        <f t="shared" si="620"/>
        <v>1</v>
      </c>
      <c r="O8770" s="61">
        <f t="shared" si="621"/>
        <v>1900</v>
      </c>
      <c r="P8770" s="61">
        <f t="shared" si="622"/>
        <v>1</v>
      </c>
    </row>
    <row r="8771" spans="9:16">
      <c r="I8771" s="213"/>
      <c r="J8771" s="213"/>
      <c r="L8771" s="272">
        <f t="shared" si="619"/>
        <v>1900</v>
      </c>
      <c r="M8771" s="272">
        <f t="shared" si="620"/>
        <v>1</v>
      </c>
      <c r="O8771" s="61">
        <f t="shared" si="621"/>
        <v>1900</v>
      </c>
      <c r="P8771" s="61">
        <f t="shared" si="622"/>
        <v>1</v>
      </c>
    </row>
    <row r="8772" spans="9:16">
      <c r="I8772" s="213"/>
      <c r="J8772" s="213"/>
      <c r="L8772" s="272">
        <f t="shared" si="619"/>
        <v>1900</v>
      </c>
      <c r="M8772" s="272">
        <f t="shared" si="620"/>
        <v>1</v>
      </c>
      <c r="O8772" s="61">
        <f t="shared" si="621"/>
        <v>1900</v>
      </c>
      <c r="P8772" s="61">
        <f t="shared" si="622"/>
        <v>1</v>
      </c>
    </row>
    <row r="8773" spans="9:16">
      <c r="I8773" s="213"/>
      <c r="J8773" s="213"/>
      <c r="L8773" s="272">
        <f t="shared" si="619"/>
        <v>1900</v>
      </c>
      <c r="M8773" s="272">
        <f t="shared" si="620"/>
        <v>1</v>
      </c>
      <c r="O8773" s="61">
        <f t="shared" si="621"/>
        <v>1900</v>
      </c>
      <c r="P8773" s="61">
        <f t="shared" si="622"/>
        <v>1</v>
      </c>
    </row>
    <row r="8774" spans="9:16">
      <c r="I8774" s="213"/>
      <c r="J8774" s="213"/>
      <c r="L8774" s="272">
        <f t="shared" si="619"/>
        <v>1900</v>
      </c>
      <c r="M8774" s="272">
        <f t="shared" si="620"/>
        <v>1</v>
      </c>
      <c r="O8774" s="61">
        <f t="shared" si="621"/>
        <v>1900</v>
      </c>
      <c r="P8774" s="61">
        <f t="shared" si="622"/>
        <v>1</v>
      </c>
    </row>
    <row r="8775" spans="9:16">
      <c r="I8775" s="213"/>
      <c r="J8775" s="213"/>
      <c r="L8775" s="272">
        <f t="shared" si="619"/>
        <v>1900</v>
      </c>
      <c r="M8775" s="272">
        <f t="shared" si="620"/>
        <v>1</v>
      </c>
      <c r="O8775" s="61">
        <f t="shared" si="621"/>
        <v>1900</v>
      </c>
      <c r="P8775" s="61">
        <f t="shared" si="622"/>
        <v>1</v>
      </c>
    </row>
    <row r="8776" spans="9:16">
      <c r="I8776" s="213"/>
      <c r="J8776" s="213"/>
      <c r="L8776" s="272">
        <f t="shared" si="619"/>
        <v>1900</v>
      </c>
      <c r="M8776" s="272">
        <f t="shared" si="620"/>
        <v>1</v>
      </c>
      <c r="O8776" s="61">
        <f t="shared" si="621"/>
        <v>1900</v>
      </c>
      <c r="P8776" s="61">
        <f t="shared" si="622"/>
        <v>1</v>
      </c>
    </row>
    <row r="8777" spans="9:16">
      <c r="I8777" s="213"/>
      <c r="J8777" s="213"/>
      <c r="L8777" s="272">
        <f t="shared" si="619"/>
        <v>1900</v>
      </c>
      <c r="M8777" s="272">
        <f t="shared" si="620"/>
        <v>1</v>
      </c>
      <c r="O8777" s="61">
        <f t="shared" si="621"/>
        <v>1900</v>
      </c>
      <c r="P8777" s="61">
        <f t="shared" si="622"/>
        <v>1</v>
      </c>
    </row>
    <row r="8778" spans="9:16">
      <c r="I8778" s="213"/>
      <c r="J8778" s="213"/>
      <c r="L8778" s="272">
        <f t="shared" si="619"/>
        <v>1900</v>
      </c>
      <c r="M8778" s="272">
        <f t="shared" si="620"/>
        <v>1</v>
      </c>
      <c r="O8778" s="61">
        <f t="shared" si="621"/>
        <v>1900</v>
      </c>
      <c r="P8778" s="61">
        <f t="shared" si="622"/>
        <v>1</v>
      </c>
    </row>
    <row r="8779" spans="9:16">
      <c r="I8779" s="213"/>
      <c r="J8779" s="213"/>
      <c r="L8779" s="272">
        <f t="shared" si="619"/>
        <v>1900</v>
      </c>
      <c r="M8779" s="272">
        <f t="shared" si="620"/>
        <v>1</v>
      </c>
      <c r="O8779" s="61">
        <f t="shared" si="621"/>
        <v>1900</v>
      </c>
      <c r="P8779" s="61">
        <f t="shared" si="622"/>
        <v>1</v>
      </c>
    </row>
    <row r="8780" spans="9:16">
      <c r="I8780" s="213"/>
      <c r="J8780" s="213"/>
      <c r="L8780" s="272">
        <f t="shared" si="619"/>
        <v>1900</v>
      </c>
      <c r="M8780" s="272">
        <f t="shared" si="620"/>
        <v>1</v>
      </c>
      <c r="O8780" s="61">
        <f t="shared" si="621"/>
        <v>1900</v>
      </c>
      <c r="P8780" s="61">
        <f t="shared" si="622"/>
        <v>1</v>
      </c>
    </row>
    <row r="8781" spans="9:16">
      <c r="I8781" s="213"/>
      <c r="J8781" s="213"/>
      <c r="L8781" s="272">
        <f t="shared" si="619"/>
        <v>1900</v>
      </c>
      <c r="M8781" s="272">
        <f t="shared" si="620"/>
        <v>1</v>
      </c>
      <c r="O8781" s="61">
        <f t="shared" si="621"/>
        <v>1900</v>
      </c>
      <c r="P8781" s="61">
        <f t="shared" si="622"/>
        <v>1</v>
      </c>
    </row>
    <row r="8782" spans="9:16">
      <c r="I8782" s="213"/>
      <c r="J8782" s="213"/>
      <c r="L8782" s="272">
        <f t="shared" si="619"/>
        <v>1900</v>
      </c>
      <c r="M8782" s="272">
        <f t="shared" si="620"/>
        <v>1</v>
      </c>
      <c r="O8782" s="61">
        <f t="shared" si="621"/>
        <v>1900</v>
      </c>
      <c r="P8782" s="61">
        <f t="shared" si="622"/>
        <v>1</v>
      </c>
    </row>
    <row r="8783" spans="9:16">
      <c r="I8783" s="213"/>
      <c r="J8783" s="213"/>
      <c r="L8783" s="272">
        <f t="shared" si="619"/>
        <v>1900</v>
      </c>
      <c r="M8783" s="272">
        <f t="shared" si="620"/>
        <v>1</v>
      </c>
      <c r="O8783" s="61">
        <f t="shared" si="621"/>
        <v>1900</v>
      </c>
      <c r="P8783" s="61">
        <f t="shared" si="622"/>
        <v>1</v>
      </c>
    </row>
    <row r="8784" spans="9:16">
      <c r="I8784" s="213"/>
      <c r="J8784" s="213"/>
      <c r="L8784" s="272">
        <f t="shared" ref="L8784:L8847" si="623">YEAR(B8784)</f>
        <v>1900</v>
      </c>
      <c r="M8784" s="272">
        <f t="shared" ref="M8784:M8847" si="624">MONTH(B8784)</f>
        <v>1</v>
      </c>
      <c r="O8784" s="61">
        <f t="shared" ref="O8784:O8847" si="625">YEAR(B8784)</f>
        <v>1900</v>
      </c>
      <c r="P8784" s="61">
        <f t="shared" ref="P8784:P8847" si="626">MONTH(B8784)</f>
        <v>1</v>
      </c>
    </row>
    <row r="8785" spans="9:16">
      <c r="I8785" s="213"/>
      <c r="J8785" s="213"/>
      <c r="L8785" s="272">
        <f t="shared" si="623"/>
        <v>1900</v>
      </c>
      <c r="M8785" s="272">
        <f t="shared" si="624"/>
        <v>1</v>
      </c>
      <c r="O8785" s="61">
        <f t="shared" si="625"/>
        <v>1900</v>
      </c>
      <c r="P8785" s="61">
        <f t="shared" si="626"/>
        <v>1</v>
      </c>
    </row>
    <row r="8786" spans="9:16">
      <c r="I8786" s="213"/>
      <c r="J8786" s="213"/>
      <c r="L8786" s="272">
        <f t="shared" si="623"/>
        <v>1900</v>
      </c>
      <c r="M8786" s="272">
        <f t="shared" si="624"/>
        <v>1</v>
      </c>
      <c r="O8786" s="61">
        <f t="shared" si="625"/>
        <v>1900</v>
      </c>
      <c r="P8786" s="61">
        <f t="shared" si="626"/>
        <v>1</v>
      </c>
    </row>
    <row r="8787" spans="9:16">
      <c r="I8787" s="213"/>
      <c r="J8787" s="213"/>
      <c r="L8787" s="272">
        <f t="shared" si="623"/>
        <v>1900</v>
      </c>
      <c r="M8787" s="272">
        <f t="shared" si="624"/>
        <v>1</v>
      </c>
      <c r="O8787" s="61">
        <f t="shared" si="625"/>
        <v>1900</v>
      </c>
      <c r="P8787" s="61">
        <f t="shared" si="626"/>
        <v>1</v>
      </c>
    </row>
    <row r="8788" spans="9:16">
      <c r="I8788" s="213"/>
      <c r="J8788" s="213"/>
      <c r="L8788" s="272">
        <f t="shared" si="623"/>
        <v>1900</v>
      </c>
      <c r="M8788" s="272">
        <f t="shared" si="624"/>
        <v>1</v>
      </c>
      <c r="O8788" s="61">
        <f t="shared" si="625"/>
        <v>1900</v>
      </c>
      <c r="P8788" s="61">
        <f t="shared" si="626"/>
        <v>1</v>
      </c>
    </row>
    <row r="8789" spans="9:16">
      <c r="I8789" s="213"/>
      <c r="J8789" s="213"/>
      <c r="L8789" s="272">
        <f t="shared" si="623"/>
        <v>1900</v>
      </c>
      <c r="M8789" s="272">
        <f t="shared" si="624"/>
        <v>1</v>
      </c>
      <c r="O8789" s="61">
        <f t="shared" si="625"/>
        <v>1900</v>
      </c>
      <c r="P8789" s="61">
        <f t="shared" si="626"/>
        <v>1</v>
      </c>
    </row>
    <row r="8790" spans="9:16">
      <c r="I8790" s="213"/>
      <c r="J8790" s="213"/>
      <c r="L8790" s="272">
        <f t="shared" si="623"/>
        <v>1900</v>
      </c>
      <c r="M8790" s="272">
        <f t="shared" si="624"/>
        <v>1</v>
      </c>
      <c r="O8790" s="61">
        <f t="shared" si="625"/>
        <v>1900</v>
      </c>
      <c r="P8790" s="61">
        <f t="shared" si="626"/>
        <v>1</v>
      </c>
    </row>
    <row r="8791" spans="9:16">
      <c r="I8791" s="213"/>
      <c r="J8791" s="213"/>
      <c r="L8791" s="272">
        <f t="shared" si="623"/>
        <v>1900</v>
      </c>
      <c r="M8791" s="272">
        <f t="shared" si="624"/>
        <v>1</v>
      </c>
      <c r="O8791" s="61">
        <f t="shared" si="625"/>
        <v>1900</v>
      </c>
      <c r="P8791" s="61">
        <f t="shared" si="626"/>
        <v>1</v>
      </c>
    </row>
    <row r="8792" spans="9:16">
      <c r="I8792" s="213"/>
      <c r="J8792" s="213"/>
      <c r="L8792" s="272">
        <f t="shared" si="623"/>
        <v>1900</v>
      </c>
      <c r="M8792" s="272">
        <f t="shared" si="624"/>
        <v>1</v>
      </c>
      <c r="O8792" s="61">
        <f t="shared" si="625"/>
        <v>1900</v>
      </c>
      <c r="P8792" s="61">
        <f t="shared" si="626"/>
        <v>1</v>
      </c>
    </row>
    <row r="8793" spans="9:16">
      <c r="I8793" s="213"/>
      <c r="J8793" s="213"/>
      <c r="L8793" s="272">
        <f t="shared" si="623"/>
        <v>1900</v>
      </c>
      <c r="M8793" s="272">
        <f t="shared" si="624"/>
        <v>1</v>
      </c>
      <c r="O8793" s="61">
        <f t="shared" si="625"/>
        <v>1900</v>
      </c>
      <c r="P8793" s="61">
        <f t="shared" si="626"/>
        <v>1</v>
      </c>
    </row>
    <row r="8794" spans="9:16">
      <c r="I8794" s="213"/>
      <c r="J8794" s="213"/>
      <c r="L8794" s="272">
        <f t="shared" si="623"/>
        <v>1900</v>
      </c>
      <c r="M8794" s="272">
        <f t="shared" si="624"/>
        <v>1</v>
      </c>
      <c r="O8794" s="61">
        <f t="shared" si="625"/>
        <v>1900</v>
      </c>
      <c r="P8794" s="61">
        <f t="shared" si="626"/>
        <v>1</v>
      </c>
    </row>
    <row r="8795" spans="9:16">
      <c r="I8795" s="213"/>
      <c r="J8795" s="213"/>
      <c r="L8795" s="272">
        <f t="shared" si="623"/>
        <v>1900</v>
      </c>
      <c r="M8795" s="272">
        <f t="shared" si="624"/>
        <v>1</v>
      </c>
      <c r="O8795" s="61">
        <f t="shared" si="625"/>
        <v>1900</v>
      </c>
      <c r="P8795" s="61">
        <f t="shared" si="626"/>
        <v>1</v>
      </c>
    </row>
    <row r="8796" spans="9:16">
      <c r="I8796" s="213"/>
      <c r="J8796" s="213"/>
      <c r="L8796" s="272">
        <f t="shared" si="623"/>
        <v>1900</v>
      </c>
      <c r="M8796" s="272">
        <f t="shared" si="624"/>
        <v>1</v>
      </c>
      <c r="O8796" s="61">
        <f t="shared" si="625"/>
        <v>1900</v>
      </c>
      <c r="P8796" s="61">
        <f t="shared" si="626"/>
        <v>1</v>
      </c>
    </row>
    <row r="8797" spans="9:16">
      <c r="I8797" s="213"/>
      <c r="J8797" s="213"/>
      <c r="L8797" s="272">
        <f t="shared" si="623"/>
        <v>1900</v>
      </c>
      <c r="M8797" s="272">
        <f t="shared" si="624"/>
        <v>1</v>
      </c>
      <c r="O8797" s="61">
        <f t="shared" si="625"/>
        <v>1900</v>
      </c>
      <c r="P8797" s="61">
        <f t="shared" si="626"/>
        <v>1</v>
      </c>
    </row>
    <row r="8798" spans="9:16">
      <c r="I8798" s="213"/>
      <c r="J8798" s="213"/>
      <c r="L8798" s="272">
        <f t="shared" si="623"/>
        <v>1900</v>
      </c>
      <c r="M8798" s="272">
        <f t="shared" si="624"/>
        <v>1</v>
      </c>
      <c r="O8798" s="61">
        <f t="shared" si="625"/>
        <v>1900</v>
      </c>
      <c r="P8798" s="61">
        <f t="shared" si="626"/>
        <v>1</v>
      </c>
    </row>
    <row r="8799" spans="9:16">
      <c r="I8799" s="213"/>
      <c r="J8799" s="213"/>
      <c r="L8799" s="272">
        <f t="shared" si="623"/>
        <v>1900</v>
      </c>
      <c r="M8799" s="272">
        <f t="shared" si="624"/>
        <v>1</v>
      </c>
      <c r="O8799" s="61">
        <f t="shared" si="625"/>
        <v>1900</v>
      </c>
      <c r="P8799" s="61">
        <f t="shared" si="626"/>
        <v>1</v>
      </c>
    </row>
    <row r="8800" spans="9:16">
      <c r="I8800" s="213"/>
      <c r="J8800" s="213"/>
      <c r="L8800" s="272">
        <f t="shared" si="623"/>
        <v>1900</v>
      </c>
      <c r="M8800" s="272">
        <f t="shared" si="624"/>
        <v>1</v>
      </c>
      <c r="O8800" s="61">
        <f t="shared" si="625"/>
        <v>1900</v>
      </c>
      <c r="P8800" s="61">
        <f t="shared" si="626"/>
        <v>1</v>
      </c>
    </row>
    <row r="8801" spans="9:16">
      <c r="I8801" s="213"/>
      <c r="J8801" s="213"/>
      <c r="L8801" s="272">
        <f t="shared" si="623"/>
        <v>1900</v>
      </c>
      <c r="M8801" s="272">
        <f t="shared" si="624"/>
        <v>1</v>
      </c>
      <c r="O8801" s="61">
        <f t="shared" si="625"/>
        <v>1900</v>
      </c>
      <c r="P8801" s="61">
        <f t="shared" si="626"/>
        <v>1</v>
      </c>
    </row>
    <row r="8802" spans="9:16">
      <c r="I8802" s="213"/>
      <c r="J8802" s="213"/>
      <c r="L8802" s="272">
        <f t="shared" si="623"/>
        <v>1900</v>
      </c>
      <c r="M8802" s="272">
        <f t="shared" si="624"/>
        <v>1</v>
      </c>
      <c r="O8802" s="61">
        <f t="shared" si="625"/>
        <v>1900</v>
      </c>
      <c r="P8802" s="61">
        <f t="shared" si="626"/>
        <v>1</v>
      </c>
    </row>
    <row r="8803" spans="9:16">
      <c r="I8803" s="213"/>
      <c r="J8803" s="213"/>
      <c r="L8803" s="272">
        <f t="shared" si="623"/>
        <v>1900</v>
      </c>
      <c r="M8803" s="272">
        <f t="shared" si="624"/>
        <v>1</v>
      </c>
      <c r="O8803" s="61">
        <f t="shared" si="625"/>
        <v>1900</v>
      </c>
      <c r="P8803" s="61">
        <f t="shared" si="626"/>
        <v>1</v>
      </c>
    </row>
    <row r="8804" spans="9:16">
      <c r="I8804" s="213"/>
      <c r="J8804" s="213"/>
      <c r="L8804" s="272">
        <f t="shared" si="623"/>
        <v>1900</v>
      </c>
      <c r="M8804" s="272">
        <f t="shared" si="624"/>
        <v>1</v>
      </c>
      <c r="O8804" s="61">
        <f t="shared" si="625"/>
        <v>1900</v>
      </c>
      <c r="P8804" s="61">
        <f t="shared" si="626"/>
        <v>1</v>
      </c>
    </row>
    <row r="8805" spans="9:16">
      <c r="I8805" s="213"/>
      <c r="J8805" s="213"/>
      <c r="L8805" s="272">
        <f t="shared" si="623"/>
        <v>1900</v>
      </c>
      <c r="M8805" s="272">
        <f t="shared" si="624"/>
        <v>1</v>
      </c>
      <c r="O8805" s="61">
        <f t="shared" si="625"/>
        <v>1900</v>
      </c>
      <c r="P8805" s="61">
        <f t="shared" si="626"/>
        <v>1</v>
      </c>
    </row>
    <row r="8806" spans="9:16">
      <c r="I8806" s="213"/>
      <c r="J8806" s="213"/>
      <c r="L8806" s="272">
        <f t="shared" si="623"/>
        <v>1900</v>
      </c>
      <c r="M8806" s="272">
        <f t="shared" si="624"/>
        <v>1</v>
      </c>
      <c r="O8806" s="61">
        <f t="shared" si="625"/>
        <v>1900</v>
      </c>
      <c r="P8806" s="61">
        <f t="shared" si="626"/>
        <v>1</v>
      </c>
    </row>
    <row r="8807" spans="9:16">
      <c r="I8807" s="213"/>
      <c r="J8807" s="213"/>
      <c r="L8807" s="272">
        <f t="shared" si="623"/>
        <v>1900</v>
      </c>
      <c r="M8807" s="272">
        <f t="shared" si="624"/>
        <v>1</v>
      </c>
      <c r="O8807" s="61">
        <f t="shared" si="625"/>
        <v>1900</v>
      </c>
      <c r="P8807" s="61">
        <f t="shared" si="626"/>
        <v>1</v>
      </c>
    </row>
    <row r="8808" spans="9:16">
      <c r="I8808" s="213"/>
      <c r="J8808" s="213"/>
      <c r="L8808" s="272">
        <f t="shared" si="623"/>
        <v>1900</v>
      </c>
      <c r="M8808" s="272">
        <f t="shared" si="624"/>
        <v>1</v>
      </c>
      <c r="O8808" s="61">
        <f t="shared" si="625"/>
        <v>1900</v>
      </c>
      <c r="P8808" s="61">
        <f t="shared" si="626"/>
        <v>1</v>
      </c>
    </row>
    <row r="8809" spans="9:16">
      <c r="I8809" s="213"/>
      <c r="J8809" s="213"/>
      <c r="L8809" s="272">
        <f t="shared" si="623"/>
        <v>1900</v>
      </c>
      <c r="M8809" s="272">
        <f t="shared" si="624"/>
        <v>1</v>
      </c>
      <c r="O8809" s="61">
        <f t="shared" si="625"/>
        <v>1900</v>
      </c>
      <c r="P8809" s="61">
        <f t="shared" si="626"/>
        <v>1</v>
      </c>
    </row>
    <row r="8810" spans="9:16">
      <c r="I8810" s="213"/>
      <c r="J8810" s="213"/>
      <c r="L8810" s="272">
        <f t="shared" si="623"/>
        <v>1900</v>
      </c>
      <c r="M8810" s="272">
        <f t="shared" si="624"/>
        <v>1</v>
      </c>
      <c r="O8810" s="61">
        <f t="shared" si="625"/>
        <v>1900</v>
      </c>
      <c r="P8810" s="61">
        <f t="shared" si="626"/>
        <v>1</v>
      </c>
    </row>
    <row r="8811" spans="9:16">
      <c r="I8811" s="213"/>
      <c r="J8811" s="213"/>
      <c r="L8811" s="272">
        <f t="shared" si="623"/>
        <v>1900</v>
      </c>
      <c r="M8811" s="272">
        <f t="shared" si="624"/>
        <v>1</v>
      </c>
      <c r="O8811" s="61">
        <f t="shared" si="625"/>
        <v>1900</v>
      </c>
      <c r="P8811" s="61">
        <f t="shared" si="626"/>
        <v>1</v>
      </c>
    </row>
    <row r="8812" spans="9:16">
      <c r="I8812" s="213"/>
      <c r="J8812" s="213"/>
      <c r="L8812" s="272">
        <f t="shared" si="623"/>
        <v>1900</v>
      </c>
      <c r="M8812" s="272">
        <f t="shared" si="624"/>
        <v>1</v>
      </c>
      <c r="O8812" s="61">
        <f t="shared" si="625"/>
        <v>1900</v>
      </c>
      <c r="P8812" s="61">
        <f t="shared" si="626"/>
        <v>1</v>
      </c>
    </row>
    <row r="8813" spans="9:16">
      <c r="I8813" s="213"/>
      <c r="J8813" s="213"/>
      <c r="L8813" s="272">
        <f t="shared" si="623"/>
        <v>1900</v>
      </c>
      <c r="M8813" s="272">
        <f t="shared" si="624"/>
        <v>1</v>
      </c>
      <c r="O8813" s="61">
        <f t="shared" si="625"/>
        <v>1900</v>
      </c>
      <c r="P8813" s="61">
        <f t="shared" si="626"/>
        <v>1</v>
      </c>
    </row>
    <row r="8814" spans="9:16">
      <c r="I8814" s="213"/>
      <c r="J8814" s="213"/>
      <c r="L8814" s="272">
        <f t="shared" si="623"/>
        <v>1900</v>
      </c>
      <c r="M8814" s="272">
        <f t="shared" si="624"/>
        <v>1</v>
      </c>
      <c r="O8814" s="61">
        <f t="shared" si="625"/>
        <v>1900</v>
      </c>
      <c r="P8814" s="61">
        <f t="shared" si="626"/>
        <v>1</v>
      </c>
    </row>
    <row r="8815" spans="9:16">
      <c r="I8815" s="213"/>
      <c r="J8815" s="213"/>
      <c r="L8815" s="272">
        <f t="shared" si="623"/>
        <v>1900</v>
      </c>
      <c r="M8815" s="272">
        <f t="shared" si="624"/>
        <v>1</v>
      </c>
      <c r="O8815" s="61">
        <f t="shared" si="625"/>
        <v>1900</v>
      </c>
      <c r="P8815" s="61">
        <f t="shared" si="626"/>
        <v>1</v>
      </c>
    </row>
    <row r="8816" spans="9:16">
      <c r="I8816" s="213"/>
      <c r="J8816" s="213"/>
      <c r="L8816" s="272">
        <f t="shared" si="623"/>
        <v>1900</v>
      </c>
      <c r="M8816" s="272">
        <f t="shared" si="624"/>
        <v>1</v>
      </c>
      <c r="O8816" s="61">
        <f t="shared" si="625"/>
        <v>1900</v>
      </c>
      <c r="P8816" s="61">
        <f t="shared" si="626"/>
        <v>1</v>
      </c>
    </row>
    <row r="8817" spans="9:16">
      <c r="I8817" s="213"/>
      <c r="J8817" s="213"/>
      <c r="L8817" s="272">
        <f t="shared" si="623"/>
        <v>1900</v>
      </c>
      <c r="M8817" s="272">
        <f t="shared" si="624"/>
        <v>1</v>
      </c>
      <c r="O8817" s="61">
        <f t="shared" si="625"/>
        <v>1900</v>
      </c>
      <c r="P8817" s="61">
        <f t="shared" si="626"/>
        <v>1</v>
      </c>
    </row>
    <row r="8818" spans="9:16">
      <c r="I8818" s="213"/>
      <c r="J8818" s="213"/>
      <c r="L8818" s="272">
        <f t="shared" si="623"/>
        <v>1900</v>
      </c>
      <c r="M8818" s="272">
        <f t="shared" si="624"/>
        <v>1</v>
      </c>
      <c r="O8818" s="61">
        <f t="shared" si="625"/>
        <v>1900</v>
      </c>
      <c r="P8818" s="61">
        <f t="shared" si="626"/>
        <v>1</v>
      </c>
    </row>
    <row r="8819" spans="9:16">
      <c r="I8819" s="213"/>
      <c r="J8819" s="213"/>
      <c r="L8819" s="272">
        <f t="shared" si="623"/>
        <v>1900</v>
      </c>
      <c r="M8819" s="272">
        <f t="shared" si="624"/>
        <v>1</v>
      </c>
      <c r="O8819" s="61">
        <f t="shared" si="625"/>
        <v>1900</v>
      </c>
      <c r="P8819" s="61">
        <f t="shared" si="626"/>
        <v>1</v>
      </c>
    </row>
    <row r="8820" spans="9:16">
      <c r="I8820" s="213"/>
      <c r="J8820" s="213"/>
      <c r="L8820" s="272">
        <f t="shared" si="623"/>
        <v>1900</v>
      </c>
      <c r="M8820" s="272">
        <f t="shared" si="624"/>
        <v>1</v>
      </c>
      <c r="O8820" s="61">
        <f t="shared" si="625"/>
        <v>1900</v>
      </c>
      <c r="P8820" s="61">
        <f t="shared" si="626"/>
        <v>1</v>
      </c>
    </row>
    <row r="8821" spans="9:16">
      <c r="I8821" s="213"/>
      <c r="J8821" s="213"/>
      <c r="L8821" s="272">
        <f t="shared" si="623"/>
        <v>1900</v>
      </c>
      <c r="M8821" s="272">
        <f t="shared" si="624"/>
        <v>1</v>
      </c>
      <c r="O8821" s="61">
        <f t="shared" si="625"/>
        <v>1900</v>
      </c>
      <c r="P8821" s="61">
        <f t="shared" si="626"/>
        <v>1</v>
      </c>
    </row>
    <row r="8822" spans="9:16">
      <c r="I8822" s="213"/>
      <c r="J8822" s="213"/>
      <c r="L8822" s="272">
        <f t="shared" si="623"/>
        <v>1900</v>
      </c>
      <c r="M8822" s="272">
        <f t="shared" si="624"/>
        <v>1</v>
      </c>
      <c r="O8822" s="61">
        <f t="shared" si="625"/>
        <v>1900</v>
      </c>
      <c r="P8822" s="61">
        <f t="shared" si="626"/>
        <v>1</v>
      </c>
    </row>
    <row r="8823" spans="9:16">
      <c r="I8823" s="213"/>
      <c r="J8823" s="213"/>
      <c r="L8823" s="272">
        <f t="shared" si="623"/>
        <v>1900</v>
      </c>
      <c r="M8823" s="272">
        <f t="shared" si="624"/>
        <v>1</v>
      </c>
      <c r="O8823" s="61">
        <f t="shared" si="625"/>
        <v>1900</v>
      </c>
      <c r="P8823" s="61">
        <f t="shared" si="626"/>
        <v>1</v>
      </c>
    </row>
    <row r="8824" spans="9:16">
      <c r="I8824" s="213"/>
      <c r="J8824" s="213"/>
      <c r="L8824" s="272">
        <f t="shared" si="623"/>
        <v>1900</v>
      </c>
      <c r="M8824" s="272">
        <f t="shared" si="624"/>
        <v>1</v>
      </c>
      <c r="O8824" s="61">
        <f t="shared" si="625"/>
        <v>1900</v>
      </c>
      <c r="P8824" s="61">
        <f t="shared" si="626"/>
        <v>1</v>
      </c>
    </row>
    <row r="8825" spans="9:16">
      <c r="I8825" s="213"/>
      <c r="J8825" s="213"/>
      <c r="L8825" s="272">
        <f t="shared" si="623"/>
        <v>1900</v>
      </c>
      <c r="M8825" s="272">
        <f t="shared" si="624"/>
        <v>1</v>
      </c>
      <c r="O8825" s="61">
        <f t="shared" si="625"/>
        <v>1900</v>
      </c>
      <c r="P8825" s="61">
        <f t="shared" si="626"/>
        <v>1</v>
      </c>
    </row>
    <row r="8826" spans="9:16">
      <c r="I8826" s="213"/>
      <c r="J8826" s="213"/>
      <c r="L8826" s="272">
        <f t="shared" si="623"/>
        <v>1900</v>
      </c>
      <c r="M8826" s="272">
        <f t="shared" si="624"/>
        <v>1</v>
      </c>
      <c r="O8826" s="61">
        <f t="shared" si="625"/>
        <v>1900</v>
      </c>
      <c r="P8826" s="61">
        <f t="shared" si="626"/>
        <v>1</v>
      </c>
    </row>
    <row r="8827" spans="9:16">
      <c r="I8827" s="213"/>
      <c r="J8827" s="213"/>
      <c r="L8827" s="272">
        <f t="shared" si="623"/>
        <v>1900</v>
      </c>
      <c r="M8827" s="272">
        <f t="shared" si="624"/>
        <v>1</v>
      </c>
      <c r="O8827" s="61">
        <f t="shared" si="625"/>
        <v>1900</v>
      </c>
      <c r="P8827" s="61">
        <f t="shared" si="626"/>
        <v>1</v>
      </c>
    </row>
    <row r="8828" spans="9:16">
      <c r="I8828" s="213"/>
      <c r="J8828" s="213"/>
      <c r="L8828" s="272">
        <f t="shared" si="623"/>
        <v>1900</v>
      </c>
      <c r="M8828" s="272">
        <f t="shared" si="624"/>
        <v>1</v>
      </c>
      <c r="O8828" s="61">
        <f t="shared" si="625"/>
        <v>1900</v>
      </c>
      <c r="P8828" s="61">
        <f t="shared" si="626"/>
        <v>1</v>
      </c>
    </row>
    <row r="8829" spans="9:16">
      <c r="I8829" s="213"/>
      <c r="J8829" s="213"/>
      <c r="L8829" s="272">
        <f t="shared" si="623"/>
        <v>1900</v>
      </c>
      <c r="M8829" s="272">
        <f t="shared" si="624"/>
        <v>1</v>
      </c>
      <c r="O8829" s="61">
        <f t="shared" si="625"/>
        <v>1900</v>
      </c>
      <c r="P8829" s="61">
        <f t="shared" si="626"/>
        <v>1</v>
      </c>
    </row>
    <row r="8830" spans="9:16">
      <c r="I8830" s="213"/>
      <c r="J8830" s="213"/>
      <c r="L8830" s="272">
        <f t="shared" si="623"/>
        <v>1900</v>
      </c>
      <c r="M8830" s="272">
        <f t="shared" si="624"/>
        <v>1</v>
      </c>
      <c r="O8830" s="61">
        <f t="shared" si="625"/>
        <v>1900</v>
      </c>
      <c r="P8830" s="61">
        <f t="shared" si="626"/>
        <v>1</v>
      </c>
    </row>
    <row r="8831" spans="9:16">
      <c r="I8831" s="213"/>
      <c r="J8831" s="213"/>
      <c r="L8831" s="272">
        <f t="shared" si="623"/>
        <v>1900</v>
      </c>
      <c r="M8831" s="272">
        <f t="shared" si="624"/>
        <v>1</v>
      </c>
      <c r="O8831" s="61">
        <f t="shared" si="625"/>
        <v>1900</v>
      </c>
      <c r="P8831" s="61">
        <f t="shared" si="626"/>
        <v>1</v>
      </c>
    </row>
    <row r="8832" spans="9:16">
      <c r="I8832" s="213"/>
      <c r="J8832" s="213"/>
      <c r="L8832" s="272">
        <f t="shared" si="623"/>
        <v>1900</v>
      </c>
      <c r="M8832" s="272">
        <f t="shared" si="624"/>
        <v>1</v>
      </c>
      <c r="O8832" s="61">
        <f t="shared" si="625"/>
        <v>1900</v>
      </c>
      <c r="P8832" s="61">
        <f t="shared" si="626"/>
        <v>1</v>
      </c>
    </row>
    <row r="8833" spans="9:16">
      <c r="I8833" s="213"/>
      <c r="J8833" s="213"/>
      <c r="L8833" s="272">
        <f t="shared" si="623"/>
        <v>1900</v>
      </c>
      <c r="M8833" s="272">
        <f t="shared" si="624"/>
        <v>1</v>
      </c>
      <c r="O8833" s="61">
        <f t="shared" si="625"/>
        <v>1900</v>
      </c>
      <c r="P8833" s="61">
        <f t="shared" si="626"/>
        <v>1</v>
      </c>
    </row>
    <row r="8834" spans="9:16">
      <c r="I8834" s="213"/>
      <c r="J8834" s="213"/>
      <c r="L8834" s="272">
        <f t="shared" si="623"/>
        <v>1900</v>
      </c>
      <c r="M8834" s="272">
        <f t="shared" si="624"/>
        <v>1</v>
      </c>
      <c r="O8834" s="61">
        <f t="shared" si="625"/>
        <v>1900</v>
      </c>
      <c r="P8834" s="61">
        <f t="shared" si="626"/>
        <v>1</v>
      </c>
    </row>
    <row r="8835" spans="9:16">
      <c r="I8835" s="213"/>
      <c r="J8835" s="213"/>
      <c r="L8835" s="272">
        <f t="shared" si="623"/>
        <v>1900</v>
      </c>
      <c r="M8835" s="272">
        <f t="shared" si="624"/>
        <v>1</v>
      </c>
      <c r="O8835" s="61">
        <f t="shared" si="625"/>
        <v>1900</v>
      </c>
      <c r="P8835" s="61">
        <f t="shared" si="626"/>
        <v>1</v>
      </c>
    </row>
    <row r="8836" spans="9:16">
      <c r="I8836" s="213"/>
      <c r="J8836" s="213"/>
      <c r="L8836" s="272">
        <f t="shared" si="623"/>
        <v>1900</v>
      </c>
      <c r="M8836" s="272">
        <f t="shared" si="624"/>
        <v>1</v>
      </c>
      <c r="O8836" s="61">
        <f t="shared" si="625"/>
        <v>1900</v>
      </c>
      <c r="P8836" s="61">
        <f t="shared" si="626"/>
        <v>1</v>
      </c>
    </row>
    <row r="8837" spans="9:16">
      <c r="I8837" s="213"/>
      <c r="J8837" s="213"/>
      <c r="L8837" s="272">
        <f t="shared" si="623"/>
        <v>1900</v>
      </c>
      <c r="M8837" s="272">
        <f t="shared" si="624"/>
        <v>1</v>
      </c>
      <c r="O8837" s="61">
        <f t="shared" si="625"/>
        <v>1900</v>
      </c>
      <c r="P8837" s="61">
        <f t="shared" si="626"/>
        <v>1</v>
      </c>
    </row>
    <row r="8838" spans="9:16">
      <c r="I8838" s="213"/>
      <c r="J8838" s="213"/>
      <c r="L8838" s="272">
        <f t="shared" si="623"/>
        <v>1900</v>
      </c>
      <c r="M8838" s="272">
        <f t="shared" si="624"/>
        <v>1</v>
      </c>
      <c r="O8838" s="61">
        <f t="shared" si="625"/>
        <v>1900</v>
      </c>
      <c r="P8838" s="61">
        <f t="shared" si="626"/>
        <v>1</v>
      </c>
    </row>
    <row r="8839" spans="9:16">
      <c r="I8839" s="213"/>
      <c r="J8839" s="213"/>
      <c r="L8839" s="272">
        <f t="shared" si="623"/>
        <v>1900</v>
      </c>
      <c r="M8839" s="272">
        <f t="shared" si="624"/>
        <v>1</v>
      </c>
      <c r="O8839" s="61">
        <f t="shared" si="625"/>
        <v>1900</v>
      </c>
      <c r="P8839" s="61">
        <f t="shared" si="626"/>
        <v>1</v>
      </c>
    </row>
    <row r="8840" spans="9:16">
      <c r="I8840" s="213"/>
      <c r="J8840" s="213"/>
      <c r="L8840" s="272">
        <f t="shared" si="623"/>
        <v>1900</v>
      </c>
      <c r="M8840" s="272">
        <f t="shared" si="624"/>
        <v>1</v>
      </c>
      <c r="O8840" s="61">
        <f t="shared" si="625"/>
        <v>1900</v>
      </c>
      <c r="P8840" s="61">
        <f t="shared" si="626"/>
        <v>1</v>
      </c>
    </row>
    <row r="8841" spans="9:16">
      <c r="I8841" s="213"/>
      <c r="J8841" s="213"/>
      <c r="L8841" s="272">
        <f t="shared" si="623"/>
        <v>1900</v>
      </c>
      <c r="M8841" s="272">
        <f t="shared" si="624"/>
        <v>1</v>
      </c>
      <c r="O8841" s="61">
        <f t="shared" si="625"/>
        <v>1900</v>
      </c>
      <c r="P8841" s="61">
        <f t="shared" si="626"/>
        <v>1</v>
      </c>
    </row>
    <row r="8842" spans="9:16">
      <c r="I8842" s="213"/>
      <c r="J8842" s="213"/>
      <c r="L8842" s="272">
        <f t="shared" si="623"/>
        <v>1900</v>
      </c>
      <c r="M8842" s="272">
        <f t="shared" si="624"/>
        <v>1</v>
      </c>
      <c r="O8842" s="61">
        <f t="shared" si="625"/>
        <v>1900</v>
      </c>
      <c r="P8842" s="61">
        <f t="shared" si="626"/>
        <v>1</v>
      </c>
    </row>
    <row r="8843" spans="9:16">
      <c r="I8843" s="213"/>
      <c r="J8843" s="213"/>
      <c r="L8843" s="272">
        <f t="shared" si="623"/>
        <v>1900</v>
      </c>
      <c r="M8843" s="272">
        <f t="shared" si="624"/>
        <v>1</v>
      </c>
      <c r="O8843" s="61">
        <f t="shared" si="625"/>
        <v>1900</v>
      </c>
      <c r="P8843" s="61">
        <f t="shared" si="626"/>
        <v>1</v>
      </c>
    </row>
    <row r="8844" spans="9:16">
      <c r="I8844" s="213"/>
      <c r="J8844" s="213"/>
      <c r="L8844" s="272">
        <f t="shared" si="623"/>
        <v>1900</v>
      </c>
      <c r="M8844" s="272">
        <f t="shared" si="624"/>
        <v>1</v>
      </c>
      <c r="O8844" s="61">
        <f t="shared" si="625"/>
        <v>1900</v>
      </c>
      <c r="P8844" s="61">
        <f t="shared" si="626"/>
        <v>1</v>
      </c>
    </row>
    <row r="8845" spans="9:16">
      <c r="I8845" s="213"/>
      <c r="J8845" s="213"/>
      <c r="L8845" s="272">
        <f t="shared" si="623"/>
        <v>1900</v>
      </c>
      <c r="M8845" s="272">
        <f t="shared" si="624"/>
        <v>1</v>
      </c>
      <c r="O8845" s="61">
        <f t="shared" si="625"/>
        <v>1900</v>
      </c>
      <c r="P8845" s="61">
        <f t="shared" si="626"/>
        <v>1</v>
      </c>
    </row>
    <row r="8846" spans="9:16">
      <c r="I8846" s="213"/>
      <c r="J8846" s="213"/>
      <c r="L8846" s="272">
        <f t="shared" si="623"/>
        <v>1900</v>
      </c>
      <c r="M8846" s="272">
        <f t="shared" si="624"/>
        <v>1</v>
      </c>
      <c r="O8846" s="61">
        <f t="shared" si="625"/>
        <v>1900</v>
      </c>
      <c r="P8846" s="61">
        <f t="shared" si="626"/>
        <v>1</v>
      </c>
    </row>
    <row r="8847" spans="9:16">
      <c r="I8847" s="213"/>
      <c r="J8847" s="213"/>
      <c r="L8847" s="272">
        <f t="shared" si="623"/>
        <v>1900</v>
      </c>
      <c r="M8847" s="272">
        <f t="shared" si="624"/>
        <v>1</v>
      </c>
      <c r="O8847" s="61">
        <f t="shared" si="625"/>
        <v>1900</v>
      </c>
      <c r="P8847" s="61">
        <f t="shared" si="626"/>
        <v>1</v>
      </c>
    </row>
    <row r="8848" spans="9:16">
      <c r="I8848" s="213"/>
      <c r="J8848" s="213"/>
      <c r="L8848" s="272">
        <f t="shared" ref="L8848:L8911" si="627">YEAR(B8848)</f>
        <v>1900</v>
      </c>
      <c r="M8848" s="272">
        <f t="shared" ref="M8848:M8911" si="628">MONTH(B8848)</f>
        <v>1</v>
      </c>
      <c r="O8848" s="61">
        <f t="shared" ref="O8848:O8911" si="629">YEAR(B8848)</f>
        <v>1900</v>
      </c>
      <c r="P8848" s="61">
        <f t="shared" ref="P8848:P8911" si="630">MONTH(B8848)</f>
        <v>1</v>
      </c>
    </row>
    <row r="8849" spans="9:16">
      <c r="I8849" s="213"/>
      <c r="J8849" s="213"/>
      <c r="L8849" s="272">
        <f t="shared" si="627"/>
        <v>1900</v>
      </c>
      <c r="M8849" s="272">
        <f t="shared" si="628"/>
        <v>1</v>
      </c>
      <c r="O8849" s="61">
        <f t="shared" si="629"/>
        <v>1900</v>
      </c>
      <c r="P8849" s="61">
        <f t="shared" si="630"/>
        <v>1</v>
      </c>
    </row>
    <row r="8850" spans="9:16">
      <c r="I8850" s="213"/>
      <c r="J8850" s="213"/>
      <c r="L8850" s="272">
        <f t="shared" si="627"/>
        <v>1900</v>
      </c>
      <c r="M8850" s="272">
        <f t="shared" si="628"/>
        <v>1</v>
      </c>
      <c r="O8850" s="61">
        <f t="shared" si="629"/>
        <v>1900</v>
      </c>
      <c r="P8850" s="61">
        <f t="shared" si="630"/>
        <v>1</v>
      </c>
    </row>
    <row r="8851" spans="9:16">
      <c r="I8851" s="213"/>
      <c r="J8851" s="213"/>
      <c r="L8851" s="272">
        <f t="shared" si="627"/>
        <v>1900</v>
      </c>
      <c r="M8851" s="272">
        <f t="shared" si="628"/>
        <v>1</v>
      </c>
      <c r="O8851" s="61">
        <f t="shared" si="629"/>
        <v>1900</v>
      </c>
      <c r="P8851" s="61">
        <f t="shared" si="630"/>
        <v>1</v>
      </c>
    </row>
    <row r="8852" spans="9:16">
      <c r="I8852" s="213"/>
      <c r="J8852" s="213"/>
      <c r="L8852" s="272">
        <f t="shared" si="627"/>
        <v>1900</v>
      </c>
      <c r="M8852" s="272">
        <f t="shared" si="628"/>
        <v>1</v>
      </c>
      <c r="O8852" s="61">
        <f t="shared" si="629"/>
        <v>1900</v>
      </c>
      <c r="P8852" s="61">
        <f t="shared" si="630"/>
        <v>1</v>
      </c>
    </row>
    <row r="8853" spans="9:16">
      <c r="I8853" s="213"/>
      <c r="J8853" s="213"/>
      <c r="L8853" s="272">
        <f t="shared" si="627"/>
        <v>1900</v>
      </c>
      <c r="M8853" s="272">
        <f t="shared" si="628"/>
        <v>1</v>
      </c>
      <c r="O8853" s="61">
        <f t="shared" si="629"/>
        <v>1900</v>
      </c>
      <c r="P8853" s="61">
        <f t="shared" si="630"/>
        <v>1</v>
      </c>
    </row>
    <row r="8854" spans="9:16">
      <c r="I8854" s="213"/>
      <c r="J8854" s="213"/>
      <c r="L8854" s="272">
        <f t="shared" si="627"/>
        <v>1900</v>
      </c>
      <c r="M8854" s="272">
        <f t="shared" si="628"/>
        <v>1</v>
      </c>
      <c r="O8854" s="61">
        <f t="shared" si="629"/>
        <v>1900</v>
      </c>
      <c r="P8854" s="61">
        <f t="shared" si="630"/>
        <v>1</v>
      </c>
    </row>
    <row r="8855" spans="9:16">
      <c r="I8855" s="213"/>
      <c r="J8855" s="213"/>
      <c r="L8855" s="272">
        <f t="shared" si="627"/>
        <v>1900</v>
      </c>
      <c r="M8855" s="272">
        <f t="shared" si="628"/>
        <v>1</v>
      </c>
      <c r="O8855" s="61">
        <f t="shared" si="629"/>
        <v>1900</v>
      </c>
      <c r="P8855" s="61">
        <f t="shared" si="630"/>
        <v>1</v>
      </c>
    </row>
    <row r="8856" spans="9:16">
      <c r="I8856" s="213"/>
      <c r="J8856" s="213"/>
      <c r="L8856" s="272">
        <f t="shared" si="627"/>
        <v>1900</v>
      </c>
      <c r="M8856" s="272">
        <f t="shared" si="628"/>
        <v>1</v>
      </c>
      <c r="O8856" s="61">
        <f t="shared" si="629"/>
        <v>1900</v>
      </c>
      <c r="P8856" s="61">
        <f t="shared" si="630"/>
        <v>1</v>
      </c>
    </row>
    <row r="8857" spans="9:16">
      <c r="I8857" s="213"/>
      <c r="J8857" s="213"/>
      <c r="L8857" s="272">
        <f t="shared" si="627"/>
        <v>1900</v>
      </c>
      <c r="M8857" s="272">
        <f t="shared" si="628"/>
        <v>1</v>
      </c>
      <c r="O8857" s="61">
        <f t="shared" si="629"/>
        <v>1900</v>
      </c>
      <c r="P8857" s="61">
        <f t="shared" si="630"/>
        <v>1</v>
      </c>
    </row>
    <row r="8858" spans="9:16">
      <c r="I8858" s="213"/>
      <c r="J8858" s="213"/>
      <c r="L8858" s="272">
        <f t="shared" si="627"/>
        <v>1900</v>
      </c>
      <c r="M8858" s="272">
        <f t="shared" si="628"/>
        <v>1</v>
      </c>
      <c r="O8858" s="61">
        <f t="shared" si="629"/>
        <v>1900</v>
      </c>
      <c r="P8858" s="61">
        <f t="shared" si="630"/>
        <v>1</v>
      </c>
    </row>
    <row r="8859" spans="9:16">
      <c r="I8859" s="213"/>
      <c r="J8859" s="213"/>
      <c r="L8859" s="272">
        <f t="shared" si="627"/>
        <v>1900</v>
      </c>
      <c r="M8859" s="272">
        <f t="shared" si="628"/>
        <v>1</v>
      </c>
      <c r="O8859" s="61">
        <f t="shared" si="629"/>
        <v>1900</v>
      </c>
      <c r="P8859" s="61">
        <f t="shared" si="630"/>
        <v>1</v>
      </c>
    </row>
    <row r="8860" spans="9:16">
      <c r="I8860" s="213"/>
      <c r="J8860" s="213"/>
      <c r="L8860" s="272">
        <f t="shared" si="627"/>
        <v>1900</v>
      </c>
      <c r="M8860" s="272">
        <f t="shared" si="628"/>
        <v>1</v>
      </c>
      <c r="O8860" s="61">
        <f t="shared" si="629"/>
        <v>1900</v>
      </c>
      <c r="P8860" s="61">
        <f t="shared" si="630"/>
        <v>1</v>
      </c>
    </row>
    <row r="8861" spans="9:16">
      <c r="I8861" s="213"/>
      <c r="J8861" s="213"/>
      <c r="L8861" s="272">
        <f t="shared" si="627"/>
        <v>1900</v>
      </c>
      <c r="M8861" s="272">
        <f t="shared" si="628"/>
        <v>1</v>
      </c>
      <c r="O8861" s="61">
        <f t="shared" si="629"/>
        <v>1900</v>
      </c>
      <c r="P8861" s="61">
        <f t="shared" si="630"/>
        <v>1</v>
      </c>
    </row>
    <row r="8862" spans="9:16">
      <c r="I8862" s="213"/>
      <c r="J8862" s="213"/>
      <c r="L8862" s="272">
        <f t="shared" si="627"/>
        <v>1900</v>
      </c>
      <c r="M8862" s="272">
        <f t="shared" si="628"/>
        <v>1</v>
      </c>
      <c r="O8862" s="61">
        <f t="shared" si="629"/>
        <v>1900</v>
      </c>
      <c r="P8862" s="61">
        <f t="shared" si="630"/>
        <v>1</v>
      </c>
    </row>
    <row r="8863" spans="9:16">
      <c r="I8863" s="213"/>
      <c r="J8863" s="213"/>
      <c r="L8863" s="272">
        <f t="shared" si="627"/>
        <v>1900</v>
      </c>
      <c r="M8863" s="272">
        <f t="shared" si="628"/>
        <v>1</v>
      </c>
      <c r="O8863" s="61">
        <f t="shared" si="629"/>
        <v>1900</v>
      </c>
      <c r="P8863" s="61">
        <f t="shared" si="630"/>
        <v>1</v>
      </c>
    </row>
    <row r="8864" spans="9:16">
      <c r="I8864" s="213"/>
      <c r="J8864" s="213"/>
      <c r="L8864" s="272">
        <f t="shared" si="627"/>
        <v>1900</v>
      </c>
      <c r="M8864" s="272">
        <f t="shared" si="628"/>
        <v>1</v>
      </c>
      <c r="O8864" s="61">
        <f t="shared" si="629"/>
        <v>1900</v>
      </c>
      <c r="P8864" s="61">
        <f t="shared" si="630"/>
        <v>1</v>
      </c>
    </row>
    <row r="8865" spans="9:16">
      <c r="I8865" s="213"/>
      <c r="J8865" s="213"/>
      <c r="L8865" s="272">
        <f t="shared" si="627"/>
        <v>1900</v>
      </c>
      <c r="M8865" s="272">
        <f t="shared" si="628"/>
        <v>1</v>
      </c>
      <c r="O8865" s="61">
        <f t="shared" si="629"/>
        <v>1900</v>
      </c>
      <c r="P8865" s="61">
        <f t="shared" si="630"/>
        <v>1</v>
      </c>
    </row>
    <row r="8866" spans="9:16">
      <c r="I8866" s="213"/>
      <c r="J8866" s="213"/>
      <c r="L8866" s="272">
        <f t="shared" si="627"/>
        <v>1900</v>
      </c>
      <c r="M8866" s="272">
        <f t="shared" si="628"/>
        <v>1</v>
      </c>
      <c r="O8866" s="61">
        <f t="shared" si="629"/>
        <v>1900</v>
      </c>
      <c r="P8866" s="61">
        <f t="shared" si="630"/>
        <v>1</v>
      </c>
    </row>
    <row r="8867" spans="9:16">
      <c r="I8867" s="213"/>
      <c r="J8867" s="213"/>
      <c r="L8867" s="272">
        <f t="shared" si="627"/>
        <v>1900</v>
      </c>
      <c r="M8867" s="272">
        <f t="shared" si="628"/>
        <v>1</v>
      </c>
      <c r="O8867" s="61">
        <f t="shared" si="629"/>
        <v>1900</v>
      </c>
      <c r="P8867" s="61">
        <f t="shared" si="630"/>
        <v>1</v>
      </c>
    </row>
    <row r="8868" spans="9:16">
      <c r="I8868" s="213"/>
      <c r="J8868" s="213"/>
      <c r="L8868" s="272">
        <f t="shared" si="627"/>
        <v>1900</v>
      </c>
      <c r="M8868" s="272">
        <f t="shared" si="628"/>
        <v>1</v>
      </c>
      <c r="O8868" s="61">
        <f t="shared" si="629"/>
        <v>1900</v>
      </c>
      <c r="P8868" s="61">
        <f t="shared" si="630"/>
        <v>1</v>
      </c>
    </row>
    <row r="8869" spans="9:16">
      <c r="I8869" s="213"/>
      <c r="J8869" s="213"/>
      <c r="L8869" s="272">
        <f t="shared" si="627"/>
        <v>1900</v>
      </c>
      <c r="M8869" s="272">
        <f t="shared" si="628"/>
        <v>1</v>
      </c>
      <c r="O8869" s="61">
        <f t="shared" si="629"/>
        <v>1900</v>
      </c>
      <c r="P8869" s="61">
        <f t="shared" si="630"/>
        <v>1</v>
      </c>
    </row>
    <row r="8870" spans="9:16">
      <c r="I8870" s="213"/>
      <c r="J8870" s="213"/>
      <c r="L8870" s="272">
        <f t="shared" si="627"/>
        <v>1900</v>
      </c>
      <c r="M8870" s="272">
        <f t="shared" si="628"/>
        <v>1</v>
      </c>
      <c r="O8870" s="61">
        <f t="shared" si="629"/>
        <v>1900</v>
      </c>
      <c r="P8870" s="61">
        <f t="shared" si="630"/>
        <v>1</v>
      </c>
    </row>
    <row r="8871" spans="9:16">
      <c r="I8871" s="213"/>
      <c r="J8871" s="213"/>
      <c r="L8871" s="272">
        <f t="shared" si="627"/>
        <v>1900</v>
      </c>
      <c r="M8871" s="272">
        <f t="shared" si="628"/>
        <v>1</v>
      </c>
      <c r="O8871" s="61">
        <f t="shared" si="629"/>
        <v>1900</v>
      </c>
      <c r="P8871" s="61">
        <f t="shared" si="630"/>
        <v>1</v>
      </c>
    </row>
    <row r="8872" spans="9:16">
      <c r="I8872" s="213"/>
      <c r="J8872" s="213"/>
      <c r="L8872" s="272">
        <f t="shared" si="627"/>
        <v>1900</v>
      </c>
      <c r="M8872" s="272">
        <f t="shared" si="628"/>
        <v>1</v>
      </c>
      <c r="O8872" s="61">
        <f t="shared" si="629"/>
        <v>1900</v>
      </c>
      <c r="P8872" s="61">
        <f t="shared" si="630"/>
        <v>1</v>
      </c>
    </row>
    <row r="8873" spans="9:16">
      <c r="I8873" s="213"/>
      <c r="J8873" s="213"/>
      <c r="L8873" s="272">
        <f t="shared" si="627"/>
        <v>1900</v>
      </c>
      <c r="M8873" s="272">
        <f t="shared" si="628"/>
        <v>1</v>
      </c>
      <c r="O8873" s="61">
        <f t="shared" si="629"/>
        <v>1900</v>
      </c>
      <c r="P8873" s="61">
        <f t="shared" si="630"/>
        <v>1</v>
      </c>
    </row>
    <row r="8874" spans="9:16">
      <c r="I8874" s="213"/>
      <c r="J8874" s="213"/>
      <c r="L8874" s="272">
        <f t="shared" si="627"/>
        <v>1900</v>
      </c>
      <c r="M8874" s="272">
        <f t="shared" si="628"/>
        <v>1</v>
      </c>
      <c r="O8874" s="61">
        <f t="shared" si="629"/>
        <v>1900</v>
      </c>
      <c r="P8874" s="61">
        <f t="shared" si="630"/>
        <v>1</v>
      </c>
    </row>
    <row r="8875" spans="9:16">
      <c r="I8875" s="213"/>
      <c r="J8875" s="213"/>
      <c r="L8875" s="272">
        <f t="shared" si="627"/>
        <v>1900</v>
      </c>
      <c r="M8875" s="272">
        <f t="shared" si="628"/>
        <v>1</v>
      </c>
      <c r="O8875" s="61">
        <f t="shared" si="629"/>
        <v>1900</v>
      </c>
      <c r="P8875" s="61">
        <f t="shared" si="630"/>
        <v>1</v>
      </c>
    </row>
    <row r="8876" spans="9:16">
      <c r="I8876" s="213"/>
      <c r="J8876" s="213"/>
      <c r="L8876" s="272">
        <f t="shared" si="627"/>
        <v>1900</v>
      </c>
      <c r="M8876" s="272">
        <f t="shared" si="628"/>
        <v>1</v>
      </c>
      <c r="O8876" s="61">
        <f t="shared" si="629"/>
        <v>1900</v>
      </c>
      <c r="P8876" s="61">
        <f t="shared" si="630"/>
        <v>1</v>
      </c>
    </row>
    <row r="8877" spans="9:16">
      <c r="I8877" s="213"/>
      <c r="J8877" s="213"/>
      <c r="L8877" s="272">
        <f t="shared" si="627"/>
        <v>1900</v>
      </c>
      <c r="M8877" s="272">
        <f t="shared" si="628"/>
        <v>1</v>
      </c>
      <c r="O8877" s="61">
        <f t="shared" si="629"/>
        <v>1900</v>
      </c>
      <c r="P8877" s="61">
        <f t="shared" si="630"/>
        <v>1</v>
      </c>
    </row>
    <row r="8878" spans="9:16">
      <c r="I8878" s="213"/>
      <c r="J8878" s="213"/>
      <c r="L8878" s="272">
        <f t="shared" si="627"/>
        <v>1900</v>
      </c>
      <c r="M8878" s="272">
        <f t="shared" si="628"/>
        <v>1</v>
      </c>
      <c r="O8878" s="61">
        <f t="shared" si="629"/>
        <v>1900</v>
      </c>
      <c r="P8878" s="61">
        <f t="shared" si="630"/>
        <v>1</v>
      </c>
    </row>
    <row r="8879" spans="9:16">
      <c r="I8879" s="213"/>
      <c r="J8879" s="213"/>
      <c r="L8879" s="272">
        <f t="shared" si="627"/>
        <v>1900</v>
      </c>
      <c r="M8879" s="272">
        <f t="shared" si="628"/>
        <v>1</v>
      </c>
      <c r="O8879" s="61">
        <f t="shared" si="629"/>
        <v>1900</v>
      </c>
      <c r="P8879" s="61">
        <f t="shared" si="630"/>
        <v>1</v>
      </c>
    </row>
    <row r="8880" spans="9:16">
      <c r="I8880" s="213"/>
      <c r="J8880" s="213"/>
      <c r="L8880" s="272">
        <f t="shared" si="627"/>
        <v>1900</v>
      </c>
      <c r="M8880" s="272">
        <f t="shared" si="628"/>
        <v>1</v>
      </c>
      <c r="O8880" s="61">
        <f t="shared" si="629"/>
        <v>1900</v>
      </c>
      <c r="P8880" s="61">
        <f t="shared" si="630"/>
        <v>1</v>
      </c>
    </row>
    <row r="8881" spans="9:16">
      <c r="I8881" s="213"/>
      <c r="J8881" s="213"/>
      <c r="L8881" s="272">
        <f t="shared" si="627"/>
        <v>1900</v>
      </c>
      <c r="M8881" s="272">
        <f t="shared" si="628"/>
        <v>1</v>
      </c>
      <c r="O8881" s="61">
        <f t="shared" si="629"/>
        <v>1900</v>
      </c>
      <c r="P8881" s="61">
        <f t="shared" si="630"/>
        <v>1</v>
      </c>
    </row>
    <row r="8882" spans="9:16">
      <c r="I8882" s="213"/>
      <c r="J8882" s="213"/>
      <c r="L8882" s="272">
        <f t="shared" si="627"/>
        <v>1900</v>
      </c>
      <c r="M8882" s="272">
        <f t="shared" si="628"/>
        <v>1</v>
      </c>
      <c r="O8882" s="61">
        <f t="shared" si="629"/>
        <v>1900</v>
      </c>
      <c r="P8882" s="61">
        <f t="shared" si="630"/>
        <v>1</v>
      </c>
    </row>
    <row r="8883" spans="9:16">
      <c r="I8883" s="213"/>
      <c r="J8883" s="213"/>
      <c r="L8883" s="272">
        <f t="shared" si="627"/>
        <v>1900</v>
      </c>
      <c r="M8883" s="272">
        <f t="shared" si="628"/>
        <v>1</v>
      </c>
      <c r="O8883" s="61">
        <f t="shared" si="629"/>
        <v>1900</v>
      </c>
      <c r="P8883" s="61">
        <f t="shared" si="630"/>
        <v>1</v>
      </c>
    </row>
    <row r="8884" spans="9:16">
      <c r="I8884" s="213"/>
      <c r="J8884" s="213"/>
      <c r="L8884" s="272">
        <f t="shared" si="627"/>
        <v>1900</v>
      </c>
      <c r="M8884" s="272">
        <f t="shared" si="628"/>
        <v>1</v>
      </c>
      <c r="O8884" s="61">
        <f t="shared" si="629"/>
        <v>1900</v>
      </c>
      <c r="P8884" s="61">
        <f t="shared" si="630"/>
        <v>1</v>
      </c>
    </row>
    <row r="8885" spans="9:16">
      <c r="I8885" s="213"/>
      <c r="J8885" s="213"/>
      <c r="L8885" s="272">
        <f t="shared" si="627"/>
        <v>1900</v>
      </c>
      <c r="M8885" s="272">
        <f t="shared" si="628"/>
        <v>1</v>
      </c>
      <c r="O8885" s="61">
        <f t="shared" si="629"/>
        <v>1900</v>
      </c>
      <c r="P8885" s="61">
        <f t="shared" si="630"/>
        <v>1</v>
      </c>
    </row>
    <row r="8886" spans="9:16">
      <c r="I8886" s="213"/>
      <c r="J8886" s="213"/>
      <c r="L8886" s="272">
        <f t="shared" si="627"/>
        <v>1900</v>
      </c>
      <c r="M8886" s="272">
        <f t="shared" si="628"/>
        <v>1</v>
      </c>
      <c r="O8886" s="61">
        <f t="shared" si="629"/>
        <v>1900</v>
      </c>
      <c r="P8886" s="61">
        <f t="shared" si="630"/>
        <v>1</v>
      </c>
    </row>
    <row r="8887" spans="9:16">
      <c r="I8887" s="213"/>
      <c r="J8887" s="213"/>
      <c r="L8887" s="272">
        <f t="shared" si="627"/>
        <v>1900</v>
      </c>
      <c r="M8887" s="272">
        <f t="shared" si="628"/>
        <v>1</v>
      </c>
      <c r="O8887" s="61">
        <f t="shared" si="629"/>
        <v>1900</v>
      </c>
      <c r="P8887" s="61">
        <f t="shared" si="630"/>
        <v>1</v>
      </c>
    </row>
    <row r="8888" spans="9:16">
      <c r="I8888" s="213"/>
      <c r="J8888" s="213"/>
      <c r="L8888" s="272">
        <f t="shared" si="627"/>
        <v>1900</v>
      </c>
      <c r="M8888" s="272">
        <f t="shared" si="628"/>
        <v>1</v>
      </c>
      <c r="O8888" s="61">
        <f t="shared" si="629"/>
        <v>1900</v>
      </c>
      <c r="P8888" s="61">
        <f t="shared" si="630"/>
        <v>1</v>
      </c>
    </row>
    <row r="8889" spans="9:16">
      <c r="I8889" s="213"/>
      <c r="J8889" s="213"/>
      <c r="L8889" s="272">
        <f t="shared" si="627"/>
        <v>1900</v>
      </c>
      <c r="M8889" s="272">
        <f t="shared" si="628"/>
        <v>1</v>
      </c>
      <c r="O8889" s="61">
        <f t="shared" si="629"/>
        <v>1900</v>
      </c>
      <c r="P8889" s="61">
        <f t="shared" si="630"/>
        <v>1</v>
      </c>
    </row>
    <row r="8890" spans="9:16">
      <c r="I8890" s="213"/>
      <c r="J8890" s="213"/>
      <c r="L8890" s="272">
        <f t="shared" si="627"/>
        <v>1900</v>
      </c>
      <c r="M8890" s="272">
        <f t="shared" si="628"/>
        <v>1</v>
      </c>
      <c r="O8890" s="61">
        <f t="shared" si="629"/>
        <v>1900</v>
      </c>
      <c r="P8890" s="61">
        <f t="shared" si="630"/>
        <v>1</v>
      </c>
    </row>
    <row r="8891" spans="9:16">
      <c r="I8891" s="213"/>
      <c r="J8891" s="213"/>
      <c r="L8891" s="272">
        <f t="shared" si="627"/>
        <v>1900</v>
      </c>
      <c r="M8891" s="272">
        <f t="shared" si="628"/>
        <v>1</v>
      </c>
      <c r="O8891" s="61">
        <f t="shared" si="629"/>
        <v>1900</v>
      </c>
      <c r="P8891" s="61">
        <f t="shared" si="630"/>
        <v>1</v>
      </c>
    </row>
    <row r="8892" spans="9:16">
      <c r="I8892" s="213"/>
      <c r="J8892" s="213"/>
      <c r="L8892" s="272">
        <f t="shared" si="627"/>
        <v>1900</v>
      </c>
      <c r="M8892" s="272">
        <f t="shared" si="628"/>
        <v>1</v>
      </c>
      <c r="O8892" s="61">
        <f t="shared" si="629"/>
        <v>1900</v>
      </c>
      <c r="P8892" s="61">
        <f t="shared" si="630"/>
        <v>1</v>
      </c>
    </row>
    <row r="8893" spans="9:16">
      <c r="I8893" s="213"/>
      <c r="J8893" s="213"/>
      <c r="L8893" s="272">
        <f t="shared" si="627"/>
        <v>1900</v>
      </c>
      <c r="M8893" s="272">
        <f t="shared" si="628"/>
        <v>1</v>
      </c>
      <c r="O8893" s="61">
        <f t="shared" si="629"/>
        <v>1900</v>
      </c>
      <c r="P8893" s="61">
        <f t="shared" si="630"/>
        <v>1</v>
      </c>
    </row>
    <row r="8894" spans="9:16">
      <c r="I8894" s="213"/>
      <c r="J8894" s="213"/>
      <c r="L8894" s="272">
        <f t="shared" si="627"/>
        <v>1900</v>
      </c>
      <c r="M8894" s="272">
        <f t="shared" si="628"/>
        <v>1</v>
      </c>
      <c r="O8894" s="61">
        <f t="shared" si="629"/>
        <v>1900</v>
      </c>
      <c r="P8894" s="61">
        <f t="shared" si="630"/>
        <v>1</v>
      </c>
    </row>
    <row r="8895" spans="9:16">
      <c r="I8895" s="213"/>
      <c r="J8895" s="213"/>
      <c r="L8895" s="272">
        <f t="shared" si="627"/>
        <v>1900</v>
      </c>
      <c r="M8895" s="272">
        <f t="shared" si="628"/>
        <v>1</v>
      </c>
      <c r="O8895" s="61">
        <f t="shared" si="629"/>
        <v>1900</v>
      </c>
      <c r="P8895" s="61">
        <f t="shared" si="630"/>
        <v>1</v>
      </c>
    </row>
    <row r="8896" spans="9:16">
      <c r="I8896" s="213"/>
      <c r="J8896" s="213"/>
      <c r="L8896" s="272">
        <f t="shared" si="627"/>
        <v>1900</v>
      </c>
      <c r="M8896" s="272">
        <f t="shared" si="628"/>
        <v>1</v>
      </c>
      <c r="O8896" s="61">
        <f t="shared" si="629"/>
        <v>1900</v>
      </c>
      <c r="P8896" s="61">
        <f t="shared" si="630"/>
        <v>1</v>
      </c>
    </row>
    <row r="8897" spans="9:16">
      <c r="I8897" s="213"/>
      <c r="J8897" s="213"/>
      <c r="L8897" s="272">
        <f t="shared" si="627"/>
        <v>1900</v>
      </c>
      <c r="M8897" s="272">
        <f t="shared" si="628"/>
        <v>1</v>
      </c>
      <c r="O8897" s="61">
        <f t="shared" si="629"/>
        <v>1900</v>
      </c>
      <c r="P8897" s="61">
        <f t="shared" si="630"/>
        <v>1</v>
      </c>
    </row>
    <row r="8898" spans="9:16">
      <c r="I8898" s="213"/>
      <c r="J8898" s="213"/>
      <c r="L8898" s="272">
        <f t="shared" si="627"/>
        <v>1900</v>
      </c>
      <c r="M8898" s="272">
        <f t="shared" si="628"/>
        <v>1</v>
      </c>
      <c r="O8898" s="61">
        <f t="shared" si="629"/>
        <v>1900</v>
      </c>
      <c r="P8898" s="61">
        <f t="shared" si="630"/>
        <v>1</v>
      </c>
    </row>
    <row r="8899" spans="9:16">
      <c r="I8899" s="213"/>
      <c r="J8899" s="213"/>
      <c r="L8899" s="272">
        <f t="shared" si="627"/>
        <v>1900</v>
      </c>
      <c r="M8899" s="272">
        <f t="shared" si="628"/>
        <v>1</v>
      </c>
      <c r="O8899" s="61">
        <f t="shared" si="629"/>
        <v>1900</v>
      </c>
      <c r="P8899" s="61">
        <f t="shared" si="630"/>
        <v>1</v>
      </c>
    </row>
    <row r="8900" spans="9:16">
      <c r="I8900" s="213"/>
      <c r="J8900" s="213"/>
      <c r="L8900" s="272">
        <f t="shared" si="627"/>
        <v>1900</v>
      </c>
      <c r="M8900" s="272">
        <f t="shared" si="628"/>
        <v>1</v>
      </c>
      <c r="O8900" s="61">
        <f t="shared" si="629"/>
        <v>1900</v>
      </c>
      <c r="P8900" s="61">
        <f t="shared" si="630"/>
        <v>1</v>
      </c>
    </row>
    <row r="8901" spans="9:16">
      <c r="I8901" s="213"/>
      <c r="J8901" s="213"/>
      <c r="L8901" s="272">
        <f t="shared" si="627"/>
        <v>1900</v>
      </c>
      <c r="M8901" s="272">
        <f t="shared" si="628"/>
        <v>1</v>
      </c>
      <c r="O8901" s="61">
        <f t="shared" si="629"/>
        <v>1900</v>
      </c>
      <c r="P8901" s="61">
        <f t="shared" si="630"/>
        <v>1</v>
      </c>
    </row>
    <row r="8902" spans="9:16">
      <c r="I8902" s="213"/>
      <c r="J8902" s="213"/>
      <c r="L8902" s="272">
        <f t="shared" si="627"/>
        <v>1900</v>
      </c>
      <c r="M8902" s="272">
        <f t="shared" si="628"/>
        <v>1</v>
      </c>
      <c r="O8902" s="61">
        <f t="shared" si="629"/>
        <v>1900</v>
      </c>
      <c r="P8902" s="61">
        <f t="shared" si="630"/>
        <v>1</v>
      </c>
    </row>
    <row r="8903" spans="9:16">
      <c r="I8903" s="213"/>
      <c r="J8903" s="213"/>
      <c r="L8903" s="272">
        <f t="shared" si="627"/>
        <v>1900</v>
      </c>
      <c r="M8903" s="272">
        <f t="shared" si="628"/>
        <v>1</v>
      </c>
      <c r="O8903" s="61">
        <f t="shared" si="629"/>
        <v>1900</v>
      </c>
      <c r="P8903" s="61">
        <f t="shared" si="630"/>
        <v>1</v>
      </c>
    </row>
    <row r="8904" spans="9:16">
      <c r="I8904" s="213"/>
      <c r="J8904" s="213"/>
      <c r="L8904" s="272">
        <f t="shared" si="627"/>
        <v>1900</v>
      </c>
      <c r="M8904" s="272">
        <f t="shared" si="628"/>
        <v>1</v>
      </c>
      <c r="O8904" s="61">
        <f t="shared" si="629"/>
        <v>1900</v>
      </c>
      <c r="P8904" s="61">
        <f t="shared" si="630"/>
        <v>1</v>
      </c>
    </row>
    <row r="8905" spans="9:16">
      <c r="I8905" s="213"/>
      <c r="J8905" s="213"/>
      <c r="L8905" s="272">
        <f t="shared" si="627"/>
        <v>1900</v>
      </c>
      <c r="M8905" s="272">
        <f t="shared" si="628"/>
        <v>1</v>
      </c>
      <c r="O8905" s="61">
        <f t="shared" si="629"/>
        <v>1900</v>
      </c>
      <c r="P8905" s="61">
        <f t="shared" si="630"/>
        <v>1</v>
      </c>
    </row>
    <row r="8906" spans="9:16">
      <c r="I8906" s="213"/>
      <c r="J8906" s="213"/>
      <c r="L8906" s="272">
        <f t="shared" si="627"/>
        <v>1900</v>
      </c>
      <c r="M8906" s="272">
        <f t="shared" si="628"/>
        <v>1</v>
      </c>
      <c r="O8906" s="61">
        <f t="shared" si="629"/>
        <v>1900</v>
      </c>
      <c r="P8906" s="61">
        <f t="shared" si="630"/>
        <v>1</v>
      </c>
    </row>
    <row r="8907" spans="9:16">
      <c r="I8907" s="213"/>
      <c r="J8907" s="213"/>
      <c r="L8907" s="272">
        <f t="shared" si="627"/>
        <v>1900</v>
      </c>
      <c r="M8907" s="272">
        <f t="shared" si="628"/>
        <v>1</v>
      </c>
      <c r="O8907" s="61">
        <f t="shared" si="629"/>
        <v>1900</v>
      </c>
      <c r="P8907" s="61">
        <f t="shared" si="630"/>
        <v>1</v>
      </c>
    </row>
    <row r="8908" spans="9:16">
      <c r="I8908" s="213"/>
      <c r="J8908" s="213"/>
      <c r="L8908" s="272">
        <f t="shared" si="627"/>
        <v>1900</v>
      </c>
      <c r="M8908" s="272">
        <f t="shared" si="628"/>
        <v>1</v>
      </c>
      <c r="O8908" s="61">
        <f t="shared" si="629"/>
        <v>1900</v>
      </c>
      <c r="P8908" s="61">
        <f t="shared" si="630"/>
        <v>1</v>
      </c>
    </row>
    <row r="8909" spans="9:16">
      <c r="I8909" s="213"/>
      <c r="J8909" s="213"/>
      <c r="L8909" s="272">
        <f t="shared" si="627"/>
        <v>1900</v>
      </c>
      <c r="M8909" s="272">
        <f t="shared" si="628"/>
        <v>1</v>
      </c>
      <c r="O8909" s="61">
        <f t="shared" si="629"/>
        <v>1900</v>
      </c>
      <c r="P8909" s="61">
        <f t="shared" si="630"/>
        <v>1</v>
      </c>
    </row>
    <row r="8910" spans="9:16">
      <c r="I8910" s="213"/>
      <c r="J8910" s="213"/>
      <c r="L8910" s="272">
        <f t="shared" si="627"/>
        <v>1900</v>
      </c>
      <c r="M8910" s="272">
        <f t="shared" si="628"/>
        <v>1</v>
      </c>
      <c r="O8910" s="61">
        <f t="shared" si="629"/>
        <v>1900</v>
      </c>
      <c r="P8910" s="61">
        <f t="shared" si="630"/>
        <v>1</v>
      </c>
    </row>
    <row r="8911" spans="9:16">
      <c r="I8911" s="213"/>
      <c r="J8911" s="213"/>
      <c r="L8911" s="272">
        <f t="shared" si="627"/>
        <v>1900</v>
      </c>
      <c r="M8911" s="272">
        <f t="shared" si="628"/>
        <v>1</v>
      </c>
      <c r="O8911" s="61">
        <f t="shared" si="629"/>
        <v>1900</v>
      </c>
      <c r="P8911" s="61">
        <f t="shared" si="630"/>
        <v>1</v>
      </c>
    </row>
    <row r="8912" spans="9:16">
      <c r="I8912" s="213"/>
      <c r="J8912" s="213"/>
      <c r="L8912" s="272">
        <f t="shared" ref="L8912:L8975" si="631">YEAR(B8912)</f>
        <v>1900</v>
      </c>
      <c r="M8912" s="272">
        <f t="shared" ref="M8912:M8975" si="632">MONTH(B8912)</f>
        <v>1</v>
      </c>
      <c r="O8912" s="61">
        <f t="shared" ref="O8912:O8975" si="633">YEAR(B8912)</f>
        <v>1900</v>
      </c>
      <c r="P8912" s="61">
        <f t="shared" ref="P8912:P8975" si="634">MONTH(B8912)</f>
        <v>1</v>
      </c>
    </row>
    <row r="8913" spans="9:16">
      <c r="I8913" s="213"/>
      <c r="J8913" s="213"/>
      <c r="L8913" s="272">
        <f t="shared" si="631"/>
        <v>1900</v>
      </c>
      <c r="M8913" s="272">
        <f t="shared" si="632"/>
        <v>1</v>
      </c>
      <c r="O8913" s="61">
        <f t="shared" si="633"/>
        <v>1900</v>
      </c>
      <c r="P8913" s="61">
        <f t="shared" si="634"/>
        <v>1</v>
      </c>
    </row>
    <row r="8914" spans="9:16">
      <c r="I8914" s="213"/>
      <c r="J8914" s="213"/>
      <c r="L8914" s="272">
        <f t="shared" si="631"/>
        <v>1900</v>
      </c>
      <c r="M8914" s="272">
        <f t="shared" si="632"/>
        <v>1</v>
      </c>
      <c r="O8914" s="61">
        <f t="shared" si="633"/>
        <v>1900</v>
      </c>
      <c r="P8914" s="61">
        <f t="shared" si="634"/>
        <v>1</v>
      </c>
    </row>
    <row r="8915" spans="9:16">
      <c r="I8915" s="213"/>
      <c r="J8915" s="213"/>
      <c r="L8915" s="272">
        <f t="shared" si="631"/>
        <v>1900</v>
      </c>
      <c r="M8915" s="272">
        <f t="shared" si="632"/>
        <v>1</v>
      </c>
      <c r="O8915" s="61">
        <f t="shared" si="633"/>
        <v>1900</v>
      </c>
      <c r="P8915" s="61">
        <f t="shared" si="634"/>
        <v>1</v>
      </c>
    </row>
    <row r="8916" spans="9:16">
      <c r="I8916" s="213"/>
      <c r="J8916" s="213"/>
      <c r="L8916" s="272">
        <f t="shared" si="631"/>
        <v>1900</v>
      </c>
      <c r="M8916" s="272">
        <f t="shared" si="632"/>
        <v>1</v>
      </c>
      <c r="O8916" s="61">
        <f t="shared" si="633"/>
        <v>1900</v>
      </c>
      <c r="P8916" s="61">
        <f t="shared" si="634"/>
        <v>1</v>
      </c>
    </row>
    <row r="8917" spans="9:16">
      <c r="I8917" s="213"/>
      <c r="J8917" s="213"/>
      <c r="L8917" s="272">
        <f t="shared" si="631"/>
        <v>1900</v>
      </c>
      <c r="M8917" s="272">
        <f t="shared" si="632"/>
        <v>1</v>
      </c>
      <c r="O8917" s="61">
        <f t="shared" si="633"/>
        <v>1900</v>
      </c>
      <c r="P8917" s="61">
        <f t="shared" si="634"/>
        <v>1</v>
      </c>
    </row>
    <row r="8918" spans="9:16">
      <c r="I8918" s="213"/>
      <c r="J8918" s="213"/>
      <c r="L8918" s="272">
        <f t="shared" si="631"/>
        <v>1900</v>
      </c>
      <c r="M8918" s="272">
        <f t="shared" si="632"/>
        <v>1</v>
      </c>
      <c r="O8918" s="61">
        <f t="shared" si="633"/>
        <v>1900</v>
      </c>
      <c r="P8918" s="61">
        <f t="shared" si="634"/>
        <v>1</v>
      </c>
    </row>
    <row r="8919" spans="9:16">
      <c r="I8919" s="213"/>
      <c r="J8919" s="213"/>
      <c r="L8919" s="272">
        <f t="shared" si="631"/>
        <v>1900</v>
      </c>
      <c r="M8919" s="272">
        <f t="shared" si="632"/>
        <v>1</v>
      </c>
      <c r="O8919" s="61">
        <f t="shared" si="633"/>
        <v>1900</v>
      </c>
      <c r="P8919" s="61">
        <f t="shared" si="634"/>
        <v>1</v>
      </c>
    </row>
    <row r="8920" spans="9:16">
      <c r="I8920" s="213"/>
      <c r="J8920" s="213"/>
      <c r="L8920" s="272">
        <f t="shared" si="631"/>
        <v>1900</v>
      </c>
      <c r="M8920" s="272">
        <f t="shared" si="632"/>
        <v>1</v>
      </c>
      <c r="O8920" s="61">
        <f t="shared" si="633"/>
        <v>1900</v>
      </c>
      <c r="P8920" s="61">
        <f t="shared" si="634"/>
        <v>1</v>
      </c>
    </row>
    <row r="8921" spans="9:16">
      <c r="I8921" s="213"/>
      <c r="J8921" s="213"/>
      <c r="L8921" s="272">
        <f t="shared" si="631"/>
        <v>1900</v>
      </c>
      <c r="M8921" s="272">
        <f t="shared" si="632"/>
        <v>1</v>
      </c>
      <c r="O8921" s="61">
        <f t="shared" si="633"/>
        <v>1900</v>
      </c>
      <c r="P8921" s="61">
        <f t="shared" si="634"/>
        <v>1</v>
      </c>
    </row>
    <row r="8922" spans="9:16">
      <c r="I8922" s="213"/>
      <c r="J8922" s="213"/>
      <c r="L8922" s="272">
        <f t="shared" si="631"/>
        <v>1900</v>
      </c>
      <c r="M8922" s="272">
        <f t="shared" si="632"/>
        <v>1</v>
      </c>
      <c r="O8922" s="61">
        <f t="shared" si="633"/>
        <v>1900</v>
      </c>
      <c r="P8922" s="61">
        <f t="shared" si="634"/>
        <v>1</v>
      </c>
    </row>
    <row r="8923" spans="9:16">
      <c r="I8923" s="213"/>
      <c r="J8923" s="213"/>
      <c r="L8923" s="272">
        <f t="shared" si="631"/>
        <v>1900</v>
      </c>
      <c r="M8923" s="272">
        <f t="shared" si="632"/>
        <v>1</v>
      </c>
      <c r="O8923" s="61">
        <f t="shared" si="633"/>
        <v>1900</v>
      </c>
      <c r="P8923" s="61">
        <f t="shared" si="634"/>
        <v>1</v>
      </c>
    </row>
    <row r="8924" spans="9:16">
      <c r="I8924" s="213"/>
      <c r="J8924" s="213"/>
      <c r="L8924" s="272">
        <f t="shared" si="631"/>
        <v>1900</v>
      </c>
      <c r="M8924" s="272">
        <f t="shared" si="632"/>
        <v>1</v>
      </c>
      <c r="O8924" s="61">
        <f t="shared" si="633"/>
        <v>1900</v>
      </c>
      <c r="P8924" s="61">
        <f t="shared" si="634"/>
        <v>1</v>
      </c>
    </row>
    <row r="8925" spans="9:16">
      <c r="I8925" s="213"/>
      <c r="J8925" s="213"/>
      <c r="L8925" s="272">
        <f t="shared" si="631"/>
        <v>1900</v>
      </c>
      <c r="M8925" s="272">
        <f t="shared" si="632"/>
        <v>1</v>
      </c>
      <c r="O8925" s="61">
        <f t="shared" si="633"/>
        <v>1900</v>
      </c>
      <c r="P8925" s="61">
        <f t="shared" si="634"/>
        <v>1</v>
      </c>
    </row>
    <row r="8926" spans="9:16">
      <c r="I8926" s="213"/>
      <c r="J8926" s="213"/>
      <c r="L8926" s="272">
        <f t="shared" si="631"/>
        <v>1900</v>
      </c>
      <c r="M8926" s="272">
        <f t="shared" si="632"/>
        <v>1</v>
      </c>
      <c r="O8926" s="61">
        <f t="shared" si="633"/>
        <v>1900</v>
      </c>
      <c r="P8926" s="61">
        <f t="shared" si="634"/>
        <v>1</v>
      </c>
    </row>
    <row r="8927" spans="9:16">
      <c r="I8927" s="213"/>
      <c r="J8927" s="213"/>
      <c r="L8927" s="272">
        <f t="shared" si="631"/>
        <v>1900</v>
      </c>
      <c r="M8927" s="272">
        <f t="shared" si="632"/>
        <v>1</v>
      </c>
      <c r="O8927" s="61">
        <f t="shared" si="633"/>
        <v>1900</v>
      </c>
      <c r="P8927" s="61">
        <f t="shared" si="634"/>
        <v>1</v>
      </c>
    </row>
    <row r="8928" spans="9:16">
      <c r="I8928" s="213"/>
      <c r="J8928" s="213"/>
      <c r="L8928" s="272">
        <f t="shared" si="631"/>
        <v>1900</v>
      </c>
      <c r="M8928" s="272">
        <f t="shared" si="632"/>
        <v>1</v>
      </c>
      <c r="O8928" s="61">
        <f t="shared" si="633"/>
        <v>1900</v>
      </c>
      <c r="P8928" s="61">
        <f t="shared" si="634"/>
        <v>1</v>
      </c>
    </row>
    <row r="8929" spans="9:16">
      <c r="I8929" s="213"/>
      <c r="J8929" s="213"/>
      <c r="L8929" s="272">
        <f t="shared" si="631"/>
        <v>1900</v>
      </c>
      <c r="M8929" s="272">
        <f t="shared" si="632"/>
        <v>1</v>
      </c>
      <c r="O8929" s="61">
        <f t="shared" si="633"/>
        <v>1900</v>
      </c>
      <c r="P8929" s="61">
        <f t="shared" si="634"/>
        <v>1</v>
      </c>
    </row>
    <row r="8930" spans="9:16">
      <c r="I8930" s="213"/>
      <c r="J8930" s="213"/>
      <c r="L8930" s="272">
        <f t="shared" si="631"/>
        <v>1900</v>
      </c>
      <c r="M8930" s="272">
        <f t="shared" si="632"/>
        <v>1</v>
      </c>
      <c r="O8930" s="61">
        <f t="shared" si="633"/>
        <v>1900</v>
      </c>
      <c r="P8930" s="61">
        <f t="shared" si="634"/>
        <v>1</v>
      </c>
    </row>
    <row r="8931" spans="9:16">
      <c r="I8931" s="213"/>
      <c r="J8931" s="213"/>
      <c r="L8931" s="272">
        <f t="shared" si="631"/>
        <v>1900</v>
      </c>
      <c r="M8931" s="272">
        <f t="shared" si="632"/>
        <v>1</v>
      </c>
      <c r="O8931" s="61">
        <f t="shared" si="633"/>
        <v>1900</v>
      </c>
      <c r="P8931" s="61">
        <f t="shared" si="634"/>
        <v>1</v>
      </c>
    </row>
    <row r="8932" spans="9:16">
      <c r="I8932" s="213"/>
      <c r="J8932" s="213"/>
      <c r="L8932" s="272">
        <f t="shared" si="631"/>
        <v>1900</v>
      </c>
      <c r="M8932" s="272">
        <f t="shared" si="632"/>
        <v>1</v>
      </c>
      <c r="O8932" s="61">
        <f t="shared" si="633"/>
        <v>1900</v>
      </c>
      <c r="P8932" s="61">
        <f t="shared" si="634"/>
        <v>1</v>
      </c>
    </row>
    <row r="8933" spans="9:16">
      <c r="I8933" s="213"/>
      <c r="J8933" s="213"/>
      <c r="L8933" s="272">
        <f t="shared" si="631"/>
        <v>1900</v>
      </c>
      <c r="M8933" s="272">
        <f t="shared" si="632"/>
        <v>1</v>
      </c>
      <c r="O8933" s="61">
        <f t="shared" si="633"/>
        <v>1900</v>
      </c>
      <c r="P8933" s="61">
        <f t="shared" si="634"/>
        <v>1</v>
      </c>
    </row>
    <row r="8934" spans="9:16">
      <c r="I8934" s="213"/>
      <c r="J8934" s="213"/>
      <c r="L8934" s="272">
        <f t="shared" si="631"/>
        <v>1900</v>
      </c>
      <c r="M8934" s="272">
        <f t="shared" si="632"/>
        <v>1</v>
      </c>
      <c r="O8934" s="61">
        <f t="shared" si="633"/>
        <v>1900</v>
      </c>
      <c r="P8934" s="61">
        <f t="shared" si="634"/>
        <v>1</v>
      </c>
    </row>
    <row r="8935" spans="9:16">
      <c r="I8935" s="213"/>
      <c r="J8935" s="213"/>
      <c r="L8935" s="272">
        <f t="shared" si="631"/>
        <v>1900</v>
      </c>
      <c r="M8935" s="272">
        <f t="shared" si="632"/>
        <v>1</v>
      </c>
      <c r="O8935" s="61">
        <f t="shared" si="633"/>
        <v>1900</v>
      </c>
      <c r="P8935" s="61">
        <f t="shared" si="634"/>
        <v>1</v>
      </c>
    </row>
    <row r="8936" spans="9:16">
      <c r="I8936" s="213"/>
      <c r="J8936" s="213"/>
      <c r="L8936" s="272">
        <f t="shared" si="631"/>
        <v>1900</v>
      </c>
      <c r="M8936" s="272">
        <f t="shared" si="632"/>
        <v>1</v>
      </c>
      <c r="O8936" s="61">
        <f t="shared" si="633"/>
        <v>1900</v>
      </c>
      <c r="P8936" s="61">
        <f t="shared" si="634"/>
        <v>1</v>
      </c>
    </row>
    <row r="8937" spans="9:16">
      <c r="I8937" s="213"/>
      <c r="J8937" s="213"/>
      <c r="L8937" s="272">
        <f t="shared" si="631"/>
        <v>1900</v>
      </c>
      <c r="M8937" s="272">
        <f t="shared" si="632"/>
        <v>1</v>
      </c>
      <c r="O8937" s="61">
        <f t="shared" si="633"/>
        <v>1900</v>
      </c>
      <c r="P8937" s="61">
        <f t="shared" si="634"/>
        <v>1</v>
      </c>
    </row>
    <row r="8938" spans="9:16">
      <c r="I8938" s="213"/>
      <c r="J8938" s="213"/>
      <c r="L8938" s="272">
        <f t="shared" si="631"/>
        <v>1900</v>
      </c>
      <c r="M8938" s="272">
        <f t="shared" si="632"/>
        <v>1</v>
      </c>
      <c r="O8938" s="61">
        <f t="shared" si="633"/>
        <v>1900</v>
      </c>
      <c r="P8938" s="61">
        <f t="shared" si="634"/>
        <v>1</v>
      </c>
    </row>
    <row r="8939" spans="9:16">
      <c r="I8939" s="213"/>
      <c r="J8939" s="213"/>
      <c r="L8939" s="272">
        <f t="shared" si="631"/>
        <v>1900</v>
      </c>
      <c r="M8939" s="272">
        <f t="shared" si="632"/>
        <v>1</v>
      </c>
      <c r="O8939" s="61">
        <f t="shared" si="633"/>
        <v>1900</v>
      </c>
      <c r="P8939" s="61">
        <f t="shared" si="634"/>
        <v>1</v>
      </c>
    </row>
    <row r="8940" spans="9:16">
      <c r="I8940" s="213"/>
      <c r="J8940" s="213"/>
      <c r="L8940" s="272">
        <f t="shared" si="631"/>
        <v>1900</v>
      </c>
      <c r="M8940" s="272">
        <f t="shared" si="632"/>
        <v>1</v>
      </c>
      <c r="O8940" s="61">
        <f t="shared" si="633"/>
        <v>1900</v>
      </c>
      <c r="P8940" s="61">
        <f t="shared" si="634"/>
        <v>1</v>
      </c>
    </row>
    <row r="8941" spans="9:16">
      <c r="I8941" s="213"/>
      <c r="J8941" s="213"/>
      <c r="L8941" s="272">
        <f t="shared" si="631"/>
        <v>1900</v>
      </c>
      <c r="M8941" s="272">
        <f t="shared" si="632"/>
        <v>1</v>
      </c>
      <c r="O8941" s="61">
        <f t="shared" si="633"/>
        <v>1900</v>
      </c>
      <c r="P8941" s="61">
        <f t="shared" si="634"/>
        <v>1</v>
      </c>
    </row>
    <row r="8942" spans="9:16">
      <c r="I8942" s="213"/>
      <c r="J8942" s="213"/>
      <c r="L8942" s="272">
        <f t="shared" si="631"/>
        <v>1900</v>
      </c>
      <c r="M8942" s="272">
        <f t="shared" si="632"/>
        <v>1</v>
      </c>
      <c r="O8942" s="61">
        <f t="shared" si="633"/>
        <v>1900</v>
      </c>
      <c r="P8942" s="61">
        <f t="shared" si="634"/>
        <v>1</v>
      </c>
    </row>
    <row r="8943" spans="9:16">
      <c r="I8943" s="213"/>
      <c r="J8943" s="213"/>
      <c r="L8943" s="272">
        <f t="shared" si="631"/>
        <v>1900</v>
      </c>
      <c r="M8943" s="272">
        <f t="shared" si="632"/>
        <v>1</v>
      </c>
      <c r="O8943" s="61">
        <f t="shared" si="633"/>
        <v>1900</v>
      </c>
      <c r="P8943" s="61">
        <f t="shared" si="634"/>
        <v>1</v>
      </c>
    </row>
    <row r="8944" spans="9:16">
      <c r="I8944" s="213"/>
      <c r="J8944" s="213"/>
      <c r="L8944" s="272">
        <f t="shared" si="631"/>
        <v>1900</v>
      </c>
      <c r="M8944" s="272">
        <f t="shared" si="632"/>
        <v>1</v>
      </c>
      <c r="O8944" s="61">
        <f t="shared" si="633"/>
        <v>1900</v>
      </c>
      <c r="P8944" s="61">
        <f t="shared" si="634"/>
        <v>1</v>
      </c>
    </row>
    <row r="8945" spans="9:16">
      <c r="I8945" s="213"/>
      <c r="J8945" s="213"/>
      <c r="L8945" s="272">
        <f t="shared" si="631"/>
        <v>1900</v>
      </c>
      <c r="M8945" s="272">
        <f t="shared" si="632"/>
        <v>1</v>
      </c>
      <c r="O8945" s="61">
        <f t="shared" si="633"/>
        <v>1900</v>
      </c>
      <c r="P8945" s="61">
        <f t="shared" si="634"/>
        <v>1</v>
      </c>
    </row>
    <row r="8946" spans="9:16">
      <c r="I8946" s="213"/>
      <c r="J8946" s="213"/>
      <c r="L8946" s="272">
        <f t="shared" si="631"/>
        <v>1900</v>
      </c>
      <c r="M8946" s="272">
        <f t="shared" si="632"/>
        <v>1</v>
      </c>
      <c r="O8946" s="61">
        <f t="shared" si="633"/>
        <v>1900</v>
      </c>
      <c r="P8946" s="61">
        <f t="shared" si="634"/>
        <v>1</v>
      </c>
    </row>
    <row r="8947" spans="9:16">
      <c r="I8947" s="213"/>
      <c r="J8947" s="213"/>
      <c r="L8947" s="272">
        <f t="shared" si="631"/>
        <v>1900</v>
      </c>
      <c r="M8947" s="272">
        <f t="shared" si="632"/>
        <v>1</v>
      </c>
      <c r="O8947" s="61">
        <f t="shared" si="633"/>
        <v>1900</v>
      </c>
      <c r="P8947" s="61">
        <f t="shared" si="634"/>
        <v>1</v>
      </c>
    </row>
    <row r="8948" spans="9:16">
      <c r="I8948" s="213"/>
      <c r="J8948" s="213"/>
      <c r="L8948" s="272">
        <f t="shared" si="631"/>
        <v>1900</v>
      </c>
      <c r="M8948" s="272">
        <f t="shared" si="632"/>
        <v>1</v>
      </c>
      <c r="O8948" s="61">
        <f t="shared" si="633"/>
        <v>1900</v>
      </c>
      <c r="P8948" s="61">
        <f t="shared" si="634"/>
        <v>1</v>
      </c>
    </row>
    <row r="8949" spans="9:16">
      <c r="I8949" s="213"/>
      <c r="J8949" s="213"/>
      <c r="L8949" s="272">
        <f t="shared" si="631"/>
        <v>1900</v>
      </c>
      <c r="M8949" s="272">
        <f t="shared" si="632"/>
        <v>1</v>
      </c>
      <c r="O8949" s="61">
        <f t="shared" si="633"/>
        <v>1900</v>
      </c>
      <c r="P8949" s="61">
        <f t="shared" si="634"/>
        <v>1</v>
      </c>
    </row>
    <row r="8950" spans="9:16">
      <c r="I8950" s="213"/>
      <c r="J8950" s="213"/>
      <c r="L8950" s="272">
        <f t="shared" si="631"/>
        <v>1900</v>
      </c>
      <c r="M8950" s="272">
        <f t="shared" si="632"/>
        <v>1</v>
      </c>
      <c r="O8950" s="61">
        <f t="shared" si="633"/>
        <v>1900</v>
      </c>
      <c r="P8950" s="61">
        <f t="shared" si="634"/>
        <v>1</v>
      </c>
    </row>
    <row r="8951" spans="9:16">
      <c r="I8951" s="213"/>
      <c r="J8951" s="213"/>
      <c r="L8951" s="272">
        <f t="shared" si="631"/>
        <v>1900</v>
      </c>
      <c r="M8951" s="272">
        <f t="shared" si="632"/>
        <v>1</v>
      </c>
      <c r="O8951" s="61">
        <f t="shared" si="633"/>
        <v>1900</v>
      </c>
      <c r="P8951" s="61">
        <f t="shared" si="634"/>
        <v>1</v>
      </c>
    </row>
    <row r="8952" spans="9:16">
      <c r="I8952" s="213"/>
      <c r="J8952" s="213"/>
      <c r="L8952" s="272">
        <f t="shared" si="631"/>
        <v>1900</v>
      </c>
      <c r="M8952" s="272">
        <f t="shared" si="632"/>
        <v>1</v>
      </c>
      <c r="O8952" s="61">
        <f t="shared" si="633"/>
        <v>1900</v>
      </c>
      <c r="P8952" s="61">
        <f t="shared" si="634"/>
        <v>1</v>
      </c>
    </row>
    <row r="8953" spans="9:16">
      <c r="I8953" s="213"/>
      <c r="J8953" s="213"/>
      <c r="L8953" s="272">
        <f t="shared" si="631"/>
        <v>1900</v>
      </c>
      <c r="M8953" s="272">
        <f t="shared" si="632"/>
        <v>1</v>
      </c>
      <c r="O8953" s="61">
        <f t="shared" si="633"/>
        <v>1900</v>
      </c>
      <c r="P8953" s="61">
        <f t="shared" si="634"/>
        <v>1</v>
      </c>
    </row>
    <row r="8954" spans="9:16">
      <c r="I8954" s="213"/>
      <c r="J8954" s="213"/>
      <c r="L8954" s="272">
        <f t="shared" si="631"/>
        <v>1900</v>
      </c>
      <c r="M8954" s="272">
        <f t="shared" si="632"/>
        <v>1</v>
      </c>
      <c r="O8954" s="61">
        <f t="shared" si="633"/>
        <v>1900</v>
      </c>
      <c r="P8954" s="61">
        <f t="shared" si="634"/>
        <v>1</v>
      </c>
    </row>
    <row r="8955" spans="9:16">
      <c r="I8955" s="213"/>
      <c r="J8955" s="213"/>
      <c r="L8955" s="272">
        <f t="shared" si="631"/>
        <v>1900</v>
      </c>
      <c r="M8955" s="272">
        <f t="shared" si="632"/>
        <v>1</v>
      </c>
      <c r="O8955" s="61">
        <f t="shared" si="633"/>
        <v>1900</v>
      </c>
      <c r="P8955" s="61">
        <f t="shared" si="634"/>
        <v>1</v>
      </c>
    </row>
    <row r="8956" spans="9:16">
      <c r="I8956" s="213"/>
      <c r="J8956" s="213"/>
      <c r="L8956" s="272">
        <f t="shared" si="631"/>
        <v>1900</v>
      </c>
      <c r="M8956" s="272">
        <f t="shared" si="632"/>
        <v>1</v>
      </c>
      <c r="O8956" s="61">
        <f t="shared" si="633"/>
        <v>1900</v>
      </c>
      <c r="P8956" s="61">
        <f t="shared" si="634"/>
        <v>1</v>
      </c>
    </row>
    <row r="8957" spans="9:16">
      <c r="I8957" s="213"/>
      <c r="J8957" s="213"/>
      <c r="L8957" s="272">
        <f t="shared" si="631"/>
        <v>1900</v>
      </c>
      <c r="M8957" s="272">
        <f t="shared" si="632"/>
        <v>1</v>
      </c>
      <c r="O8957" s="61">
        <f t="shared" si="633"/>
        <v>1900</v>
      </c>
      <c r="P8957" s="61">
        <f t="shared" si="634"/>
        <v>1</v>
      </c>
    </row>
    <row r="8958" spans="9:16">
      <c r="I8958" s="213"/>
      <c r="J8958" s="213"/>
      <c r="L8958" s="272">
        <f t="shared" si="631"/>
        <v>1900</v>
      </c>
      <c r="M8958" s="272">
        <f t="shared" si="632"/>
        <v>1</v>
      </c>
      <c r="O8958" s="61">
        <f t="shared" si="633"/>
        <v>1900</v>
      </c>
      <c r="P8958" s="61">
        <f t="shared" si="634"/>
        <v>1</v>
      </c>
    </row>
    <row r="8959" spans="9:16">
      <c r="I8959" s="213"/>
      <c r="J8959" s="213"/>
      <c r="L8959" s="272">
        <f t="shared" si="631"/>
        <v>1900</v>
      </c>
      <c r="M8959" s="272">
        <f t="shared" si="632"/>
        <v>1</v>
      </c>
      <c r="O8959" s="61">
        <f t="shared" si="633"/>
        <v>1900</v>
      </c>
      <c r="P8959" s="61">
        <f t="shared" si="634"/>
        <v>1</v>
      </c>
    </row>
    <row r="8960" spans="9:16">
      <c r="I8960" s="213"/>
      <c r="J8960" s="213"/>
      <c r="L8960" s="272">
        <f t="shared" si="631"/>
        <v>1900</v>
      </c>
      <c r="M8960" s="272">
        <f t="shared" si="632"/>
        <v>1</v>
      </c>
      <c r="O8960" s="61">
        <f t="shared" si="633"/>
        <v>1900</v>
      </c>
      <c r="P8960" s="61">
        <f t="shared" si="634"/>
        <v>1</v>
      </c>
    </row>
    <row r="8961" spans="9:16">
      <c r="I8961" s="213"/>
      <c r="J8961" s="213"/>
      <c r="L8961" s="272">
        <f t="shared" si="631"/>
        <v>1900</v>
      </c>
      <c r="M8961" s="272">
        <f t="shared" si="632"/>
        <v>1</v>
      </c>
      <c r="O8961" s="61">
        <f t="shared" si="633"/>
        <v>1900</v>
      </c>
      <c r="P8961" s="61">
        <f t="shared" si="634"/>
        <v>1</v>
      </c>
    </row>
    <row r="8962" spans="9:16">
      <c r="I8962" s="213"/>
      <c r="J8962" s="213"/>
      <c r="L8962" s="272">
        <f t="shared" si="631"/>
        <v>1900</v>
      </c>
      <c r="M8962" s="272">
        <f t="shared" si="632"/>
        <v>1</v>
      </c>
      <c r="O8962" s="61">
        <f t="shared" si="633"/>
        <v>1900</v>
      </c>
      <c r="P8962" s="61">
        <f t="shared" si="634"/>
        <v>1</v>
      </c>
    </row>
    <row r="8963" spans="9:16">
      <c r="I8963" s="213"/>
      <c r="J8963" s="213"/>
      <c r="L8963" s="272">
        <f t="shared" si="631"/>
        <v>1900</v>
      </c>
      <c r="M8963" s="272">
        <f t="shared" si="632"/>
        <v>1</v>
      </c>
      <c r="O8963" s="61">
        <f t="shared" si="633"/>
        <v>1900</v>
      </c>
      <c r="P8963" s="61">
        <f t="shared" si="634"/>
        <v>1</v>
      </c>
    </row>
    <row r="8964" spans="9:16">
      <c r="I8964" s="213"/>
      <c r="J8964" s="213"/>
      <c r="L8964" s="272">
        <f t="shared" si="631"/>
        <v>1900</v>
      </c>
      <c r="M8964" s="272">
        <f t="shared" si="632"/>
        <v>1</v>
      </c>
      <c r="O8964" s="61">
        <f t="shared" si="633"/>
        <v>1900</v>
      </c>
      <c r="P8964" s="61">
        <f t="shared" si="634"/>
        <v>1</v>
      </c>
    </row>
    <row r="8965" spans="9:16">
      <c r="I8965" s="213"/>
      <c r="J8965" s="213"/>
      <c r="L8965" s="272">
        <f t="shared" si="631"/>
        <v>1900</v>
      </c>
      <c r="M8965" s="272">
        <f t="shared" si="632"/>
        <v>1</v>
      </c>
      <c r="O8965" s="61">
        <f t="shared" si="633"/>
        <v>1900</v>
      </c>
      <c r="P8965" s="61">
        <f t="shared" si="634"/>
        <v>1</v>
      </c>
    </row>
    <row r="8966" spans="9:16">
      <c r="I8966" s="213"/>
      <c r="J8966" s="213"/>
      <c r="L8966" s="272">
        <f t="shared" si="631"/>
        <v>1900</v>
      </c>
      <c r="M8966" s="272">
        <f t="shared" si="632"/>
        <v>1</v>
      </c>
      <c r="O8966" s="61">
        <f t="shared" si="633"/>
        <v>1900</v>
      </c>
      <c r="P8966" s="61">
        <f t="shared" si="634"/>
        <v>1</v>
      </c>
    </row>
    <row r="8967" spans="9:16">
      <c r="I8967" s="213"/>
      <c r="J8967" s="213"/>
      <c r="L8967" s="272">
        <f t="shared" si="631"/>
        <v>1900</v>
      </c>
      <c r="M8967" s="272">
        <f t="shared" si="632"/>
        <v>1</v>
      </c>
      <c r="O8967" s="61">
        <f t="shared" si="633"/>
        <v>1900</v>
      </c>
      <c r="P8967" s="61">
        <f t="shared" si="634"/>
        <v>1</v>
      </c>
    </row>
    <row r="8968" spans="9:16">
      <c r="I8968" s="213"/>
      <c r="J8968" s="213"/>
      <c r="L8968" s="272">
        <f t="shared" si="631"/>
        <v>1900</v>
      </c>
      <c r="M8968" s="272">
        <f t="shared" si="632"/>
        <v>1</v>
      </c>
      <c r="O8968" s="61">
        <f t="shared" si="633"/>
        <v>1900</v>
      </c>
      <c r="P8968" s="61">
        <f t="shared" si="634"/>
        <v>1</v>
      </c>
    </row>
    <row r="8969" spans="9:16">
      <c r="I8969" s="213"/>
      <c r="J8969" s="213"/>
      <c r="L8969" s="272">
        <f t="shared" si="631"/>
        <v>1900</v>
      </c>
      <c r="M8969" s="272">
        <f t="shared" si="632"/>
        <v>1</v>
      </c>
      <c r="O8969" s="61">
        <f t="shared" si="633"/>
        <v>1900</v>
      </c>
      <c r="P8969" s="61">
        <f t="shared" si="634"/>
        <v>1</v>
      </c>
    </row>
    <row r="8970" spans="9:16">
      <c r="I8970" s="213"/>
      <c r="J8970" s="213"/>
      <c r="L8970" s="272">
        <f t="shared" si="631"/>
        <v>1900</v>
      </c>
      <c r="M8970" s="272">
        <f t="shared" si="632"/>
        <v>1</v>
      </c>
      <c r="O8970" s="61">
        <f t="shared" si="633"/>
        <v>1900</v>
      </c>
      <c r="P8970" s="61">
        <f t="shared" si="634"/>
        <v>1</v>
      </c>
    </row>
    <row r="8971" spans="9:16">
      <c r="I8971" s="213"/>
      <c r="J8971" s="213"/>
      <c r="L8971" s="272">
        <f t="shared" si="631"/>
        <v>1900</v>
      </c>
      <c r="M8971" s="272">
        <f t="shared" si="632"/>
        <v>1</v>
      </c>
      <c r="O8971" s="61">
        <f t="shared" si="633"/>
        <v>1900</v>
      </c>
      <c r="P8971" s="61">
        <f t="shared" si="634"/>
        <v>1</v>
      </c>
    </row>
    <row r="8972" spans="9:16">
      <c r="I8972" s="213"/>
      <c r="J8972" s="213"/>
      <c r="L8972" s="272">
        <f t="shared" si="631"/>
        <v>1900</v>
      </c>
      <c r="M8972" s="272">
        <f t="shared" si="632"/>
        <v>1</v>
      </c>
      <c r="O8972" s="61">
        <f t="shared" si="633"/>
        <v>1900</v>
      </c>
      <c r="P8972" s="61">
        <f t="shared" si="634"/>
        <v>1</v>
      </c>
    </row>
    <row r="8973" spans="9:16">
      <c r="I8973" s="213"/>
      <c r="J8973" s="213"/>
      <c r="L8973" s="272">
        <f t="shared" si="631"/>
        <v>1900</v>
      </c>
      <c r="M8973" s="272">
        <f t="shared" si="632"/>
        <v>1</v>
      </c>
      <c r="O8973" s="61">
        <f t="shared" si="633"/>
        <v>1900</v>
      </c>
      <c r="P8973" s="61">
        <f t="shared" si="634"/>
        <v>1</v>
      </c>
    </row>
    <row r="8974" spans="9:16">
      <c r="I8974" s="213"/>
      <c r="J8974" s="213"/>
      <c r="L8974" s="272">
        <f t="shared" si="631"/>
        <v>1900</v>
      </c>
      <c r="M8974" s="272">
        <f t="shared" si="632"/>
        <v>1</v>
      </c>
      <c r="O8974" s="61">
        <f t="shared" si="633"/>
        <v>1900</v>
      </c>
      <c r="P8974" s="61">
        <f t="shared" si="634"/>
        <v>1</v>
      </c>
    </row>
    <row r="8975" spans="9:16">
      <c r="I8975" s="213"/>
      <c r="J8975" s="213"/>
      <c r="L8975" s="272">
        <f t="shared" si="631"/>
        <v>1900</v>
      </c>
      <c r="M8975" s="272">
        <f t="shared" si="632"/>
        <v>1</v>
      </c>
      <c r="O8975" s="61">
        <f t="shared" si="633"/>
        <v>1900</v>
      </c>
      <c r="P8975" s="61">
        <f t="shared" si="634"/>
        <v>1</v>
      </c>
    </row>
    <row r="8976" spans="9:16">
      <c r="I8976" s="213"/>
      <c r="J8976" s="213"/>
      <c r="L8976" s="272">
        <f t="shared" ref="L8976:L9039" si="635">YEAR(B8976)</f>
        <v>1900</v>
      </c>
      <c r="M8976" s="272">
        <f t="shared" ref="M8976:M9039" si="636">MONTH(B8976)</f>
        <v>1</v>
      </c>
      <c r="O8976" s="61">
        <f t="shared" ref="O8976:O9039" si="637">YEAR(B8976)</f>
        <v>1900</v>
      </c>
      <c r="P8976" s="61">
        <f t="shared" ref="P8976:P9039" si="638">MONTH(B8976)</f>
        <v>1</v>
      </c>
    </row>
    <row r="8977" spans="9:16">
      <c r="I8977" s="213"/>
      <c r="J8977" s="213"/>
      <c r="L8977" s="272">
        <f t="shared" si="635"/>
        <v>1900</v>
      </c>
      <c r="M8977" s="272">
        <f t="shared" si="636"/>
        <v>1</v>
      </c>
      <c r="O8977" s="61">
        <f t="shared" si="637"/>
        <v>1900</v>
      </c>
      <c r="P8977" s="61">
        <f t="shared" si="638"/>
        <v>1</v>
      </c>
    </row>
    <row r="8978" spans="9:16">
      <c r="I8978" s="213"/>
      <c r="J8978" s="213"/>
      <c r="L8978" s="272">
        <f t="shared" si="635"/>
        <v>1900</v>
      </c>
      <c r="M8978" s="272">
        <f t="shared" si="636"/>
        <v>1</v>
      </c>
      <c r="O8978" s="61">
        <f t="shared" si="637"/>
        <v>1900</v>
      </c>
      <c r="P8978" s="61">
        <f t="shared" si="638"/>
        <v>1</v>
      </c>
    </row>
    <row r="8979" spans="9:16">
      <c r="I8979" s="213"/>
      <c r="J8979" s="213"/>
      <c r="L8979" s="272">
        <f t="shared" si="635"/>
        <v>1900</v>
      </c>
      <c r="M8979" s="272">
        <f t="shared" si="636"/>
        <v>1</v>
      </c>
      <c r="O8979" s="61">
        <f t="shared" si="637"/>
        <v>1900</v>
      </c>
      <c r="P8979" s="61">
        <f t="shared" si="638"/>
        <v>1</v>
      </c>
    </row>
    <row r="8980" spans="9:16">
      <c r="I8980" s="213"/>
      <c r="J8980" s="213"/>
      <c r="L8980" s="272">
        <f t="shared" si="635"/>
        <v>1900</v>
      </c>
      <c r="M8980" s="272">
        <f t="shared" si="636"/>
        <v>1</v>
      </c>
      <c r="O8980" s="61">
        <f t="shared" si="637"/>
        <v>1900</v>
      </c>
      <c r="P8980" s="61">
        <f t="shared" si="638"/>
        <v>1</v>
      </c>
    </row>
    <row r="8981" spans="9:16">
      <c r="I8981" s="213"/>
      <c r="J8981" s="213"/>
      <c r="L8981" s="272">
        <f t="shared" si="635"/>
        <v>1900</v>
      </c>
      <c r="M8981" s="272">
        <f t="shared" si="636"/>
        <v>1</v>
      </c>
      <c r="O8981" s="61">
        <f t="shared" si="637"/>
        <v>1900</v>
      </c>
      <c r="P8981" s="61">
        <f t="shared" si="638"/>
        <v>1</v>
      </c>
    </row>
    <row r="8982" spans="9:16">
      <c r="I8982" s="213"/>
      <c r="J8982" s="213"/>
      <c r="L8982" s="272">
        <f t="shared" si="635"/>
        <v>1900</v>
      </c>
      <c r="M8982" s="272">
        <f t="shared" si="636"/>
        <v>1</v>
      </c>
      <c r="O8982" s="61">
        <f t="shared" si="637"/>
        <v>1900</v>
      </c>
      <c r="P8982" s="61">
        <f t="shared" si="638"/>
        <v>1</v>
      </c>
    </row>
    <row r="8983" spans="9:16">
      <c r="I8983" s="213"/>
      <c r="J8983" s="213"/>
      <c r="L8983" s="272">
        <f t="shared" si="635"/>
        <v>1900</v>
      </c>
      <c r="M8983" s="272">
        <f t="shared" si="636"/>
        <v>1</v>
      </c>
      <c r="O8983" s="61">
        <f t="shared" si="637"/>
        <v>1900</v>
      </c>
      <c r="P8983" s="61">
        <f t="shared" si="638"/>
        <v>1</v>
      </c>
    </row>
    <row r="8984" spans="9:16">
      <c r="I8984" s="213"/>
      <c r="J8984" s="213"/>
      <c r="L8984" s="272">
        <f t="shared" si="635"/>
        <v>1900</v>
      </c>
      <c r="M8984" s="272">
        <f t="shared" si="636"/>
        <v>1</v>
      </c>
      <c r="O8984" s="61">
        <f t="shared" si="637"/>
        <v>1900</v>
      </c>
      <c r="P8984" s="61">
        <f t="shared" si="638"/>
        <v>1</v>
      </c>
    </row>
    <row r="8985" spans="9:16">
      <c r="I8985" s="213"/>
      <c r="J8985" s="213"/>
      <c r="L8985" s="272">
        <f t="shared" si="635"/>
        <v>1900</v>
      </c>
      <c r="M8985" s="272">
        <f t="shared" si="636"/>
        <v>1</v>
      </c>
      <c r="O8985" s="61">
        <f t="shared" si="637"/>
        <v>1900</v>
      </c>
      <c r="P8985" s="61">
        <f t="shared" si="638"/>
        <v>1</v>
      </c>
    </row>
    <row r="8986" spans="9:16">
      <c r="I8986" s="213"/>
      <c r="J8986" s="213"/>
      <c r="L8986" s="272">
        <f t="shared" si="635"/>
        <v>1900</v>
      </c>
      <c r="M8986" s="272">
        <f t="shared" si="636"/>
        <v>1</v>
      </c>
      <c r="O8986" s="61">
        <f t="shared" si="637"/>
        <v>1900</v>
      </c>
      <c r="P8986" s="61">
        <f t="shared" si="638"/>
        <v>1</v>
      </c>
    </row>
    <row r="8987" spans="9:16">
      <c r="I8987" s="213"/>
      <c r="J8987" s="213"/>
      <c r="L8987" s="272">
        <f t="shared" si="635"/>
        <v>1900</v>
      </c>
      <c r="M8987" s="272">
        <f t="shared" si="636"/>
        <v>1</v>
      </c>
      <c r="O8987" s="61">
        <f t="shared" si="637"/>
        <v>1900</v>
      </c>
      <c r="P8987" s="61">
        <f t="shared" si="638"/>
        <v>1</v>
      </c>
    </row>
    <row r="8988" spans="9:16">
      <c r="I8988" s="213"/>
      <c r="J8988" s="213"/>
      <c r="L8988" s="272">
        <f t="shared" si="635"/>
        <v>1900</v>
      </c>
      <c r="M8988" s="272">
        <f t="shared" si="636"/>
        <v>1</v>
      </c>
      <c r="O8988" s="61">
        <f t="shared" si="637"/>
        <v>1900</v>
      </c>
      <c r="P8988" s="61">
        <f t="shared" si="638"/>
        <v>1</v>
      </c>
    </row>
    <row r="8989" spans="9:16">
      <c r="I8989" s="213"/>
      <c r="J8989" s="213"/>
      <c r="L8989" s="272">
        <f t="shared" si="635"/>
        <v>1900</v>
      </c>
      <c r="M8989" s="272">
        <f t="shared" si="636"/>
        <v>1</v>
      </c>
      <c r="O8989" s="61">
        <f t="shared" si="637"/>
        <v>1900</v>
      </c>
      <c r="P8989" s="61">
        <f t="shared" si="638"/>
        <v>1</v>
      </c>
    </row>
    <row r="8990" spans="9:16">
      <c r="I8990" s="213"/>
      <c r="J8990" s="213"/>
      <c r="L8990" s="272">
        <f t="shared" si="635"/>
        <v>1900</v>
      </c>
      <c r="M8990" s="272">
        <f t="shared" si="636"/>
        <v>1</v>
      </c>
      <c r="O8990" s="61">
        <f t="shared" si="637"/>
        <v>1900</v>
      </c>
      <c r="P8990" s="61">
        <f t="shared" si="638"/>
        <v>1</v>
      </c>
    </row>
    <row r="8991" spans="9:16">
      <c r="I8991" s="213"/>
      <c r="J8991" s="213"/>
      <c r="L8991" s="272">
        <f t="shared" si="635"/>
        <v>1900</v>
      </c>
      <c r="M8991" s="272">
        <f t="shared" si="636"/>
        <v>1</v>
      </c>
      <c r="O8991" s="61">
        <f t="shared" si="637"/>
        <v>1900</v>
      </c>
      <c r="P8991" s="61">
        <f t="shared" si="638"/>
        <v>1</v>
      </c>
    </row>
    <row r="8992" spans="9:16">
      <c r="I8992" s="213"/>
      <c r="J8992" s="213"/>
      <c r="L8992" s="272">
        <f t="shared" si="635"/>
        <v>1900</v>
      </c>
      <c r="M8992" s="272">
        <f t="shared" si="636"/>
        <v>1</v>
      </c>
      <c r="O8992" s="61">
        <f t="shared" si="637"/>
        <v>1900</v>
      </c>
      <c r="P8992" s="61">
        <f t="shared" si="638"/>
        <v>1</v>
      </c>
    </row>
    <row r="8993" spans="9:16">
      <c r="I8993" s="213"/>
      <c r="J8993" s="213"/>
      <c r="L8993" s="272">
        <f t="shared" si="635"/>
        <v>1900</v>
      </c>
      <c r="M8993" s="272">
        <f t="shared" si="636"/>
        <v>1</v>
      </c>
      <c r="O8993" s="61">
        <f t="shared" si="637"/>
        <v>1900</v>
      </c>
      <c r="P8993" s="61">
        <f t="shared" si="638"/>
        <v>1</v>
      </c>
    </row>
    <row r="8994" spans="9:16">
      <c r="I8994" s="213"/>
      <c r="J8994" s="213"/>
      <c r="L8994" s="272">
        <f t="shared" si="635"/>
        <v>1900</v>
      </c>
      <c r="M8994" s="272">
        <f t="shared" si="636"/>
        <v>1</v>
      </c>
      <c r="O8994" s="61">
        <f t="shared" si="637"/>
        <v>1900</v>
      </c>
      <c r="P8994" s="61">
        <f t="shared" si="638"/>
        <v>1</v>
      </c>
    </row>
    <row r="8995" spans="9:16">
      <c r="I8995" s="213"/>
      <c r="J8995" s="213"/>
      <c r="L8995" s="272">
        <f t="shared" si="635"/>
        <v>1900</v>
      </c>
      <c r="M8995" s="272">
        <f t="shared" si="636"/>
        <v>1</v>
      </c>
      <c r="O8995" s="61">
        <f t="shared" si="637"/>
        <v>1900</v>
      </c>
      <c r="P8995" s="61">
        <f t="shared" si="638"/>
        <v>1</v>
      </c>
    </row>
    <row r="8996" spans="9:16">
      <c r="I8996" s="213"/>
      <c r="J8996" s="213"/>
      <c r="L8996" s="272">
        <f t="shared" si="635"/>
        <v>1900</v>
      </c>
      <c r="M8996" s="272">
        <f t="shared" si="636"/>
        <v>1</v>
      </c>
      <c r="O8996" s="61">
        <f t="shared" si="637"/>
        <v>1900</v>
      </c>
      <c r="P8996" s="61">
        <f t="shared" si="638"/>
        <v>1</v>
      </c>
    </row>
    <row r="8997" spans="9:16">
      <c r="I8997" s="213"/>
      <c r="J8997" s="213"/>
      <c r="L8997" s="272">
        <f t="shared" si="635"/>
        <v>1900</v>
      </c>
      <c r="M8997" s="272">
        <f t="shared" si="636"/>
        <v>1</v>
      </c>
      <c r="O8997" s="61">
        <f t="shared" si="637"/>
        <v>1900</v>
      </c>
      <c r="P8997" s="61">
        <f t="shared" si="638"/>
        <v>1</v>
      </c>
    </row>
    <row r="8998" spans="9:16">
      <c r="I8998" s="213"/>
      <c r="J8998" s="213"/>
      <c r="L8998" s="272">
        <f t="shared" si="635"/>
        <v>1900</v>
      </c>
      <c r="M8998" s="272">
        <f t="shared" si="636"/>
        <v>1</v>
      </c>
      <c r="O8998" s="61">
        <f t="shared" si="637"/>
        <v>1900</v>
      </c>
      <c r="P8998" s="61">
        <f t="shared" si="638"/>
        <v>1</v>
      </c>
    </row>
    <row r="8999" spans="9:16">
      <c r="I8999" s="213"/>
      <c r="J8999" s="213"/>
      <c r="L8999" s="272">
        <f t="shared" si="635"/>
        <v>1900</v>
      </c>
      <c r="M8999" s="272">
        <f t="shared" si="636"/>
        <v>1</v>
      </c>
      <c r="O8999" s="61">
        <f t="shared" si="637"/>
        <v>1900</v>
      </c>
      <c r="P8999" s="61">
        <f t="shared" si="638"/>
        <v>1</v>
      </c>
    </row>
    <row r="9000" spans="9:16">
      <c r="I9000" s="213"/>
      <c r="J9000" s="213"/>
      <c r="L9000" s="272">
        <f t="shared" si="635"/>
        <v>1900</v>
      </c>
      <c r="M9000" s="272">
        <f t="shared" si="636"/>
        <v>1</v>
      </c>
      <c r="O9000" s="61">
        <f t="shared" si="637"/>
        <v>1900</v>
      </c>
      <c r="P9000" s="61">
        <f t="shared" si="638"/>
        <v>1</v>
      </c>
    </row>
    <row r="9001" spans="9:16">
      <c r="I9001" s="213"/>
      <c r="J9001" s="213"/>
      <c r="L9001" s="272">
        <f t="shared" si="635"/>
        <v>1900</v>
      </c>
      <c r="M9001" s="272">
        <f t="shared" si="636"/>
        <v>1</v>
      </c>
      <c r="O9001" s="61">
        <f t="shared" si="637"/>
        <v>1900</v>
      </c>
      <c r="P9001" s="61">
        <f t="shared" si="638"/>
        <v>1</v>
      </c>
    </row>
    <row r="9002" spans="9:16">
      <c r="I9002" s="213"/>
      <c r="J9002" s="213"/>
      <c r="L9002" s="272">
        <f t="shared" si="635"/>
        <v>1900</v>
      </c>
      <c r="M9002" s="272">
        <f t="shared" si="636"/>
        <v>1</v>
      </c>
      <c r="O9002" s="61">
        <f t="shared" si="637"/>
        <v>1900</v>
      </c>
      <c r="P9002" s="61">
        <f t="shared" si="638"/>
        <v>1</v>
      </c>
    </row>
    <row r="9003" spans="9:16">
      <c r="I9003" s="213"/>
      <c r="J9003" s="213"/>
      <c r="L9003" s="272">
        <f t="shared" si="635"/>
        <v>1900</v>
      </c>
      <c r="M9003" s="272">
        <f t="shared" si="636"/>
        <v>1</v>
      </c>
      <c r="O9003" s="61">
        <f t="shared" si="637"/>
        <v>1900</v>
      </c>
      <c r="P9003" s="61">
        <f t="shared" si="638"/>
        <v>1</v>
      </c>
    </row>
    <row r="9004" spans="9:16">
      <c r="I9004" s="213"/>
      <c r="J9004" s="213"/>
      <c r="L9004" s="272">
        <f t="shared" si="635"/>
        <v>1900</v>
      </c>
      <c r="M9004" s="272">
        <f t="shared" si="636"/>
        <v>1</v>
      </c>
      <c r="O9004" s="61">
        <f t="shared" si="637"/>
        <v>1900</v>
      </c>
      <c r="P9004" s="61">
        <f t="shared" si="638"/>
        <v>1</v>
      </c>
    </row>
    <row r="9005" spans="9:16">
      <c r="I9005" s="213"/>
      <c r="J9005" s="213"/>
      <c r="L9005" s="272">
        <f t="shared" si="635"/>
        <v>1900</v>
      </c>
      <c r="M9005" s="272">
        <f t="shared" si="636"/>
        <v>1</v>
      </c>
      <c r="O9005" s="61">
        <f t="shared" si="637"/>
        <v>1900</v>
      </c>
      <c r="P9005" s="61">
        <f t="shared" si="638"/>
        <v>1</v>
      </c>
    </row>
    <row r="9006" spans="9:16">
      <c r="I9006" s="213"/>
      <c r="J9006" s="213"/>
      <c r="L9006" s="272">
        <f t="shared" si="635"/>
        <v>1900</v>
      </c>
      <c r="M9006" s="272">
        <f t="shared" si="636"/>
        <v>1</v>
      </c>
      <c r="O9006" s="61">
        <f t="shared" si="637"/>
        <v>1900</v>
      </c>
      <c r="P9006" s="61">
        <f t="shared" si="638"/>
        <v>1</v>
      </c>
    </row>
    <row r="9007" spans="9:16">
      <c r="I9007" s="213"/>
      <c r="J9007" s="213"/>
      <c r="L9007" s="272">
        <f t="shared" si="635"/>
        <v>1900</v>
      </c>
      <c r="M9007" s="272">
        <f t="shared" si="636"/>
        <v>1</v>
      </c>
      <c r="O9007" s="61">
        <f t="shared" si="637"/>
        <v>1900</v>
      </c>
      <c r="P9007" s="61">
        <f t="shared" si="638"/>
        <v>1</v>
      </c>
    </row>
    <row r="9008" spans="9:16">
      <c r="I9008" s="213"/>
      <c r="J9008" s="213"/>
      <c r="L9008" s="272">
        <f t="shared" si="635"/>
        <v>1900</v>
      </c>
      <c r="M9008" s="272">
        <f t="shared" si="636"/>
        <v>1</v>
      </c>
      <c r="O9008" s="61">
        <f t="shared" si="637"/>
        <v>1900</v>
      </c>
      <c r="P9008" s="61">
        <f t="shared" si="638"/>
        <v>1</v>
      </c>
    </row>
    <row r="9009" spans="9:16">
      <c r="I9009" s="213"/>
      <c r="J9009" s="213"/>
      <c r="L9009" s="272">
        <f t="shared" si="635"/>
        <v>1900</v>
      </c>
      <c r="M9009" s="272">
        <f t="shared" si="636"/>
        <v>1</v>
      </c>
      <c r="O9009" s="61">
        <f t="shared" si="637"/>
        <v>1900</v>
      </c>
      <c r="P9009" s="61">
        <f t="shared" si="638"/>
        <v>1</v>
      </c>
    </row>
    <row r="9010" spans="9:16">
      <c r="I9010" s="213"/>
      <c r="J9010" s="213"/>
      <c r="L9010" s="272">
        <f t="shared" si="635"/>
        <v>1900</v>
      </c>
      <c r="M9010" s="272">
        <f t="shared" si="636"/>
        <v>1</v>
      </c>
      <c r="O9010" s="61">
        <f t="shared" si="637"/>
        <v>1900</v>
      </c>
      <c r="P9010" s="61">
        <f t="shared" si="638"/>
        <v>1</v>
      </c>
    </row>
    <row r="9011" spans="9:16">
      <c r="I9011" s="213"/>
      <c r="J9011" s="213"/>
      <c r="L9011" s="272">
        <f t="shared" si="635"/>
        <v>1900</v>
      </c>
      <c r="M9011" s="272">
        <f t="shared" si="636"/>
        <v>1</v>
      </c>
      <c r="O9011" s="61">
        <f t="shared" si="637"/>
        <v>1900</v>
      </c>
      <c r="P9011" s="61">
        <f t="shared" si="638"/>
        <v>1</v>
      </c>
    </row>
    <row r="9012" spans="9:16">
      <c r="I9012" s="213"/>
      <c r="J9012" s="213"/>
      <c r="L9012" s="272">
        <f t="shared" si="635"/>
        <v>1900</v>
      </c>
      <c r="M9012" s="272">
        <f t="shared" si="636"/>
        <v>1</v>
      </c>
      <c r="O9012" s="61">
        <f t="shared" si="637"/>
        <v>1900</v>
      </c>
      <c r="P9012" s="61">
        <f t="shared" si="638"/>
        <v>1</v>
      </c>
    </row>
    <row r="9013" spans="9:16">
      <c r="I9013" s="213"/>
      <c r="J9013" s="213"/>
      <c r="L9013" s="272">
        <f t="shared" si="635"/>
        <v>1900</v>
      </c>
      <c r="M9013" s="272">
        <f t="shared" si="636"/>
        <v>1</v>
      </c>
      <c r="O9013" s="61">
        <f t="shared" si="637"/>
        <v>1900</v>
      </c>
      <c r="P9013" s="61">
        <f t="shared" si="638"/>
        <v>1</v>
      </c>
    </row>
    <row r="9014" spans="9:16">
      <c r="I9014" s="213"/>
      <c r="J9014" s="213"/>
      <c r="L9014" s="272">
        <f t="shared" si="635"/>
        <v>1900</v>
      </c>
      <c r="M9014" s="272">
        <f t="shared" si="636"/>
        <v>1</v>
      </c>
      <c r="O9014" s="61">
        <f t="shared" si="637"/>
        <v>1900</v>
      </c>
      <c r="P9014" s="61">
        <f t="shared" si="638"/>
        <v>1</v>
      </c>
    </row>
    <row r="9015" spans="9:16">
      <c r="I9015" s="213"/>
      <c r="J9015" s="213"/>
      <c r="L9015" s="272">
        <f t="shared" si="635"/>
        <v>1900</v>
      </c>
      <c r="M9015" s="272">
        <f t="shared" si="636"/>
        <v>1</v>
      </c>
      <c r="O9015" s="61">
        <f t="shared" si="637"/>
        <v>1900</v>
      </c>
      <c r="P9015" s="61">
        <f t="shared" si="638"/>
        <v>1</v>
      </c>
    </row>
    <row r="9016" spans="9:16">
      <c r="I9016" s="213"/>
      <c r="J9016" s="213"/>
      <c r="L9016" s="272">
        <f t="shared" si="635"/>
        <v>1900</v>
      </c>
      <c r="M9016" s="272">
        <f t="shared" si="636"/>
        <v>1</v>
      </c>
      <c r="O9016" s="61">
        <f t="shared" si="637"/>
        <v>1900</v>
      </c>
      <c r="P9016" s="61">
        <f t="shared" si="638"/>
        <v>1</v>
      </c>
    </row>
    <row r="9017" spans="9:16">
      <c r="I9017" s="213"/>
      <c r="J9017" s="213"/>
      <c r="L9017" s="272">
        <f t="shared" si="635"/>
        <v>1900</v>
      </c>
      <c r="M9017" s="272">
        <f t="shared" si="636"/>
        <v>1</v>
      </c>
      <c r="O9017" s="61">
        <f t="shared" si="637"/>
        <v>1900</v>
      </c>
      <c r="P9017" s="61">
        <f t="shared" si="638"/>
        <v>1</v>
      </c>
    </row>
    <row r="9018" spans="9:16">
      <c r="I9018" s="213"/>
      <c r="J9018" s="213"/>
      <c r="L9018" s="272">
        <f t="shared" si="635"/>
        <v>1900</v>
      </c>
      <c r="M9018" s="272">
        <f t="shared" si="636"/>
        <v>1</v>
      </c>
      <c r="O9018" s="61">
        <f t="shared" si="637"/>
        <v>1900</v>
      </c>
      <c r="P9018" s="61">
        <f t="shared" si="638"/>
        <v>1</v>
      </c>
    </row>
    <row r="9019" spans="9:16">
      <c r="I9019" s="213"/>
      <c r="J9019" s="213"/>
      <c r="L9019" s="272">
        <f t="shared" si="635"/>
        <v>1900</v>
      </c>
      <c r="M9019" s="272">
        <f t="shared" si="636"/>
        <v>1</v>
      </c>
      <c r="O9019" s="61">
        <f t="shared" si="637"/>
        <v>1900</v>
      </c>
      <c r="P9019" s="61">
        <f t="shared" si="638"/>
        <v>1</v>
      </c>
    </row>
    <row r="9020" spans="9:16">
      <c r="I9020" s="213"/>
      <c r="J9020" s="213"/>
      <c r="L9020" s="272">
        <f t="shared" si="635"/>
        <v>1900</v>
      </c>
      <c r="M9020" s="272">
        <f t="shared" si="636"/>
        <v>1</v>
      </c>
      <c r="O9020" s="61">
        <f t="shared" si="637"/>
        <v>1900</v>
      </c>
      <c r="P9020" s="61">
        <f t="shared" si="638"/>
        <v>1</v>
      </c>
    </row>
    <row r="9021" spans="9:16">
      <c r="I9021" s="213"/>
      <c r="J9021" s="213"/>
      <c r="L9021" s="272">
        <f t="shared" si="635"/>
        <v>1900</v>
      </c>
      <c r="M9021" s="272">
        <f t="shared" si="636"/>
        <v>1</v>
      </c>
      <c r="O9021" s="61">
        <f t="shared" si="637"/>
        <v>1900</v>
      </c>
      <c r="P9021" s="61">
        <f t="shared" si="638"/>
        <v>1</v>
      </c>
    </row>
    <row r="9022" spans="9:16">
      <c r="I9022" s="213"/>
      <c r="J9022" s="213"/>
      <c r="L9022" s="272">
        <f t="shared" si="635"/>
        <v>1900</v>
      </c>
      <c r="M9022" s="272">
        <f t="shared" si="636"/>
        <v>1</v>
      </c>
      <c r="O9022" s="61">
        <f t="shared" si="637"/>
        <v>1900</v>
      </c>
      <c r="P9022" s="61">
        <f t="shared" si="638"/>
        <v>1</v>
      </c>
    </row>
    <row r="9023" spans="9:16">
      <c r="I9023" s="213"/>
      <c r="J9023" s="213"/>
      <c r="L9023" s="272">
        <f t="shared" si="635"/>
        <v>1900</v>
      </c>
      <c r="M9023" s="272">
        <f t="shared" si="636"/>
        <v>1</v>
      </c>
      <c r="O9023" s="61">
        <f t="shared" si="637"/>
        <v>1900</v>
      </c>
      <c r="P9023" s="61">
        <f t="shared" si="638"/>
        <v>1</v>
      </c>
    </row>
    <row r="9024" spans="9:16">
      <c r="I9024" s="213"/>
      <c r="J9024" s="213"/>
      <c r="L9024" s="272">
        <f t="shared" si="635"/>
        <v>1900</v>
      </c>
      <c r="M9024" s="272">
        <f t="shared" si="636"/>
        <v>1</v>
      </c>
      <c r="O9024" s="61">
        <f t="shared" si="637"/>
        <v>1900</v>
      </c>
      <c r="P9024" s="61">
        <f t="shared" si="638"/>
        <v>1</v>
      </c>
    </row>
    <row r="9025" spans="9:16">
      <c r="I9025" s="213"/>
      <c r="J9025" s="213"/>
      <c r="L9025" s="272">
        <f t="shared" si="635"/>
        <v>1900</v>
      </c>
      <c r="M9025" s="272">
        <f t="shared" si="636"/>
        <v>1</v>
      </c>
      <c r="O9025" s="61">
        <f t="shared" si="637"/>
        <v>1900</v>
      </c>
      <c r="P9025" s="61">
        <f t="shared" si="638"/>
        <v>1</v>
      </c>
    </row>
    <row r="9026" spans="9:16">
      <c r="I9026" s="213"/>
      <c r="J9026" s="213"/>
      <c r="L9026" s="272">
        <f t="shared" si="635"/>
        <v>1900</v>
      </c>
      <c r="M9026" s="272">
        <f t="shared" si="636"/>
        <v>1</v>
      </c>
      <c r="O9026" s="61">
        <f t="shared" si="637"/>
        <v>1900</v>
      </c>
      <c r="P9026" s="61">
        <f t="shared" si="638"/>
        <v>1</v>
      </c>
    </row>
    <row r="9027" spans="9:16">
      <c r="I9027" s="213"/>
      <c r="J9027" s="213"/>
      <c r="L9027" s="272">
        <f t="shared" si="635"/>
        <v>1900</v>
      </c>
      <c r="M9027" s="272">
        <f t="shared" si="636"/>
        <v>1</v>
      </c>
      <c r="O9027" s="61">
        <f t="shared" si="637"/>
        <v>1900</v>
      </c>
      <c r="P9027" s="61">
        <f t="shared" si="638"/>
        <v>1</v>
      </c>
    </row>
    <row r="9028" spans="9:16">
      <c r="I9028" s="213"/>
      <c r="J9028" s="213"/>
      <c r="L9028" s="272">
        <f t="shared" si="635"/>
        <v>1900</v>
      </c>
      <c r="M9028" s="272">
        <f t="shared" si="636"/>
        <v>1</v>
      </c>
      <c r="O9028" s="61">
        <f t="shared" si="637"/>
        <v>1900</v>
      </c>
      <c r="P9028" s="61">
        <f t="shared" si="638"/>
        <v>1</v>
      </c>
    </row>
    <row r="9029" spans="9:16">
      <c r="I9029" s="213"/>
      <c r="J9029" s="213"/>
      <c r="L9029" s="272">
        <f t="shared" si="635"/>
        <v>1900</v>
      </c>
      <c r="M9029" s="272">
        <f t="shared" si="636"/>
        <v>1</v>
      </c>
      <c r="O9029" s="61">
        <f t="shared" si="637"/>
        <v>1900</v>
      </c>
      <c r="P9029" s="61">
        <f t="shared" si="638"/>
        <v>1</v>
      </c>
    </row>
    <row r="9030" spans="9:16">
      <c r="I9030" s="213"/>
      <c r="J9030" s="213"/>
      <c r="L9030" s="272">
        <f t="shared" si="635"/>
        <v>1900</v>
      </c>
      <c r="M9030" s="272">
        <f t="shared" si="636"/>
        <v>1</v>
      </c>
      <c r="O9030" s="61">
        <f t="shared" si="637"/>
        <v>1900</v>
      </c>
      <c r="P9030" s="61">
        <f t="shared" si="638"/>
        <v>1</v>
      </c>
    </row>
    <row r="9031" spans="9:16">
      <c r="I9031" s="213"/>
      <c r="J9031" s="213"/>
      <c r="L9031" s="272">
        <f t="shared" si="635"/>
        <v>1900</v>
      </c>
      <c r="M9031" s="272">
        <f t="shared" si="636"/>
        <v>1</v>
      </c>
      <c r="O9031" s="61">
        <f t="shared" si="637"/>
        <v>1900</v>
      </c>
      <c r="P9031" s="61">
        <f t="shared" si="638"/>
        <v>1</v>
      </c>
    </row>
    <row r="9032" spans="9:16">
      <c r="I9032" s="213"/>
      <c r="J9032" s="213"/>
      <c r="L9032" s="272">
        <f t="shared" si="635"/>
        <v>1900</v>
      </c>
      <c r="M9032" s="272">
        <f t="shared" si="636"/>
        <v>1</v>
      </c>
      <c r="O9032" s="61">
        <f t="shared" si="637"/>
        <v>1900</v>
      </c>
      <c r="P9032" s="61">
        <f t="shared" si="638"/>
        <v>1</v>
      </c>
    </row>
    <row r="9033" spans="9:16">
      <c r="I9033" s="213"/>
      <c r="J9033" s="213"/>
      <c r="L9033" s="272">
        <f t="shared" si="635"/>
        <v>1900</v>
      </c>
      <c r="M9033" s="272">
        <f t="shared" si="636"/>
        <v>1</v>
      </c>
      <c r="O9033" s="61">
        <f t="shared" si="637"/>
        <v>1900</v>
      </c>
      <c r="P9033" s="61">
        <f t="shared" si="638"/>
        <v>1</v>
      </c>
    </row>
    <row r="9034" spans="9:16">
      <c r="I9034" s="213"/>
      <c r="J9034" s="213"/>
      <c r="L9034" s="272">
        <f t="shared" si="635"/>
        <v>1900</v>
      </c>
      <c r="M9034" s="272">
        <f t="shared" si="636"/>
        <v>1</v>
      </c>
      <c r="O9034" s="61">
        <f t="shared" si="637"/>
        <v>1900</v>
      </c>
      <c r="P9034" s="61">
        <f t="shared" si="638"/>
        <v>1</v>
      </c>
    </row>
    <row r="9035" spans="9:16">
      <c r="I9035" s="213"/>
      <c r="J9035" s="213"/>
      <c r="L9035" s="272">
        <f t="shared" si="635"/>
        <v>1900</v>
      </c>
      <c r="M9035" s="272">
        <f t="shared" si="636"/>
        <v>1</v>
      </c>
      <c r="O9035" s="61">
        <f t="shared" si="637"/>
        <v>1900</v>
      </c>
      <c r="P9035" s="61">
        <f t="shared" si="638"/>
        <v>1</v>
      </c>
    </row>
    <row r="9036" spans="9:16">
      <c r="I9036" s="213"/>
      <c r="J9036" s="213"/>
      <c r="L9036" s="272">
        <f t="shared" si="635"/>
        <v>1900</v>
      </c>
      <c r="M9036" s="272">
        <f t="shared" si="636"/>
        <v>1</v>
      </c>
      <c r="O9036" s="61">
        <f t="shared" si="637"/>
        <v>1900</v>
      </c>
      <c r="P9036" s="61">
        <f t="shared" si="638"/>
        <v>1</v>
      </c>
    </row>
    <row r="9037" spans="9:16">
      <c r="I9037" s="213"/>
      <c r="J9037" s="213"/>
      <c r="L9037" s="272">
        <f t="shared" si="635"/>
        <v>1900</v>
      </c>
      <c r="M9037" s="272">
        <f t="shared" si="636"/>
        <v>1</v>
      </c>
      <c r="O9037" s="61">
        <f t="shared" si="637"/>
        <v>1900</v>
      </c>
      <c r="P9037" s="61">
        <f t="shared" si="638"/>
        <v>1</v>
      </c>
    </row>
    <row r="9038" spans="9:16">
      <c r="I9038" s="213"/>
      <c r="J9038" s="213"/>
      <c r="L9038" s="272">
        <f t="shared" si="635"/>
        <v>1900</v>
      </c>
      <c r="M9038" s="272">
        <f t="shared" si="636"/>
        <v>1</v>
      </c>
      <c r="O9038" s="61">
        <f t="shared" si="637"/>
        <v>1900</v>
      </c>
      <c r="P9038" s="61">
        <f t="shared" si="638"/>
        <v>1</v>
      </c>
    </row>
    <row r="9039" spans="9:16">
      <c r="I9039" s="213"/>
      <c r="J9039" s="213"/>
      <c r="L9039" s="272">
        <f t="shared" si="635"/>
        <v>1900</v>
      </c>
      <c r="M9039" s="272">
        <f t="shared" si="636"/>
        <v>1</v>
      </c>
      <c r="O9039" s="61">
        <f t="shared" si="637"/>
        <v>1900</v>
      </c>
      <c r="P9039" s="61">
        <f t="shared" si="638"/>
        <v>1</v>
      </c>
    </row>
    <row r="9040" spans="9:16">
      <c r="I9040" s="213"/>
      <c r="J9040" s="213"/>
      <c r="L9040" s="272">
        <f t="shared" ref="L9040:L9103" si="639">YEAR(B9040)</f>
        <v>1900</v>
      </c>
      <c r="M9040" s="272">
        <f t="shared" ref="M9040:M9103" si="640">MONTH(B9040)</f>
        <v>1</v>
      </c>
      <c r="O9040" s="61">
        <f t="shared" ref="O9040:O9103" si="641">YEAR(B9040)</f>
        <v>1900</v>
      </c>
      <c r="P9040" s="61">
        <f t="shared" ref="P9040:P9103" si="642">MONTH(B9040)</f>
        <v>1</v>
      </c>
    </row>
    <row r="9041" spans="9:16">
      <c r="I9041" s="213"/>
      <c r="J9041" s="213"/>
      <c r="L9041" s="272">
        <f t="shared" si="639"/>
        <v>1900</v>
      </c>
      <c r="M9041" s="272">
        <f t="shared" si="640"/>
        <v>1</v>
      </c>
      <c r="O9041" s="61">
        <f t="shared" si="641"/>
        <v>1900</v>
      </c>
      <c r="P9041" s="61">
        <f t="shared" si="642"/>
        <v>1</v>
      </c>
    </row>
    <row r="9042" spans="9:16">
      <c r="I9042" s="213"/>
      <c r="J9042" s="213"/>
      <c r="L9042" s="272">
        <f t="shared" si="639"/>
        <v>1900</v>
      </c>
      <c r="M9042" s="272">
        <f t="shared" si="640"/>
        <v>1</v>
      </c>
      <c r="O9042" s="61">
        <f t="shared" si="641"/>
        <v>1900</v>
      </c>
      <c r="P9042" s="61">
        <f t="shared" si="642"/>
        <v>1</v>
      </c>
    </row>
    <row r="9043" spans="9:16">
      <c r="I9043" s="213"/>
      <c r="J9043" s="213"/>
      <c r="L9043" s="272">
        <f t="shared" si="639"/>
        <v>1900</v>
      </c>
      <c r="M9043" s="272">
        <f t="shared" si="640"/>
        <v>1</v>
      </c>
      <c r="O9043" s="61">
        <f t="shared" si="641"/>
        <v>1900</v>
      </c>
      <c r="P9043" s="61">
        <f t="shared" si="642"/>
        <v>1</v>
      </c>
    </row>
    <row r="9044" spans="9:16">
      <c r="I9044" s="213"/>
      <c r="J9044" s="213"/>
      <c r="L9044" s="272">
        <f t="shared" si="639"/>
        <v>1900</v>
      </c>
      <c r="M9044" s="272">
        <f t="shared" si="640"/>
        <v>1</v>
      </c>
      <c r="O9044" s="61">
        <f t="shared" si="641"/>
        <v>1900</v>
      </c>
      <c r="P9044" s="61">
        <f t="shared" si="642"/>
        <v>1</v>
      </c>
    </row>
    <row r="9045" spans="9:16">
      <c r="I9045" s="213"/>
      <c r="J9045" s="213"/>
      <c r="L9045" s="272">
        <f t="shared" si="639"/>
        <v>1900</v>
      </c>
      <c r="M9045" s="272">
        <f t="shared" si="640"/>
        <v>1</v>
      </c>
      <c r="O9045" s="61">
        <f t="shared" si="641"/>
        <v>1900</v>
      </c>
      <c r="P9045" s="61">
        <f t="shared" si="642"/>
        <v>1</v>
      </c>
    </row>
    <row r="9046" spans="9:16">
      <c r="I9046" s="213"/>
      <c r="J9046" s="213"/>
      <c r="L9046" s="272">
        <f t="shared" si="639"/>
        <v>1900</v>
      </c>
      <c r="M9046" s="272">
        <f t="shared" si="640"/>
        <v>1</v>
      </c>
      <c r="O9046" s="61">
        <f t="shared" si="641"/>
        <v>1900</v>
      </c>
      <c r="P9046" s="61">
        <f t="shared" si="642"/>
        <v>1</v>
      </c>
    </row>
    <row r="9047" spans="9:16">
      <c r="I9047" s="213"/>
      <c r="J9047" s="213"/>
      <c r="L9047" s="272">
        <f t="shared" si="639"/>
        <v>1900</v>
      </c>
      <c r="M9047" s="272">
        <f t="shared" si="640"/>
        <v>1</v>
      </c>
      <c r="O9047" s="61">
        <f t="shared" si="641"/>
        <v>1900</v>
      </c>
      <c r="P9047" s="61">
        <f t="shared" si="642"/>
        <v>1</v>
      </c>
    </row>
    <row r="9048" spans="9:16">
      <c r="I9048" s="213"/>
      <c r="J9048" s="213"/>
      <c r="L9048" s="272">
        <f t="shared" si="639"/>
        <v>1900</v>
      </c>
      <c r="M9048" s="272">
        <f t="shared" si="640"/>
        <v>1</v>
      </c>
      <c r="O9048" s="61">
        <f t="shared" si="641"/>
        <v>1900</v>
      </c>
      <c r="P9048" s="61">
        <f t="shared" si="642"/>
        <v>1</v>
      </c>
    </row>
    <row r="9049" spans="9:16">
      <c r="I9049" s="213"/>
      <c r="J9049" s="213"/>
      <c r="L9049" s="272">
        <f t="shared" si="639"/>
        <v>1900</v>
      </c>
      <c r="M9049" s="272">
        <f t="shared" si="640"/>
        <v>1</v>
      </c>
      <c r="O9049" s="61">
        <f t="shared" si="641"/>
        <v>1900</v>
      </c>
      <c r="P9049" s="61">
        <f t="shared" si="642"/>
        <v>1</v>
      </c>
    </row>
    <row r="9050" spans="9:16">
      <c r="I9050" s="213"/>
      <c r="J9050" s="213"/>
      <c r="L9050" s="272">
        <f t="shared" si="639"/>
        <v>1900</v>
      </c>
      <c r="M9050" s="272">
        <f t="shared" si="640"/>
        <v>1</v>
      </c>
      <c r="O9050" s="61">
        <f t="shared" si="641"/>
        <v>1900</v>
      </c>
      <c r="P9050" s="61">
        <f t="shared" si="642"/>
        <v>1</v>
      </c>
    </row>
    <row r="9051" spans="9:16">
      <c r="I9051" s="213"/>
      <c r="J9051" s="213"/>
      <c r="L9051" s="272">
        <f t="shared" si="639"/>
        <v>1900</v>
      </c>
      <c r="M9051" s="272">
        <f t="shared" si="640"/>
        <v>1</v>
      </c>
      <c r="O9051" s="61">
        <f t="shared" si="641"/>
        <v>1900</v>
      </c>
      <c r="P9051" s="61">
        <f t="shared" si="642"/>
        <v>1</v>
      </c>
    </row>
    <row r="9052" spans="9:16">
      <c r="I9052" s="213"/>
      <c r="J9052" s="213"/>
      <c r="L9052" s="272">
        <f t="shared" si="639"/>
        <v>1900</v>
      </c>
      <c r="M9052" s="272">
        <f t="shared" si="640"/>
        <v>1</v>
      </c>
      <c r="O9052" s="61">
        <f t="shared" si="641"/>
        <v>1900</v>
      </c>
      <c r="P9052" s="61">
        <f t="shared" si="642"/>
        <v>1</v>
      </c>
    </row>
    <row r="9053" spans="9:16">
      <c r="I9053" s="213"/>
      <c r="J9053" s="213"/>
      <c r="L9053" s="272">
        <f t="shared" si="639"/>
        <v>1900</v>
      </c>
      <c r="M9053" s="272">
        <f t="shared" si="640"/>
        <v>1</v>
      </c>
      <c r="O9053" s="61">
        <f t="shared" si="641"/>
        <v>1900</v>
      </c>
      <c r="P9053" s="61">
        <f t="shared" si="642"/>
        <v>1</v>
      </c>
    </row>
    <row r="9054" spans="9:16">
      <c r="I9054" s="213"/>
      <c r="J9054" s="213"/>
      <c r="L9054" s="272">
        <f t="shared" si="639"/>
        <v>1900</v>
      </c>
      <c r="M9054" s="272">
        <f t="shared" si="640"/>
        <v>1</v>
      </c>
      <c r="O9054" s="61">
        <f t="shared" si="641"/>
        <v>1900</v>
      </c>
      <c r="P9054" s="61">
        <f t="shared" si="642"/>
        <v>1</v>
      </c>
    </row>
    <row r="9055" spans="9:16">
      <c r="I9055" s="213"/>
      <c r="J9055" s="213"/>
      <c r="L9055" s="272">
        <f t="shared" si="639"/>
        <v>1900</v>
      </c>
      <c r="M9055" s="272">
        <f t="shared" si="640"/>
        <v>1</v>
      </c>
      <c r="O9055" s="61">
        <f t="shared" si="641"/>
        <v>1900</v>
      </c>
      <c r="P9055" s="61">
        <f t="shared" si="642"/>
        <v>1</v>
      </c>
    </row>
    <row r="9056" spans="9:16">
      <c r="I9056" s="213"/>
      <c r="J9056" s="213"/>
      <c r="L9056" s="272">
        <f t="shared" si="639"/>
        <v>1900</v>
      </c>
      <c r="M9056" s="272">
        <f t="shared" si="640"/>
        <v>1</v>
      </c>
      <c r="O9056" s="61">
        <f t="shared" si="641"/>
        <v>1900</v>
      </c>
      <c r="P9056" s="61">
        <f t="shared" si="642"/>
        <v>1</v>
      </c>
    </row>
    <row r="9057" spans="9:16">
      <c r="I9057" s="213"/>
      <c r="J9057" s="213"/>
      <c r="L9057" s="272">
        <f t="shared" si="639"/>
        <v>1900</v>
      </c>
      <c r="M9057" s="272">
        <f t="shared" si="640"/>
        <v>1</v>
      </c>
      <c r="O9057" s="61">
        <f t="shared" si="641"/>
        <v>1900</v>
      </c>
      <c r="P9057" s="61">
        <f t="shared" si="642"/>
        <v>1</v>
      </c>
    </row>
    <row r="9058" spans="9:16">
      <c r="I9058" s="213"/>
      <c r="J9058" s="213"/>
      <c r="L9058" s="272">
        <f t="shared" si="639"/>
        <v>1900</v>
      </c>
      <c r="M9058" s="272">
        <f t="shared" si="640"/>
        <v>1</v>
      </c>
      <c r="O9058" s="61">
        <f t="shared" si="641"/>
        <v>1900</v>
      </c>
      <c r="P9058" s="61">
        <f t="shared" si="642"/>
        <v>1</v>
      </c>
    </row>
    <row r="9059" spans="9:16">
      <c r="I9059" s="213"/>
      <c r="J9059" s="213"/>
      <c r="L9059" s="272">
        <f t="shared" si="639"/>
        <v>1900</v>
      </c>
      <c r="M9059" s="272">
        <f t="shared" si="640"/>
        <v>1</v>
      </c>
      <c r="O9059" s="61">
        <f t="shared" si="641"/>
        <v>1900</v>
      </c>
      <c r="P9059" s="61">
        <f t="shared" si="642"/>
        <v>1</v>
      </c>
    </row>
    <row r="9060" spans="9:16">
      <c r="I9060" s="213"/>
      <c r="J9060" s="213"/>
      <c r="L9060" s="272">
        <f t="shared" si="639"/>
        <v>1900</v>
      </c>
      <c r="M9060" s="272">
        <f t="shared" si="640"/>
        <v>1</v>
      </c>
      <c r="O9060" s="61">
        <f t="shared" si="641"/>
        <v>1900</v>
      </c>
      <c r="P9060" s="61">
        <f t="shared" si="642"/>
        <v>1</v>
      </c>
    </row>
    <row r="9061" spans="9:16">
      <c r="I9061" s="213"/>
      <c r="J9061" s="213"/>
      <c r="L9061" s="272">
        <f t="shared" si="639"/>
        <v>1900</v>
      </c>
      <c r="M9061" s="272">
        <f t="shared" si="640"/>
        <v>1</v>
      </c>
      <c r="O9061" s="61">
        <f t="shared" si="641"/>
        <v>1900</v>
      </c>
      <c r="P9061" s="61">
        <f t="shared" si="642"/>
        <v>1</v>
      </c>
    </row>
    <row r="9062" spans="9:16">
      <c r="I9062" s="213"/>
      <c r="J9062" s="213"/>
      <c r="L9062" s="272">
        <f t="shared" si="639"/>
        <v>1900</v>
      </c>
      <c r="M9062" s="272">
        <f t="shared" si="640"/>
        <v>1</v>
      </c>
      <c r="O9062" s="61">
        <f t="shared" si="641"/>
        <v>1900</v>
      </c>
      <c r="P9062" s="61">
        <f t="shared" si="642"/>
        <v>1</v>
      </c>
    </row>
    <row r="9063" spans="9:16">
      <c r="I9063" s="213"/>
      <c r="J9063" s="213"/>
      <c r="L9063" s="272">
        <f t="shared" si="639"/>
        <v>1900</v>
      </c>
      <c r="M9063" s="272">
        <f t="shared" si="640"/>
        <v>1</v>
      </c>
      <c r="O9063" s="61">
        <f t="shared" si="641"/>
        <v>1900</v>
      </c>
      <c r="P9063" s="61">
        <f t="shared" si="642"/>
        <v>1</v>
      </c>
    </row>
    <row r="9064" spans="9:16">
      <c r="I9064" s="213"/>
      <c r="J9064" s="213"/>
      <c r="L9064" s="272">
        <f t="shared" si="639"/>
        <v>1900</v>
      </c>
      <c r="M9064" s="272">
        <f t="shared" si="640"/>
        <v>1</v>
      </c>
      <c r="O9064" s="61">
        <f t="shared" si="641"/>
        <v>1900</v>
      </c>
      <c r="P9064" s="61">
        <f t="shared" si="642"/>
        <v>1</v>
      </c>
    </row>
    <row r="9065" spans="9:16">
      <c r="I9065" s="213"/>
      <c r="J9065" s="213"/>
      <c r="L9065" s="272">
        <f t="shared" si="639"/>
        <v>1900</v>
      </c>
      <c r="M9065" s="272">
        <f t="shared" si="640"/>
        <v>1</v>
      </c>
      <c r="O9065" s="61">
        <f t="shared" si="641"/>
        <v>1900</v>
      </c>
      <c r="P9065" s="61">
        <f t="shared" si="642"/>
        <v>1</v>
      </c>
    </row>
    <row r="9066" spans="9:16">
      <c r="I9066" s="213"/>
      <c r="J9066" s="213"/>
      <c r="L9066" s="272">
        <f t="shared" si="639"/>
        <v>1900</v>
      </c>
      <c r="M9066" s="272">
        <f t="shared" si="640"/>
        <v>1</v>
      </c>
      <c r="O9066" s="61">
        <f t="shared" si="641"/>
        <v>1900</v>
      </c>
      <c r="P9066" s="61">
        <f t="shared" si="642"/>
        <v>1</v>
      </c>
    </row>
    <row r="9067" spans="9:16">
      <c r="I9067" s="213"/>
      <c r="J9067" s="213"/>
      <c r="L9067" s="272">
        <f t="shared" si="639"/>
        <v>1900</v>
      </c>
      <c r="M9067" s="272">
        <f t="shared" si="640"/>
        <v>1</v>
      </c>
      <c r="O9067" s="61">
        <f t="shared" si="641"/>
        <v>1900</v>
      </c>
      <c r="P9067" s="61">
        <f t="shared" si="642"/>
        <v>1</v>
      </c>
    </row>
    <row r="9068" spans="9:16">
      <c r="I9068" s="213"/>
      <c r="J9068" s="213"/>
      <c r="L9068" s="272">
        <f t="shared" si="639"/>
        <v>1900</v>
      </c>
      <c r="M9068" s="272">
        <f t="shared" si="640"/>
        <v>1</v>
      </c>
      <c r="O9068" s="61">
        <f t="shared" si="641"/>
        <v>1900</v>
      </c>
      <c r="P9068" s="61">
        <f t="shared" si="642"/>
        <v>1</v>
      </c>
    </row>
    <row r="9069" spans="9:16">
      <c r="I9069" s="213"/>
      <c r="J9069" s="213"/>
      <c r="L9069" s="272">
        <f t="shared" si="639"/>
        <v>1900</v>
      </c>
      <c r="M9069" s="272">
        <f t="shared" si="640"/>
        <v>1</v>
      </c>
      <c r="O9069" s="61">
        <f t="shared" si="641"/>
        <v>1900</v>
      </c>
      <c r="P9069" s="61">
        <f t="shared" si="642"/>
        <v>1</v>
      </c>
    </row>
    <row r="9070" spans="9:16">
      <c r="I9070" s="213"/>
      <c r="J9070" s="213"/>
      <c r="L9070" s="272">
        <f t="shared" si="639"/>
        <v>1900</v>
      </c>
      <c r="M9070" s="272">
        <f t="shared" si="640"/>
        <v>1</v>
      </c>
      <c r="O9070" s="61">
        <f t="shared" si="641"/>
        <v>1900</v>
      </c>
      <c r="P9070" s="61">
        <f t="shared" si="642"/>
        <v>1</v>
      </c>
    </row>
    <row r="9071" spans="9:16">
      <c r="I9071" s="213"/>
      <c r="J9071" s="213"/>
      <c r="L9071" s="272">
        <f t="shared" si="639"/>
        <v>1900</v>
      </c>
      <c r="M9071" s="272">
        <f t="shared" si="640"/>
        <v>1</v>
      </c>
      <c r="O9071" s="61">
        <f t="shared" si="641"/>
        <v>1900</v>
      </c>
      <c r="P9071" s="61">
        <f t="shared" si="642"/>
        <v>1</v>
      </c>
    </row>
    <row r="9072" spans="9:16">
      <c r="I9072" s="213"/>
      <c r="J9072" s="213"/>
      <c r="L9072" s="272">
        <f t="shared" si="639"/>
        <v>1900</v>
      </c>
      <c r="M9072" s="272">
        <f t="shared" si="640"/>
        <v>1</v>
      </c>
      <c r="O9072" s="61">
        <f t="shared" si="641"/>
        <v>1900</v>
      </c>
      <c r="P9072" s="61">
        <f t="shared" si="642"/>
        <v>1</v>
      </c>
    </row>
    <row r="9073" spans="9:16">
      <c r="I9073" s="213"/>
      <c r="J9073" s="213"/>
      <c r="L9073" s="272">
        <f t="shared" si="639"/>
        <v>1900</v>
      </c>
      <c r="M9073" s="272">
        <f t="shared" si="640"/>
        <v>1</v>
      </c>
      <c r="O9073" s="61">
        <f t="shared" si="641"/>
        <v>1900</v>
      </c>
      <c r="P9073" s="61">
        <f t="shared" si="642"/>
        <v>1</v>
      </c>
    </row>
    <row r="9074" spans="9:16">
      <c r="I9074" s="213"/>
      <c r="J9074" s="213"/>
      <c r="L9074" s="272">
        <f t="shared" si="639"/>
        <v>1900</v>
      </c>
      <c r="M9074" s="272">
        <f t="shared" si="640"/>
        <v>1</v>
      </c>
      <c r="O9074" s="61">
        <f t="shared" si="641"/>
        <v>1900</v>
      </c>
      <c r="P9074" s="61">
        <f t="shared" si="642"/>
        <v>1</v>
      </c>
    </row>
    <row r="9075" spans="9:16">
      <c r="I9075" s="213"/>
      <c r="J9075" s="213"/>
      <c r="L9075" s="272">
        <f t="shared" si="639"/>
        <v>1900</v>
      </c>
      <c r="M9075" s="272">
        <f t="shared" si="640"/>
        <v>1</v>
      </c>
      <c r="O9075" s="61">
        <f t="shared" si="641"/>
        <v>1900</v>
      </c>
      <c r="P9075" s="61">
        <f t="shared" si="642"/>
        <v>1</v>
      </c>
    </row>
    <row r="9076" spans="9:16">
      <c r="I9076" s="213"/>
      <c r="J9076" s="213"/>
      <c r="L9076" s="272">
        <f t="shared" si="639"/>
        <v>1900</v>
      </c>
      <c r="M9076" s="272">
        <f t="shared" si="640"/>
        <v>1</v>
      </c>
      <c r="O9076" s="61">
        <f t="shared" si="641"/>
        <v>1900</v>
      </c>
      <c r="P9076" s="61">
        <f t="shared" si="642"/>
        <v>1</v>
      </c>
    </row>
    <row r="9077" spans="9:16">
      <c r="I9077" s="213"/>
      <c r="J9077" s="213"/>
      <c r="L9077" s="272">
        <f t="shared" si="639"/>
        <v>1900</v>
      </c>
      <c r="M9077" s="272">
        <f t="shared" si="640"/>
        <v>1</v>
      </c>
      <c r="O9077" s="61">
        <f t="shared" si="641"/>
        <v>1900</v>
      </c>
      <c r="P9077" s="61">
        <f t="shared" si="642"/>
        <v>1</v>
      </c>
    </row>
    <row r="9078" spans="9:16">
      <c r="I9078" s="213"/>
      <c r="J9078" s="213"/>
      <c r="L9078" s="272">
        <f t="shared" si="639"/>
        <v>1900</v>
      </c>
      <c r="M9078" s="272">
        <f t="shared" si="640"/>
        <v>1</v>
      </c>
      <c r="O9078" s="61">
        <f t="shared" si="641"/>
        <v>1900</v>
      </c>
      <c r="P9078" s="61">
        <f t="shared" si="642"/>
        <v>1</v>
      </c>
    </row>
    <row r="9079" spans="9:16">
      <c r="I9079" s="213"/>
      <c r="J9079" s="213"/>
      <c r="L9079" s="272">
        <f t="shared" si="639"/>
        <v>1900</v>
      </c>
      <c r="M9079" s="272">
        <f t="shared" si="640"/>
        <v>1</v>
      </c>
      <c r="O9079" s="61">
        <f t="shared" si="641"/>
        <v>1900</v>
      </c>
      <c r="P9079" s="61">
        <f t="shared" si="642"/>
        <v>1</v>
      </c>
    </row>
    <row r="9080" spans="9:16">
      <c r="I9080" s="213"/>
      <c r="J9080" s="213"/>
      <c r="L9080" s="272">
        <f t="shared" si="639"/>
        <v>1900</v>
      </c>
      <c r="M9080" s="272">
        <f t="shared" si="640"/>
        <v>1</v>
      </c>
      <c r="O9080" s="61">
        <f t="shared" si="641"/>
        <v>1900</v>
      </c>
      <c r="P9080" s="61">
        <f t="shared" si="642"/>
        <v>1</v>
      </c>
    </row>
    <row r="9081" spans="9:16">
      <c r="I9081" s="213"/>
      <c r="J9081" s="213"/>
      <c r="L9081" s="272">
        <f t="shared" si="639"/>
        <v>1900</v>
      </c>
      <c r="M9081" s="272">
        <f t="shared" si="640"/>
        <v>1</v>
      </c>
      <c r="O9081" s="61">
        <f t="shared" si="641"/>
        <v>1900</v>
      </c>
      <c r="P9081" s="61">
        <f t="shared" si="642"/>
        <v>1</v>
      </c>
    </row>
    <row r="9082" spans="9:16">
      <c r="I9082" s="213"/>
      <c r="J9082" s="213"/>
      <c r="L9082" s="272">
        <f t="shared" si="639"/>
        <v>1900</v>
      </c>
      <c r="M9082" s="272">
        <f t="shared" si="640"/>
        <v>1</v>
      </c>
      <c r="O9082" s="61">
        <f t="shared" si="641"/>
        <v>1900</v>
      </c>
      <c r="P9082" s="61">
        <f t="shared" si="642"/>
        <v>1</v>
      </c>
    </row>
    <row r="9083" spans="9:16">
      <c r="I9083" s="213"/>
      <c r="J9083" s="213"/>
      <c r="L9083" s="272">
        <f t="shared" si="639"/>
        <v>1900</v>
      </c>
      <c r="M9083" s="272">
        <f t="shared" si="640"/>
        <v>1</v>
      </c>
      <c r="O9083" s="61">
        <f t="shared" si="641"/>
        <v>1900</v>
      </c>
      <c r="P9083" s="61">
        <f t="shared" si="642"/>
        <v>1</v>
      </c>
    </row>
    <row r="9084" spans="9:16">
      <c r="I9084" s="213"/>
      <c r="J9084" s="213"/>
      <c r="L9084" s="272">
        <f t="shared" si="639"/>
        <v>1900</v>
      </c>
      <c r="M9084" s="272">
        <f t="shared" si="640"/>
        <v>1</v>
      </c>
      <c r="O9084" s="61">
        <f t="shared" si="641"/>
        <v>1900</v>
      </c>
      <c r="P9084" s="61">
        <f t="shared" si="642"/>
        <v>1</v>
      </c>
    </row>
    <row r="9085" spans="9:16">
      <c r="I9085" s="213"/>
      <c r="J9085" s="213"/>
      <c r="L9085" s="272">
        <f t="shared" si="639"/>
        <v>1900</v>
      </c>
      <c r="M9085" s="272">
        <f t="shared" si="640"/>
        <v>1</v>
      </c>
      <c r="O9085" s="61">
        <f t="shared" si="641"/>
        <v>1900</v>
      </c>
      <c r="P9085" s="61">
        <f t="shared" si="642"/>
        <v>1</v>
      </c>
    </row>
    <row r="9086" spans="9:16">
      <c r="I9086" s="213"/>
      <c r="J9086" s="213"/>
      <c r="L9086" s="272">
        <f t="shared" si="639"/>
        <v>1900</v>
      </c>
      <c r="M9086" s="272">
        <f t="shared" si="640"/>
        <v>1</v>
      </c>
      <c r="O9086" s="61">
        <f t="shared" si="641"/>
        <v>1900</v>
      </c>
      <c r="P9086" s="61">
        <f t="shared" si="642"/>
        <v>1</v>
      </c>
    </row>
    <row r="9087" spans="9:16">
      <c r="I9087" s="213"/>
      <c r="J9087" s="213"/>
      <c r="L9087" s="272">
        <f t="shared" si="639"/>
        <v>1900</v>
      </c>
      <c r="M9087" s="272">
        <f t="shared" si="640"/>
        <v>1</v>
      </c>
      <c r="O9087" s="61">
        <f t="shared" si="641"/>
        <v>1900</v>
      </c>
      <c r="P9087" s="61">
        <f t="shared" si="642"/>
        <v>1</v>
      </c>
    </row>
    <row r="9088" spans="9:16">
      <c r="I9088" s="213"/>
      <c r="J9088" s="213"/>
      <c r="L9088" s="272">
        <f t="shared" si="639"/>
        <v>1900</v>
      </c>
      <c r="M9088" s="272">
        <f t="shared" si="640"/>
        <v>1</v>
      </c>
      <c r="O9088" s="61">
        <f t="shared" si="641"/>
        <v>1900</v>
      </c>
      <c r="P9088" s="61">
        <f t="shared" si="642"/>
        <v>1</v>
      </c>
    </row>
    <row r="9089" spans="9:16">
      <c r="I9089" s="213"/>
      <c r="J9089" s="213"/>
      <c r="L9089" s="272">
        <f t="shared" si="639"/>
        <v>1900</v>
      </c>
      <c r="M9089" s="272">
        <f t="shared" si="640"/>
        <v>1</v>
      </c>
      <c r="O9089" s="61">
        <f t="shared" si="641"/>
        <v>1900</v>
      </c>
      <c r="P9089" s="61">
        <f t="shared" si="642"/>
        <v>1</v>
      </c>
    </row>
    <row r="9090" spans="9:16">
      <c r="I9090" s="213"/>
      <c r="J9090" s="213"/>
      <c r="L9090" s="272">
        <f t="shared" si="639"/>
        <v>1900</v>
      </c>
      <c r="M9090" s="272">
        <f t="shared" si="640"/>
        <v>1</v>
      </c>
      <c r="O9090" s="61">
        <f t="shared" si="641"/>
        <v>1900</v>
      </c>
      <c r="P9090" s="61">
        <f t="shared" si="642"/>
        <v>1</v>
      </c>
    </row>
    <row r="9091" spans="9:16">
      <c r="I9091" s="213"/>
      <c r="J9091" s="213"/>
      <c r="L9091" s="272">
        <f t="shared" si="639"/>
        <v>1900</v>
      </c>
      <c r="M9091" s="272">
        <f t="shared" si="640"/>
        <v>1</v>
      </c>
      <c r="O9091" s="61">
        <f t="shared" si="641"/>
        <v>1900</v>
      </c>
      <c r="P9091" s="61">
        <f t="shared" si="642"/>
        <v>1</v>
      </c>
    </row>
    <row r="9092" spans="9:16">
      <c r="I9092" s="213"/>
      <c r="J9092" s="213"/>
      <c r="L9092" s="272">
        <f t="shared" si="639"/>
        <v>1900</v>
      </c>
      <c r="M9092" s="272">
        <f t="shared" si="640"/>
        <v>1</v>
      </c>
      <c r="O9092" s="61">
        <f t="shared" si="641"/>
        <v>1900</v>
      </c>
      <c r="P9092" s="61">
        <f t="shared" si="642"/>
        <v>1</v>
      </c>
    </row>
    <row r="9093" spans="9:16">
      <c r="I9093" s="213"/>
      <c r="J9093" s="213"/>
      <c r="L9093" s="272">
        <f t="shared" si="639"/>
        <v>1900</v>
      </c>
      <c r="M9093" s="272">
        <f t="shared" si="640"/>
        <v>1</v>
      </c>
      <c r="O9093" s="61">
        <f t="shared" si="641"/>
        <v>1900</v>
      </c>
      <c r="P9093" s="61">
        <f t="shared" si="642"/>
        <v>1</v>
      </c>
    </row>
    <row r="9094" spans="9:16">
      <c r="I9094" s="213"/>
      <c r="J9094" s="213"/>
      <c r="L9094" s="272">
        <f t="shared" si="639"/>
        <v>1900</v>
      </c>
      <c r="M9094" s="272">
        <f t="shared" si="640"/>
        <v>1</v>
      </c>
      <c r="O9094" s="61">
        <f t="shared" si="641"/>
        <v>1900</v>
      </c>
      <c r="P9094" s="61">
        <f t="shared" si="642"/>
        <v>1</v>
      </c>
    </row>
    <row r="9095" spans="9:16">
      <c r="I9095" s="213"/>
      <c r="J9095" s="213"/>
      <c r="L9095" s="272">
        <f t="shared" si="639"/>
        <v>1900</v>
      </c>
      <c r="M9095" s="272">
        <f t="shared" si="640"/>
        <v>1</v>
      </c>
      <c r="O9095" s="61">
        <f t="shared" si="641"/>
        <v>1900</v>
      </c>
      <c r="P9095" s="61">
        <f t="shared" si="642"/>
        <v>1</v>
      </c>
    </row>
    <row r="9096" spans="9:16">
      <c r="I9096" s="213"/>
      <c r="J9096" s="213"/>
      <c r="L9096" s="272">
        <f t="shared" si="639"/>
        <v>1900</v>
      </c>
      <c r="M9096" s="272">
        <f t="shared" si="640"/>
        <v>1</v>
      </c>
      <c r="O9096" s="61">
        <f t="shared" si="641"/>
        <v>1900</v>
      </c>
      <c r="P9096" s="61">
        <f t="shared" si="642"/>
        <v>1</v>
      </c>
    </row>
    <row r="9097" spans="9:16">
      <c r="I9097" s="213"/>
      <c r="J9097" s="213"/>
      <c r="L9097" s="272">
        <f t="shared" si="639"/>
        <v>1900</v>
      </c>
      <c r="M9097" s="272">
        <f t="shared" si="640"/>
        <v>1</v>
      </c>
      <c r="O9097" s="61">
        <f t="shared" si="641"/>
        <v>1900</v>
      </c>
      <c r="P9097" s="61">
        <f t="shared" si="642"/>
        <v>1</v>
      </c>
    </row>
    <row r="9098" spans="9:16">
      <c r="I9098" s="213"/>
      <c r="J9098" s="213"/>
      <c r="L9098" s="272">
        <f t="shared" si="639"/>
        <v>1900</v>
      </c>
      <c r="M9098" s="272">
        <f t="shared" si="640"/>
        <v>1</v>
      </c>
      <c r="O9098" s="61">
        <f t="shared" si="641"/>
        <v>1900</v>
      </c>
      <c r="P9098" s="61">
        <f t="shared" si="642"/>
        <v>1</v>
      </c>
    </row>
    <row r="9099" spans="9:16">
      <c r="I9099" s="213"/>
      <c r="J9099" s="213"/>
      <c r="L9099" s="272">
        <f t="shared" si="639"/>
        <v>1900</v>
      </c>
      <c r="M9099" s="272">
        <f t="shared" si="640"/>
        <v>1</v>
      </c>
      <c r="O9099" s="61">
        <f t="shared" si="641"/>
        <v>1900</v>
      </c>
      <c r="P9099" s="61">
        <f t="shared" si="642"/>
        <v>1</v>
      </c>
    </row>
    <row r="9100" spans="9:16">
      <c r="I9100" s="213"/>
      <c r="J9100" s="213"/>
      <c r="L9100" s="272">
        <f t="shared" si="639"/>
        <v>1900</v>
      </c>
      <c r="M9100" s="272">
        <f t="shared" si="640"/>
        <v>1</v>
      </c>
      <c r="O9100" s="61">
        <f t="shared" si="641"/>
        <v>1900</v>
      </c>
      <c r="P9100" s="61">
        <f t="shared" si="642"/>
        <v>1</v>
      </c>
    </row>
    <row r="9101" spans="9:16">
      <c r="I9101" s="213"/>
      <c r="J9101" s="213"/>
      <c r="L9101" s="272">
        <f t="shared" si="639"/>
        <v>1900</v>
      </c>
      <c r="M9101" s="272">
        <f t="shared" si="640"/>
        <v>1</v>
      </c>
      <c r="O9101" s="61">
        <f t="shared" si="641"/>
        <v>1900</v>
      </c>
      <c r="P9101" s="61">
        <f t="shared" si="642"/>
        <v>1</v>
      </c>
    </row>
    <row r="9102" spans="9:16">
      <c r="I9102" s="213"/>
      <c r="J9102" s="213"/>
      <c r="L9102" s="272">
        <f t="shared" si="639"/>
        <v>1900</v>
      </c>
      <c r="M9102" s="272">
        <f t="shared" si="640"/>
        <v>1</v>
      </c>
      <c r="O9102" s="61">
        <f t="shared" si="641"/>
        <v>1900</v>
      </c>
      <c r="P9102" s="61">
        <f t="shared" si="642"/>
        <v>1</v>
      </c>
    </row>
    <row r="9103" spans="9:16">
      <c r="I9103" s="213"/>
      <c r="J9103" s="213"/>
      <c r="L9103" s="272">
        <f t="shared" si="639"/>
        <v>1900</v>
      </c>
      <c r="M9103" s="272">
        <f t="shared" si="640"/>
        <v>1</v>
      </c>
      <c r="O9103" s="61">
        <f t="shared" si="641"/>
        <v>1900</v>
      </c>
      <c r="P9103" s="61">
        <f t="shared" si="642"/>
        <v>1</v>
      </c>
    </row>
    <row r="9104" spans="9:16">
      <c r="I9104" s="213"/>
      <c r="J9104" s="213"/>
      <c r="L9104" s="272">
        <f t="shared" ref="L9104:L9167" si="643">YEAR(B9104)</f>
        <v>1900</v>
      </c>
      <c r="M9104" s="272">
        <f t="shared" ref="M9104:M9167" si="644">MONTH(B9104)</f>
        <v>1</v>
      </c>
      <c r="O9104" s="61">
        <f t="shared" ref="O9104:O9167" si="645">YEAR(B9104)</f>
        <v>1900</v>
      </c>
      <c r="P9104" s="61">
        <f t="shared" ref="P9104:P9167" si="646">MONTH(B9104)</f>
        <v>1</v>
      </c>
    </row>
    <row r="9105" spans="9:16">
      <c r="I9105" s="213"/>
      <c r="J9105" s="213"/>
      <c r="L9105" s="272">
        <f t="shared" si="643"/>
        <v>1900</v>
      </c>
      <c r="M9105" s="272">
        <f t="shared" si="644"/>
        <v>1</v>
      </c>
      <c r="O9105" s="61">
        <f t="shared" si="645"/>
        <v>1900</v>
      </c>
      <c r="P9105" s="61">
        <f t="shared" si="646"/>
        <v>1</v>
      </c>
    </row>
    <row r="9106" spans="9:16">
      <c r="I9106" s="213"/>
      <c r="J9106" s="213"/>
      <c r="L9106" s="272">
        <f t="shared" si="643"/>
        <v>1900</v>
      </c>
      <c r="M9106" s="272">
        <f t="shared" si="644"/>
        <v>1</v>
      </c>
      <c r="O9106" s="61">
        <f t="shared" si="645"/>
        <v>1900</v>
      </c>
      <c r="P9106" s="61">
        <f t="shared" si="646"/>
        <v>1</v>
      </c>
    </row>
    <row r="9107" spans="9:16">
      <c r="I9107" s="213"/>
      <c r="J9107" s="213"/>
      <c r="L9107" s="272">
        <f t="shared" si="643"/>
        <v>1900</v>
      </c>
      <c r="M9107" s="272">
        <f t="shared" si="644"/>
        <v>1</v>
      </c>
      <c r="O9107" s="61">
        <f t="shared" si="645"/>
        <v>1900</v>
      </c>
      <c r="P9107" s="61">
        <f t="shared" si="646"/>
        <v>1</v>
      </c>
    </row>
    <row r="9108" spans="9:16">
      <c r="I9108" s="213"/>
      <c r="J9108" s="213"/>
      <c r="L9108" s="272">
        <f t="shared" si="643"/>
        <v>1900</v>
      </c>
      <c r="M9108" s="272">
        <f t="shared" si="644"/>
        <v>1</v>
      </c>
      <c r="O9108" s="61">
        <f t="shared" si="645"/>
        <v>1900</v>
      </c>
      <c r="P9108" s="61">
        <f t="shared" si="646"/>
        <v>1</v>
      </c>
    </row>
    <row r="9109" spans="9:16">
      <c r="I9109" s="213"/>
      <c r="J9109" s="213"/>
      <c r="L9109" s="272">
        <f t="shared" si="643"/>
        <v>1900</v>
      </c>
      <c r="M9109" s="272">
        <f t="shared" si="644"/>
        <v>1</v>
      </c>
      <c r="O9109" s="61">
        <f t="shared" si="645"/>
        <v>1900</v>
      </c>
      <c r="P9109" s="61">
        <f t="shared" si="646"/>
        <v>1</v>
      </c>
    </row>
    <row r="9110" spans="9:16">
      <c r="I9110" s="213"/>
      <c r="J9110" s="213"/>
      <c r="L9110" s="272">
        <f t="shared" si="643"/>
        <v>1900</v>
      </c>
      <c r="M9110" s="272">
        <f t="shared" si="644"/>
        <v>1</v>
      </c>
      <c r="O9110" s="61">
        <f t="shared" si="645"/>
        <v>1900</v>
      </c>
      <c r="P9110" s="61">
        <f t="shared" si="646"/>
        <v>1</v>
      </c>
    </row>
    <row r="9111" spans="9:16">
      <c r="I9111" s="213"/>
      <c r="J9111" s="213"/>
      <c r="L9111" s="272">
        <f t="shared" si="643"/>
        <v>1900</v>
      </c>
      <c r="M9111" s="272">
        <f t="shared" si="644"/>
        <v>1</v>
      </c>
      <c r="O9111" s="61">
        <f t="shared" si="645"/>
        <v>1900</v>
      </c>
      <c r="P9111" s="61">
        <f t="shared" si="646"/>
        <v>1</v>
      </c>
    </row>
    <row r="9112" spans="9:16">
      <c r="I9112" s="213"/>
      <c r="J9112" s="213"/>
      <c r="L9112" s="272">
        <f t="shared" si="643"/>
        <v>1900</v>
      </c>
      <c r="M9112" s="272">
        <f t="shared" si="644"/>
        <v>1</v>
      </c>
      <c r="O9112" s="61">
        <f t="shared" si="645"/>
        <v>1900</v>
      </c>
      <c r="P9112" s="61">
        <f t="shared" si="646"/>
        <v>1</v>
      </c>
    </row>
    <row r="9113" spans="9:16">
      <c r="I9113" s="213"/>
      <c r="J9113" s="213"/>
      <c r="L9113" s="272">
        <f t="shared" si="643"/>
        <v>1900</v>
      </c>
      <c r="M9113" s="272">
        <f t="shared" si="644"/>
        <v>1</v>
      </c>
      <c r="O9113" s="61">
        <f t="shared" si="645"/>
        <v>1900</v>
      </c>
      <c r="P9113" s="61">
        <f t="shared" si="646"/>
        <v>1</v>
      </c>
    </row>
    <row r="9114" spans="9:16">
      <c r="I9114" s="213"/>
      <c r="J9114" s="213"/>
      <c r="L9114" s="272">
        <f t="shared" si="643"/>
        <v>1900</v>
      </c>
      <c r="M9114" s="272">
        <f t="shared" si="644"/>
        <v>1</v>
      </c>
      <c r="O9114" s="61">
        <f t="shared" si="645"/>
        <v>1900</v>
      </c>
      <c r="P9114" s="61">
        <f t="shared" si="646"/>
        <v>1</v>
      </c>
    </row>
    <row r="9115" spans="9:16">
      <c r="I9115" s="213"/>
      <c r="J9115" s="213"/>
      <c r="L9115" s="272">
        <f t="shared" si="643"/>
        <v>1900</v>
      </c>
      <c r="M9115" s="272">
        <f t="shared" si="644"/>
        <v>1</v>
      </c>
      <c r="O9115" s="61">
        <f t="shared" si="645"/>
        <v>1900</v>
      </c>
      <c r="P9115" s="61">
        <f t="shared" si="646"/>
        <v>1</v>
      </c>
    </row>
    <row r="9116" spans="9:16">
      <c r="I9116" s="213"/>
      <c r="J9116" s="213"/>
      <c r="L9116" s="272">
        <f t="shared" si="643"/>
        <v>1900</v>
      </c>
      <c r="M9116" s="272">
        <f t="shared" si="644"/>
        <v>1</v>
      </c>
      <c r="O9116" s="61">
        <f t="shared" si="645"/>
        <v>1900</v>
      </c>
      <c r="P9116" s="61">
        <f t="shared" si="646"/>
        <v>1</v>
      </c>
    </row>
    <row r="9117" spans="9:16">
      <c r="I9117" s="213"/>
      <c r="J9117" s="213"/>
      <c r="L9117" s="272">
        <f t="shared" si="643"/>
        <v>1900</v>
      </c>
      <c r="M9117" s="272">
        <f t="shared" si="644"/>
        <v>1</v>
      </c>
      <c r="O9117" s="61">
        <f t="shared" si="645"/>
        <v>1900</v>
      </c>
      <c r="P9117" s="61">
        <f t="shared" si="646"/>
        <v>1</v>
      </c>
    </row>
    <row r="9118" spans="9:16">
      <c r="I9118" s="213"/>
      <c r="J9118" s="213"/>
      <c r="L9118" s="272">
        <f t="shared" si="643"/>
        <v>1900</v>
      </c>
      <c r="M9118" s="272">
        <f t="shared" si="644"/>
        <v>1</v>
      </c>
      <c r="O9118" s="61">
        <f t="shared" si="645"/>
        <v>1900</v>
      </c>
      <c r="P9118" s="61">
        <f t="shared" si="646"/>
        <v>1</v>
      </c>
    </row>
    <row r="9119" spans="9:16">
      <c r="I9119" s="213"/>
      <c r="J9119" s="213"/>
      <c r="L9119" s="272">
        <f t="shared" si="643"/>
        <v>1900</v>
      </c>
      <c r="M9119" s="272">
        <f t="shared" si="644"/>
        <v>1</v>
      </c>
      <c r="O9119" s="61">
        <f t="shared" si="645"/>
        <v>1900</v>
      </c>
      <c r="P9119" s="61">
        <f t="shared" si="646"/>
        <v>1</v>
      </c>
    </row>
    <row r="9120" spans="9:16">
      <c r="I9120" s="213"/>
      <c r="J9120" s="213"/>
      <c r="L9120" s="272">
        <f t="shared" si="643"/>
        <v>1900</v>
      </c>
      <c r="M9120" s="272">
        <f t="shared" si="644"/>
        <v>1</v>
      </c>
      <c r="O9120" s="61">
        <f t="shared" si="645"/>
        <v>1900</v>
      </c>
      <c r="P9120" s="61">
        <f t="shared" si="646"/>
        <v>1</v>
      </c>
    </row>
    <row r="9121" spans="9:16">
      <c r="I9121" s="213"/>
      <c r="J9121" s="213"/>
      <c r="L9121" s="272">
        <f t="shared" si="643"/>
        <v>1900</v>
      </c>
      <c r="M9121" s="272">
        <f t="shared" si="644"/>
        <v>1</v>
      </c>
      <c r="O9121" s="61">
        <f t="shared" si="645"/>
        <v>1900</v>
      </c>
      <c r="P9121" s="61">
        <f t="shared" si="646"/>
        <v>1</v>
      </c>
    </row>
    <row r="9122" spans="9:16">
      <c r="I9122" s="213"/>
      <c r="J9122" s="213"/>
      <c r="L9122" s="272">
        <f t="shared" si="643"/>
        <v>1900</v>
      </c>
      <c r="M9122" s="272">
        <f t="shared" si="644"/>
        <v>1</v>
      </c>
      <c r="O9122" s="61">
        <f t="shared" si="645"/>
        <v>1900</v>
      </c>
      <c r="P9122" s="61">
        <f t="shared" si="646"/>
        <v>1</v>
      </c>
    </row>
    <row r="9123" spans="9:16">
      <c r="I9123" s="213"/>
      <c r="J9123" s="213"/>
      <c r="L9123" s="272">
        <f t="shared" si="643"/>
        <v>1900</v>
      </c>
      <c r="M9123" s="272">
        <f t="shared" si="644"/>
        <v>1</v>
      </c>
      <c r="O9123" s="61">
        <f t="shared" si="645"/>
        <v>1900</v>
      </c>
      <c r="P9123" s="61">
        <f t="shared" si="646"/>
        <v>1</v>
      </c>
    </row>
    <row r="9124" spans="9:16">
      <c r="I9124" s="213"/>
      <c r="J9124" s="213"/>
      <c r="L9124" s="272">
        <f t="shared" si="643"/>
        <v>1900</v>
      </c>
      <c r="M9124" s="272">
        <f t="shared" si="644"/>
        <v>1</v>
      </c>
      <c r="O9124" s="61">
        <f t="shared" si="645"/>
        <v>1900</v>
      </c>
      <c r="P9124" s="61">
        <f t="shared" si="646"/>
        <v>1</v>
      </c>
    </row>
    <row r="9125" spans="9:16">
      <c r="I9125" s="213"/>
      <c r="J9125" s="213"/>
      <c r="L9125" s="272">
        <f t="shared" si="643"/>
        <v>1900</v>
      </c>
      <c r="M9125" s="272">
        <f t="shared" si="644"/>
        <v>1</v>
      </c>
      <c r="O9125" s="61">
        <f t="shared" si="645"/>
        <v>1900</v>
      </c>
      <c r="P9125" s="61">
        <f t="shared" si="646"/>
        <v>1</v>
      </c>
    </row>
    <row r="9126" spans="9:16">
      <c r="I9126" s="213"/>
      <c r="J9126" s="213"/>
      <c r="L9126" s="272">
        <f t="shared" si="643"/>
        <v>1900</v>
      </c>
      <c r="M9126" s="272">
        <f t="shared" si="644"/>
        <v>1</v>
      </c>
      <c r="O9126" s="61">
        <f t="shared" si="645"/>
        <v>1900</v>
      </c>
      <c r="P9126" s="61">
        <f t="shared" si="646"/>
        <v>1</v>
      </c>
    </row>
    <row r="9127" spans="9:16">
      <c r="I9127" s="213"/>
      <c r="J9127" s="213"/>
      <c r="L9127" s="272">
        <f t="shared" si="643"/>
        <v>1900</v>
      </c>
      <c r="M9127" s="272">
        <f t="shared" si="644"/>
        <v>1</v>
      </c>
      <c r="O9127" s="61">
        <f t="shared" si="645"/>
        <v>1900</v>
      </c>
      <c r="P9127" s="61">
        <f t="shared" si="646"/>
        <v>1</v>
      </c>
    </row>
    <row r="9128" spans="9:16">
      <c r="I9128" s="213"/>
      <c r="J9128" s="213"/>
      <c r="L9128" s="272">
        <f t="shared" si="643"/>
        <v>1900</v>
      </c>
      <c r="M9128" s="272">
        <f t="shared" si="644"/>
        <v>1</v>
      </c>
      <c r="O9128" s="61">
        <f t="shared" si="645"/>
        <v>1900</v>
      </c>
      <c r="P9128" s="61">
        <f t="shared" si="646"/>
        <v>1</v>
      </c>
    </row>
    <row r="9129" spans="9:16">
      <c r="I9129" s="213"/>
      <c r="J9129" s="213"/>
      <c r="L9129" s="272">
        <f t="shared" si="643"/>
        <v>1900</v>
      </c>
      <c r="M9129" s="272">
        <f t="shared" si="644"/>
        <v>1</v>
      </c>
      <c r="O9129" s="61">
        <f t="shared" si="645"/>
        <v>1900</v>
      </c>
      <c r="P9129" s="61">
        <f t="shared" si="646"/>
        <v>1</v>
      </c>
    </row>
    <row r="9130" spans="9:16">
      <c r="I9130" s="213"/>
      <c r="J9130" s="213"/>
      <c r="L9130" s="272">
        <f t="shared" si="643"/>
        <v>1900</v>
      </c>
      <c r="M9130" s="272">
        <f t="shared" si="644"/>
        <v>1</v>
      </c>
      <c r="O9130" s="61">
        <f t="shared" si="645"/>
        <v>1900</v>
      </c>
      <c r="P9130" s="61">
        <f t="shared" si="646"/>
        <v>1</v>
      </c>
    </row>
    <row r="9131" spans="9:16">
      <c r="I9131" s="213"/>
      <c r="J9131" s="213"/>
      <c r="L9131" s="272">
        <f t="shared" si="643"/>
        <v>1900</v>
      </c>
      <c r="M9131" s="272">
        <f t="shared" si="644"/>
        <v>1</v>
      </c>
      <c r="O9131" s="61">
        <f t="shared" si="645"/>
        <v>1900</v>
      </c>
      <c r="P9131" s="61">
        <f t="shared" si="646"/>
        <v>1</v>
      </c>
    </row>
    <row r="9132" spans="9:16">
      <c r="I9132" s="213"/>
      <c r="J9132" s="213"/>
      <c r="L9132" s="272">
        <f t="shared" si="643"/>
        <v>1900</v>
      </c>
      <c r="M9132" s="272">
        <f t="shared" si="644"/>
        <v>1</v>
      </c>
      <c r="O9132" s="61">
        <f t="shared" si="645"/>
        <v>1900</v>
      </c>
      <c r="P9132" s="61">
        <f t="shared" si="646"/>
        <v>1</v>
      </c>
    </row>
    <row r="9133" spans="9:16">
      <c r="I9133" s="213"/>
      <c r="J9133" s="213"/>
      <c r="L9133" s="272">
        <f t="shared" si="643"/>
        <v>1900</v>
      </c>
      <c r="M9133" s="272">
        <f t="shared" si="644"/>
        <v>1</v>
      </c>
      <c r="O9133" s="61">
        <f t="shared" si="645"/>
        <v>1900</v>
      </c>
      <c r="P9133" s="61">
        <f t="shared" si="646"/>
        <v>1</v>
      </c>
    </row>
    <row r="9134" spans="9:16">
      <c r="I9134" s="213"/>
      <c r="J9134" s="213"/>
      <c r="L9134" s="272">
        <f t="shared" si="643"/>
        <v>1900</v>
      </c>
      <c r="M9134" s="272">
        <f t="shared" si="644"/>
        <v>1</v>
      </c>
      <c r="O9134" s="61">
        <f t="shared" si="645"/>
        <v>1900</v>
      </c>
      <c r="P9134" s="61">
        <f t="shared" si="646"/>
        <v>1</v>
      </c>
    </row>
    <row r="9135" spans="9:16">
      <c r="I9135" s="213"/>
      <c r="J9135" s="213"/>
      <c r="L9135" s="272">
        <f t="shared" si="643"/>
        <v>1900</v>
      </c>
      <c r="M9135" s="272">
        <f t="shared" si="644"/>
        <v>1</v>
      </c>
      <c r="O9135" s="61">
        <f t="shared" si="645"/>
        <v>1900</v>
      </c>
      <c r="P9135" s="61">
        <f t="shared" si="646"/>
        <v>1</v>
      </c>
    </row>
    <row r="9136" spans="9:16">
      <c r="I9136" s="213"/>
      <c r="J9136" s="213"/>
      <c r="L9136" s="272">
        <f t="shared" si="643"/>
        <v>1900</v>
      </c>
      <c r="M9136" s="272">
        <f t="shared" si="644"/>
        <v>1</v>
      </c>
      <c r="O9136" s="61">
        <f t="shared" si="645"/>
        <v>1900</v>
      </c>
      <c r="P9136" s="61">
        <f t="shared" si="646"/>
        <v>1</v>
      </c>
    </row>
    <row r="9137" spans="9:16">
      <c r="I9137" s="213"/>
      <c r="J9137" s="213"/>
      <c r="L9137" s="272">
        <f t="shared" si="643"/>
        <v>1900</v>
      </c>
      <c r="M9137" s="272">
        <f t="shared" si="644"/>
        <v>1</v>
      </c>
      <c r="O9137" s="61">
        <f t="shared" si="645"/>
        <v>1900</v>
      </c>
      <c r="P9137" s="61">
        <f t="shared" si="646"/>
        <v>1</v>
      </c>
    </row>
    <row r="9138" spans="9:16">
      <c r="I9138" s="213"/>
      <c r="J9138" s="213"/>
      <c r="L9138" s="272">
        <f t="shared" si="643"/>
        <v>1900</v>
      </c>
      <c r="M9138" s="272">
        <f t="shared" si="644"/>
        <v>1</v>
      </c>
      <c r="O9138" s="61">
        <f t="shared" si="645"/>
        <v>1900</v>
      </c>
      <c r="P9138" s="61">
        <f t="shared" si="646"/>
        <v>1</v>
      </c>
    </row>
    <row r="9139" spans="9:16">
      <c r="I9139" s="213"/>
      <c r="J9139" s="213"/>
      <c r="L9139" s="272">
        <f t="shared" si="643"/>
        <v>1900</v>
      </c>
      <c r="M9139" s="272">
        <f t="shared" si="644"/>
        <v>1</v>
      </c>
      <c r="O9139" s="61">
        <f t="shared" si="645"/>
        <v>1900</v>
      </c>
      <c r="P9139" s="61">
        <f t="shared" si="646"/>
        <v>1</v>
      </c>
    </row>
    <row r="9140" spans="9:16">
      <c r="I9140" s="213"/>
      <c r="J9140" s="213"/>
      <c r="L9140" s="272">
        <f t="shared" si="643"/>
        <v>1900</v>
      </c>
      <c r="M9140" s="272">
        <f t="shared" si="644"/>
        <v>1</v>
      </c>
      <c r="O9140" s="61">
        <f t="shared" si="645"/>
        <v>1900</v>
      </c>
      <c r="P9140" s="61">
        <f t="shared" si="646"/>
        <v>1</v>
      </c>
    </row>
    <row r="9141" spans="9:16">
      <c r="I9141" s="213"/>
      <c r="J9141" s="213"/>
      <c r="L9141" s="272">
        <f t="shared" si="643"/>
        <v>1900</v>
      </c>
      <c r="M9141" s="272">
        <f t="shared" si="644"/>
        <v>1</v>
      </c>
      <c r="O9141" s="61">
        <f t="shared" si="645"/>
        <v>1900</v>
      </c>
      <c r="P9141" s="61">
        <f t="shared" si="646"/>
        <v>1</v>
      </c>
    </row>
    <row r="9142" spans="9:16">
      <c r="I9142" s="213"/>
      <c r="J9142" s="213"/>
      <c r="L9142" s="272">
        <f t="shared" si="643"/>
        <v>1900</v>
      </c>
      <c r="M9142" s="272">
        <f t="shared" si="644"/>
        <v>1</v>
      </c>
      <c r="O9142" s="61">
        <f t="shared" si="645"/>
        <v>1900</v>
      </c>
      <c r="P9142" s="61">
        <f t="shared" si="646"/>
        <v>1</v>
      </c>
    </row>
    <row r="9143" spans="9:16">
      <c r="I9143" s="213"/>
      <c r="J9143" s="213"/>
      <c r="L9143" s="272">
        <f t="shared" si="643"/>
        <v>1900</v>
      </c>
      <c r="M9143" s="272">
        <f t="shared" si="644"/>
        <v>1</v>
      </c>
      <c r="O9143" s="61">
        <f t="shared" si="645"/>
        <v>1900</v>
      </c>
      <c r="P9143" s="61">
        <f t="shared" si="646"/>
        <v>1</v>
      </c>
    </row>
    <row r="9144" spans="9:16">
      <c r="I9144" s="213"/>
      <c r="J9144" s="213"/>
      <c r="L9144" s="272">
        <f t="shared" si="643"/>
        <v>1900</v>
      </c>
      <c r="M9144" s="272">
        <f t="shared" si="644"/>
        <v>1</v>
      </c>
      <c r="O9144" s="61">
        <f t="shared" si="645"/>
        <v>1900</v>
      </c>
      <c r="P9144" s="61">
        <f t="shared" si="646"/>
        <v>1</v>
      </c>
    </row>
    <row r="9145" spans="9:16">
      <c r="I9145" s="213"/>
      <c r="J9145" s="213"/>
      <c r="L9145" s="272">
        <f t="shared" si="643"/>
        <v>1900</v>
      </c>
      <c r="M9145" s="272">
        <f t="shared" si="644"/>
        <v>1</v>
      </c>
      <c r="O9145" s="61">
        <f t="shared" si="645"/>
        <v>1900</v>
      </c>
      <c r="P9145" s="61">
        <f t="shared" si="646"/>
        <v>1</v>
      </c>
    </row>
    <row r="9146" spans="9:16">
      <c r="I9146" s="213"/>
      <c r="J9146" s="213"/>
      <c r="L9146" s="272">
        <f t="shared" si="643"/>
        <v>1900</v>
      </c>
      <c r="M9146" s="272">
        <f t="shared" si="644"/>
        <v>1</v>
      </c>
      <c r="O9146" s="61">
        <f t="shared" si="645"/>
        <v>1900</v>
      </c>
      <c r="P9146" s="61">
        <f t="shared" si="646"/>
        <v>1</v>
      </c>
    </row>
    <row r="9147" spans="9:16">
      <c r="I9147" s="213"/>
      <c r="J9147" s="213"/>
      <c r="L9147" s="272">
        <f t="shared" si="643"/>
        <v>1900</v>
      </c>
      <c r="M9147" s="272">
        <f t="shared" si="644"/>
        <v>1</v>
      </c>
      <c r="O9147" s="61">
        <f t="shared" si="645"/>
        <v>1900</v>
      </c>
      <c r="P9147" s="61">
        <f t="shared" si="646"/>
        <v>1</v>
      </c>
    </row>
    <row r="9148" spans="9:16">
      <c r="I9148" s="213"/>
      <c r="J9148" s="213"/>
      <c r="L9148" s="272">
        <f t="shared" si="643"/>
        <v>1900</v>
      </c>
      <c r="M9148" s="272">
        <f t="shared" si="644"/>
        <v>1</v>
      </c>
      <c r="O9148" s="61">
        <f t="shared" si="645"/>
        <v>1900</v>
      </c>
      <c r="P9148" s="61">
        <f t="shared" si="646"/>
        <v>1</v>
      </c>
    </row>
    <row r="9149" spans="9:16">
      <c r="I9149" s="213"/>
      <c r="J9149" s="213"/>
      <c r="L9149" s="272">
        <f t="shared" si="643"/>
        <v>1900</v>
      </c>
      <c r="M9149" s="272">
        <f t="shared" si="644"/>
        <v>1</v>
      </c>
      <c r="O9149" s="61">
        <f t="shared" si="645"/>
        <v>1900</v>
      </c>
      <c r="P9149" s="61">
        <f t="shared" si="646"/>
        <v>1</v>
      </c>
    </row>
    <row r="9150" spans="9:16">
      <c r="I9150" s="213"/>
      <c r="J9150" s="213"/>
      <c r="L9150" s="272">
        <f t="shared" si="643"/>
        <v>1900</v>
      </c>
      <c r="M9150" s="272">
        <f t="shared" si="644"/>
        <v>1</v>
      </c>
      <c r="O9150" s="61">
        <f t="shared" si="645"/>
        <v>1900</v>
      </c>
      <c r="P9150" s="61">
        <f t="shared" si="646"/>
        <v>1</v>
      </c>
    </row>
    <row r="9151" spans="9:16">
      <c r="I9151" s="213"/>
      <c r="J9151" s="213"/>
      <c r="L9151" s="272">
        <f t="shared" si="643"/>
        <v>1900</v>
      </c>
      <c r="M9151" s="272">
        <f t="shared" si="644"/>
        <v>1</v>
      </c>
      <c r="O9151" s="61">
        <f t="shared" si="645"/>
        <v>1900</v>
      </c>
      <c r="P9151" s="61">
        <f t="shared" si="646"/>
        <v>1</v>
      </c>
    </row>
    <row r="9152" spans="9:16">
      <c r="I9152" s="213"/>
      <c r="J9152" s="213"/>
      <c r="L9152" s="272">
        <f t="shared" si="643"/>
        <v>1900</v>
      </c>
      <c r="M9152" s="272">
        <f t="shared" si="644"/>
        <v>1</v>
      </c>
      <c r="O9152" s="61">
        <f t="shared" si="645"/>
        <v>1900</v>
      </c>
      <c r="P9152" s="61">
        <f t="shared" si="646"/>
        <v>1</v>
      </c>
    </row>
    <row r="9153" spans="9:16">
      <c r="I9153" s="213"/>
      <c r="J9153" s="213"/>
      <c r="L9153" s="272">
        <f t="shared" si="643"/>
        <v>1900</v>
      </c>
      <c r="M9153" s="272">
        <f t="shared" si="644"/>
        <v>1</v>
      </c>
      <c r="O9153" s="61">
        <f t="shared" si="645"/>
        <v>1900</v>
      </c>
      <c r="P9153" s="61">
        <f t="shared" si="646"/>
        <v>1</v>
      </c>
    </row>
    <row r="9154" spans="9:16">
      <c r="I9154" s="213"/>
      <c r="J9154" s="213"/>
      <c r="L9154" s="272">
        <f t="shared" si="643"/>
        <v>1900</v>
      </c>
      <c r="M9154" s="272">
        <f t="shared" si="644"/>
        <v>1</v>
      </c>
      <c r="O9154" s="61">
        <f t="shared" si="645"/>
        <v>1900</v>
      </c>
      <c r="P9154" s="61">
        <f t="shared" si="646"/>
        <v>1</v>
      </c>
    </row>
    <row r="9155" spans="9:16">
      <c r="I9155" s="213"/>
      <c r="J9155" s="213"/>
      <c r="L9155" s="272">
        <f t="shared" si="643"/>
        <v>1900</v>
      </c>
      <c r="M9155" s="272">
        <f t="shared" si="644"/>
        <v>1</v>
      </c>
      <c r="O9155" s="61">
        <f t="shared" si="645"/>
        <v>1900</v>
      </c>
      <c r="P9155" s="61">
        <f t="shared" si="646"/>
        <v>1</v>
      </c>
    </row>
    <row r="9156" spans="9:16">
      <c r="I9156" s="213"/>
      <c r="J9156" s="213"/>
      <c r="L9156" s="272">
        <f t="shared" si="643"/>
        <v>1900</v>
      </c>
      <c r="M9156" s="272">
        <f t="shared" si="644"/>
        <v>1</v>
      </c>
      <c r="O9156" s="61">
        <f t="shared" si="645"/>
        <v>1900</v>
      </c>
      <c r="P9156" s="61">
        <f t="shared" si="646"/>
        <v>1</v>
      </c>
    </row>
    <row r="9157" spans="9:16">
      <c r="I9157" s="213"/>
      <c r="J9157" s="213"/>
      <c r="L9157" s="272">
        <f t="shared" si="643"/>
        <v>1900</v>
      </c>
      <c r="M9157" s="272">
        <f t="shared" si="644"/>
        <v>1</v>
      </c>
      <c r="O9157" s="61">
        <f t="shared" si="645"/>
        <v>1900</v>
      </c>
      <c r="P9157" s="61">
        <f t="shared" si="646"/>
        <v>1</v>
      </c>
    </row>
    <row r="9158" spans="9:16">
      <c r="I9158" s="213"/>
      <c r="J9158" s="213"/>
      <c r="L9158" s="272">
        <f t="shared" si="643"/>
        <v>1900</v>
      </c>
      <c r="M9158" s="272">
        <f t="shared" si="644"/>
        <v>1</v>
      </c>
      <c r="O9158" s="61">
        <f t="shared" si="645"/>
        <v>1900</v>
      </c>
      <c r="P9158" s="61">
        <f t="shared" si="646"/>
        <v>1</v>
      </c>
    </row>
    <row r="9159" spans="9:16">
      <c r="I9159" s="213"/>
      <c r="J9159" s="213"/>
      <c r="L9159" s="272">
        <f t="shared" si="643"/>
        <v>1900</v>
      </c>
      <c r="M9159" s="272">
        <f t="shared" si="644"/>
        <v>1</v>
      </c>
      <c r="O9159" s="61">
        <f t="shared" si="645"/>
        <v>1900</v>
      </c>
      <c r="P9159" s="61">
        <f t="shared" si="646"/>
        <v>1</v>
      </c>
    </row>
    <row r="9160" spans="9:16">
      <c r="I9160" s="213"/>
      <c r="J9160" s="213"/>
      <c r="L9160" s="272">
        <f t="shared" si="643"/>
        <v>1900</v>
      </c>
      <c r="M9160" s="272">
        <f t="shared" si="644"/>
        <v>1</v>
      </c>
      <c r="O9160" s="61">
        <f t="shared" si="645"/>
        <v>1900</v>
      </c>
      <c r="P9160" s="61">
        <f t="shared" si="646"/>
        <v>1</v>
      </c>
    </row>
    <row r="9161" spans="9:16">
      <c r="I9161" s="213"/>
      <c r="J9161" s="213"/>
      <c r="L9161" s="272">
        <f t="shared" si="643"/>
        <v>1900</v>
      </c>
      <c r="M9161" s="272">
        <f t="shared" si="644"/>
        <v>1</v>
      </c>
      <c r="O9161" s="61">
        <f t="shared" si="645"/>
        <v>1900</v>
      </c>
      <c r="P9161" s="61">
        <f t="shared" si="646"/>
        <v>1</v>
      </c>
    </row>
    <row r="9162" spans="9:16">
      <c r="I9162" s="213"/>
      <c r="J9162" s="213"/>
      <c r="L9162" s="272">
        <f t="shared" si="643"/>
        <v>1900</v>
      </c>
      <c r="M9162" s="272">
        <f t="shared" si="644"/>
        <v>1</v>
      </c>
      <c r="O9162" s="61">
        <f t="shared" si="645"/>
        <v>1900</v>
      </c>
      <c r="P9162" s="61">
        <f t="shared" si="646"/>
        <v>1</v>
      </c>
    </row>
    <row r="9163" spans="9:16">
      <c r="I9163" s="213"/>
      <c r="J9163" s="213"/>
      <c r="L9163" s="272">
        <f t="shared" si="643"/>
        <v>1900</v>
      </c>
      <c r="M9163" s="272">
        <f t="shared" si="644"/>
        <v>1</v>
      </c>
      <c r="O9163" s="61">
        <f t="shared" si="645"/>
        <v>1900</v>
      </c>
      <c r="P9163" s="61">
        <f t="shared" si="646"/>
        <v>1</v>
      </c>
    </row>
    <row r="9164" spans="9:16">
      <c r="I9164" s="213"/>
      <c r="J9164" s="213"/>
      <c r="L9164" s="272">
        <f t="shared" si="643"/>
        <v>1900</v>
      </c>
      <c r="M9164" s="272">
        <f t="shared" si="644"/>
        <v>1</v>
      </c>
      <c r="O9164" s="61">
        <f t="shared" si="645"/>
        <v>1900</v>
      </c>
      <c r="P9164" s="61">
        <f t="shared" si="646"/>
        <v>1</v>
      </c>
    </row>
    <row r="9165" spans="9:16">
      <c r="I9165" s="213"/>
      <c r="J9165" s="213"/>
      <c r="L9165" s="272">
        <f t="shared" si="643"/>
        <v>1900</v>
      </c>
      <c r="M9165" s="272">
        <f t="shared" si="644"/>
        <v>1</v>
      </c>
      <c r="O9165" s="61">
        <f t="shared" si="645"/>
        <v>1900</v>
      </c>
      <c r="P9165" s="61">
        <f t="shared" si="646"/>
        <v>1</v>
      </c>
    </row>
    <row r="9166" spans="9:16">
      <c r="I9166" s="213"/>
      <c r="J9166" s="213"/>
      <c r="L9166" s="272">
        <f t="shared" si="643"/>
        <v>1900</v>
      </c>
      <c r="M9166" s="272">
        <f t="shared" si="644"/>
        <v>1</v>
      </c>
      <c r="O9166" s="61">
        <f t="shared" si="645"/>
        <v>1900</v>
      </c>
      <c r="P9166" s="61">
        <f t="shared" si="646"/>
        <v>1</v>
      </c>
    </row>
    <row r="9167" spans="9:16">
      <c r="I9167" s="213"/>
      <c r="J9167" s="213"/>
      <c r="L9167" s="272">
        <f t="shared" si="643"/>
        <v>1900</v>
      </c>
      <c r="M9167" s="272">
        <f t="shared" si="644"/>
        <v>1</v>
      </c>
      <c r="O9167" s="61">
        <f t="shared" si="645"/>
        <v>1900</v>
      </c>
      <c r="P9167" s="61">
        <f t="shared" si="646"/>
        <v>1</v>
      </c>
    </row>
    <row r="9168" spans="9:16">
      <c r="I9168" s="213"/>
      <c r="J9168" s="213"/>
      <c r="L9168" s="272">
        <f t="shared" ref="L9168:L9231" si="647">YEAR(B9168)</f>
        <v>1900</v>
      </c>
      <c r="M9168" s="272">
        <f t="shared" ref="M9168:M9231" si="648">MONTH(B9168)</f>
        <v>1</v>
      </c>
      <c r="O9168" s="61">
        <f t="shared" ref="O9168:O9231" si="649">YEAR(B9168)</f>
        <v>1900</v>
      </c>
      <c r="P9168" s="61">
        <f t="shared" ref="P9168:P9231" si="650">MONTH(B9168)</f>
        <v>1</v>
      </c>
    </row>
    <row r="9169" spans="9:16">
      <c r="I9169" s="213"/>
      <c r="J9169" s="213"/>
      <c r="L9169" s="272">
        <f t="shared" si="647"/>
        <v>1900</v>
      </c>
      <c r="M9169" s="272">
        <f t="shared" si="648"/>
        <v>1</v>
      </c>
      <c r="O9169" s="61">
        <f t="shared" si="649"/>
        <v>1900</v>
      </c>
      <c r="P9169" s="61">
        <f t="shared" si="650"/>
        <v>1</v>
      </c>
    </row>
    <row r="9170" spans="9:16">
      <c r="I9170" s="213"/>
      <c r="J9170" s="213"/>
      <c r="L9170" s="272">
        <f t="shared" si="647"/>
        <v>1900</v>
      </c>
      <c r="M9170" s="272">
        <f t="shared" si="648"/>
        <v>1</v>
      </c>
      <c r="O9170" s="61">
        <f t="shared" si="649"/>
        <v>1900</v>
      </c>
      <c r="P9170" s="61">
        <f t="shared" si="650"/>
        <v>1</v>
      </c>
    </row>
    <row r="9171" spans="9:16">
      <c r="I9171" s="213"/>
      <c r="J9171" s="213"/>
      <c r="L9171" s="272">
        <f t="shared" si="647"/>
        <v>1900</v>
      </c>
      <c r="M9171" s="272">
        <f t="shared" si="648"/>
        <v>1</v>
      </c>
      <c r="O9171" s="61">
        <f t="shared" si="649"/>
        <v>1900</v>
      </c>
      <c r="P9171" s="61">
        <f t="shared" si="650"/>
        <v>1</v>
      </c>
    </row>
    <row r="9172" spans="9:16">
      <c r="I9172" s="213"/>
      <c r="J9172" s="213"/>
      <c r="L9172" s="272">
        <f t="shared" si="647"/>
        <v>1900</v>
      </c>
      <c r="M9172" s="272">
        <f t="shared" si="648"/>
        <v>1</v>
      </c>
      <c r="O9172" s="61">
        <f t="shared" si="649"/>
        <v>1900</v>
      </c>
      <c r="P9172" s="61">
        <f t="shared" si="650"/>
        <v>1</v>
      </c>
    </row>
    <row r="9173" spans="9:16">
      <c r="I9173" s="213"/>
      <c r="J9173" s="213"/>
      <c r="L9173" s="272">
        <f t="shared" si="647"/>
        <v>1900</v>
      </c>
      <c r="M9173" s="272">
        <f t="shared" si="648"/>
        <v>1</v>
      </c>
      <c r="O9173" s="61">
        <f t="shared" si="649"/>
        <v>1900</v>
      </c>
      <c r="P9173" s="61">
        <f t="shared" si="650"/>
        <v>1</v>
      </c>
    </row>
    <row r="9174" spans="9:16">
      <c r="I9174" s="213"/>
      <c r="J9174" s="213"/>
      <c r="L9174" s="272">
        <f t="shared" si="647"/>
        <v>1900</v>
      </c>
      <c r="M9174" s="272">
        <f t="shared" si="648"/>
        <v>1</v>
      </c>
      <c r="O9174" s="61">
        <f t="shared" si="649"/>
        <v>1900</v>
      </c>
      <c r="P9174" s="61">
        <f t="shared" si="650"/>
        <v>1</v>
      </c>
    </row>
    <row r="9175" spans="9:16">
      <c r="I9175" s="213"/>
      <c r="J9175" s="213"/>
      <c r="L9175" s="272">
        <f t="shared" si="647"/>
        <v>1900</v>
      </c>
      <c r="M9175" s="272">
        <f t="shared" si="648"/>
        <v>1</v>
      </c>
      <c r="O9175" s="61">
        <f t="shared" si="649"/>
        <v>1900</v>
      </c>
      <c r="P9175" s="61">
        <f t="shared" si="650"/>
        <v>1</v>
      </c>
    </row>
    <row r="9176" spans="9:16">
      <c r="I9176" s="213"/>
      <c r="J9176" s="213"/>
      <c r="L9176" s="272">
        <f t="shared" si="647"/>
        <v>1900</v>
      </c>
      <c r="M9176" s="272">
        <f t="shared" si="648"/>
        <v>1</v>
      </c>
      <c r="O9176" s="61">
        <f t="shared" si="649"/>
        <v>1900</v>
      </c>
      <c r="P9176" s="61">
        <f t="shared" si="650"/>
        <v>1</v>
      </c>
    </row>
    <row r="9177" spans="9:16">
      <c r="I9177" s="213"/>
      <c r="J9177" s="213"/>
      <c r="L9177" s="272">
        <f t="shared" si="647"/>
        <v>1900</v>
      </c>
      <c r="M9177" s="272">
        <f t="shared" si="648"/>
        <v>1</v>
      </c>
      <c r="O9177" s="61">
        <f t="shared" si="649"/>
        <v>1900</v>
      </c>
      <c r="P9177" s="61">
        <f t="shared" si="650"/>
        <v>1</v>
      </c>
    </row>
    <row r="9178" spans="9:16">
      <c r="I9178" s="213"/>
      <c r="J9178" s="213"/>
      <c r="L9178" s="272">
        <f t="shared" si="647"/>
        <v>1900</v>
      </c>
      <c r="M9178" s="272">
        <f t="shared" si="648"/>
        <v>1</v>
      </c>
      <c r="O9178" s="61">
        <f t="shared" si="649"/>
        <v>1900</v>
      </c>
      <c r="P9178" s="61">
        <f t="shared" si="650"/>
        <v>1</v>
      </c>
    </row>
    <row r="9179" spans="9:16">
      <c r="I9179" s="213"/>
      <c r="J9179" s="213"/>
      <c r="L9179" s="272">
        <f t="shared" si="647"/>
        <v>1900</v>
      </c>
      <c r="M9179" s="272">
        <f t="shared" si="648"/>
        <v>1</v>
      </c>
      <c r="O9179" s="61">
        <f t="shared" si="649"/>
        <v>1900</v>
      </c>
      <c r="P9179" s="61">
        <f t="shared" si="650"/>
        <v>1</v>
      </c>
    </row>
    <row r="9180" spans="9:16">
      <c r="I9180" s="213"/>
      <c r="J9180" s="213"/>
      <c r="L9180" s="272">
        <f t="shared" si="647"/>
        <v>1900</v>
      </c>
      <c r="M9180" s="272">
        <f t="shared" si="648"/>
        <v>1</v>
      </c>
      <c r="O9180" s="61">
        <f t="shared" si="649"/>
        <v>1900</v>
      </c>
      <c r="P9180" s="61">
        <f t="shared" si="650"/>
        <v>1</v>
      </c>
    </row>
    <row r="9181" spans="9:16">
      <c r="I9181" s="213"/>
      <c r="J9181" s="213"/>
      <c r="L9181" s="272">
        <f t="shared" si="647"/>
        <v>1900</v>
      </c>
      <c r="M9181" s="272">
        <f t="shared" si="648"/>
        <v>1</v>
      </c>
      <c r="O9181" s="61">
        <f t="shared" si="649"/>
        <v>1900</v>
      </c>
      <c r="P9181" s="61">
        <f t="shared" si="650"/>
        <v>1</v>
      </c>
    </row>
    <row r="9182" spans="9:16">
      <c r="I9182" s="213"/>
      <c r="J9182" s="213"/>
      <c r="L9182" s="272">
        <f t="shared" si="647"/>
        <v>1900</v>
      </c>
      <c r="M9182" s="272">
        <f t="shared" si="648"/>
        <v>1</v>
      </c>
      <c r="O9182" s="61">
        <f t="shared" si="649"/>
        <v>1900</v>
      </c>
      <c r="P9182" s="61">
        <f t="shared" si="650"/>
        <v>1</v>
      </c>
    </row>
    <row r="9183" spans="9:16">
      <c r="I9183" s="213"/>
      <c r="J9183" s="213"/>
      <c r="L9183" s="272">
        <f t="shared" si="647"/>
        <v>1900</v>
      </c>
      <c r="M9183" s="272">
        <f t="shared" si="648"/>
        <v>1</v>
      </c>
      <c r="O9183" s="61">
        <f t="shared" si="649"/>
        <v>1900</v>
      </c>
      <c r="P9183" s="61">
        <f t="shared" si="650"/>
        <v>1</v>
      </c>
    </row>
    <row r="9184" spans="9:16">
      <c r="I9184" s="213"/>
      <c r="J9184" s="213"/>
      <c r="L9184" s="272">
        <f t="shared" si="647"/>
        <v>1900</v>
      </c>
      <c r="M9184" s="272">
        <f t="shared" si="648"/>
        <v>1</v>
      </c>
      <c r="O9184" s="61">
        <f t="shared" si="649"/>
        <v>1900</v>
      </c>
      <c r="P9184" s="61">
        <f t="shared" si="650"/>
        <v>1</v>
      </c>
    </row>
    <row r="9185" spans="9:16">
      <c r="I9185" s="213"/>
      <c r="J9185" s="213"/>
      <c r="L9185" s="272">
        <f t="shared" si="647"/>
        <v>1900</v>
      </c>
      <c r="M9185" s="272">
        <f t="shared" si="648"/>
        <v>1</v>
      </c>
      <c r="O9185" s="61">
        <f t="shared" si="649"/>
        <v>1900</v>
      </c>
      <c r="P9185" s="61">
        <f t="shared" si="650"/>
        <v>1</v>
      </c>
    </row>
    <row r="9186" spans="9:16">
      <c r="I9186" s="213"/>
      <c r="J9186" s="213"/>
      <c r="L9186" s="272">
        <f t="shared" si="647"/>
        <v>1900</v>
      </c>
      <c r="M9186" s="272">
        <f t="shared" si="648"/>
        <v>1</v>
      </c>
      <c r="O9186" s="61">
        <f t="shared" si="649"/>
        <v>1900</v>
      </c>
      <c r="P9186" s="61">
        <f t="shared" si="650"/>
        <v>1</v>
      </c>
    </row>
    <row r="9187" spans="9:16">
      <c r="I9187" s="213"/>
      <c r="J9187" s="213"/>
      <c r="L9187" s="272">
        <f t="shared" si="647"/>
        <v>1900</v>
      </c>
      <c r="M9187" s="272">
        <f t="shared" si="648"/>
        <v>1</v>
      </c>
      <c r="O9187" s="61">
        <f t="shared" si="649"/>
        <v>1900</v>
      </c>
      <c r="P9187" s="61">
        <f t="shared" si="650"/>
        <v>1</v>
      </c>
    </row>
    <row r="9188" spans="9:16">
      <c r="I9188" s="213"/>
      <c r="J9188" s="213"/>
      <c r="L9188" s="272">
        <f t="shared" si="647"/>
        <v>1900</v>
      </c>
      <c r="M9188" s="272">
        <f t="shared" si="648"/>
        <v>1</v>
      </c>
      <c r="O9188" s="61">
        <f t="shared" si="649"/>
        <v>1900</v>
      </c>
      <c r="P9188" s="61">
        <f t="shared" si="650"/>
        <v>1</v>
      </c>
    </row>
    <row r="9189" spans="9:16">
      <c r="I9189" s="213"/>
      <c r="J9189" s="213"/>
      <c r="L9189" s="272">
        <f t="shared" si="647"/>
        <v>1900</v>
      </c>
      <c r="M9189" s="272">
        <f t="shared" si="648"/>
        <v>1</v>
      </c>
      <c r="O9189" s="61">
        <f t="shared" si="649"/>
        <v>1900</v>
      </c>
      <c r="P9189" s="61">
        <f t="shared" si="650"/>
        <v>1</v>
      </c>
    </row>
    <row r="9190" spans="9:16">
      <c r="I9190" s="213"/>
      <c r="J9190" s="213"/>
      <c r="L9190" s="272">
        <f t="shared" si="647"/>
        <v>1900</v>
      </c>
      <c r="M9190" s="272">
        <f t="shared" si="648"/>
        <v>1</v>
      </c>
      <c r="O9190" s="61">
        <f t="shared" si="649"/>
        <v>1900</v>
      </c>
      <c r="P9190" s="61">
        <f t="shared" si="650"/>
        <v>1</v>
      </c>
    </row>
    <row r="9191" spans="9:16">
      <c r="I9191" s="213"/>
      <c r="J9191" s="213"/>
      <c r="L9191" s="272">
        <f t="shared" si="647"/>
        <v>1900</v>
      </c>
      <c r="M9191" s="272">
        <f t="shared" si="648"/>
        <v>1</v>
      </c>
      <c r="O9191" s="61">
        <f t="shared" si="649"/>
        <v>1900</v>
      </c>
      <c r="P9191" s="61">
        <f t="shared" si="650"/>
        <v>1</v>
      </c>
    </row>
    <row r="9192" spans="9:16">
      <c r="I9192" s="213"/>
      <c r="J9192" s="213"/>
      <c r="L9192" s="272">
        <f t="shared" si="647"/>
        <v>1900</v>
      </c>
      <c r="M9192" s="272">
        <f t="shared" si="648"/>
        <v>1</v>
      </c>
      <c r="O9192" s="61">
        <f t="shared" si="649"/>
        <v>1900</v>
      </c>
      <c r="P9192" s="61">
        <f t="shared" si="650"/>
        <v>1</v>
      </c>
    </row>
    <row r="9193" spans="9:16">
      <c r="I9193" s="213"/>
      <c r="J9193" s="213"/>
      <c r="L9193" s="272">
        <f t="shared" si="647"/>
        <v>1900</v>
      </c>
      <c r="M9193" s="272">
        <f t="shared" si="648"/>
        <v>1</v>
      </c>
      <c r="O9193" s="61">
        <f t="shared" si="649"/>
        <v>1900</v>
      </c>
      <c r="P9193" s="61">
        <f t="shared" si="650"/>
        <v>1</v>
      </c>
    </row>
    <row r="9194" spans="9:16">
      <c r="I9194" s="213"/>
      <c r="J9194" s="213"/>
      <c r="L9194" s="272">
        <f t="shared" si="647"/>
        <v>1900</v>
      </c>
      <c r="M9194" s="272">
        <f t="shared" si="648"/>
        <v>1</v>
      </c>
      <c r="O9194" s="61">
        <f t="shared" si="649"/>
        <v>1900</v>
      </c>
      <c r="P9194" s="61">
        <f t="shared" si="650"/>
        <v>1</v>
      </c>
    </row>
    <row r="9195" spans="9:16">
      <c r="I9195" s="213"/>
      <c r="J9195" s="213"/>
      <c r="L9195" s="272">
        <f t="shared" si="647"/>
        <v>1900</v>
      </c>
      <c r="M9195" s="272">
        <f t="shared" si="648"/>
        <v>1</v>
      </c>
      <c r="O9195" s="61">
        <f t="shared" si="649"/>
        <v>1900</v>
      </c>
      <c r="P9195" s="61">
        <f t="shared" si="650"/>
        <v>1</v>
      </c>
    </row>
    <row r="9196" spans="9:16">
      <c r="I9196" s="213"/>
      <c r="J9196" s="213"/>
      <c r="L9196" s="272">
        <f t="shared" si="647"/>
        <v>1900</v>
      </c>
      <c r="M9196" s="272">
        <f t="shared" si="648"/>
        <v>1</v>
      </c>
      <c r="O9196" s="61">
        <f t="shared" si="649"/>
        <v>1900</v>
      </c>
      <c r="P9196" s="61">
        <f t="shared" si="650"/>
        <v>1</v>
      </c>
    </row>
    <row r="9197" spans="9:16">
      <c r="I9197" s="213"/>
      <c r="J9197" s="213"/>
      <c r="L9197" s="272">
        <f t="shared" si="647"/>
        <v>1900</v>
      </c>
      <c r="M9197" s="272">
        <f t="shared" si="648"/>
        <v>1</v>
      </c>
      <c r="O9197" s="61">
        <f t="shared" si="649"/>
        <v>1900</v>
      </c>
      <c r="P9197" s="61">
        <f t="shared" si="650"/>
        <v>1</v>
      </c>
    </row>
    <row r="9198" spans="9:16">
      <c r="I9198" s="213"/>
      <c r="J9198" s="213"/>
      <c r="L9198" s="272">
        <f t="shared" si="647"/>
        <v>1900</v>
      </c>
      <c r="M9198" s="272">
        <f t="shared" si="648"/>
        <v>1</v>
      </c>
      <c r="O9198" s="61">
        <f t="shared" si="649"/>
        <v>1900</v>
      </c>
      <c r="P9198" s="61">
        <f t="shared" si="650"/>
        <v>1</v>
      </c>
    </row>
    <row r="9199" spans="9:16">
      <c r="I9199" s="213"/>
      <c r="J9199" s="213"/>
      <c r="L9199" s="272">
        <f t="shared" si="647"/>
        <v>1900</v>
      </c>
      <c r="M9199" s="272">
        <f t="shared" si="648"/>
        <v>1</v>
      </c>
      <c r="O9199" s="61">
        <f t="shared" si="649"/>
        <v>1900</v>
      </c>
      <c r="P9199" s="61">
        <f t="shared" si="650"/>
        <v>1</v>
      </c>
    </row>
    <row r="9200" spans="9:16">
      <c r="I9200" s="213"/>
      <c r="J9200" s="213"/>
      <c r="L9200" s="272">
        <f t="shared" si="647"/>
        <v>1900</v>
      </c>
      <c r="M9200" s="272">
        <f t="shared" si="648"/>
        <v>1</v>
      </c>
      <c r="O9200" s="61">
        <f t="shared" si="649"/>
        <v>1900</v>
      </c>
      <c r="P9200" s="61">
        <f t="shared" si="650"/>
        <v>1</v>
      </c>
    </row>
    <row r="9201" spans="9:16">
      <c r="I9201" s="213"/>
      <c r="J9201" s="213"/>
      <c r="L9201" s="272">
        <f t="shared" si="647"/>
        <v>1900</v>
      </c>
      <c r="M9201" s="272">
        <f t="shared" si="648"/>
        <v>1</v>
      </c>
      <c r="O9201" s="61">
        <f t="shared" si="649"/>
        <v>1900</v>
      </c>
      <c r="P9201" s="61">
        <f t="shared" si="650"/>
        <v>1</v>
      </c>
    </row>
    <row r="9202" spans="9:16">
      <c r="I9202" s="213"/>
      <c r="J9202" s="213"/>
      <c r="L9202" s="272">
        <f t="shared" si="647"/>
        <v>1900</v>
      </c>
      <c r="M9202" s="272">
        <f t="shared" si="648"/>
        <v>1</v>
      </c>
      <c r="O9202" s="61">
        <f t="shared" si="649"/>
        <v>1900</v>
      </c>
      <c r="P9202" s="61">
        <f t="shared" si="650"/>
        <v>1</v>
      </c>
    </row>
    <row r="9203" spans="9:16">
      <c r="I9203" s="213"/>
      <c r="J9203" s="213"/>
      <c r="L9203" s="272">
        <f t="shared" si="647"/>
        <v>1900</v>
      </c>
      <c r="M9203" s="272">
        <f t="shared" si="648"/>
        <v>1</v>
      </c>
      <c r="O9203" s="61">
        <f t="shared" si="649"/>
        <v>1900</v>
      </c>
      <c r="P9203" s="61">
        <f t="shared" si="650"/>
        <v>1</v>
      </c>
    </row>
    <row r="9204" spans="9:16">
      <c r="I9204" s="213"/>
      <c r="J9204" s="213"/>
      <c r="L9204" s="272">
        <f t="shared" si="647"/>
        <v>1900</v>
      </c>
      <c r="M9204" s="272">
        <f t="shared" si="648"/>
        <v>1</v>
      </c>
      <c r="O9204" s="61">
        <f t="shared" si="649"/>
        <v>1900</v>
      </c>
      <c r="P9204" s="61">
        <f t="shared" si="650"/>
        <v>1</v>
      </c>
    </row>
    <row r="9205" spans="9:16">
      <c r="I9205" s="213"/>
      <c r="J9205" s="213"/>
      <c r="L9205" s="272">
        <f t="shared" si="647"/>
        <v>1900</v>
      </c>
      <c r="M9205" s="272">
        <f t="shared" si="648"/>
        <v>1</v>
      </c>
      <c r="O9205" s="61">
        <f t="shared" si="649"/>
        <v>1900</v>
      </c>
      <c r="P9205" s="61">
        <f t="shared" si="650"/>
        <v>1</v>
      </c>
    </row>
    <row r="9206" spans="9:16">
      <c r="I9206" s="213"/>
      <c r="J9206" s="213"/>
      <c r="L9206" s="272">
        <f t="shared" si="647"/>
        <v>1900</v>
      </c>
      <c r="M9206" s="272">
        <f t="shared" si="648"/>
        <v>1</v>
      </c>
      <c r="O9206" s="61">
        <f t="shared" si="649"/>
        <v>1900</v>
      </c>
      <c r="P9206" s="61">
        <f t="shared" si="650"/>
        <v>1</v>
      </c>
    </row>
    <row r="9207" spans="9:16">
      <c r="I9207" s="213"/>
      <c r="J9207" s="213"/>
      <c r="L9207" s="272">
        <f t="shared" si="647"/>
        <v>1900</v>
      </c>
      <c r="M9207" s="272">
        <f t="shared" si="648"/>
        <v>1</v>
      </c>
      <c r="O9207" s="61">
        <f t="shared" si="649"/>
        <v>1900</v>
      </c>
      <c r="P9207" s="61">
        <f t="shared" si="650"/>
        <v>1</v>
      </c>
    </row>
    <row r="9208" spans="9:16">
      <c r="I9208" s="213"/>
      <c r="J9208" s="213"/>
      <c r="L9208" s="272">
        <f t="shared" si="647"/>
        <v>1900</v>
      </c>
      <c r="M9208" s="272">
        <f t="shared" si="648"/>
        <v>1</v>
      </c>
      <c r="O9208" s="61">
        <f t="shared" si="649"/>
        <v>1900</v>
      </c>
      <c r="P9208" s="61">
        <f t="shared" si="650"/>
        <v>1</v>
      </c>
    </row>
    <row r="9209" spans="9:16">
      <c r="I9209" s="213"/>
      <c r="J9209" s="213"/>
      <c r="L9209" s="272">
        <f t="shared" si="647"/>
        <v>1900</v>
      </c>
      <c r="M9209" s="272">
        <f t="shared" si="648"/>
        <v>1</v>
      </c>
      <c r="O9209" s="61">
        <f t="shared" si="649"/>
        <v>1900</v>
      </c>
      <c r="P9209" s="61">
        <f t="shared" si="650"/>
        <v>1</v>
      </c>
    </row>
    <row r="9210" spans="9:16">
      <c r="I9210" s="213"/>
      <c r="J9210" s="213"/>
      <c r="L9210" s="272">
        <f t="shared" si="647"/>
        <v>1900</v>
      </c>
      <c r="M9210" s="272">
        <f t="shared" si="648"/>
        <v>1</v>
      </c>
      <c r="O9210" s="61">
        <f t="shared" si="649"/>
        <v>1900</v>
      </c>
      <c r="P9210" s="61">
        <f t="shared" si="650"/>
        <v>1</v>
      </c>
    </row>
    <row r="9211" spans="9:16">
      <c r="I9211" s="213"/>
      <c r="J9211" s="213"/>
      <c r="L9211" s="272">
        <f t="shared" si="647"/>
        <v>1900</v>
      </c>
      <c r="M9211" s="272">
        <f t="shared" si="648"/>
        <v>1</v>
      </c>
      <c r="O9211" s="61">
        <f t="shared" si="649"/>
        <v>1900</v>
      </c>
      <c r="P9211" s="61">
        <f t="shared" si="650"/>
        <v>1</v>
      </c>
    </row>
    <row r="9212" spans="9:16">
      <c r="I9212" s="213"/>
      <c r="J9212" s="213"/>
      <c r="L9212" s="272">
        <f t="shared" si="647"/>
        <v>1900</v>
      </c>
      <c r="M9212" s="272">
        <f t="shared" si="648"/>
        <v>1</v>
      </c>
      <c r="O9212" s="61">
        <f t="shared" si="649"/>
        <v>1900</v>
      </c>
      <c r="P9212" s="61">
        <f t="shared" si="650"/>
        <v>1</v>
      </c>
    </row>
    <row r="9213" spans="9:16">
      <c r="I9213" s="213"/>
      <c r="J9213" s="213"/>
      <c r="L9213" s="272">
        <f t="shared" si="647"/>
        <v>1900</v>
      </c>
      <c r="M9213" s="272">
        <f t="shared" si="648"/>
        <v>1</v>
      </c>
      <c r="O9213" s="61">
        <f t="shared" si="649"/>
        <v>1900</v>
      </c>
      <c r="P9213" s="61">
        <f t="shared" si="650"/>
        <v>1</v>
      </c>
    </row>
    <row r="9214" spans="9:16">
      <c r="I9214" s="213"/>
      <c r="J9214" s="213"/>
      <c r="L9214" s="272">
        <f t="shared" si="647"/>
        <v>1900</v>
      </c>
      <c r="M9214" s="272">
        <f t="shared" si="648"/>
        <v>1</v>
      </c>
      <c r="O9214" s="61">
        <f t="shared" si="649"/>
        <v>1900</v>
      </c>
      <c r="P9214" s="61">
        <f t="shared" si="650"/>
        <v>1</v>
      </c>
    </row>
    <row r="9215" spans="9:16">
      <c r="I9215" s="213"/>
      <c r="J9215" s="213"/>
      <c r="L9215" s="272">
        <f t="shared" si="647"/>
        <v>1900</v>
      </c>
      <c r="M9215" s="272">
        <f t="shared" si="648"/>
        <v>1</v>
      </c>
      <c r="O9215" s="61">
        <f t="shared" si="649"/>
        <v>1900</v>
      </c>
      <c r="P9215" s="61">
        <f t="shared" si="650"/>
        <v>1</v>
      </c>
    </row>
    <row r="9216" spans="9:16">
      <c r="I9216" s="213"/>
      <c r="J9216" s="213"/>
      <c r="L9216" s="272">
        <f t="shared" si="647"/>
        <v>1900</v>
      </c>
      <c r="M9216" s="272">
        <f t="shared" si="648"/>
        <v>1</v>
      </c>
      <c r="O9216" s="61">
        <f t="shared" si="649"/>
        <v>1900</v>
      </c>
      <c r="P9216" s="61">
        <f t="shared" si="650"/>
        <v>1</v>
      </c>
    </row>
    <row r="9217" spans="9:16">
      <c r="I9217" s="213"/>
      <c r="J9217" s="213"/>
      <c r="L9217" s="272">
        <f t="shared" si="647"/>
        <v>1900</v>
      </c>
      <c r="M9217" s="272">
        <f t="shared" si="648"/>
        <v>1</v>
      </c>
      <c r="O9217" s="61">
        <f t="shared" si="649"/>
        <v>1900</v>
      </c>
      <c r="P9217" s="61">
        <f t="shared" si="650"/>
        <v>1</v>
      </c>
    </row>
    <row r="9218" spans="9:16">
      <c r="I9218" s="213"/>
      <c r="J9218" s="213"/>
      <c r="L9218" s="272">
        <f t="shared" si="647"/>
        <v>1900</v>
      </c>
      <c r="M9218" s="272">
        <f t="shared" si="648"/>
        <v>1</v>
      </c>
      <c r="O9218" s="61">
        <f t="shared" si="649"/>
        <v>1900</v>
      </c>
      <c r="P9218" s="61">
        <f t="shared" si="650"/>
        <v>1</v>
      </c>
    </row>
    <row r="9219" spans="9:16">
      <c r="I9219" s="213"/>
      <c r="J9219" s="213"/>
      <c r="L9219" s="272">
        <f t="shared" si="647"/>
        <v>1900</v>
      </c>
      <c r="M9219" s="272">
        <f t="shared" si="648"/>
        <v>1</v>
      </c>
      <c r="O9219" s="61">
        <f t="shared" si="649"/>
        <v>1900</v>
      </c>
      <c r="P9219" s="61">
        <f t="shared" si="650"/>
        <v>1</v>
      </c>
    </row>
    <row r="9220" spans="9:16">
      <c r="I9220" s="213"/>
      <c r="J9220" s="213"/>
      <c r="L9220" s="272">
        <f t="shared" si="647"/>
        <v>1900</v>
      </c>
      <c r="M9220" s="272">
        <f t="shared" si="648"/>
        <v>1</v>
      </c>
      <c r="O9220" s="61">
        <f t="shared" si="649"/>
        <v>1900</v>
      </c>
      <c r="P9220" s="61">
        <f t="shared" si="650"/>
        <v>1</v>
      </c>
    </row>
    <row r="9221" spans="9:16">
      <c r="I9221" s="213"/>
      <c r="J9221" s="213"/>
      <c r="L9221" s="272">
        <f t="shared" si="647"/>
        <v>1900</v>
      </c>
      <c r="M9221" s="272">
        <f t="shared" si="648"/>
        <v>1</v>
      </c>
      <c r="O9221" s="61">
        <f t="shared" si="649"/>
        <v>1900</v>
      </c>
      <c r="P9221" s="61">
        <f t="shared" si="650"/>
        <v>1</v>
      </c>
    </row>
    <row r="9222" spans="9:16">
      <c r="I9222" s="213"/>
      <c r="J9222" s="213"/>
      <c r="L9222" s="272">
        <f t="shared" si="647"/>
        <v>1900</v>
      </c>
      <c r="M9222" s="272">
        <f t="shared" si="648"/>
        <v>1</v>
      </c>
      <c r="O9222" s="61">
        <f t="shared" si="649"/>
        <v>1900</v>
      </c>
      <c r="P9222" s="61">
        <f t="shared" si="650"/>
        <v>1</v>
      </c>
    </row>
    <row r="9223" spans="9:16">
      <c r="I9223" s="213"/>
      <c r="J9223" s="213"/>
      <c r="L9223" s="272">
        <f t="shared" si="647"/>
        <v>1900</v>
      </c>
      <c r="M9223" s="272">
        <f t="shared" si="648"/>
        <v>1</v>
      </c>
      <c r="O9223" s="61">
        <f t="shared" si="649"/>
        <v>1900</v>
      </c>
      <c r="P9223" s="61">
        <f t="shared" si="650"/>
        <v>1</v>
      </c>
    </row>
    <row r="9224" spans="9:16">
      <c r="I9224" s="213"/>
      <c r="J9224" s="213"/>
      <c r="L9224" s="272">
        <f t="shared" si="647"/>
        <v>1900</v>
      </c>
      <c r="M9224" s="272">
        <f t="shared" si="648"/>
        <v>1</v>
      </c>
      <c r="O9224" s="61">
        <f t="shared" si="649"/>
        <v>1900</v>
      </c>
      <c r="P9224" s="61">
        <f t="shared" si="650"/>
        <v>1</v>
      </c>
    </row>
    <row r="9225" spans="9:16">
      <c r="I9225" s="213"/>
      <c r="J9225" s="213"/>
      <c r="L9225" s="272">
        <f t="shared" si="647"/>
        <v>1900</v>
      </c>
      <c r="M9225" s="272">
        <f t="shared" si="648"/>
        <v>1</v>
      </c>
      <c r="O9225" s="61">
        <f t="shared" si="649"/>
        <v>1900</v>
      </c>
      <c r="P9225" s="61">
        <f t="shared" si="650"/>
        <v>1</v>
      </c>
    </row>
    <row r="9226" spans="9:16">
      <c r="I9226" s="213"/>
      <c r="J9226" s="213"/>
      <c r="L9226" s="272">
        <f t="shared" si="647"/>
        <v>1900</v>
      </c>
      <c r="M9226" s="272">
        <f t="shared" si="648"/>
        <v>1</v>
      </c>
      <c r="O9226" s="61">
        <f t="shared" si="649"/>
        <v>1900</v>
      </c>
      <c r="P9226" s="61">
        <f t="shared" si="650"/>
        <v>1</v>
      </c>
    </row>
    <row r="9227" spans="9:16">
      <c r="I9227" s="213"/>
      <c r="J9227" s="213"/>
      <c r="L9227" s="272">
        <f t="shared" si="647"/>
        <v>1900</v>
      </c>
      <c r="M9227" s="272">
        <f t="shared" si="648"/>
        <v>1</v>
      </c>
      <c r="O9227" s="61">
        <f t="shared" si="649"/>
        <v>1900</v>
      </c>
      <c r="P9227" s="61">
        <f t="shared" si="650"/>
        <v>1</v>
      </c>
    </row>
    <row r="9228" spans="9:16">
      <c r="I9228" s="213"/>
      <c r="J9228" s="213"/>
      <c r="L9228" s="272">
        <f t="shared" si="647"/>
        <v>1900</v>
      </c>
      <c r="M9228" s="272">
        <f t="shared" si="648"/>
        <v>1</v>
      </c>
      <c r="O9228" s="61">
        <f t="shared" si="649"/>
        <v>1900</v>
      </c>
      <c r="P9228" s="61">
        <f t="shared" si="650"/>
        <v>1</v>
      </c>
    </row>
    <row r="9229" spans="9:16">
      <c r="I9229" s="213"/>
      <c r="J9229" s="213"/>
      <c r="L9229" s="272">
        <f t="shared" si="647"/>
        <v>1900</v>
      </c>
      <c r="M9229" s="272">
        <f t="shared" si="648"/>
        <v>1</v>
      </c>
      <c r="O9229" s="61">
        <f t="shared" si="649"/>
        <v>1900</v>
      </c>
      <c r="P9229" s="61">
        <f t="shared" si="650"/>
        <v>1</v>
      </c>
    </row>
    <row r="9230" spans="9:16">
      <c r="I9230" s="213"/>
      <c r="J9230" s="213"/>
      <c r="L9230" s="272">
        <f t="shared" si="647"/>
        <v>1900</v>
      </c>
      <c r="M9230" s="272">
        <f t="shared" si="648"/>
        <v>1</v>
      </c>
      <c r="O9230" s="61">
        <f t="shared" si="649"/>
        <v>1900</v>
      </c>
      <c r="P9230" s="61">
        <f t="shared" si="650"/>
        <v>1</v>
      </c>
    </row>
    <row r="9231" spans="9:16">
      <c r="I9231" s="213"/>
      <c r="J9231" s="213"/>
      <c r="L9231" s="272">
        <f t="shared" si="647"/>
        <v>1900</v>
      </c>
      <c r="M9231" s="272">
        <f t="shared" si="648"/>
        <v>1</v>
      </c>
      <c r="O9231" s="61">
        <f t="shared" si="649"/>
        <v>1900</v>
      </c>
      <c r="P9231" s="61">
        <f t="shared" si="650"/>
        <v>1</v>
      </c>
    </row>
    <row r="9232" spans="9:16">
      <c r="I9232" s="213"/>
      <c r="J9232" s="213"/>
      <c r="L9232" s="272">
        <f t="shared" ref="L9232:L9295" si="651">YEAR(B9232)</f>
        <v>1900</v>
      </c>
      <c r="M9232" s="272">
        <f t="shared" ref="M9232:M9295" si="652">MONTH(B9232)</f>
        <v>1</v>
      </c>
      <c r="O9232" s="61">
        <f t="shared" ref="O9232:O9295" si="653">YEAR(B9232)</f>
        <v>1900</v>
      </c>
      <c r="P9232" s="61">
        <f t="shared" ref="P9232:P9295" si="654">MONTH(B9232)</f>
        <v>1</v>
      </c>
    </row>
    <row r="9233" spans="9:16">
      <c r="I9233" s="213"/>
      <c r="J9233" s="213"/>
      <c r="L9233" s="272">
        <f t="shared" si="651"/>
        <v>1900</v>
      </c>
      <c r="M9233" s="272">
        <f t="shared" si="652"/>
        <v>1</v>
      </c>
      <c r="O9233" s="61">
        <f t="shared" si="653"/>
        <v>1900</v>
      </c>
      <c r="P9233" s="61">
        <f t="shared" si="654"/>
        <v>1</v>
      </c>
    </row>
    <row r="9234" spans="9:16">
      <c r="I9234" s="213"/>
      <c r="J9234" s="213"/>
      <c r="L9234" s="272">
        <f t="shared" si="651"/>
        <v>1900</v>
      </c>
      <c r="M9234" s="272">
        <f t="shared" si="652"/>
        <v>1</v>
      </c>
      <c r="O9234" s="61">
        <f t="shared" si="653"/>
        <v>1900</v>
      </c>
      <c r="P9234" s="61">
        <f t="shared" si="654"/>
        <v>1</v>
      </c>
    </row>
    <row r="9235" spans="9:16">
      <c r="I9235" s="213"/>
      <c r="J9235" s="213"/>
      <c r="L9235" s="272">
        <f t="shared" si="651"/>
        <v>1900</v>
      </c>
      <c r="M9235" s="272">
        <f t="shared" si="652"/>
        <v>1</v>
      </c>
      <c r="O9235" s="61">
        <f t="shared" si="653"/>
        <v>1900</v>
      </c>
      <c r="P9235" s="61">
        <f t="shared" si="654"/>
        <v>1</v>
      </c>
    </row>
    <row r="9236" spans="9:16">
      <c r="I9236" s="213"/>
      <c r="J9236" s="213"/>
      <c r="L9236" s="272">
        <f t="shared" si="651"/>
        <v>1900</v>
      </c>
      <c r="M9236" s="272">
        <f t="shared" si="652"/>
        <v>1</v>
      </c>
      <c r="O9236" s="61">
        <f t="shared" si="653"/>
        <v>1900</v>
      </c>
      <c r="P9236" s="61">
        <f t="shared" si="654"/>
        <v>1</v>
      </c>
    </row>
    <row r="9237" spans="9:16">
      <c r="I9237" s="213"/>
      <c r="J9237" s="213"/>
      <c r="L9237" s="272">
        <f t="shared" si="651"/>
        <v>1900</v>
      </c>
      <c r="M9237" s="272">
        <f t="shared" si="652"/>
        <v>1</v>
      </c>
      <c r="O9237" s="61">
        <f t="shared" si="653"/>
        <v>1900</v>
      </c>
      <c r="P9237" s="61">
        <f t="shared" si="654"/>
        <v>1</v>
      </c>
    </row>
    <row r="9238" spans="9:16">
      <c r="I9238" s="213"/>
      <c r="J9238" s="213"/>
      <c r="L9238" s="272">
        <f t="shared" si="651"/>
        <v>1900</v>
      </c>
      <c r="M9238" s="272">
        <f t="shared" si="652"/>
        <v>1</v>
      </c>
      <c r="O9238" s="61">
        <f t="shared" si="653"/>
        <v>1900</v>
      </c>
      <c r="P9238" s="61">
        <f t="shared" si="654"/>
        <v>1</v>
      </c>
    </row>
    <row r="9239" spans="9:16">
      <c r="I9239" s="213"/>
      <c r="J9239" s="213"/>
      <c r="L9239" s="272">
        <f t="shared" si="651"/>
        <v>1900</v>
      </c>
      <c r="M9239" s="272">
        <f t="shared" si="652"/>
        <v>1</v>
      </c>
      <c r="O9239" s="61">
        <f t="shared" si="653"/>
        <v>1900</v>
      </c>
      <c r="P9239" s="61">
        <f t="shared" si="654"/>
        <v>1</v>
      </c>
    </row>
    <row r="9240" spans="9:16">
      <c r="I9240" s="213"/>
      <c r="J9240" s="213"/>
      <c r="L9240" s="272">
        <f t="shared" si="651"/>
        <v>1900</v>
      </c>
      <c r="M9240" s="272">
        <f t="shared" si="652"/>
        <v>1</v>
      </c>
      <c r="O9240" s="61">
        <f t="shared" si="653"/>
        <v>1900</v>
      </c>
      <c r="P9240" s="61">
        <f t="shared" si="654"/>
        <v>1</v>
      </c>
    </row>
    <row r="9241" spans="9:16">
      <c r="I9241" s="213"/>
      <c r="J9241" s="213"/>
      <c r="L9241" s="272">
        <f t="shared" si="651"/>
        <v>1900</v>
      </c>
      <c r="M9241" s="272">
        <f t="shared" si="652"/>
        <v>1</v>
      </c>
      <c r="O9241" s="61">
        <f t="shared" si="653"/>
        <v>1900</v>
      </c>
      <c r="P9241" s="61">
        <f t="shared" si="654"/>
        <v>1</v>
      </c>
    </row>
    <row r="9242" spans="9:16">
      <c r="I9242" s="213"/>
      <c r="J9242" s="213"/>
      <c r="L9242" s="272">
        <f t="shared" si="651"/>
        <v>1900</v>
      </c>
      <c r="M9242" s="272">
        <f t="shared" si="652"/>
        <v>1</v>
      </c>
      <c r="O9242" s="61">
        <f t="shared" si="653"/>
        <v>1900</v>
      </c>
      <c r="P9242" s="61">
        <f t="shared" si="654"/>
        <v>1</v>
      </c>
    </row>
    <row r="9243" spans="9:16">
      <c r="I9243" s="213"/>
      <c r="J9243" s="213"/>
      <c r="L9243" s="272">
        <f t="shared" si="651"/>
        <v>1900</v>
      </c>
      <c r="M9243" s="272">
        <f t="shared" si="652"/>
        <v>1</v>
      </c>
      <c r="O9243" s="61">
        <f t="shared" si="653"/>
        <v>1900</v>
      </c>
      <c r="P9243" s="61">
        <f t="shared" si="654"/>
        <v>1</v>
      </c>
    </row>
    <row r="9244" spans="9:16">
      <c r="I9244" s="213"/>
      <c r="J9244" s="213"/>
      <c r="L9244" s="272">
        <f t="shared" si="651"/>
        <v>1900</v>
      </c>
      <c r="M9244" s="272">
        <f t="shared" si="652"/>
        <v>1</v>
      </c>
      <c r="O9244" s="61">
        <f t="shared" si="653"/>
        <v>1900</v>
      </c>
      <c r="P9244" s="61">
        <f t="shared" si="654"/>
        <v>1</v>
      </c>
    </row>
    <row r="9245" spans="9:16">
      <c r="I9245" s="213"/>
      <c r="J9245" s="213"/>
      <c r="L9245" s="272">
        <f t="shared" si="651"/>
        <v>1900</v>
      </c>
      <c r="M9245" s="272">
        <f t="shared" si="652"/>
        <v>1</v>
      </c>
      <c r="O9245" s="61">
        <f t="shared" si="653"/>
        <v>1900</v>
      </c>
      <c r="P9245" s="61">
        <f t="shared" si="654"/>
        <v>1</v>
      </c>
    </row>
    <row r="9246" spans="9:16">
      <c r="I9246" s="213"/>
      <c r="J9246" s="213"/>
      <c r="L9246" s="272">
        <f t="shared" si="651"/>
        <v>1900</v>
      </c>
      <c r="M9246" s="272">
        <f t="shared" si="652"/>
        <v>1</v>
      </c>
      <c r="O9246" s="61">
        <f t="shared" si="653"/>
        <v>1900</v>
      </c>
      <c r="P9246" s="61">
        <f t="shared" si="654"/>
        <v>1</v>
      </c>
    </row>
    <row r="9247" spans="9:16">
      <c r="I9247" s="213"/>
      <c r="J9247" s="213"/>
      <c r="L9247" s="272">
        <f t="shared" si="651"/>
        <v>1900</v>
      </c>
      <c r="M9247" s="272">
        <f t="shared" si="652"/>
        <v>1</v>
      </c>
      <c r="O9247" s="61">
        <f t="shared" si="653"/>
        <v>1900</v>
      </c>
      <c r="P9247" s="61">
        <f t="shared" si="654"/>
        <v>1</v>
      </c>
    </row>
    <row r="9248" spans="9:16">
      <c r="I9248" s="213"/>
      <c r="J9248" s="213"/>
      <c r="L9248" s="272">
        <f t="shared" si="651"/>
        <v>1900</v>
      </c>
      <c r="M9248" s="272">
        <f t="shared" si="652"/>
        <v>1</v>
      </c>
      <c r="O9248" s="61">
        <f t="shared" si="653"/>
        <v>1900</v>
      </c>
      <c r="P9248" s="61">
        <f t="shared" si="654"/>
        <v>1</v>
      </c>
    </row>
    <row r="9249" spans="9:16">
      <c r="I9249" s="213"/>
      <c r="J9249" s="213"/>
      <c r="L9249" s="272">
        <f t="shared" si="651"/>
        <v>1900</v>
      </c>
      <c r="M9249" s="272">
        <f t="shared" si="652"/>
        <v>1</v>
      </c>
      <c r="O9249" s="61">
        <f t="shared" si="653"/>
        <v>1900</v>
      </c>
      <c r="P9249" s="61">
        <f t="shared" si="654"/>
        <v>1</v>
      </c>
    </row>
    <row r="9250" spans="9:16">
      <c r="I9250" s="213"/>
      <c r="J9250" s="213"/>
      <c r="L9250" s="272">
        <f t="shared" si="651"/>
        <v>1900</v>
      </c>
      <c r="M9250" s="272">
        <f t="shared" si="652"/>
        <v>1</v>
      </c>
      <c r="O9250" s="61">
        <f t="shared" si="653"/>
        <v>1900</v>
      </c>
      <c r="P9250" s="61">
        <f t="shared" si="654"/>
        <v>1</v>
      </c>
    </row>
    <row r="9251" spans="9:16">
      <c r="I9251" s="213"/>
      <c r="J9251" s="213"/>
      <c r="L9251" s="272">
        <f t="shared" si="651"/>
        <v>1900</v>
      </c>
      <c r="M9251" s="272">
        <f t="shared" si="652"/>
        <v>1</v>
      </c>
      <c r="O9251" s="61">
        <f t="shared" si="653"/>
        <v>1900</v>
      </c>
      <c r="P9251" s="61">
        <f t="shared" si="654"/>
        <v>1</v>
      </c>
    </row>
    <row r="9252" spans="9:16">
      <c r="I9252" s="213"/>
      <c r="J9252" s="213"/>
      <c r="L9252" s="272">
        <f t="shared" si="651"/>
        <v>1900</v>
      </c>
      <c r="M9252" s="272">
        <f t="shared" si="652"/>
        <v>1</v>
      </c>
      <c r="O9252" s="61">
        <f t="shared" si="653"/>
        <v>1900</v>
      </c>
      <c r="P9252" s="61">
        <f t="shared" si="654"/>
        <v>1</v>
      </c>
    </row>
    <row r="9253" spans="9:16">
      <c r="I9253" s="213"/>
      <c r="J9253" s="213"/>
      <c r="L9253" s="272">
        <f t="shared" si="651"/>
        <v>1900</v>
      </c>
      <c r="M9253" s="272">
        <f t="shared" si="652"/>
        <v>1</v>
      </c>
      <c r="O9253" s="61">
        <f t="shared" si="653"/>
        <v>1900</v>
      </c>
      <c r="P9253" s="61">
        <f t="shared" si="654"/>
        <v>1</v>
      </c>
    </row>
    <row r="9254" spans="9:16">
      <c r="I9254" s="213"/>
      <c r="J9254" s="213"/>
      <c r="L9254" s="272">
        <f t="shared" si="651"/>
        <v>1900</v>
      </c>
      <c r="M9254" s="272">
        <f t="shared" si="652"/>
        <v>1</v>
      </c>
      <c r="O9254" s="61">
        <f t="shared" si="653"/>
        <v>1900</v>
      </c>
      <c r="P9254" s="61">
        <f t="shared" si="654"/>
        <v>1</v>
      </c>
    </row>
    <row r="9255" spans="9:16">
      <c r="I9255" s="213"/>
      <c r="J9255" s="213"/>
      <c r="L9255" s="272">
        <f t="shared" si="651"/>
        <v>1900</v>
      </c>
      <c r="M9255" s="272">
        <f t="shared" si="652"/>
        <v>1</v>
      </c>
      <c r="O9255" s="61">
        <f t="shared" si="653"/>
        <v>1900</v>
      </c>
      <c r="P9255" s="61">
        <f t="shared" si="654"/>
        <v>1</v>
      </c>
    </row>
    <row r="9256" spans="9:16">
      <c r="I9256" s="213"/>
      <c r="J9256" s="213"/>
      <c r="L9256" s="272">
        <f t="shared" si="651"/>
        <v>1900</v>
      </c>
      <c r="M9256" s="272">
        <f t="shared" si="652"/>
        <v>1</v>
      </c>
      <c r="O9256" s="61">
        <f t="shared" si="653"/>
        <v>1900</v>
      </c>
      <c r="P9256" s="61">
        <f t="shared" si="654"/>
        <v>1</v>
      </c>
    </row>
    <row r="9257" spans="9:16">
      <c r="I9257" s="213"/>
      <c r="J9257" s="213"/>
      <c r="L9257" s="272">
        <f t="shared" si="651"/>
        <v>1900</v>
      </c>
      <c r="M9257" s="272">
        <f t="shared" si="652"/>
        <v>1</v>
      </c>
      <c r="O9257" s="61">
        <f t="shared" si="653"/>
        <v>1900</v>
      </c>
      <c r="P9257" s="61">
        <f t="shared" si="654"/>
        <v>1</v>
      </c>
    </row>
    <row r="9258" spans="9:16">
      <c r="I9258" s="213"/>
      <c r="J9258" s="213"/>
      <c r="L9258" s="272">
        <f t="shared" si="651"/>
        <v>1900</v>
      </c>
      <c r="M9258" s="272">
        <f t="shared" si="652"/>
        <v>1</v>
      </c>
      <c r="O9258" s="61">
        <f t="shared" si="653"/>
        <v>1900</v>
      </c>
      <c r="P9258" s="61">
        <f t="shared" si="654"/>
        <v>1</v>
      </c>
    </row>
    <row r="9259" spans="9:16">
      <c r="I9259" s="213"/>
      <c r="J9259" s="213"/>
      <c r="L9259" s="272">
        <f t="shared" si="651"/>
        <v>1900</v>
      </c>
      <c r="M9259" s="272">
        <f t="shared" si="652"/>
        <v>1</v>
      </c>
      <c r="O9259" s="61">
        <f t="shared" si="653"/>
        <v>1900</v>
      </c>
      <c r="P9259" s="61">
        <f t="shared" si="654"/>
        <v>1</v>
      </c>
    </row>
    <row r="9260" spans="9:16">
      <c r="I9260" s="213"/>
      <c r="J9260" s="213"/>
      <c r="L9260" s="272">
        <f t="shared" si="651"/>
        <v>1900</v>
      </c>
      <c r="M9260" s="272">
        <f t="shared" si="652"/>
        <v>1</v>
      </c>
      <c r="O9260" s="61">
        <f t="shared" si="653"/>
        <v>1900</v>
      </c>
      <c r="P9260" s="61">
        <f t="shared" si="654"/>
        <v>1</v>
      </c>
    </row>
    <row r="9261" spans="9:16">
      <c r="I9261" s="213"/>
      <c r="J9261" s="213"/>
      <c r="L9261" s="272">
        <f t="shared" si="651"/>
        <v>1900</v>
      </c>
      <c r="M9261" s="272">
        <f t="shared" si="652"/>
        <v>1</v>
      </c>
      <c r="O9261" s="61">
        <f t="shared" si="653"/>
        <v>1900</v>
      </c>
      <c r="P9261" s="61">
        <f t="shared" si="654"/>
        <v>1</v>
      </c>
    </row>
    <row r="9262" spans="9:16">
      <c r="I9262" s="213"/>
      <c r="J9262" s="213"/>
      <c r="L9262" s="272">
        <f t="shared" si="651"/>
        <v>1900</v>
      </c>
      <c r="M9262" s="272">
        <f t="shared" si="652"/>
        <v>1</v>
      </c>
      <c r="O9262" s="61">
        <f t="shared" si="653"/>
        <v>1900</v>
      </c>
      <c r="P9262" s="61">
        <f t="shared" si="654"/>
        <v>1</v>
      </c>
    </row>
    <row r="9263" spans="9:16">
      <c r="I9263" s="213"/>
      <c r="J9263" s="213"/>
      <c r="L9263" s="272">
        <f t="shared" si="651"/>
        <v>1900</v>
      </c>
      <c r="M9263" s="272">
        <f t="shared" si="652"/>
        <v>1</v>
      </c>
      <c r="O9263" s="61">
        <f t="shared" si="653"/>
        <v>1900</v>
      </c>
      <c r="P9263" s="61">
        <f t="shared" si="654"/>
        <v>1</v>
      </c>
    </row>
    <row r="9264" spans="9:16">
      <c r="I9264" s="213"/>
      <c r="J9264" s="213"/>
      <c r="L9264" s="272">
        <f t="shared" si="651"/>
        <v>1900</v>
      </c>
      <c r="M9264" s="272">
        <f t="shared" si="652"/>
        <v>1</v>
      </c>
      <c r="O9264" s="61">
        <f t="shared" si="653"/>
        <v>1900</v>
      </c>
      <c r="P9264" s="61">
        <f t="shared" si="654"/>
        <v>1</v>
      </c>
    </row>
    <row r="9265" spans="9:16">
      <c r="I9265" s="213"/>
      <c r="J9265" s="213"/>
      <c r="L9265" s="272">
        <f t="shared" si="651"/>
        <v>1900</v>
      </c>
      <c r="M9265" s="272">
        <f t="shared" si="652"/>
        <v>1</v>
      </c>
      <c r="O9265" s="61">
        <f t="shared" si="653"/>
        <v>1900</v>
      </c>
      <c r="P9265" s="61">
        <f t="shared" si="654"/>
        <v>1</v>
      </c>
    </row>
    <row r="9266" spans="9:16">
      <c r="I9266" s="213"/>
      <c r="J9266" s="213"/>
      <c r="L9266" s="272">
        <f t="shared" si="651"/>
        <v>1900</v>
      </c>
      <c r="M9266" s="272">
        <f t="shared" si="652"/>
        <v>1</v>
      </c>
      <c r="O9266" s="61">
        <f t="shared" si="653"/>
        <v>1900</v>
      </c>
      <c r="P9266" s="61">
        <f t="shared" si="654"/>
        <v>1</v>
      </c>
    </row>
    <row r="9267" spans="9:16">
      <c r="I9267" s="213"/>
      <c r="J9267" s="213"/>
      <c r="L9267" s="272">
        <f t="shared" si="651"/>
        <v>1900</v>
      </c>
      <c r="M9267" s="272">
        <f t="shared" si="652"/>
        <v>1</v>
      </c>
      <c r="O9267" s="61">
        <f t="shared" si="653"/>
        <v>1900</v>
      </c>
      <c r="P9267" s="61">
        <f t="shared" si="654"/>
        <v>1</v>
      </c>
    </row>
    <row r="9268" spans="9:16">
      <c r="I9268" s="213"/>
      <c r="J9268" s="213"/>
      <c r="L9268" s="272">
        <f t="shared" si="651"/>
        <v>1900</v>
      </c>
      <c r="M9268" s="272">
        <f t="shared" si="652"/>
        <v>1</v>
      </c>
      <c r="O9268" s="61">
        <f t="shared" si="653"/>
        <v>1900</v>
      </c>
      <c r="P9268" s="61">
        <f t="shared" si="654"/>
        <v>1</v>
      </c>
    </row>
    <row r="9269" spans="9:16">
      <c r="I9269" s="213"/>
      <c r="J9269" s="213"/>
      <c r="L9269" s="272">
        <f t="shared" si="651"/>
        <v>1900</v>
      </c>
      <c r="M9269" s="272">
        <f t="shared" si="652"/>
        <v>1</v>
      </c>
      <c r="O9269" s="61">
        <f t="shared" si="653"/>
        <v>1900</v>
      </c>
      <c r="P9269" s="61">
        <f t="shared" si="654"/>
        <v>1</v>
      </c>
    </row>
    <row r="9270" spans="9:16">
      <c r="I9270" s="213"/>
      <c r="J9270" s="213"/>
      <c r="L9270" s="272">
        <f t="shared" si="651"/>
        <v>1900</v>
      </c>
      <c r="M9270" s="272">
        <f t="shared" si="652"/>
        <v>1</v>
      </c>
      <c r="O9270" s="61">
        <f t="shared" si="653"/>
        <v>1900</v>
      </c>
      <c r="P9270" s="61">
        <f t="shared" si="654"/>
        <v>1</v>
      </c>
    </row>
    <row r="9271" spans="9:16">
      <c r="I9271" s="213"/>
      <c r="J9271" s="213"/>
      <c r="L9271" s="272">
        <f t="shared" si="651"/>
        <v>1900</v>
      </c>
      <c r="M9271" s="272">
        <f t="shared" si="652"/>
        <v>1</v>
      </c>
      <c r="O9271" s="61">
        <f t="shared" si="653"/>
        <v>1900</v>
      </c>
      <c r="P9271" s="61">
        <f t="shared" si="654"/>
        <v>1</v>
      </c>
    </row>
    <row r="9272" spans="9:16">
      <c r="I9272" s="213"/>
      <c r="J9272" s="213"/>
      <c r="L9272" s="272">
        <f t="shared" si="651"/>
        <v>1900</v>
      </c>
      <c r="M9272" s="272">
        <f t="shared" si="652"/>
        <v>1</v>
      </c>
      <c r="O9272" s="61">
        <f t="shared" si="653"/>
        <v>1900</v>
      </c>
      <c r="P9272" s="61">
        <f t="shared" si="654"/>
        <v>1</v>
      </c>
    </row>
    <row r="9273" spans="9:16">
      <c r="I9273" s="213"/>
      <c r="J9273" s="213"/>
      <c r="L9273" s="272">
        <f t="shared" si="651"/>
        <v>1900</v>
      </c>
      <c r="M9273" s="272">
        <f t="shared" si="652"/>
        <v>1</v>
      </c>
      <c r="O9273" s="61">
        <f t="shared" si="653"/>
        <v>1900</v>
      </c>
      <c r="P9273" s="61">
        <f t="shared" si="654"/>
        <v>1</v>
      </c>
    </row>
    <row r="9274" spans="9:16">
      <c r="I9274" s="213"/>
      <c r="J9274" s="213"/>
      <c r="L9274" s="272">
        <f t="shared" si="651"/>
        <v>1900</v>
      </c>
      <c r="M9274" s="272">
        <f t="shared" si="652"/>
        <v>1</v>
      </c>
      <c r="O9274" s="61">
        <f t="shared" si="653"/>
        <v>1900</v>
      </c>
      <c r="P9274" s="61">
        <f t="shared" si="654"/>
        <v>1</v>
      </c>
    </row>
    <row r="9275" spans="9:16">
      <c r="I9275" s="213"/>
      <c r="J9275" s="213"/>
      <c r="L9275" s="272">
        <f t="shared" si="651"/>
        <v>1900</v>
      </c>
      <c r="M9275" s="272">
        <f t="shared" si="652"/>
        <v>1</v>
      </c>
      <c r="O9275" s="61">
        <f t="shared" si="653"/>
        <v>1900</v>
      </c>
      <c r="P9275" s="61">
        <f t="shared" si="654"/>
        <v>1</v>
      </c>
    </row>
    <row r="9276" spans="9:16">
      <c r="I9276" s="213"/>
      <c r="J9276" s="213"/>
      <c r="L9276" s="272">
        <f t="shared" si="651"/>
        <v>1900</v>
      </c>
      <c r="M9276" s="272">
        <f t="shared" si="652"/>
        <v>1</v>
      </c>
      <c r="O9276" s="61">
        <f t="shared" si="653"/>
        <v>1900</v>
      </c>
      <c r="P9276" s="61">
        <f t="shared" si="654"/>
        <v>1</v>
      </c>
    </row>
    <row r="9277" spans="9:16">
      <c r="I9277" s="213"/>
      <c r="J9277" s="213"/>
      <c r="L9277" s="272">
        <f t="shared" si="651"/>
        <v>1900</v>
      </c>
      <c r="M9277" s="272">
        <f t="shared" si="652"/>
        <v>1</v>
      </c>
      <c r="O9277" s="61">
        <f t="shared" si="653"/>
        <v>1900</v>
      </c>
      <c r="P9277" s="61">
        <f t="shared" si="654"/>
        <v>1</v>
      </c>
    </row>
    <row r="9278" spans="9:16">
      <c r="I9278" s="213"/>
      <c r="J9278" s="213"/>
      <c r="L9278" s="272">
        <f t="shared" si="651"/>
        <v>1900</v>
      </c>
      <c r="M9278" s="272">
        <f t="shared" si="652"/>
        <v>1</v>
      </c>
      <c r="O9278" s="61">
        <f t="shared" si="653"/>
        <v>1900</v>
      </c>
      <c r="P9278" s="61">
        <f t="shared" si="654"/>
        <v>1</v>
      </c>
    </row>
    <row r="9279" spans="9:16">
      <c r="I9279" s="213"/>
      <c r="J9279" s="213"/>
      <c r="L9279" s="272">
        <f t="shared" si="651"/>
        <v>1900</v>
      </c>
      <c r="M9279" s="272">
        <f t="shared" si="652"/>
        <v>1</v>
      </c>
      <c r="O9279" s="61">
        <f t="shared" si="653"/>
        <v>1900</v>
      </c>
      <c r="P9279" s="61">
        <f t="shared" si="654"/>
        <v>1</v>
      </c>
    </row>
    <row r="9280" spans="9:16">
      <c r="I9280" s="213"/>
      <c r="J9280" s="213"/>
      <c r="L9280" s="272">
        <f t="shared" si="651"/>
        <v>1900</v>
      </c>
      <c r="M9280" s="272">
        <f t="shared" si="652"/>
        <v>1</v>
      </c>
      <c r="O9280" s="61">
        <f t="shared" si="653"/>
        <v>1900</v>
      </c>
      <c r="P9280" s="61">
        <f t="shared" si="654"/>
        <v>1</v>
      </c>
    </row>
    <row r="9281" spans="9:16">
      <c r="I9281" s="213"/>
      <c r="J9281" s="213"/>
      <c r="L9281" s="272">
        <f t="shared" si="651"/>
        <v>1900</v>
      </c>
      <c r="M9281" s="272">
        <f t="shared" si="652"/>
        <v>1</v>
      </c>
      <c r="O9281" s="61">
        <f t="shared" si="653"/>
        <v>1900</v>
      </c>
      <c r="P9281" s="61">
        <f t="shared" si="654"/>
        <v>1</v>
      </c>
    </row>
    <row r="9282" spans="9:16">
      <c r="I9282" s="213"/>
      <c r="J9282" s="213"/>
      <c r="L9282" s="272">
        <f t="shared" si="651"/>
        <v>1900</v>
      </c>
      <c r="M9282" s="272">
        <f t="shared" si="652"/>
        <v>1</v>
      </c>
      <c r="O9282" s="61">
        <f t="shared" si="653"/>
        <v>1900</v>
      </c>
      <c r="P9282" s="61">
        <f t="shared" si="654"/>
        <v>1</v>
      </c>
    </row>
    <row r="9283" spans="9:16">
      <c r="I9283" s="213"/>
      <c r="J9283" s="213"/>
      <c r="L9283" s="272">
        <f t="shared" si="651"/>
        <v>1900</v>
      </c>
      <c r="M9283" s="272">
        <f t="shared" si="652"/>
        <v>1</v>
      </c>
      <c r="O9283" s="61">
        <f t="shared" si="653"/>
        <v>1900</v>
      </c>
      <c r="P9283" s="61">
        <f t="shared" si="654"/>
        <v>1</v>
      </c>
    </row>
    <row r="9284" spans="9:16">
      <c r="I9284" s="213"/>
      <c r="J9284" s="213"/>
      <c r="L9284" s="272">
        <f t="shared" si="651"/>
        <v>1900</v>
      </c>
      <c r="M9284" s="272">
        <f t="shared" si="652"/>
        <v>1</v>
      </c>
      <c r="O9284" s="61">
        <f t="shared" si="653"/>
        <v>1900</v>
      </c>
      <c r="P9284" s="61">
        <f t="shared" si="654"/>
        <v>1</v>
      </c>
    </row>
    <row r="9285" spans="9:16">
      <c r="I9285" s="213"/>
      <c r="J9285" s="213"/>
      <c r="L9285" s="272">
        <f t="shared" si="651"/>
        <v>1900</v>
      </c>
      <c r="M9285" s="272">
        <f t="shared" si="652"/>
        <v>1</v>
      </c>
      <c r="O9285" s="61">
        <f t="shared" si="653"/>
        <v>1900</v>
      </c>
      <c r="P9285" s="61">
        <f t="shared" si="654"/>
        <v>1</v>
      </c>
    </row>
    <row r="9286" spans="9:16">
      <c r="I9286" s="213"/>
      <c r="J9286" s="213"/>
      <c r="L9286" s="272">
        <f t="shared" si="651"/>
        <v>1900</v>
      </c>
      <c r="M9286" s="272">
        <f t="shared" si="652"/>
        <v>1</v>
      </c>
      <c r="O9286" s="61">
        <f t="shared" si="653"/>
        <v>1900</v>
      </c>
      <c r="P9286" s="61">
        <f t="shared" si="654"/>
        <v>1</v>
      </c>
    </row>
    <row r="9287" spans="9:16">
      <c r="I9287" s="213"/>
      <c r="J9287" s="213"/>
      <c r="L9287" s="272">
        <f t="shared" si="651"/>
        <v>1900</v>
      </c>
      <c r="M9287" s="272">
        <f t="shared" si="652"/>
        <v>1</v>
      </c>
      <c r="O9287" s="61">
        <f t="shared" si="653"/>
        <v>1900</v>
      </c>
      <c r="P9287" s="61">
        <f t="shared" si="654"/>
        <v>1</v>
      </c>
    </row>
    <row r="9288" spans="9:16">
      <c r="I9288" s="213"/>
      <c r="J9288" s="213"/>
      <c r="L9288" s="272">
        <f t="shared" si="651"/>
        <v>1900</v>
      </c>
      <c r="M9288" s="272">
        <f t="shared" si="652"/>
        <v>1</v>
      </c>
      <c r="O9288" s="61">
        <f t="shared" si="653"/>
        <v>1900</v>
      </c>
      <c r="P9288" s="61">
        <f t="shared" si="654"/>
        <v>1</v>
      </c>
    </row>
    <row r="9289" spans="9:16">
      <c r="I9289" s="213"/>
      <c r="J9289" s="213"/>
      <c r="L9289" s="272">
        <f t="shared" si="651"/>
        <v>1900</v>
      </c>
      <c r="M9289" s="272">
        <f t="shared" si="652"/>
        <v>1</v>
      </c>
      <c r="O9289" s="61">
        <f t="shared" si="653"/>
        <v>1900</v>
      </c>
      <c r="P9289" s="61">
        <f t="shared" si="654"/>
        <v>1</v>
      </c>
    </row>
    <row r="9290" spans="9:16">
      <c r="I9290" s="213"/>
      <c r="J9290" s="213"/>
      <c r="L9290" s="272">
        <f t="shared" si="651"/>
        <v>1900</v>
      </c>
      <c r="M9290" s="272">
        <f t="shared" si="652"/>
        <v>1</v>
      </c>
      <c r="O9290" s="61">
        <f t="shared" si="653"/>
        <v>1900</v>
      </c>
      <c r="P9290" s="61">
        <f t="shared" si="654"/>
        <v>1</v>
      </c>
    </row>
    <row r="9291" spans="9:16">
      <c r="I9291" s="213"/>
      <c r="J9291" s="213"/>
      <c r="L9291" s="272">
        <f t="shared" si="651"/>
        <v>1900</v>
      </c>
      <c r="M9291" s="272">
        <f t="shared" si="652"/>
        <v>1</v>
      </c>
      <c r="O9291" s="61">
        <f t="shared" si="653"/>
        <v>1900</v>
      </c>
      <c r="P9291" s="61">
        <f t="shared" si="654"/>
        <v>1</v>
      </c>
    </row>
    <row r="9292" spans="9:16">
      <c r="I9292" s="213"/>
      <c r="J9292" s="213"/>
      <c r="L9292" s="272">
        <f t="shared" si="651"/>
        <v>1900</v>
      </c>
      <c r="M9292" s="272">
        <f t="shared" si="652"/>
        <v>1</v>
      </c>
      <c r="O9292" s="61">
        <f t="shared" si="653"/>
        <v>1900</v>
      </c>
      <c r="P9292" s="61">
        <f t="shared" si="654"/>
        <v>1</v>
      </c>
    </row>
    <row r="9293" spans="9:16">
      <c r="I9293" s="213"/>
      <c r="J9293" s="213"/>
      <c r="L9293" s="272">
        <f t="shared" si="651"/>
        <v>1900</v>
      </c>
      <c r="M9293" s="272">
        <f t="shared" si="652"/>
        <v>1</v>
      </c>
      <c r="O9293" s="61">
        <f t="shared" si="653"/>
        <v>1900</v>
      </c>
      <c r="P9293" s="61">
        <f t="shared" si="654"/>
        <v>1</v>
      </c>
    </row>
    <row r="9294" spans="9:16">
      <c r="I9294" s="213"/>
      <c r="J9294" s="213"/>
      <c r="L9294" s="272">
        <f t="shared" si="651"/>
        <v>1900</v>
      </c>
      <c r="M9294" s="272">
        <f t="shared" si="652"/>
        <v>1</v>
      </c>
      <c r="O9294" s="61">
        <f t="shared" si="653"/>
        <v>1900</v>
      </c>
      <c r="P9294" s="61">
        <f t="shared" si="654"/>
        <v>1</v>
      </c>
    </row>
    <row r="9295" spans="9:16">
      <c r="I9295" s="213"/>
      <c r="J9295" s="213"/>
      <c r="L9295" s="272">
        <f t="shared" si="651"/>
        <v>1900</v>
      </c>
      <c r="M9295" s="272">
        <f t="shared" si="652"/>
        <v>1</v>
      </c>
      <c r="O9295" s="61">
        <f t="shared" si="653"/>
        <v>1900</v>
      </c>
      <c r="P9295" s="61">
        <f t="shared" si="654"/>
        <v>1</v>
      </c>
    </row>
    <row r="9296" spans="9:16">
      <c r="I9296" s="213"/>
      <c r="J9296" s="213"/>
      <c r="L9296" s="272">
        <f t="shared" ref="L9296:L9359" si="655">YEAR(B9296)</f>
        <v>1900</v>
      </c>
      <c r="M9296" s="272">
        <f t="shared" ref="M9296:M9359" si="656">MONTH(B9296)</f>
        <v>1</v>
      </c>
      <c r="O9296" s="61">
        <f t="shared" ref="O9296:O9359" si="657">YEAR(B9296)</f>
        <v>1900</v>
      </c>
      <c r="P9296" s="61">
        <f t="shared" ref="P9296:P9359" si="658">MONTH(B9296)</f>
        <v>1</v>
      </c>
    </row>
    <row r="9297" spans="9:16">
      <c r="I9297" s="213"/>
      <c r="J9297" s="213"/>
      <c r="L9297" s="272">
        <f t="shared" si="655"/>
        <v>1900</v>
      </c>
      <c r="M9297" s="272">
        <f t="shared" si="656"/>
        <v>1</v>
      </c>
      <c r="O9297" s="61">
        <f t="shared" si="657"/>
        <v>1900</v>
      </c>
      <c r="P9297" s="61">
        <f t="shared" si="658"/>
        <v>1</v>
      </c>
    </row>
    <row r="9298" spans="9:16">
      <c r="I9298" s="213"/>
      <c r="J9298" s="213"/>
      <c r="L9298" s="272">
        <f t="shared" si="655"/>
        <v>1900</v>
      </c>
      <c r="M9298" s="272">
        <f t="shared" si="656"/>
        <v>1</v>
      </c>
      <c r="O9298" s="61">
        <f t="shared" si="657"/>
        <v>1900</v>
      </c>
      <c r="P9298" s="61">
        <f t="shared" si="658"/>
        <v>1</v>
      </c>
    </row>
    <row r="9299" spans="9:16">
      <c r="I9299" s="213"/>
      <c r="J9299" s="213"/>
      <c r="L9299" s="272">
        <f t="shared" si="655"/>
        <v>1900</v>
      </c>
      <c r="M9299" s="272">
        <f t="shared" si="656"/>
        <v>1</v>
      </c>
      <c r="O9299" s="61">
        <f t="shared" si="657"/>
        <v>1900</v>
      </c>
      <c r="P9299" s="61">
        <f t="shared" si="658"/>
        <v>1</v>
      </c>
    </row>
    <row r="9300" spans="9:16">
      <c r="I9300" s="213"/>
      <c r="J9300" s="213"/>
      <c r="L9300" s="272">
        <f t="shared" si="655"/>
        <v>1900</v>
      </c>
      <c r="M9300" s="272">
        <f t="shared" si="656"/>
        <v>1</v>
      </c>
      <c r="O9300" s="61">
        <f t="shared" si="657"/>
        <v>1900</v>
      </c>
      <c r="P9300" s="61">
        <f t="shared" si="658"/>
        <v>1</v>
      </c>
    </row>
    <row r="9301" spans="9:16">
      <c r="I9301" s="213"/>
      <c r="J9301" s="213"/>
      <c r="L9301" s="272">
        <f t="shared" si="655"/>
        <v>1900</v>
      </c>
      <c r="M9301" s="272">
        <f t="shared" si="656"/>
        <v>1</v>
      </c>
      <c r="O9301" s="61">
        <f t="shared" si="657"/>
        <v>1900</v>
      </c>
      <c r="P9301" s="61">
        <f t="shared" si="658"/>
        <v>1</v>
      </c>
    </row>
    <row r="9302" spans="9:16">
      <c r="I9302" s="213"/>
      <c r="J9302" s="213"/>
      <c r="L9302" s="272">
        <f t="shared" si="655"/>
        <v>1900</v>
      </c>
      <c r="M9302" s="272">
        <f t="shared" si="656"/>
        <v>1</v>
      </c>
      <c r="O9302" s="61">
        <f t="shared" si="657"/>
        <v>1900</v>
      </c>
      <c r="P9302" s="61">
        <f t="shared" si="658"/>
        <v>1</v>
      </c>
    </row>
    <row r="9303" spans="9:16">
      <c r="I9303" s="213"/>
      <c r="J9303" s="213"/>
      <c r="L9303" s="272">
        <f t="shared" si="655"/>
        <v>1900</v>
      </c>
      <c r="M9303" s="272">
        <f t="shared" si="656"/>
        <v>1</v>
      </c>
      <c r="O9303" s="61">
        <f t="shared" si="657"/>
        <v>1900</v>
      </c>
      <c r="P9303" s="61">
        <f t="shared" si="658"/>
        <v>1</v>
      </c>
    </row>
    <row r="9304" spans="9:16">
      <c r="I9304" s="213"/>
      <c r="J9304" s="213"/>
      <c r="L9304" s="272">
        <f t="shared" si="655"/>
        <v>1900</v>
      </c>
      <c r="M9304" s="272">
        <f t="shared" si="656"/>
        <v>1</v>
      </c>
      <c r="O9304" s="61">
        <f t="shared" si="657"/>
        <v>1900</v>
      </c>
      <c r="P9304" s="61">
        <f t="shared" si="658"/>
        <v>1</v>
      </c>
    </row>
    <row r="9305" spans="9:16">
      <c r="I9305" s="213"/>
      <c r="J9305" s="213"/>
      <c r="L9305" s="272">
        <f t="shared" si="655"/>
        <v>1900</v>
      </c>
      <c r="M9305" s="272">
        <f t="shared" si="656"/>
        <v>1</v>
      </c>
      <c r="O9305" s="61">
        <f t="shared" si="657"/>
        <v>1900</v>
      </c>
      <c r="P9305" s="61">
        <f t="shared" si="658"/>
        <v>1</v>
      </c>
    </row>
    <row r="9306" spans="9:16">
      <c r="I9306" s="213"/>
      <c r="J9306" s="213"/>
      <c r="L9306" s="272">
        <f t="shared" si="655"/>
        <v>1900</v>
      </c>
      <c r="M9306" s="272">
        <f t="shared" si="656"/>
        <v>1</v>
      </c>
      <c r="O9306" s="61">
        <f t="shared" si="657"/>
        <v>1900</v>
      </c>
      <c r="P9306" s="61">
        <f t="shared" si="658"/>
        <v>1</v>
      </c>
    </row>
    <row r="9307" spans="9:16">
      <c r="I9307" s="213"/>
      <c r="J9307" s="213"/>
      <c r="L9307" s="272">
        <f t="shared" si="655"/>
        <v>1900</v>
      </c>
      <c r="M9307" s="272">
        <f t="shared" si="656"/>
        <v>1</v>
      </c>
      <c r="O9307" s="61">
        <f t="shared" si="657"/>
        <v>1900</v>
      </c>
      <c r="P9307" s="61">
        <f t="shared" si="658"/>
        <v>1</v>
      </c>
    </row>
    <row r="9308" spans="9:16">
      <c r="I9308" s="213"/>
      <c r="J9308" s="213"/>
      <c r="L9308" s="272">
        <f t="shared" si="655"/>
        <v>1900</v>
      </c>
      <c r="M9308" s="272">
        <f t="shared" si="656"/>
        <v>1</v>
      </c>
      <c r="O9308" s="61">
        <f t="shared" si="657"/>
        <v>1900</v>
      </c>
      <c r="P9308" s="61">
        <f t="shared" si="658"/>
        <v>1</v>
      </c>
    </row>
    <row r="9309" spans="9:16">
      <c r="I9309" s="213"/>
      <c r="J9309" s="213"/>
      <c r="L9309" s="272">
        <f t="shared" si="655"/>
        <v>1900</v>
      </c>
      <c r="M9309" s="272">
        <f t="shared" si="656"/>
        <v>1</v>
      </c>
      <c r="O9309" s="61">
        <f t="shared" si="657"/>
        <v>1900</v>
      </c>
      <c r="P9309" s="61">
        <f t="shared" si="658"/>
        <v>1</v>
      </c>
    </row>
    <row r="9310" spans="9:16">
      <c r="I9310" s="213"/>
      <c r="J9310" s="213"/>
      <c r="L9310" s="272">
        <f t="shared" si="655"/>
        <v>1900</v>
      </c>
      <c r="M9310" s="272">
        <f t="shared" si="656"/>
        <v>1</v>
      </c>
      <c r="O9310" s="61">
        <f t="shared" si="657"/>
        <v>1900</v>
      </c>
      <c r="P9310" s="61">
        <f t="shared" si="658"/>
        <v>1</v>
      </c>
    </row>
    <row r="9311" spans="9:16">
      <c r="I9311" s="213"/>
      <c r="J9311" s="213"/>
      <c r="L9311" s="272">
        <f t="shared" si="655"/>
        <v>1900</v>
      </c>
      <c r="M9311" s="272">
        <f t="shared" si="656"/>
        <v>1</v>
      </c>
      <c r="O9311" s="61">
        <f t="shared" si="657"/>
        <v>1900</v>
      </c>
      <c r="P9311" s="61">
        <f t="shared" si="658"/>
        <v>1</v>
      </c>
    </row>
    <row r="9312" spans="9:16">
      <c r="I9312" s="213"/>
      <c r="J9312" s="213"/>
      <c r="L9312" s="272">
        <f t="shared" si="655"/>
        <v>1900</v>
      </c>
      <c r="M9312" s="272">
        <f t="shared" si="656"/>
        <v>1</v>
      </c>
      <c r="O9312" s="61">
        <f t="shared" si="657"/>
        <v>1900</v>
      </c>
      <c r="P9312" s="61">
        <f t="shared" si="658"/>
        <v>1</v>
      </c>
    </row>
    <row r="9313" spans="9:16">
      <c r="I9313" s="213"/>
      <c r="J9313" s="213"/>
      <c r="L9313" s="272">
        <f t="shared" si="655"/>
        <v>1900</v>
      </c>
      <c r="M9313" s="272">
        <f t="shared" si="656"/>
        <v>1</v>
      </c>
      <c r="O9313" s="61">
        <f t="shared" si="657"/>
        <v>1900</v>
      </c>
      <c r="P9313" s="61">
        <f t="shared" si="658"/>
        <v>1</v>
      </c>
    </row>
    <row r="9314" spans="9:16">
      <c r="I9314" s="213"/>
      <c r="J9314" s="213"/>
      <c r="L9314" s="272">
        <f t="shared" si="655"/>
        <v>1900</v>
      </c>
      <c r="M9314" s="272">
        <f t="shared" si="656"/>
        <v>1</v>
      </c>
      <c r="O9314" s="61">
        <f t="shared" si="657"/>
        <v>1900</v>
      </c>
      <c r="P9314" s="61">
        <f t="shared" si="658"/>
        <v>1</v>
      </c>
    </row>
    <row r="9315" spans="9:16">
      <c r="I9315" s="213"/>
      <c r="J9315" s="213"/>
      <c r="L9315" s="272">
        <f t="shared" si="655"/>
        <v>1900</v>
      </c>
      <c r="M9315" s="272">
        <f t="shared" si="656"/>
        <v>1</v>
      </c>
      <c r="O9315" s="61">
        <f t="shared" si="657"/>
        <v>1900</v>
      </c>
      <c r="P9315" s="61">
        <f t="shared" si="658"/>
        <v>1</v>
      </c>
    </row>
    <row r="9316" spans="9:16">
      <c r="I9316" s="213"/>
      <c r="J9316" s="213"/>
      <c r="L9316" s="272">
        <f t="shared" si="655"/>
        <v>1900</v>
      </c>
      <c r="M9316" s="272">
        <f t="shared" si="656"/>
        <v>1</v>
      </c>
      <c r="O9316" s="61">
        <f t="shared" si="657"/>
        <v>1900</v>
      </c>
      <c r="P9316" s="61">
        <f t="shared" si="658"/>
        <v>1</v>
      </c>
    </row>
    <row r="9317" spans="9:16">
      <c r="I9317" s="213"/>
      <c r="J9317" s="213"/>
      <c r="L9317" s="272">
        <f t="shared" si="655"/>
        <v>1900</v>
      </c>
      <c r="M9317" s="272">
        <f t="shared" si="656"/>
        <v>1</v>
      </c>
      <c r="O9317" s="61">
        <f t="shared" si="657"/>
        <v>1900</v>
      </c>
      <c r="P9317" s="61">
        <f t="shared" si="658"/>
        <v>1</v>
      </c>
    </row>
    <row r="9318" spans="9:16">
      <c r="I9318" s="213"/>
      <c r="J9318" s="213"/>
      <c r="L9318" s="272">
        <f t="shared" si="655"/>
        <v>1900</v>
      </c>
      <c r="M9318" s="272">
        <f t="shared" si="656"/>
        <v>1</v>
      </c>
      <c r="O9318" s="61">
        <f t="shared" si="657"/>
        <v>1900</v>
      </c>
      <c r="P9318" s="61">
        <f t="shared" si="658"/>
        <v>1</v>
      </c>
    </row>
    <row r="9319" spans="9:16">
      <c r="I9319" s="213"/>
      <c r="J9319" s="213"/>
      <c r="L9319" s="272">
        <f t="shared" si="655"/>
        <v>1900</v>
      </c>
      <c r="M9319" s="272">
        <f t="shared" si="656"/>
        <v>1</v>
      </c>
      <c r="O9319" s="61">
        <f t="shared" si="657"/>
        <v>1900</v>
      </c>
      <c r="P9319" s="61">
        <f t="shared" si="658"/>
        <v>1</v>
      </c>
    </row>
    <row r="9320" spans="9:16">
      <c r="I9320" s="213"/>
      <c r="J9320" s="213"/>
      <c r="L9320" s="272">
        <f t="shared" si="655"/>
        <v>1900</v>
      </c>
      <c r="M9320" s="272">
        <f t="shared" si="656"/>
        <v>1</v>
      </c>
      <c r="O9320" s="61">
        <f t="shared" si="657"/>
        <v>1900</v>
      </c>
      <c r="P9320" s="61">
        <f t="shared" si="658"/>
        <v>1</v>
      </c>
    </row>
    <row r="9321" spans="9:16">
      <c r="I9321" s="213"/>
      <c r="J9321" s="213"/>
      <c r="L9321" s="272">
        <f t="shared" si="655"/>
        <v>1900</v>
      </c>
      <c r="M9321" s="272">
        <f t="shared" si="656"/>
        <v>1</v>
      </c>
      <c r="O9321" s="61">
        <f t="shared" si="657"/>
        <v>1900</v>
      </c>
      <c r="P9321" s="61">
        <f t="shared" si="658"/>
        <v>1</v>
      </c>
    </row>
    <row r="9322" spans="9:16">
      <c r="I9322" s="213"/>
      <c r="J9322" s="213"/>
      <c r="L9322" s="272">
        <f t="shared" si="655"/>
        <v>1900</v>
      </c>
      <c r="M9322" s="272">
        <f t="shared" si="656"/>
        <v>1</v>
      </c>
      <c r="O9322" s="61">
        <f t="shared" si="657"/>
        <v>1900</v>
      </c>
      <c r="P9322" s="61">
        <f t="shared" si="658"/>
        <v>1</v>
      </c>
    </row>
    <row r="9323" spans="9:16">
      <c r="I9323" s="213"/>
      <c r="J9323" s="213"/>
      <c r="L9323" s="272">
        <f t="shared" si="655"/>
        <v>1900</v>
      </c>
      <c r="M9323" s="272">
        <f t="shared" si="656"/>
        <v>1</v>
      </c>
      <c r="O9323" s="61">
        <f t="shared" si="657"/>
        <v>1900</v>
      </c>
      <c r="P9323" s="61">
        <f t="shared" si="658"/>
        <v>1</v>
      </c>
    </row>
    <row r="9324" spans="9:16">
      <c r="I9324" s="213"/>
      <c r="J9324" s="213"/>
      <c r="L9324" s="272">
        <f t="shared" si="655"/>
        <v>1900</v>
      </c>
      <c r="M9324" s="272">
        <f t="shared" si="656"/>
        <v>1</v>
      </c>
      <c r="O9324" s="61">
        <f t="shared" si="657"/>
        <v>1900</v>
      </c>
      <c r="P9324" s="61">
        <f t="shared" si="658"/>
        <v>1</v>
      </c>
    </row>
    <row r="9325" spans="9:16">
      <c r="I9325" s="213"/>
      <c r="J9325" s="213"/>
      <c r="L9325" s="272">
        <f t="shared" si="655"/>
        <v>1900</v>
      </c>
      <c r="M9325" s="272">
        <f t="shared" si="656"/>
        <v>1</v>
      </c>
      <c r="O9325" s="61">
        <f t="shared" si="657"/>
        <v>1900</v>
      </c>
      <c r="P9325" s="61">
        <f t="shared" si="658"/>
        <v>1</v>
      </c>
    </row>
    <row r="9326" spans="9:16">
      <c r="I9326" s="213"/>
      <c r="J9326" s="213"/>
      <c r="L9326" s="272">
        <f t="shared" si="655"/>
        <v>1900</v>
      </c>
      <c r="M9326" s="272">
        <f t="shared" si="656"/>
        <v>1</v>
      </c>
      <c r="O9326" s="61">
        <f t="shared" si="657"/>
        <v>1900</v>
      </c>
      <c r="P9326" s="61">
        <f t="shared" si="658"/>
        <v>1</v>
      </c>
    </row>
    <row r="9327" spans="9:16">
      <c r="I9327" s="213"/>
      <c r="J9327" s="213"/>
      <c r="L9327" s="272">
        <f t="shared" si="655"/>
        <v>1900</v>
      </c>
      <c r="M9327" s="272">
        <f t="shared" si="656"/>
        <v>1</v>
      </c>
      <c r="O9327" s="61">
        <f t="shared" si="657"/>
        <v>1900</v>
      </c>
      <c r="P9327" s="61">
        <f t="shared" si="658"/>
        <v>1</v>
      </c>
    </row>
    <row r="9328" spans="9:16">
      <c r="I9328" s="213"/>
      <c r="J9328" s="213"/>
      <c r="L9328" s="272">
        <f t="shared" si="655"/>
        <v>1900</v>
      </c>
      <c r="M9328" s="272">
        <f t="shared" si="656"/>
        <v>1</v>
      </c>
      <c r="O9328" s="61">
        <f t="shared" si="657"/>
        <v>1900</v>
      </c>
      <c r="P9328" s="61">
        <f t="shared" si="658"/>
        <v>1</v>
      </c>
    </row>
    <row r="9329" spans="9:16">
      <c r="I9329" s="213"/>
      <c r="J9329" s="213"/>
      <c r="L9329" s="272">
        <f t="shared" si="655"/>
        <v>1900</v>
      </c>
      <c r="M9329" s="272">
        <f t="shared" si="656"/>
        <v>1</v>
      </c>
      <c r="O9329" s="61">
        <f t="shared" si="657"/>
        <v>1900</v>
      </c>
      <c r="P9329" s="61">
        <f t="shared" si="658"/>
        <v>1</v>
      </c>
    </row>
    <row r="9330" spans="9:16">
      <c r="I9330" s="213"/>
      <c r="J9330" s="213"/>
      <c r="L9330" s="272">
        <f t="shared" si="655"/>
        <v>1900</v>
      </c>
      <c r="M9330" s="272">
        <f t="shared" si="656"/>
        <v>1</v>
      </c>
      <c r="O9330" s="61">
        <f t="shared" si="657"/>
        <v>1900</v>
      </c>
      <c r="P9330" s="61">
        <f t="shared" si="658"/>
        <v>1</v>
      </c>
    </row>
    <row r="9331" spans="9:16">
      <c r="I9331" s="213"/>
      <c r="J9331" s="213"/>
      <c r="L9331" s="272">
        <f t="shared" si="655"/>
        <v>1900</v>
      </c>
      <c r="M9331" s="272">
        <f t="shared" si="656"/>
        <v>1</v>
      </c>
      <c r="O9331" s="61">
        <f t="shared" si="657"/>
        <v>1900</v>
      </c>
      <c r="P9331" s="61">
        <f t="shared" si="658"/>
        <v>1</v>
      </c>
    </row>
    <row r="9332" spans="9:16">
      <c r="I9332" s="213"/>
      <c r="J9332" s="213"/>
      <c r="L9332" s="272">
        <f t="shared" si="655"/>
        <v>1900</v>
      </c>
      <c r="M9332" s="272">
        <f t="shared" si="656"/>
        <v>1</v>
      </c>
      <c r="O9332" s="61">
        <f t="shared" si="657"/>
        <v>1900</v>
      </c>
      <c r="P9332" s="61">
        <f t="shared" si="658"/>
        <v>1</v>
      </c>
    </row>
    <row r="9333" spans="9:16">
      <c r="I9333" s="213"/>
      <c r="J9333" s="213"/>
      <c r="L9333" s="272">
        <f t="shared" si="655"/>
        <v>1900</v>
      </c>
      <c r="M9333" s="272">
        <f t="shared" si="656"/>
        <v>1</v>
      </c>
      <c r="O9333" s="61">
        <f t="shared" si="657"/>
        <v>1900</v>
      </c>
      <c r="P9333" s="61">
        <f t="shared" si="658"/>
        <v>1</v>
      </c>
    </row>
    <row r="9334" spans="9:16">
      <c r="I9334" s="213"/>
      <c r="J9334" s="213"/>
      <c r="L9334" s="272">
        <f t="shared" si="655"/>
        <v>1900</v>
      </c>
      <c r="M9334" s="272">
        <f t="shared" si="656"/>
        <v>1</v>
      </c>
      <c r="O9334" s="61">
        <f t="shared" si="657"/>
        <v>1900</v>
      </c>
      <c r="P9334" s="61">
        <f t="shared" si="658"/>
        <v>1</v>
      </c>
    </row>
    <row r="9335" spans="9:16">
      <c r="I9335" s="213"/>
      <c r="J9335" s="213"/>
      <c r="L9335" s="272">
        <f t="shared" si="655"/>
        <v>1900</v>
      </c>
      <c r="M9335" s="272">
        <f t="shared" si="656"/>
        <v>1</v>
      </c>
      <c r="O9335" s="61">
        <f t="shared" si="657"/>
        <v>1900</v>
      </c>
      <c r="P9335" s="61">
        <f t="shared" si="658"/>
        <v>1</v>
      </c>
    </row>
    <row r="9336" spans="9:16">
      <c r="I9336" s="213"/>
      <c r="J9336" s="213"/>
      <c r="L9336" s="272">
        <f t="shared" si="655"/>
        <v>1900</v>
      </c>
      <c r="M9336" s="272">
        <f t="shared" si="656"/>
        <v>1</v>
      </c>
      <c r="O9336" s="61">
        <f t="shared" si="657"/>
        <v>1900</v>
      </c>
      <c r="P9336" s="61">
        <f t="shared" si="658"/>
        <v>1</v>
      </c>
    </row>
    <row r="9337" spans="9:16">
      <c r="I9337" s="213"/>
      <c r="J9337" s="213"/>
      <c r="L9337" s="272">
        <f t="shared" si="655"/>
        <v>1900</v>
      </c>
      <c r="M9337" s="272">
        <f t="shared" si="656"/>
        <v>1</v>
      </c>
      <c r="O9337" s="61">
        <f t="shared" si="657"/>
        <v>1900</v>
      </c>
      <c r="P9337" s="61">
        <f t="shared" si="658"/>
        <v>1</v>
      </c>
    </row>
    <row r="9338" spans="9:16">
      <c r="I9338" s="213"/>
      <c r="J9338" s="213"/>
      <c r="L9338" s="272">
        <f t="shared" si="655"/>
        <v>1900</v>
      </c>
      <c r="M9338" s="272">
        <f t="shared" si="656"/>
        <v>1</v>
      </c>
      <c r="O9338" s="61">
        <f t="shared" si="657"/>
        <v>1900</v>
      </c>
      <c r="P9338" s="61">
        <f t="shared" si="658"/>
        <v>1</v>
      </c>
    </row>
    <row r="9339" spans="9:16">
      <c r="I9339" s="213"/>
      <c r="J9339" s="213"/>
      <c r="L9339" s="272">
        <f t="shared" si="655"/>
        <v>1900</v>
      </c>
      <c r="M9339" s="272">
        <f t="shared" si="656"/>
        <v>1</v>
      </c>
      <c r="O9339" s="61">
        <f t="shared" si="657"/>
        <v>1900</v>
      </c>
      <c r="P9339" s="61">
        <f t="shared" si="658"/>
        <v>1</v>
      </c>
    </row>
    <row r="9340" spans="9:16">
      <c r="I9340" s="213"/>
      <c r="J9340" s="213"/>
      <c r="L9340" s="272">
        <f t="shared" si="655"/>
        <v>1900</v>
      </c>
      <c r="M9340" s="272">
        <f t="shared" si="656"/>
        <v>1</v>
      </c>
      <c r="O9340" s="61">
        <f t="shared" si="657"/>
        <v>1900</v>
      </c>
      <c r="P9340" s="61">
        <f t="shared" si="658"/>
        <v>1</v>
      </c>
    </row>
    <row r="9341" spans="9:16">
      <c r="I9341" s="213"/>
      <c r="J9341" s="213"/>
      <c r="L9341" s="272">
        <f t="shared" si="655"/>
        <v>1900</v>
      </c>
      <c r="M9341" s="272">
        <f t="shared" si="656"/>
        <v>1</v>
      </c>
      <c r="O9341" s="61">
        <f t="shared" si="657"/>
        <v>1900</v>
      </c>
      <c r="P9341" s="61">
        <f t="shared" si="658"/>
        <v>1</v>
      </c>
    </row>
    <row r="9342" spans="9:16">
      <c r="I9342" s="213"/>
      <c r="J9342" s="213"/>
      <c r="L9342" s="272">
        <f t="shared" si="655"/>
        <v>1900</v>
      </c>
      <c r="M9342" s="272">
        <f t="shared" si="656"/>
        <v>1</v>
      </c>
      <c r="O9342" s="61">
        <f t="shared" si="657"/>
        <v>1900</v>
      </c>
      <c r="P9342" s="61">
        <f t="shared" si="658"/>
        <v>1</v>
      </c>
    </row>
    <row r="9343" spans="9:16">
      <c r="I9343" s="213"/>
      <c r="J9343" s="213"/>
      <c r="L9343" s="272">
        <f t="shared" si="655"/>
        <v>1900</v>
      </c>
      <c r="M9343" s="272">
        <f t="shared" si="656"/>
        <v>1</v>
      </c>
      <c r="O9343" s="61">
        <f t="shared" si="657"/>
        <v>1900</v>
      </c>
      <c r="P9343" s="61">
        <f t="shared" si="658"/>
        <v>1</v>
      </c>
    </row>
    <row r="9344" spans="9:16">
      <c r="I9344" s="213"/>
      <c r="J9344" s="213"/>
      <c r="L9344" s="272">
        <f t="shared" si="655"/>
        <v>1900</v>
      </c>
      <c r="M9344" s="272">
        <f t="shared" si="656"/>
        <v>1</v>
      </c>
      <c r="O9344" s="61">
        <f t="shared" si="657"/>
        <v>1900</v>
      </c>
      <c r="P9344" s="61">
        <f t="shared" si="658"/>
        <v>1</v>
      </c>
    </row>
    <row r="9345" spans="9:16">
      <c r="I9345" s="213"/>
      <c r="J9345" s="213"/>
      <c r="L9345" s="272">
        <f t="shared" si="655"/>
        <v>1900</v>
      </c>
      <c r="M9345" s="272">
        <f t="shared" si="656"/>
        <v>1</v>
      </c>
      <c r="O9345" s="61">
        <f t="shared" si="657"/>
        <v>1900</v>
      </c>
      <c r="P9345" s="61">
        <f t="shared" si="658"/>
        <v>1</v>
      </c>
    </row>
    <row r="9346" spans="9:16">
      <c r="I9346" s="213"/>
      <c r="J9346" s="213"/>
      <c r="L9346" s="272">
        <f t="shared" si="655"/>
        <v>1900</v>
      </c>
      <c r="M9346" s="272">
        <f t="shared" si="656"/>
        <v>1</v>
      </c>
      <c r="O9346" s="61">
        <f t="shared" si="657"/>
        <v>1900</v>
      </c>
      <c r="P9346" s="61">
        <f t="shared" si="658"/>
        <v>1</v>
      </c>
    </row>
    <row r="9347" spans="9:16">
      <c r="I9347" s="213"/>
      <c r="J9347" s="213"/>
      <c r="L9347" s="272">
        <f t="shared" si="655"/>
        <v>1900</v>
      </c>
      <c r="M9347" s="272">
        <f t="shared" si="656"/>
        <v>1</v>
      </c>
      <c r="O9347" s="61">
        <f t="shared" si="657"/>
        <v>1900</v>
      </c>
      <c r="P9347" s="61">
        <f t="shared" si="658"/>
        <v>1</v>
      </c>
    </row>
    <row r="9348" spans="9:16">
      <c r="I9348" s="213"/>
      <c r="J9348" s="213"/>
      <c r="L9348" s="272">
        <f t="shared" si="655"/>
        <v>1900</v>
      </c>
      <c r="M9348" s="272">
        <f t="shared" si="656"/>
        <v>1</v>
      </c>
      <c r="O9348" s="61">
        <f t="shared" si="657"/>
        <v>1900</v>
      </c>
      <c r="P9348" s="61">
        <f t="shared" si="658"/>
        <v>1</v>
      </c>
    </row>
    <row r="9349" spans="9:16">
      <c r="I9349" s="213"/>
      <c r="J9349" s="213"/>
      <c r="L9349" s="272">
        <f t="shared" si="655"/>
        <v>1900</v>
      </c>
      <c r="M9349" s="272">
        <f t="shared" si="656"/>
        <v>1</v>
      </c>
      <c r="O9349" s="61">
        <f t="shared" si="657"/>
        <v>1900</v>
      </c>
      <c r="P9349" s="61">
        <f t="shared" si="658"/>
        <v>1</v>
      </c>
    </row>
    <row r="9350" spans="9:16">
      <c r="I9350" s="213"/>
      <c r="J9350" s="213"/>
      <c r="L9350" s="272">
        <f t="shared" si="655"/>
        <v>1900</v>
      </c>
      <c r="M9350" s="272">
        <f t="shared" si="656"/>
        <v>1</v>
      </c>
      <c r="O9350" s="61">
        <f t="shared" si="657"/>
        <v>1900</v>
      </c>
      <c r="P9350" s="61">
        <f t="shared" si="658"/>
        <v>1</v>
      </c>
    </row>
    <row r="9351" spans="9:16">
      <c r="I9351" s="213"/>
      <c r="J9351" s="213"/>
      <c r="L9351" s="272">
        <f t="shared" si="655"/>
        <v>1900</v>
      </c>
      <c r="M9351" s="272">
        <f t="shared" si="656"/>
        <v>1</v>
      </c>
      <c r="O9351" s="61">
        <f t="shared" si="657"/>
        <v>1900</v>
      </c>
      <c r="P9351" s="61">
        <f t="shared" si="658"/>
        <v>1</v>
      </c>
    </row>
    <row r="9352" spans="9:16">
      <c r="I9352" s="213"/>
      <c r="J9352" s="213"/>
      <c r="L9352" s="272">
        <f t="shared" si="655"/>
        <v>1900</v>
      </c>
      <c r="M9352" s="272">
        <f t="shared" si="656"/>
        <v>1</v>
      </c>
      <c r="O9352" s="61">
        <f t="shared" si="657"/>
        <v>1900</v>
      </c>
      <c r="P9352" s="61">
        <f t="shared" si="658"/>
        <v>1</v>
      </c>
    </row>
    <row r="9353" spans="9:16">
      <c r="I9353" s="213"/>
      <c r="J9353" s="213"/>
      <c r="L9353" s="272">
        <f t="shared" si="655"/>
        <v>1900</v>
      </c>
      <c r="M9353" s="272">
        <f t="shared" si="656"/>
        <v>1</v>
      </c>
      <c r="O9353" s="61">
        <f t="shared" si="657"/>
        <v>1900</v>
      </c>
      <c r="P9353" s="61">
        <f t="shared" si="658"/>
        <v>1</v>
      </c>
    </row>
    <row r="9354" spans="9:16">
      <c r="I9354" s="213"/>
      <c r="J9354" s="213"/>
      <c r="L9354" s="272">
        <f t="shared" si="655"/>
        <v>1900</v>
      </c>
      <c r="M9354" s="272">
        <f t="shared" si="656"/>
        <v>1</v>
      </c>
      <c r="O9354" s="61">
        <f t="shared" si="657"/>
        <v>1900</v>
      </c>
      <c r="P9354" s="61">
        <f t="shared" si="658"/>
        <v>1</v>
      </c>
    </row>
    <row r="9355" spans="9:16">
      <c r="I9355" s="213"/>
      <c r="J9355" s="213"/>
      <c r="L9355" s="272">
        <f t="shared" si="655"/>
        <v>1900</v>
      </c>
      <c r="M9355" s="272">
        <f t="shared" si="656"/>
        <v>1</v>
      </c>
      <c r="O9355" s="61">
        <f t="shared" si="657"/>
        <v>1900</v>
      </c>
      <c r="P9355" s="61">
        <f t="shared" si="658"/>
        <v>1</v>
      </c>
    </row>
    <row r="9356" spans="9:16">
      <c r="I9356" s="213"/>
      <c r="J9356" s="213"/>
      <c r="L9356" s="272">
        <f t="shared" si="655"/>
        <v>1900</v>
      </c>
      <c r="M9356" s="272">
        <f t="shared" si="656"/>
        <v>1</v>
      </c>
      <c r="O9356" s="61">
        <f t="shared" si="657"/>
        <v>1900</v>
      </c>
      <c r="P9356" s="61">
        <f t="shared" si="658"/>
        <v>1</v>
      </c>
    </row>
    <row r="9357" spans="9:16">
      <c r="I9357" s="213"/>
      <c r="J9357" s="213"/>
      <c r="L9357" s="272">
        <f t="shared" si="655"/>
        <v>1900</v>
      </c>
      <c r="M9357" s="272">
        <f t="shared" si="656"/>
        <v>1</v>
      </c>
      <c r="O9357" s="61">
        <f t="shared" si="657"/>
        <v>1900</v>
      </c>
      <c r="P9357" s="61">
        <f t="shared" si="658"/>
        <v>1</v>
      </c>
    </row>
    <row r="9358" spans="9:16">
      <c r="I9358" s="213"/>
      <c r="J9358" s="213"/>
      <c r="L9358" s="272">
        <f t="shared" si="655"/>
        <v>1900</v>
      </c>
      <c r="M9358" s="272">
        <f t="shared" si="656"/>
        <v>1</v>
      </c>
      <c r="O9358" s="61">
        <f t="shared" si="657"/>
        <v>1900</v>
      </c>
      <c r="P9358" s="61">
        <f t="shared" si="658"/>
        <v>1</v>
      </c>
    </row>
    <row r="9359" spans="9:16">
      <c r="I9359" s="213"/>
      <c r="J9359" s="213"/>
      <c r="L9359" s="272">
        <f t="shared" si="655"/>
        <v>1900</v>
      </c>
      <c r="M9359" s="272">
        <f t="shared" si="656"/>
        <v>1</v>
      </c>
      <c r="O9359" s="61">
        <f t="shared" si="657"/>
        <v>1900</v>
      </c>
      <c r="P9359" s="61">
        <f t="shared" si="658"/>
        <v>1</v>
      </c>
    </row>
    <row r="9360" spans="9:16">
      <c r="I9360" s="213"/>
      <c r="J9360" s="213"/>
      <c r="L9360" s="272">
        <f t="shared" ref="L9360:L9423" si="659">YEAR(B9360)</f>
        <v>1900</v>
      </c>
      <c r="M9360" s="272">
        <f t="shared" ref="M9360:M9423" si="660">MONTH(B9360)</f>
        <v>1</v>
      </c>
      <c r="O9360" s="61">
        <f t="shared" ref="O9360:O9423" si="661">YEAR(B9360)</f>
        <v>1900</v>
      </c>
      <c r="P9360" s="61">
        <f t="shared" ref="P9360:P9423" si="662">MONTH(B9360)</f>
        <v>1</v>
      </c>
    </row>
    <row r="9361" spans="9:16">
      <c r="I9361" s="213"/>
      <c r="J9361" s="213"/>
      <c r="L9361" s="272">
        <f t="shared" si="659"/>
        <v>1900</v>
      </c>
      <c r="M9361" s="272">
        <f t="shared" si="660"/>
        <v>1</v>
      </c>
      <c r="O9361" s="61">
        <f t="shared" si="661"/>
        <v>1900</v>
      </c>
      <c r="P9361" s="61">
        <f t="shared" si="662"/>
        <v>1</v>
      </c>
    </row>
    <row r="9362" spans="9:16">
      <c r="I9362" s="213"/>
      <c r="J9362" s="213"/>
      <c r="L9362" s="272">
        <f t="shared" si="659"/>
        <v>1900</v>
      </c>
      <c r="M9362" s="272">
        <f t="shared" si="660"/>
        <v>1</v>
      </c>
      <c r="O9362" s="61">
        <f t="shared" si="661"/>
        <v>1900</v>
      </c>
      <c r="P9362" s="61">
        <f t="shared" si="662"/>
        <v>1</v>
      </c>
    </row>
    <row r="9363" spans="9:16">
      <c r="I9363" s="213"/>
      <c r="J9363" s="213"/>
      <c r="L9363" s="272">
        <f t="shared" si="659"/>
        <v>1900</v>
      </c>
      <c r="M9363" s="272">
        <f t="shared" si="660"/>
        <v>1</v>
      </c>
      <c r="O9363" s="61">
        <f t="shared" si="661"/>
        <v>1900</v>
      </c>
      <c r="P9363" s="61">
        <f t="shared" si="662"/>
        <v>1</v>
      </c>
    </row>
    <row r="9364" spans="9:16">
      <c r="I9364" s="213"/>
      <c r="J9364" s="213"/>
      <c r="L9364" s="272">
        <f t="shared" si="659"/>
        <v>1900</v>
      </c>
      <c r="M9364" s="272">
        <f t="shared" si="660"/>
        <v>1</v>
      </c>
      <c r="O9364" s="61">
        <f t="shared" si="661"/>
        <v>1900</v>
      </c>
      <c r="P9364" s="61">
        <f t="shared" si="662"/>
        <v>1</v>
      </c>
    </row>
    <row r="9365" spans="9:16">
      <c r="I9365" s="213"/>
      <c r="J9365" s="213"/>
      <c r="L9365" s="272">
        <f t="shared" si="659"/>
        <v>1900</v>
      </c>
      <c r="M9365" s="272">
        <f t="shared" si="660"/>
        <v>1</v>
      </c>
      <c r="O9365" s="61">
        <f t="shared" si="661"/>
        <v>1900</v>
      </c>
      <c r="P9365" s="61">
        <f t="shared" si="662"/>
        <v>1</v>
      </c>
    </row>
    <row r="9366" spans="9:16">
      <c r="I9366" s="213"/>
      <c r="J9366" s="213"/>
      <c r="L9366" s="272">
        <f t="shared" si="659"/>
        <v>1900</v>
      </c>
      <c r="M9366" s="272">
        <f t="shared" si="660"/>
        <v>1</v>
      </c>
      <c r="O9366" s="61">
        <f t="shared" si="661"/>
        <v>1900</v>
      </c>
      <c r="P9366" s="61">
        <f t="shared" si="662"/>
        <v>1</v>
      </c>
    </row>
    <row r="9367" spans="9:16">
      <c r="I9367" s="213"/>
      <c r="J9367" s="213"/>
      <c r="L9367" s="272">
        <f t="shared" si="659"/>
        <v>1900</v>
      </c>
      <c r="M9367" s="272">
        <f t="shared" si="660"/>
        <v>1</v>
      </c>
      <c r="O9367" s="61">
        <f t="shared" si="661"/>
        <v>1900</v>
      </c>
      <c r="P9367" s="61">
        <f t="shared" si="662"/>
        <v>1</v>
      </c>
    </row>
    <row r="9368" spans="9:16">
      <c r="I9368" s="213"/>
      <c r="J9368" s="213"/>
      <c r="L9368" s="272">
        <f t="shared" si="659"/>
        <v>1900</v>
      </c>
      <c r="M9368" s="272">
        <f t="shared" si="660"/>
        <v>1</v>
      </c>
      <c r="O9368" s="61">
        <f t="shared" si="661"/>
        <v>1900</v>
      </c>
      <c r="P9368" s="61">
        <f t="shared" si="662"/>
        <v>1</v>
      </c>
    </row>
    <row r="9369" spans="9:16">
      <c r="I9369" s="213"/>
      <c r="J9369" s="213"/>
      <c r="L9369" s="272">
        <f t="shared" si="659"/>
        <v>1900</v>
      </c>
      <c r="M9369" s="272">
        <f t="shared" si="660"/>
        <v>1</v>
      </c>
      <c r="O9369" s="61">
        <f t="shared" si="661"/>
        <v>1900</v>
      </c>
      <c r="P9369" s="61">
        <f t="shared" si="662"/>
        <v>1</v>
      </c>
    </row>
    <row r="9370" spans="9:16">
      <c r="I9370" s="213"/>
      <c r="J9370" s="213"/>
      <c r="L9370" s="272">
        <f t="shared" si="659"/>
        <v>1900</v>
      </c>
      <c r="M9370" s="272">
        <f t="shared" si="660"/>
        <v>1</v>
      </c>
      <c r="O9370" s="61">
        <f t="shared" si="661"/>
        <v>1900</v>
      </c>
      <c r="P9370" s="61">
        <f t="shared" si="662"/>
        <v>1</v>
      </c>
    </row>
    <row r="9371" spans="9:16">
      <c r="I9371" s="213"/>
      <c r="J9371" s="213"/>
      <c r="L9371" s="272">
        <f t="shared" si="659"/>
        <v>1900</v>
      </c>
      <c r="M9371" s="272">
        <f t="shared" si="660"/>
        <v>1</v>
      </c>
      <c r="O9371" s="61">
        <f t="shared" si="661"/>
        <v>1900</v>
      </c>
      <c r="P9371" s="61">
        <f t="shared" si="662"/>
        <v>1</v>
      </c>
    </row>
    <row r="9372" spans="9:16">
      <c r="I9372" s="213"/>
      <c r="J9372" s="213"/>
      <c r="L9372" s="272">
        <f t="shared" si="659"/>
        <v>1900</v>
      </c>
      <c r="M9372" s="272">
        <f t="shared" si="660"/>
        <v>1</v>
      </c>
      <c r="O9372" s="61">
        <f t="shared" si="661"/>
        <v>1900</v>
      </c>
      <c r="P9372" s="61">
        <f t="shared" si="662"/>
        <v>1</v>
      </c>
    </row>
    <row r="9373" spans="9:16">
      <c r="I9373" s="213"/>
      <c r="J9373" s="213"/>
      <c r="L9373" s="272">
        <f t="shared" si="659"/>
        <v>1900</v>
      </c>
      <c r="M9373" s="272">
        <f t="shared" si="660"/>
        <v>1</v>
      </c>
      <c r="O9373" s="61">
        <f t="shared" si="661"/>
        <v>1900</v>
      </c>
      <c r="P9373" s="61">
        <f t="shared" si="662"/>
        <v>1</v>
      </c>
    </row>
    <row r="9374" spans="9:16">
      <c r="I9374" s="213"/>
      <c r="J9374" s="213"/>
      <c r="L9374" s="272">
        <f t="shared" si="659"/>
        <v>1900</v>
      </c>
      <c r="M9374" s="272">
        <f t="shared" si="660"/>
        <v>1</v>
      </c>
      <c r="O9374" s="61">
        <f t="shared" si="661"/>
        <v>1900</v>
      </c>
      <c r="P9374" s="61">
        <f t="shared" si="662"/>
        <v>1</v>
      </c>
    </row>
    <row r="9375" spans="9:16">
      <c r="I9375" s="213"/>
      <c r="J9375" s="213"/>
      <c r="L9375" s="272">
        <f t="shared" si="659"/>
        <v>1900</v>
      </c>
      <c r="M9375" s="272">
        <f t="shared" si="660"/>
        <v>1</v>
      </c>
      <c r="O9375" s="61">
        <f t="shared" si="661"/>
        <v>1900</v>
      </c>
      <c r="P9375" s="61">
        <f t="shared" si="662"/>
        <v>1</v>
      </c>
    </row>
    <row r="9376" spans="9:16">
      <c r="I9376" s="213"/>
      <c r="J9376" s="213"/>
      <c r="L9376" s="272">
        <f t="shared" si="659"/>
        <v>1900</v>
      </c>
      <c r="M9376" s="272">
        <f t="shared" si="660"/>
        <v>1</v>
      </c>
      <c r="O9376" s="61">
        <f t="shared" si="661"/>
        <v>1900</v>
      </c>
      <c r="P9376" s="61">
        <f t="shared" si="662"/>
        <v>1</v>
      </c>
    </row>
    <row r="9377" spans="9:16">
      <c r="I9377" s="213"/>
      <c r="J9377" s="213"/>
      <c r="L9377" s="272">
        <f t="shared" si="659"/>
        <v>1900</v>
      </c>
      <c r="M9377" s="272">
        <f t="shared" si="660"/>
        <v>1</v>
      </c>
      <c r="O9377" s="61">
        <f t="shared" si="661"/>
        <v>1900</v>
      </c>
      <c r="P9377" s="61">
        <f t="shared" si="662"/>
        <v>1</v>
      </c>
    </row>
    <row r="9378" spans="9:16">
      <c r="I9378" s="213"/>
      <c r="J9378" s="213"/>
      <c r="L9378" s="272">
        <f t="shared" si="659"/>
        <v>1900</v>
      </c>
      <c r="M9378" s="272">
        <f t="shared" si="660"/>
        <v>1</v>
      </c>
      <c r="O9378" s="61">
        <f t="shared" si="661"/>
        <v>1900</v>
      </c>
      <c r="P9378" s="61">
        <f t="shared" si="662"/>
        <v>1</v>
      </c>
    </row>
    <row r="9379" spans="9:16">
      <c r="I9379" s="213"/>
      <c r="J9379" s="213"/>
      <c r="L9379" s="272">
        <f t="shared" si="659"/>
        <v>1900</v>
      </c>
      <c r="M9379" s="272">
        <f t="shared" si="660"/>
        <v>1</v>
      </c>
      <c r="O9379" s="61">
        <f t="shared" si="661"/>
        <v>1900</v>
      </c>
      <c r="P9379" s="61">
        <f t="shared" si="662"/>
        <v>1</v>
      </c>
    </row>
    <row r="9380" spans="9:16">
      <c r="I9380" s="213"/>
      <c r="J9380" s="213"/>
      <c r="L9380" s="272">
        <f t="shared" si="659"/>
        <v>1900</v>
      </c>
      <c r="M9380" s="272">
        <f t="shared" si="660"/>
        <v>1</v>
      </c>
      <c r="O9380" s="61">
        <f t="shared" si="661"/>
        <v>1900</v>
      </c>
      <c r="P9380" s="61">
        <f t="shared" si="662"/>
        <v>1</v>
      </c>
    </row>
    <row r="9381" spans="9:16">
      <c r="I9381" s="213"/>
      <c r="J9381" s="213"/>
      <c r="L9381" s="272">
        <f t="shared" si="659"/>
        <v>1900</v>
      </c>
      <c r="M9381" s="272">
        <f t="shared" si="660"/>
        <v>1</v>
      </c>
      <c r="O9381" s="61">
        <f t="shared" si="661"/>
        <v>1900</v>
      </c>
      <c r="P9381" s="61">
        <f t="shared" si="662"/>
        <v>1</v>
      </c>
    </row>
    <row r="9382" spans="9:16">
      <c r="I9382" s="213"/>
      <c r="J9382" s="213"/>
      <c r="L9382" s="272">
        <f t="shared" si="659"/>
        <v>1900</v>
      </c>
      <c r="M9382" s="272">
        <f t="shared" si="660"/>
        <v>1</v>
      </c>
      <c r="O9382" s="61">
        <f t="shared" si="661"/>
        <v>1900</v>
      </c>
      <c r="P9382" s="61">
        <f t="shared" si="662"/>
        <v>1</v>
      </c>
    </row>
    <row r="9383" spans="9:16">
      <c r="I9383" s="213"/>
      <c r="J9383" s="213"/>
      <c r="L9383" s="272">
        <f t="shared" si="659"/>
        <v>1900</v>
      </c>
      <c r="M9383" s="272">
        <f t="shared" si="660"/>
        <v>1</v>
      </c>
      <c r="O9383" s="61">
        <f t="shared" si="661"/>
        <v>1900</v>
      </c>
      <c r="P9383" s="61">
        <f t="shared" si="662"/>
        <v>1</v>
      </c>
    </row>
    <row r="9384" spans="9:16">
      <c r="I9384" s="213"/>
      <c r="J9384" s="213"/>
      <c r="L9384" s="272">
        <f t="shared" si="659"/>
        <v>1900</v>
      </c>
      <c r="M9384" s="272">
        <f t="shared" si="660"/>
        <v>1</v>
      </c>
      <c r="O9384" s="61">
        <f t="shared" si="661"/>
        <v>1900</v>
      </c>
      <c r="P9384" s="61">
        <f t="shared" si="662"/>
        <v>1</v>
      </c>
    </row>
    <row r="9385" spans="9:16">
      <c r="I9385" s="213"/>
      <c r="J9385" s="213"/>
      <c r="L9385" s="272">
        <f t="shared" si="659"/>
        <v>1900</v>
      </c>
      <c r="M9385" s="272">
        <f t="shared" si="660"/>
        <v>1</v>
      </c>
      <c r="O9385" s="61">
        <f t="shared" si="661"/>
        <v>1900</v>
      </c>
      <c r="P9385" s="61">
        <f t="shared" si="662"/>
        <v>1</v>
      </c>
    </row>
    <row r="9386" spans="9:16">
      <c r="I9386" s="213"/>
      <c r="J9386" s="213"/>
      <c r="L9386" s="272">
        <f t="shared" si="659"/>
        <v>1900</v>
      </c>
      <c r="M9386" s="272">
        <f t="shared" si="660"/>
        <v>1</v>
      </c>
      <c r="O9386" s="61">
        <f t="shared" si="661"/>
        <v>1900</v>
      </c>
      <c r="P9386" s="61">
        <f t="shared" si="662"/>
        <v>1</v>
      </c>
    </row>
    <row r="9387" spans="9:16">
      <c r="I9387" s="213"/>
      <c r="J9387" s="213"/>
      <c r="L9387" s="272">
        <f t="shared" si="659"/>
        <v>1900</v>
      </c>
      <c r="M9387" s="272">
        <f t="shared" si="660"/>
        <v>1</v>
      </c>
      <c r="O9387" s="61">
        <f t="shared" si="661"/>
        <v>1900</v>
      </c>
      <c r="P9387" s="61">
        <f t="shared" si="662"/>
        <v>1</v>
      </c>
    </row>
    <row r="9388" spans="9:16">
      <c r="I9388" s="213"/>
      <c r="J9388" s="213"/>
      <c r="L9388" s="272">
        <f t="shared" si="659"/>
        <v>1900</v>
      </c>
      <c r="M9388" s="272">
        <f t="shared" si="660"/>
        <v>1</v>
      </c>
      <c r="O9388" s="61">
        <f t="shared" si="661"/>
        <v>1900</v>
      </c>
      <c r="P9388" s="61">
        <f t="shared" si="662"/>
        <v>1</v>
      </c>
    </row>
    <row r="9389" spans="9:16">
      <c r="I9389" s="213"/>
      <c r="J9389" s="213"/>
      <c r="L9389" s="272">
        <f t="shared" si="659"/>
        <v>1900</v>
      </c>
      <c r="M9389" s="272">
        <f t="shared" si="660"/>
        <v>1</v>
      </c>
      <c r="O9389" s="61">
        <f t="shared" si="661"/>
        <v>1900</v>
      </c>
      <c r="P9389" s="61">
        <f t="shared" si="662"/>
        <v>1</v>
      </c>
    </row>
    <row r="9390" spans="9:16">
      <c r="I9390" s="213"/>
      <c r="J9390" s="213"/>
      <c r="L9390" s="272">
        <f t="shared" si="659"/>
        <v>1900</v>
      </c>
      <c r="M9390" s="272">
        <f t="shared" si="660"/>
        <v>1</v>
      </c>
      <c r="O9390" s="61">
        <f t="shared" si="661"/>
        <v>1900</v>
      </c>
      <c r="P9390" s="61">
        <f t="shared" si="662"/>
        <v>1</v>
      </c>
    </row>
    <row r="9391" spans="9:16">
      <c r="I9391" s="213"/>
      <c r="J9391" s="213"/>
      <c r="L9391" s="272">
        <f t="shared" si="659"/>
        <v>1900</v>
      </c>
      <c r="M9391" s="272">
        <f t="shared" si="660"/>
        <v>1</v>
      </c>
      <c r="O9391" s="61">
        <f t="shared" si="661"/>
        <v>1900</v>
      </c>
      <c r="P9391" s="61">
        <f t="shared" si="662"/>
        <v>1</v>
      </c>
    </row>
    <row r="9392" spans="9:16">
      <c r="I9392" s="213"/>
      <c r="J9392" s="213"/>
      <c r="L9392" s="272">
        <f t="shared" si="659"/>
        <v>1900</v>
      </c>
      <c r="M9392" s="272">
        <f t="shared" si="660"/>
        <v>1</v>
      </c>
      <c r="O9392" s="61">
        <f t="shared" si="661"/>
        <v>1900</v>
      </c>
      <c r="P9392" s="61">
        <f t="shared" si="662"/>
        <v>1</v>
      </c>
    </row>
    <row r="9393" spans="9:16">
      <c r="I9393" s="213"/>
      <c r="J9393" s="213"/>
      <c r="L9393" s="272">
        <f t="shared" si="659"/>
        <v>1900</v>
      </c>
      <c r="M9393" s="272">
        <f t="shared" si="660"/>
        <v>1</v>
      </c>
      <c r="O9393" s="61">
        <f t="shared" si="661"/>
        <v>1900</v>
      </c>
      <c r="P9393" s="61">
        <f t="shared" si="662"/>
        <v>1</v>
      </c>
    </row>
    <row r="9394" spans="9:16">
      <c r="I9394" s="213"/>
      <c r="J9394" s="213"/>
      <c r="L9394" s="272">
        <f t="shared" si="659"/>
        <v>1900</v>
      </c>
      <c r="M9394" s="272">
        <f t="shared" si="660"/>
        <v>1</v>
      </c>
      <c r="O9394" s="61">
        <f t="shared" si="661"/>
        <v>1900</v>
      </c>
      <c r="P9394" s="61">
        <f t="shared" si="662"/>
        <v>1</v>
      </c>
    </row>
    <row r="9395" spans="9:16">
      <c r="I9395" s="213"/>
      <c r="J9395" s="213"/>
      <c r="L9395" s="272">
        <f t="shared" si="659"/>
        <v>1900</v>
      </c>
      <c r="M9395" s="272">
        <f t="shared" si="660"/>
        <v>1</v>
      </c>
      <c r="O9395" s="61">
        <f t="shared" si="661"/>
        <v>1900</v>
      </c>
      <c r="P9395" s="61">
        <f t="shared" si="662"/>
        <v>1</v>
      </c>
    </row>
    <row r="9396" spans="9:16">
      <c r="I9396" s="213"/>
      <c r="J9396" s="213"/>
      <c r="L9396" s="272">
        <f t="shared" si="659"/>
        <v>1900</v>
      </c>
      <c r="M9396" s="272">
        <f t="shared" si="660"/>
        <v>1</v>
      </c>
      <c r="O9396" s="61">
        <f t="shared" si="661"/>
        <v>1900</v>
      </c>
      <c r="P9396" s="61">
        <f t="shared" si="662"/>
        <v>1</v>
      </c>
    </row>
    <row r="9397" spans="9:16">
      <c r="I9397" s="213"/>
      <c r="J9397" s="213"/>
      <c r="L9397" s="272">
        <f t="shared" si="659"/>
        <v>1900</v>
      </c>
      <c r="M9397" s="272">
        <f t="shared" si="660"/>
        <v>1</v>
      </c>
      <c r="O9397" s="61">
        <f t="shared" si="661"/>
        <v>1900</v>
      </c>
      <c r="P9397" s="61">
        <f t="shared" si="662"/>
        <v>1</v>
      </c>
    </row>
    <row r="9398" spans="9:16">
      <c r="I9398" s="213"/>
      <c r="J9398" s="213"/>
      <c r="L9398" s="272">
        <f t="shared" si="659"/>
        <v>1900</v>
      </c>
      <c r="M9398" s="272">
        <f t="shared" si="660"/>
        <v>1</v>
      </c>
      <c r="O9398" s="61">
        <f t="shared" si="661"/>
        <v>1900</v>
      </c>
      <c r="P9398" s="61">
        <f t="shared" si="662"/>
        <v>1</v>
      </c>
    </row>
    <row r="9399" spans="9:16">
      <c r="I9399" s="213"/>
      <c r="J9399" s="213"/>
      <c r="L9399" s="272">
        <f t="shared" si="659"/>
        <v>1900</v>
      </c>
      <c r="M9399" s="272">
        <f t="shared" si="660"/>
        <v>1</v>
      </c>
      <c r="O9399" s="61">
        <f t="shared" si="661"/>
        <v>1900</v>
      </c>
      <c r="P9399" s="61">
        <f t="shared" si="662"/>
        <v>1</v>
      </c>
    </row>
    <row r="9400" spans="9:16">
      <c r="I9400" s="213"/>
      <c r="J9400" s="213"/>
      <c r="L9400" s="272">
        <f t="shared" si="659"/>
        <v>1900</v>
      </c>
      <c r="M9400" s="272">
        <f t="shared" si="660"/>
        <v>1</v>
      </c>
      <c r="O9400" s="61">
        <f t="shared" si="661"/>
        <v>1900</v>
      </c>
      <c r="P9400" s="61">
        <f t="shared" si="662"/>
        <v>1</v>
      </c>
    </row>
    <row r="9401" spans="9:16">
      <c r="I9401" s="213"/>
      <c r="J9401" s="213"/>
      <c r="L9401" s="272">
        <f t="shared" si="659"/>
        <v>1900</v>
      </c>
      <c r="M9401" s="272">
        <f t="shared" si="660"/>
        <v>1</v>
      </c>
      <c r="O9401" s="61">
        <f t="shared" si="661"/>
        <v>1900</v>
      </c>
      <c r="P9401" s="61">
        <f t="shared" si="662"/>
        <v>1</v>
      </c>
    </row>
    <row r="9402" spans="9:16">
      <c r="I9402" s="213"/>
      <c r="J9402" s="213"/>
      <c r="L9402" s="272">
        <f t="shared" si="659"/>
        <v>1900</v>
      </c>
      <c r="M9402" s="272">
        <f t="shared" si="660"/>
        <v>1</v>
      </c>
      <c r="O9402" s="61">
        <f t="shared" si="661"/>
        <v>1900</v>
      </c>
      <c r="P9402" s="61">
        <f t="shared" si="662"/>
        <v>1</v>
      </c>
    </row>
    <row r="9403" spans="9:16">
      <c r="I9403" s="213"/>
      <c r="J9403" s="213"/>
      <c r="L9403" s="272">
        <f t="shared" si="659"/>
        <v>1900</v>
      </c>
      <c r="M9403" s="272">
        <f t="shared" si="660"/>
        <v>1</v>
      </c>
      <c r="O9403" s="61">
        <f t="shared" si="661"/>
        <v>1900</v>
      </c>
      <c r="P9403" s="61">
        <f t="shared" si="662"/>
        <v>1</v>
      </c>
    </row>
    <row r="9404" spans="9:16">
      <c r="I9404" s="213"/>
      <c r="J9404" s="213"/>
      <c r="L9404" s="272">
        <f t="shared" si="659"/>
        <v>1900</v>
      </c>
      <c r="M9404" s="272">
        <f t="shared" si="660"/>
        <v>1</v>
      </c>
      <c r="O9404" s="61">
        <f t="shared" si="661"/>
        <v>1900</v>
      </c>
      <c r="P9404" s="61">
        <f t="shared" si="662"/>
        <v>1</v>
      </c>
    </row>
    <row r="9405" spans="9:16">
      <c r="I9405" s="213"/>
      <c r="J9405" s="213"/>
      <c r="L9405" s="272">
        <f t="shared" si="659"/>
        <v>1900</v>
      </c>
      <c r="M9405" s="272">
        <f t="shared" si="660"/>
        <v>1</v>
      </c>
      <c r="O9405" s="61">
        <f t="shared" si="661"/>
        <v>1900</v>
      </c>
      <c r="P9405" s="61">
        <f t="shared" si="662"/>
        <v>1</v>
      </c>
    </row>
    <row r="9406" spans="9:16">
      <c r="I9406" s="213"/>
      <c r="J9406" s="213"/>
      <c r="L9406" s="272">
        <f t="shared" si="659"/>
        <v>1900</v>
      </c>
      <c r="M9406" s="272">
        <f t="shared" si="660"/>
        <v>1</v>
      </c>
      <c r="O9406" s="61">
        <f t="shared" si="661"/>
        <v>1900</v>
      </c>
      <c r="P9406" s="61">
        <f t="shared" si="662"/>
        <v>1</v>
      </c>
    </row>
    <row r="9407" spans="9:16">
      <c r="I9407" s="213"/>
      <c r="J9407" s="213"/>
      <c r="L9407" s="272">
        <f t="shared" si="659"/>
        <v>1900</v>
      </c>
      <c r="M9407" s="272">
        <f t="shared" si="660"/>
        <v>1</v>
      </c>
      <c r="O9407" s="61">
        <f t="shared" si="661"/>
        <v>1900</v>
      </c>
      <c r="P9407" s="61">
        <f t="shared" si="662"/>
        <v>1</v>
      </c>
    </row>
    <row r="9408" spans="9:16">
      <c r="I9408" s="213"/>
      <c r="J9408" s="213"/>
      <c r="L9408" s="272">
        <f t="shared" si="659"/>
        <v>1900</v>
      </c>
      <c r="M9408" s="272">
        <f t="shared" si="660"/>
        <v>1</v>
      </c>
      <c r="O9408" s="61">
        <f t="shared" si="661"/>
        <v>1900</v>
      </c>
      <c r="P9408" s="61">
        <f t="shared" si="662"/>
        <v>1</v>
      </c>
    </row>
    <row r="9409" spans="9:16">
      <c r="I9409" s="213"/>
      <c r="J9409" s="213"/>
      <c r="L9409" s="272">
        <f t="shared" si="659"/>
        <v>1900</v>
      </c>
      <c r="M9409" s="272">
        <f t="shared" si="660"/>
        <v>1</v>
      </c>
      <c r="O9409" s="61">
        <f t="shared" si="661"/>
        <v>1900</v>
      </c>
      <c r="P9409" s="61">
        <f t="shared" si="662"/>
        <v>1</v>
      </c>
    </row>
    <row r="9410" spans="9:16">
      <c r="I9410" s="213"/>
      <c r="J9410" s="213"/>
      <c r="L9410" s="272">
        <f t="shared" si="659"/>
        <v>1900</v>
      </c>
      <c r="M9410" s="272">
        <f t="shared" si="660"/>
        <v>1</v>
      </c>
      <c r="O9410" s="61">
        <f t="shared" si="661"/>
        <v>1900</v>
      </c>
      <c r="P9410" s="61">
        <f t="shared" si="662"/>
        <v>1</v>
      </c>
    </row>
    <row r="9411" spans="9:16">
      <c r="I9411" s="213"/>
      <c r="J9411" s="213"/>
      <c r="L9411" s="272">
        <f t="shared" si="659"/>
        <v>1900</v>
      </c>
      <c r="M9411" s="272">
        <f t="shared" si="660"/>
        <v>1</v>
      </c>
      <c r="O9411" s="61">
        <f t="shared" si="661"/>
        <v>1900</v>
      </c>
      <c r="P9411" s="61">
        <f t="shared" si="662"/>
        <v>1</v>
      </c>
    </row>
    <row r="9412" spans="9:16">
      <c r="I9412" s="213"/>
      <c r="J9412" s="213"/>
      <c r="L9412" s="272">
        <f t="shared" si="659"/>
        <v>1900</v>
      </c>
      <c r="M9412" s="272">
        <f t="shared" si="660"/>
        <v>1</v>
      </c>
      <c r="O9412" s="61">
        <f t="shared" si="661"/>
        <v>1900</v>
      </c>
      <c r="P9412" s="61">
        <f t="shared" si="662"/>
        <v>1</v>
      </c>
    </row>
    <row r="9413" spans="9:16">
      <c r="I9413" s="213"/>
      <c r="J9413" s="213"/>
      <c r="L9413" s="272">
        <f t="shared" si="659"/>
        <v>1900</v>
      </c>
      <c r="M9413" s="272">
        <f t="shared" si="660"/>
        <v>1</v>
      </c>
      <c r="O9413" s="61">
        <f t="shared" si="661"/>
        <v>1900</v>
      </c>
      <c r="P9413" s="61">
        <f t="shared" si="662"/>
        <v>1</v>
      </c>
    </row>
    <row r="9414" spans="9:16">
      <c r="I9414" s="213"/>
      <c r="J9414" s="213"/>
      <c r="L9414" s="272">
        <f t="shared" si="659"/>
        <v>1900</v>
      </c>
      <c r="M9414" s="272">
        <f t="shared" si="660"/>
        <v>1</v>
      </c>
      <c r="O9414" s="61">
        <f t="shared" si="661"/>
        <v>1900</v>
      </c>
      <c r="P9414" s="61">
        <f t="shared" si="662"/>
        <v>1</v>
      </c>
    </row>
    <row r="9415" spans="9:16">
      <c r="I9415" s="213"/>
      <c r="J9415" s="213"/>
      <c r="L9415" s="272">
        <f t="shared" si="659"/>
        <v>1900</v>
      </c>
      <c r="M9415" s="272">
        <f t="shared" si="660"/>
        <v>1</v>
      </c>
      <c r="O9415" s="61">
        <f t="shared" si="661"/>
        <v>1900</v>
      </c>
      <c r="P9415" s="61">
        <f t="shared" si="662"/>
        <v>1</v>
      </c>
    </row>
    <row r="9416" spans="9:16">
      <c r="I9416" s="213"/>
      <c r="J9416" s="213"/>
      <c r="L9416" s="272">
        <f t="shared" si="659"/>
        <v>1900</v>
      </c>
      <c r="M9416" s="272">
        <f t="shared" si="660"/>
        <v>1</v>
      </c>
      <c r="O9416" s="61">
        <f t="shared" si="661"/>
        <v>1900</v>
      </c>
      <c r="P9416" s="61">
        <f t="shared" si="662"/>
        <v>1</v>
      </c>
    </row>
    <row r="9417" spans="9:16">
      <c r="I9417" s="213"/>
      <c r="J9417" s="213"/>
      <c r="L9417" s="272">
        <f t="shared" si="659"/>
        <v>1900</v>
      </c>
      <c r="M9417" s="272">
        <f t="shared" si="660"/>
        <v>1</v>
      </c>
      <c r="O9417" s="61">
        <f t="shared" si="661"/>
        <v>1900</v>
      </c>
      <c r="P9417" s="61">
        <f t="shared" si="662"/>
        <v>1</v>
      </c>
    </row>
    <row r="9418" spans="9:16">
      <c r="I9418" s="213"/>
      <c r="J9418" s="213"/>
      <c r="L9418" s="272">
        <f t="shared" si="659"/>
        <v>1900</v>
      </c>
      <c r="M9418" s="272">
        <f t="shared" si="660"/>
        <v>1</v>
      </c>
      <c r="O9418" s="61">
        <f t="shared" si="661"/>
        <v>1900</v>
      </c>
      <c r="P9418" s="61">
        <f t="shared" si="662"/>
        <v>1</v>
      </c>
    </row>
    <row r="9419" spans="9:16">
      <c r="I9419" s="213"/>
      <c r="J9419" s="213"/>
      <c r="L9419" s="272">
        <f t="shared" si="659"/>
        <v>1900</v>
      </c>
      <c r="M9419" s="272">
        <f t="shared" si="660"/>
        <v>1</v>
      </c>
      <c r="O9419" s="61">
        <f t="shared" si="661"/>
        <v>1900</v>
      </c>
      <c r="P9419" s="61">
        <f t="shared" si="662"/>
        <v>1</v>
      </c>
    </row>
    <row r="9420" spans="9:16">
      <c r="I9420" s="213"/>
      <c r="J9420" s="213"/>
      <c r="L9420" s="272">
        <f t="shared" si="659"/>
        <v>1900</v>
      </c>
      <c r="M9420" s="272">
        <f t="shared" si="660"/>
        <v>1</v>
      </c>
      <c r="O9420" s="61">
        <f t="shared" si="661"/>
        <v>1900</v>
      </c>
      <c r="P9420" s="61">
        <f t="shared" si="662"/>
        <v>1</v>
      </c>
    </row>
    <row r="9421" spans="9:16">
      <c r="I9421" s="213"/>
      <c r="J9421" s="213"/>
      <c r="L9421" s="272">
        <f t="shared" si="659"/>
        <v>1900</v>
      </c>
      <c r="M9421" s="272">
        <f t="shared" si="660"/>
        <v>1</v>
      </c>
      <c r="O9421" s="61">
        <f t="shared" si="661"/>
        <v>1900</v>
      </c>
      <c r="P9421" s="61">
        <f t="shared" si="662"/>
        <v>1</v>
      </c>
    </row>
    <row r="9422" spans="9:16">
      <c r="I9422" s="213"/>
      <c r="J9422" s="213"/>
      <c r="L9422" s="272">
        <f t="shared" si="659"/>
        <v>1900</v>
      </c>
      <c r="M9422" s="272">
        <f t="shared" si="660"/>
        <v>1</v>
      </c>
      <c r="O9422" s="61">
        <f t="shared" si="661"/>
        <v>1900</v>
      </c>
      <c r="P9422" s="61">
        <f t="shared" si="662"/>
        <v>1</v>
      </c>
    </row>
    <row r="9423" spans="9:16">
      <c r="I9423" s="213"/>
      <c r="J9423" s="213"/>
      <c r="L9423" s="272">
        <f t="shared" si="659"/>
        <v>1900</v>
      </c>
      <c r="M9423" s="272">
        <f t="shared" si="660"/>
        <v>1</v>
      </c>
      <c r="O9423" s="61">
        <f t="shared" si="661"/>
        <v>1900</v>
      </c>
      <c r="P9423" s="61">
        <f t="shared" si="662"/>
        <v>1</v>
      </c>
    </row>
    <row r="9424" spans="9:16">
      <c r="I9424" s="213"/>
      <c r="J9424" s="213"/>
      <c r="L9424" s="272">
        <f t="shared" ref="L9424:L9487" si="663">YEAR(B9424)</f>
        <v>1900</v>
      </c>
      <c r="M9424" s="272">
        <f t="shared" ref="M9424:M9487" si="664">MONTH(B9424)</f>
        <v>1</v>
      </c>
      <c r="O9424" s="61">
        <f t="shared" ref="O9424:O9487" si="665">YEAR(B9424)</f>
        <v>1900</v>
      </c>
      <c r="P9424" s="61">
        <f t="shared" ref="P9424:P9487" si="666">MONTH(B9424)</f>
        <v>1</v>
      </c>
    </row>
    <row r="9425" spans="9:16">
      <c r="I9425" s="213"/>
      <c r="J9425" s="213"/>
      <c r="L9425" s="272">
        <f t="shared" si="663"/>
        <v>1900</v>
      </c>
      <c r="M9425" s="272">
        <f t="shared" si="664"/>
        <v>1</v>
      </c>
      <c r="O9425" s="61">
        <f t="shared" si="665"/>
        <v>1900</v>
      </c>
      <c r="P9425" s="61">
        <f t="shared" si="666"/>
        <v>1</v>
      </c>
    </row>
    <row r="9426" spans="9:16">
      <c r="I9426" s="213"/>
      <c r="J9426" s="213"/>
      <c r="L9426" s="272">
        <f t="shared" si="663"/>
        <v>1900</v>
      </c>
      <c r="M9426" s="272">
        <f t="shared" si="664"/>
        <v>1</v>
      </c>
      <c r="O9426" s="61">
        <f t="shared" si="665"/>
        <v>1900</v>
      </c>
      <c r="P9426" s="61">
        <f t="shared" si="666"/>
        <v>1</v>
      </c>
    </row>
    <row r="9427" spans="9:16">
      <c r="I9427" s="213"/>
      <c r="J9427" s="213"/>
      <c r="L9427" s="272">
        <f t="shared" si="663"/>
        <v>1900</v>
      </c>
      <c r="M9427" s="272">
        <f t="shared" si="664"/>
        <v>1</v>
      </c>
      <c r="O9427" s="61">
        <f t="shared" si="665"/>
        <v>1900</v>
      </c>
      <c r="P9427" s="61">
        <f t="shared" si="666"/>
        <v>1</v>
      </c>
    </row>
    <row r="9428" spans="9:16">
      <c r="I9428" s="213"/>
      <c r="J9428" s="213"/>
      <c r="L9428" s="272">
        <f t="shared" si="663"/>
        <v>1900</v>
      </c>
      <c r="M9428" s="272">
        <f t="shared" si="664"/>
        <v>1</v>
      </c>
      <c r="O9428" s="61">
        <f t="shared" si="665"/>
        <v>1900</v>
      </c>
      <c r="P9428" s="61">
        <f t="shared" si="666"/>
        <v>1</v>
      </c>
    </row>
    <row r="9429" spans="9:16">
      <c r="I9429" s="213"/>
      <c r="J9429" s="213"/>
      <c r="L9429" s="272">
        <f t="shared" si="663"/>
        <v>1900</v>
      </c>
      <c r="M9429" s="272">
        <f t="shared" si="664"/>
        <v>1</v>
      </c>
      <c r="O9429" s="61">
        <f t="shared" si="665"/>
        <v>1900</v>
      </c>
      <c r="P9429" s="61">
        <f t="shared" si="666"/>
        <v>1</v>
      </c>
    </row>
    <row r="9430" spans="9:16">
      <c r="I9430" s="213"/>
      <c r="J9430" s="213"/>
      <c r="L9430" s="272">
        <f t="shared" si="663"/>
        <v>1900</v>
      </c>
      <c r="M9430" s="272">
        <f t="shared" si="664"/>
        <v>1</v>
      </c>
      <c r="O9430" s="61">
        <f t="shared" si="665"/>
        <v>1900</v>
      </c>
      <c r="P9430" s="61">
        <f t="shared" si="666"/>
        <v>1</v>
      </c>
    </row>
    <row r="9431" spans="9:16">
      <c r="I9431" s="213"/>
      <c r="J9431" s="213"/>
      <c r="L9431" s="272">
        <f t="shared" si="663"/>
        <v>1900</v>
      </c>
      <c r="M9431" s="272">
        <f t="shared" si="664"/>
        <v>1</v>
      </c>
      <c r="O9431" s="61">
        <f t="shared" si="665"/>
        <v>1900</v>
      </c>
      <c r="P9431" s="61">
        <f t="shared" si="666"/>
        <v>1</v>
      </c>
    </row>
    <row r="9432" spans="9:16">
      <c r="I9432" s="213"/>
      <c r="J9432" s="213"/>
      <c r="L9432" s="272">
        <f t="shared" si="663"/>
        <v>1900</v>
      </c>
      <c r="M9432" s="272">
        <f t="shared" si="664"/>
        <v>1</v>
      </c>
      <c r="O9432" s="61">
        <f t="shared" si="665"/>
        <v>1900</v>
      </c>
      <c r="P9432" s="61">
        <f t="shared" si="666"/>
        <v>1</v>
      </c>
    </row>
    <row r="9433" spans="9:16">
      <c r="I9433" s="213"/>
      <c r="J9433" s="213"/>
      <c r="L9433" s="272">
        <f t="shared" si="663"/>
        <v>1900</v>
      </c>
      <c r="M9433" s="272">
        <f t="shared" si="664"/>
        <v>1</v>
      </c>
      <c r="O9433" s="61">
        <f t="shared" si="665"/>
        <v>1900</v>
      </c>
      <c r="P9433" s="61">
        <f t="shared" si="666"/>
        <v>1</v>
      </c>
    </row>
    <row r="9434" spans="9:16">
      <c r="I9434" s="213"/>
      <c r="J9434" s="213"/>
      <c r="L9434" s="272">
        <f t="shared" si="663"/>
        <v>1900</v>
      </c>
      <c r="M9434" s="272">
        <f t="shared" si="664"/>
        <v>1</v>
      </c>
      <c r="O9434" s="61">
        <f t="shared" si="665"/>
        <v>1900</v>
      </c>
      <c r="P9434" s="61">
        <f t="shared" si="666"/>
        <v>1</v>
      </c>
    </row>
    <row r="9435" spans="9:16">
      <c r="I9435" s="213"/>
      <c r="J9435" s="213"/>
      <c r="L9435" s="272">
        <f t="shared" si="663"/>
        <v>1900</v>
      </c>
      <c r="M9435" s="272">
        <f t="shared" si="664"/>
        <v>1</v>
      </c>
      <c r="O9435" s="61">
        <f t="shared" si="665"/>
        <v>1900</v>
      </c>
      <c r="P9435" s="61">
        <f t="shared" si="666"/>
        <v>1</v>
      </c>
    </row>
    <row r="9436" spans="9:16">
      <c r="I9436" s="213"/>
      <c r="J9436" s="213"/>
      <c r="L9436" s="272">
        <f t="shared" si="663"/>
        <v>1900</v>
      </c>
      <c r="M9436" s="272">
        <f t="shared" si="664"/>
        <v>1</v>
      </c>
      <c r="O9436" s="61">
        <f t="shared" si="665"/>
        <v>1900</v>
      </c>
      <c r="P9436" s="61">
        <f t="shared" si="666"/>
        <v>1</v>
      </c>
    </row>
    <row r="9437" spans="9:16">
      <c r="I9437" s="213"/>
      <c r="J9437" s="213"/>
      <c r="L9437" s="272">
        <f t="shared" si="663"/>
        <v>1900</v>
      </c>
      <c r="M9437" s="272">
        <f t="shared" si="664"/>
        <v>1</v>
      </c>
      <c r="O9437" s="61">
        <f t="shared" si="665"/>
        <v>1900</v>
      </c>
      <c r="P9437" s="61">
        <f t="shared" si="666"/>
        <v>1</v>
      </c>
    </row>
    <row r="9438" spans="9:16">
      <c r="I9438" s="213"/>
      <c r="J9438" s="213"/>
      <c r="L9438" s="272">
        <f t="shared" si="663"/>
        <v>1900</v>
      </c>
      <c r="M9438" s="272">
        <f t="shared" si="664"/>
        <v>1</v>
      </c>
      <c r="O9438" s="61">
        <f t="shared" si="665"/>
        <v>1900</v>
      </c>
      <c r="P9438" s="61">
        <f t="shared" si="666"/>
        <v>1</v>
      </c>
    </row>
    <row r="9439" spans="9:16">
      <c r="I9439" s="213"/>
      <c r="J9439" s="213"/>
      <c r="L9439" s="272">
        <f t="shared" si="663"/>
        <v>1900</v>
      </c>
      <c r="M9439" s="272">
        <f t="shared" si="664"/>
        <v>1</v>
      </c>
      <c r="O9439" s="61">
        <f t="shared" si="665"/>
        <v>1900</v>
      </c>
      <c r="P9439" s="61">
        <f t="shared" si="666"/>
        <v>1</v>
      </c>
    </row>
    <row r="9440" spans="9:16">
      <c r="I9440" s="213"/>
      <c r="J9440" s="213"/>
      <c r="L9440" s="272">
        <f t="shared" si="663"/>
        <v>1900</v>
      </c>
      <c r="M9440" s="272">
        <f t="shared" si="664"/>
        <v>1</v>
      </c>
      <c r="O9440" s="61">
        <f t="shared" si="665"/>
        <v>1900</v>
      </c>
      <c r="P9440" s="61">
        <f t="shared" si="666"/>
        <v>1</v>
      </c>
    </row>
    <row r="9441" spans="9:16">
      <c r="I9441" s="213"/>
      <c r="J9441" s="213"/>
      <c r="L9441" s="272">
        <f t="shared" si="663"/>
        <v>1900</v>
      </c>
      <c r="M9441" s="272">
        <f t="shared" si="664"/>
        <v>1</v>
      </c>
      <c r="O9441" s="61">
        <f t="shared" si="665"/>
        <v>1900</v>
      </c>
      <c r="P9441" s="61">
        <f t="shared" si="666"/>
        <v>1</v>
      </c>
    </row>
    <row r="9442" spans="9:16">
      <c r="I9442" s="213"/>
      <c r="J9442" s="213"/>
      <c r="L9442" s="272">
        <f t="shared" si="663"/>
        <v>1900</v>
      </c>
      <c r="M9442" s="272">
        <f t="shared" si="664"/>
        <v>1</v>
      </c>
      <c r="O9442" s="61">
        <f t="shared" si="665"/>
        <v>1900</v>
      </c>
      <c r="P9442" s="61">
        <f t="shared" si="666"/>
        <v>1</v>
      </c>
    </row>
    <row r="9443" spans="9:16">
      <c r="I9443" s="213"/>
      <c r="J9443" s="213"/>
      <c r="L9443" s="272">
        <f t="shared" si="663"/>
        <v>1900</v>
      </c>
      <c r="M9443" s="272">
        <f t="shared" si="664"/>
        <v>1</v>
      </c>
      <c r="O9443" s="61">
        <f t="shared" si="665"/>
        <v>1900</v>
      </c>
      <c r="P9443" s="61">
        <f t="shared" si="666"/>
        <v>1</v>
      </c>
    </row>
    <row r="9444" spans="9:16">
      <c r="I9444" s="213"/>
      <c r="J9444" s="213"/>
      <c r="L9444" s="272">
        <f t="shared" si="663"/>
        <v>1900</v>
      </c>
      <c r="M9444" s="272">
        <f t="shared" si="664"/>
        <v>1</v>
      </c>
      <c r="O9444" s="61">
        <f t="shared" si="665"/>
        <v>1900</v>
      </c>
      <c r="P9444" s="61">
        <f t="shared" si="666"/>
        <v>1</v>
      </c>
    </row>
    <row r="9445" spans="9:16">
      <c r="I9445" s="213"/>
      <c r="J9445" s="213"/>
      <c r="L9445" s="272">
        <f t="shared" si="663"/>
        <v>1900</v>
      </c>
      <c r="M9445" s="272">
        <f t="shared" si="664"/>
        <v>1</v>
      </c>
      <c r="O9445" s="61">
        <f t="shared" si="665"/>
        <v>1900</v>
      </c>
      <c r="P9445" s="61">
        <f t="shared" si="666"/>
        <v>1</v>
      </c>
    </row>
    <row r="9446" spans="9:16">
      <c r="I9446" s="213"/>
      <c r="J9446" s="213"/>
      <c r="L9446" s="272">
        <f t="shared" si="663"/>
        <v>1900</v>
      </c>
      <c r="M9446" s="272">
        <f t="shared" si="664"/>
        <v>1</v>
      </c>
      <c r="O9446" s="61">
        <f t="shared" si="665"/>
        <v>1900</v>
      </c>
      <c r="P9446" s="61">
        <f t="shared" si="666"/>
        <v>1</v>
      </c>
    </row>
    <row r="9447" spans="9:16">
      <c r="I9447" s="213"/>
      <c r="J9447" s="213"/>
      <c r="L9447" s="272">
        <f t="shared" si="663"/>
        <v>1900</v>
      </c>
      <c r="M9447" s="272">
        <f t="shared" si="664"/>
        <v>1</v>
      </c>
      <c r="O9447" s="61">
        <f t="shared" si="665"/>
        <v>1900</v>
      </c>
      <c r="P9447" s="61">
        <f t="shared" si="666"/>
        <v>1</v>
      </c>
    </row>
    <row r="9448" spans="9:16">
      <c r="I9448" s="213"/>
      <c r="J9448" s="213"/>
      <c r="L9448" s="272">
        <f t="shared" si="663"/>
        <v>1900</v>
      </c>
      <c r="M9448" s="272">
        <f t="shared" si="664"/>
        <v>1</v>
      </c>
      <c r="O9448" s="61">
        <f t="shared" si="665"/>
        <v>1900</v>
      </c>
      <c r="P9448" s="61">
        <f t="shared" si="666"/>
        <v>1</v>
      </c>
    </row>
    <row r="9449" spans="9:16">
      <c r="I9449" s="213"/>
      <c r="J9449" s="213"/>
      <c r="L9449" s="272">
        <f t="shared" si="663"/>
        <v>1900</v>
      </c>
      <c r="M9449" s="272">
        <f t="shared" si="664"/>
        <v>1</v>
      </c>
      <c r="O9449" s="61">
        <f t="shared" si="665"/>
        <v>1900</v>
      </c>
      <c r="P9449" s="61">
        <f t="shared" si="666"/>
        <v>1</v>
      </c>
    </row>
    <row r="9450" spans="9:16">
      <c r="I9450" s="213"/>
      <c r="J9450" s="213"/>
      <c r="L9450" s="272">
        <f t="shared" si="663"/>
        <v>1900</v>
      </c>
      <c r="M9450" s="272">
        <f t="shared" si="664"/>
        <v>1</v>
      </c>
      <c r="O9450" s="61">
        <f t="shared" si="665"/>
        <v>1900</v>
      </c>
      <c r="P9450" s="61">
        <f t="shared" si="666"/>
        <v>1</v>
      </c>
    </row>
    <row r="9451" spans="9:16">
      <c r="I9451" s="213"/>
      <c r="J9451" s="213"/>
      <c r="L9451" s="272">
        <f t="shared" si="663"/>
        <v>1900</v>
      </c>
      <c r="M9451" s="272">
        <f t="shared" si="664"/>
        <v>1</v>
      </c>
      <c r="O9451" s="61">
        <f t="shared" si="665"/>
        <v>1900</v>
      </c>
      <c r="P9451" s="61">
        <f t="shared" si="666"/>
        <v>1</v>
      </c>
    </row>
    <row r="9452" spans="9:16">
      <c r="I9452" s="213"/>
      <c r="J9452" s="213"/>
      <c r="L9452" s="272">
        <f t="shared" si="663"/>
        <v>1900</v>
      </c>
      <c r="M9452" s="272">
        <f t="shared" si="664"/>
        <v>1</v>
      </c>
      <c r="O9452" s="61">
        <f t="shared" si="665"/>
        <v>1900</v>
      </c>
      <c r="P9452" s="61">
        <f t="shared" si="666"/>
        <v>1</v>
      </c>
    </row>
    <row r="9453" spans="9:16">
      <c r="I9453" s="213"/>
      <c r="J9453" s="213"/>
      <c r="L9453" s="272">
        <f t="shared" si="663"/>
        <v>1900</v>
      </c>
      <c r="M9453" s="272">
        <f t="shared" si="664"/>
        <v>1</v>
      </c>
      <c r="O9453" s="61">
        <f t="shared" si="665"/>
        <v>1900</v>
      </c>
      <c r="P9453" s="61">
        <f t="shared" si="666"/>
        <v>1</v>
      </c>
    </row>
    <row r="9454" spans="9:16">
      <c r="I9454" s="213"/>
      <c r="J9454" s="213"/>
      <c r="L9454" s="272">
        <f t="shared" si="663"/>
        <v>1900</v>
      </c>
      <c r="M9454" s="272">
        <f t="shared" si="664"/>
        <v>1</v>
      </c>
      <c r="O9454" s="61">
        <f t="shared" si="665"/>
        <v>1900</v>
      </c>
      <c r="P9454" s="61">
        <f t="shared" si="666"/>
        <v>1</v>
      </c>
    </row>
    <row r="9455" spans="9:16">
      <c r="I9455" s="213"/>
      <c r="J9455" s="213"/>
      <c r="L9455" s="272">
        <f t="shared" si="663"/>
        <v>1900</v>
      </c>
      <c r="M9455" s="272">
        <f t="shared" si="664"/>
        <v>1</v>
      </c>
      <c r="O9455" s="61">
        <f t="shared" si="665"/>
        <v>1900</v>
      </c>
      <c r="P9455" s="61">
        <f t="shared" si="666"/>
        <v>1</v>
      </c>
    </row>
    <row r="9456" spans="9:16">
      <c r="I9456" s="213"/>
      <c r="J9456" s="213"/>
      <c r="L9456" s="272">
        <f t="shared" si="663"/>
        <v>1900</v>
      </c>
      <c r="M9456" s="272">
        <f t="shared" si="664"/>
        <v>1</v>
      </c>
      <c r="O9456" s="61">
        <f t="shared" si="665"/>
        <v>1900</v>
      </c>
      <c r="P9456" s="61">
        <f t="shared" si="666"/>
        <v>1</v>
      </c>
    </row>
    <row r="9457" spans="9:16">
      <c r="I9457" s="213"/>
      <c r="J9457" s="213"/>
      <c r="L9457" s="272">
        <f t="shared" si="663"/>
        <v>1900</v>
      </c>
      <c r="M9457" s="272">
        <f t="shared" si="664"/>
        <v>1</v>
      </c>
      <c r="O9457" s="61">
        <f t="shared" si="665"/>
        <v>1900</v>
      </c>
      <c r="P9457" s="61">
        <f t="shared" si="666"/>
        <v>1</v>
      </c>
    </row>
    <row r="9458" spans="9:16">
      <c r="I9458" s="213"/>
      <c r="J9458" s="213"/>
      <c r="L9458" s="272">
        <f t="shared" si="663"/>
        <v>1900</v>
      </c>
      <c r="M9458" s="272">
        <f t="shared" si="664"/>
        <v>1</v>
      </c>
      <c r="O9458" s="61">
        <f t="shared" si="665"/>
        <v>1900</v>
      </c>
      <c r="P9458" s="61">
        <f t="shared" si="666"/>
        <v>1</v>
      </c>
    </row>
    <row r="9459" spans="9:16">
      <c r="I9459" s="213"/>
      <c r="J9459" s="213"/>
      <c r="L9459" s="272">
        <f t="shared" si="663"/>
        <v>1900</v>
      </c>
      <c r="M9459" s="272">
        <f t="shared" si="664"/>
        <v>1</v>
      </c>
      <c r="O9459" s="61">
        <f t="shared" si="665"/>
        <v>1900</v>
      </c>
      <c r="P9459" s="61">
        <f t="shared" si="666"/>
        <v>1</v>
      </c>
    </row>
    <row r="9460" spans="9:16">
      <c r="I9460" s="213"/>
      <c r="J9460" s="213"/>
      <c r="L9460" s="272">
        <f t="shared" si="663"/>
        <v>1900</v>
      </c>
      <c r="M9460" s="272">
        <f t="shared" si="664"/>
        <v>1</v>
      </c>
      <c r="O9460" s="61">
        <f t="shared" si="665"/>
        <v>1900</v>
      </c>
      <c r="P9460" s="61">
        <f t="shared" si="666"/>
        <v>1</v>
      </c>
    </row>
    <row r="9461" spans="9:16">
      <c r="I9461" s="213"/>
      <c r="J9461" s="213"/>
      <c r="L9461" s="272">
        <f t="shared" si="663"/>
        <v>1900</v>
      </c>
      <c r="M9461" s="272">
        <f t="shared" si="664"/>
        <v>1</v>
      </c>
      <c r="O9461" s="61">
        <f t="shared" si="665"/>
        <v>1900</v>
      </c>
      <c r="P9461" s="61">
        <f t="shared" si="666"/>
        <v>1</v>
      </c>
    </row>
    <row r="9462" spans="9:16">
      <c r="I9462" s="213"/>
      <c r="J9462" s="213"/>
      <c r="L9462" s="272">
        <f t="shared" si="663"/>
        <v>1900</v>
      </c>
      <c r="M9462" s="272">
        <f t="shared" si="664"/>
        <v>1</v>
      </c>
      <c r="O9462" s="61">
        <f t="shared" si="665"/>
        <v>1900</v>
      </c>
      <c r="P9462" s="61">
        <f t="shared" si="666"/>
        <v>1</v>
      </c>
    </row>
    <row r="9463" spans="9:16">
      <c r="I9463" s="213"/>
      <c r="J9463" s="213"/>
      <c r="L9463" s="272">
        <f t="shared" si="663"/>
        <v>1900</v>
      </c>
      <c r="M9463" s="272">
        <f t="shared" si="664"/>
        <v>1</v>
      </c>
      <c r="O9463" s="61">
        <f t="shared" si="665"/>
        <v>1900</v>
      </c>
      <c r="P9463" s="61">
        <f t="shared" si="666"/>
        <v>1</v>
      </c>
    </row>
    <row r="9464" spans="9:16">
      <c r="I9464" s="213"/>
      <c r="J9464" s="213"/>
      <c r="L9464" s="272">
        <f t="shared" si="663"/>
        <v>1900</v>
      </c>
      <c r="M9464" s="272">
        <f t="shared" si="664"/>
        <v>1</v>
      </c>
      <c r="O9464" s="61">
        <f t="shared" si="665"/>
        <v>1900</v>
      </c>
      <c r="P9464" s="61">
        <f t="shared" si="666"/>
        <v>1</v>
      </c>
    </row>
    <row r="9465" spans="9:16">
      <c r="I9465" s="213"/>
      <c r="J9465" s="213"/>
      <c r="L9465" s="272">
        <f t="shared" si="663"/>
        <v>1900</v>
      </c>
      <c r="M9465" s="272">
        <f t="shared" si="664"/>
        <v>1</v>
      </c>
      <c r="O9465" s="61">
        <f t="shared" si="665"/>
        <v>1900</v>
      </c>
      <c r="P9465" s="61">
        <f t="shared" si="666"/>
        <v>1</v>
      </c>
    </row>
    <row r="9466" spans="9:16">
      <c r="I9466" s="213"/>
      <c r="J9466" s="213"/>
      <c r="L9466" s="272">
        <f t="shared" si="663"/>
        <v>1900</v>
      </c>
      <c r="M9466" s="272">
        <f t="shared" si="664"/>
        <v>1</v>
      </c>
      <c r="O9466" s="61">
        <f t="shared" si="665"/>
        <v>1900</v>
      </c>
      <c r="P9466" s="61">
        <f t="shared" si="666"/>
        <v>1</v>
      </c>
    </row>
    <row r="9467" spans="9:16">
      <c r="I9467" s="213"/>
      <c r="J9467" s="213"/>
      <c r="L9467" s="272">
        <f t="shared" si="663"/>
        <v>1900</v>
      </c>
      <c r="M9467" s="272">
        <f t="shared" si="664"/>
        <v>1</v>
      </c>
      <c r="O9467" s="61">
        <f t="shared" si="665"/>
        <v>1900</v>
      </c>
      <c r="P9467" s="61">
        <f t="shared" si="666"/>
        <v>1</v>
      </c>
    </row>
    <row r="9468" spans="9:16">
      <c r="I9468" s="213"/>
      <c r="J9468" s="213"/>
      <c r="L9468" s="272">
        <f t="shared" si="663"/>
        <v>1900</v>
      </c>
      <c r="M9468" s="272">
        <f t="shared" si="664"/>
        <v>1</v>
      </c>
      <c r="O9468" s="61">
        <f t="shared" si="665"/>
        <v>1900</v>
      </c>
      <c r="P9468" s="61">
        <f t="shared" si="666"/>
        <v>1</v>
      </c>
    </row>
    <row r="9469" spans="9:16">
      <c r="I9469" s="213"/>
      <c r="J9469" s="213"/>
      <c r="L9469" s="272">
        <f t="shared" si="663"/>
        <v>1900</v>
      </c>
      <c r="M9469" s="272">
        <f t="shared" si="664"/>
        <v>1</v>
      </c>
      <c r="O9469" s="61">
        <f t="shared" si="665"/>
        <v>1900</v>
      </c>
      <c r="P9469" s="61">
        <f t="shared" si="666"/>
        <v>1</v>
      </c>
    </row>
    <row r="9470" spans="9:16">
      <c r="I9470" s="213"/>
      <c r="J9470" s="213"/>
      <c r="L9470" s="272">
        <f t="shared" si="663"/>
        <v>1900</v>
      </c>
      <c r="M9470" s="272">
        <f t="shared" si="664"/>
        <v>1</v>
      </c>
      <c r="O9470" s="61">
        <f t="shared" si="665"/>
        <v>1900</v>
      </c>
      <c r="P9470" s="61">
        <f t="shared" si="666"/>
        <v>1</v>
      </c>
    </row>
    <row r="9471" spans="9:16">
      <c r="I9471" s="213"/>
      <c r="J9471" s="213"/>
      <c r="L9471" s="272">
        <f t="shared" si="663"/>
        <v>1900</v>
      </c>
      <c r="M9471" s="272">
        <f t="shared" si="664"/>
        <v>1</v>
      </c>
      <c r="O9471" s="61">
        <f t="shared" si="665"/>
        <v>1900</v>
      </c>
      <c r="P9471" s="61">
        <f t="shared" si="666"/>
        <v>1</v>
      </c>
    </row>
    <row r="9472" spans="9:16">
      <c r="I9472" s="213"/>
      <c r="J9472" s="213"/>
      <c r="L9472" s="272">
        <f t="shared" si="663"/>
        <v>1900</v>
      </c>
      <c r="M9472" s="272">
        <f t="shared" si="664"/>
        <v>1</v>
      </c>
      <c r="O9472" s="61">
        <f t="shared" si="665"/>
        <v>1900</v>
      </c>
      <c r="P9472" s="61">
        <f t="shared" si="666"/>
        <v>1</v>
      </c>
    </row>
    <row r="9473" spans="9:16">
      <c r="I9473" s="213"/>
      <c r="J9473" s="213"/>
      <c r="L9473" s="272">
        <f t="shared" si="663"/>
        <v>1900</v>
      </c>
      <c r="M9473" s="272">
        <f t="shared" si="664"/>
        <v>1</v>
      </c>
      <c r="O9473" s="61">
        <f t="shared" si="665"/>
        <v>1900</v>
      </c>
      <c r="P9473" s="61">
        <f t="shared" si="666"/>
        <v>1</v>
      </c>
    </row>
    <row r="9474" spans="9:16">
      <c r="I9474" s="213"/>
      <c r="J9474" s="213"/>
      <c r="L9474" s="272">
        <f t="shared" si="663"/>
        <v>1900</v>
      </c>
      <c r="M9474" s="272">
        <f t="shared" si="664"/>
        <v>1</v>
      </c>
      <c r="O9474" s="61">
        <f t="shared" si="665"/>
        <v>1900</v>
      </c>
      <c r="P9474" s="61">
        <f t="shared" si="666"/>
        <v>1</v>
      </c>
    </row>
    <row r="9475" spans="9:16">
      <c r="I9475" s="213"/>
      <c r="J9475" s="213"/>
      <c r="L9475" s="272">
        <f t="shared" si="663"/>
        <v>1900</v>
      </c>
      <c r="M9475" s="272">
        <f t="shared" si="664"/>
        <v>1</v>
      </c>
      <c r="O9475" s="61">
        <f t="shared" si="665"/>
        <v>1900</v>
      </c>
      <c r="P9475" s="61">
        <f t="shared" si="666"/>
        <v>1</v>
      </c>
    </row>
    <row r="9476" spans="9:16">
      <c r="I9476" s="213"/>
      <c r="J9476" s="213"/>
      <c r="L9476" s="272">
        <f t="shared" si="663"/>
        <v>1900</v>
      </c>
      <c r="M9476" s="272">
        <f t="shared" si="664"/>
        <v>1</v>
      </c>
      <c r="O9476" s="61">
        <f t="shared" si="665"/>
        <v>1900</v>
      </c>
      <c r="P9476" s="61">
        <f t="shared" si="666"/>
        <v>1</v>
      </c>
    </row>
    <row r="9477" spans="9:16">
      <c r="I9477" s="213"/>
      <c r="J9477" s="213"/>
      <c r="L9477" s="272">
        <f t="shared" si="663"/>
        <v>1900</v>
      </c>
      <c r="M9477" s="272">
        <f t="shared" si="664"/>
        <v>1</v>
      </c>
      <c r="O9477" s="61">
        <f t="shared" si="665"/>
        <v>1900</v>
      </c>
      <c r="P9477" s="61">
        <f t="shared" si="666"/>
        <v>1</v>
      </c>
    </row>
    <row r="9478" spans="9:16">
      <c r="I9478" s="213"/>
      <c r="J9478" s="213"/>
      <c r="L9478" s="272">
        <f t="shared" si="663"/>
        <v>1900</v>
      </c>
      <c r="M9478" s="272">
        <f t="shared" si="664"/>
        <v>1</v>
      </c>
      <c r="O9478" s="61">
        <f t="shared" si="665"/>
        <v>1900</v>
      </c>
      <c r="P9478" s="61">
        <f t="shared" si="666"/>
        <v>1</v>
      </c>
    </row>
    <row r="9479" spans="9:16">
      <c r="I9479" s="213"/>
      <c r="J9479" s="213"/>
      <c r="L9479" s="272">
        <f t="shared" si="663"/>
        <v>1900</v>
      </c>
      <c r="M9479" s="272">
        <f t="shared" si="664"/>
        <v>1</v>
      </c>
      <c r="O9479" s="61">
        <f t="shared" si="665"/>
        <v>1900</v>
      </c>
      <c r="P9479" s="61">
        <f t="shared" si="666"/>
        <v>1</v>
      </c>
    </row>
    <row r="9480" spans="9:16">
      <c r="I9480" s="213"/>
      <c r="J9480" s="213"/>
      <c r="L9480" s="272">
        <f t="shared" si="663"/>
        <v>1900</v>
      </c>
      <c r="M9480" s="272">
        <f t="shared" si="664"/>
        <v>1</v>
      </c>
      <c r="O9480" s="61">
        <f t="shared" si="665"/>
        <v>1900</v>
      </c>
      <c r="P9480" s="61">
        <f t="shared" si="666"/>
        <v>1</v>
      </c>
    </row>
    <row r="9481" spans="9:16">
      <c r="I9481" s="213"/>
      <c r="J9481" s="213"/>
      <c r="L9481" s="272">
        <f t="shared" si="663"/>
        <v>1900</v>
      </c>
      <c r="M9481" s="272">
        <f t="shared" si="664"/>
        <v>1</v>
      </c>
      <c r="O9481" s="61">
        <f t="shared" si="665"/>
        <v>1900</v>
      </c>
      <c r="P9481" s="61">
        <f t="shared" si="666"/>
        <v>1</v>
      </c>
    </row>
    <row r="9482" spans="9:16">
      <c r="I9482" s="213"/>
      <c r="J9482" s="213"/>
      <c r="L9482" s="272">
        <f t="shared" si="663"/>
        <v>1900</v>
      </c>
      <c r="M9482" s="272">
        <f t="shared" si="664"/>
        <v>1</v>
      </c>
      <c r="O9482" s="61">
        <f t="shared" si="665"/>
        <v>1900</v>
      </c>
      <c r="P9482" s="61">
        <f t="shared" si="666"/>
        <v>1</v>
      </c>
    </row>
    <row r="9483" spans="9:16">
      <c r="I9483" s="213"/>
      <c r="J9483" s="213"/>
      <c r="L9483" s="272">
        <f t="shared" si="663"/>
        <v>1900</v>
      </c>
      <c r="M9483" s="272">
        <f t="shared" si="664"/>
        <v>1</v>
      </c>
      <c r="O9483" s="61">
        <f t="shared" si="665"/>
        <v>1900</v>
      </c>
      <c r="P9483" s="61">
        <f t="shared" si="666"/>
        <v>1</v>
      </c>
    </row>
    <row r="9484" spans="9:16">
      <c r="I9484" s="213"/>
      <c r="J9484" s="213"/>
      <c r="L9484" s="272">
        <f t="shared" si="663"/>
        <v>1900</v>
      </c>
      <c r="M9484" s="272">
        <f t="shared" si="664"/>
        <v>1</v>
      </c>
      <c r="O9484" s="61">
        <f t="shared" si="665"/>
        <v>1900</v>
      </c>
      <c r="P9484" s="61">
        <f t="shared" si="666"/>
        <v>1</v>
      </c>
    </row>
    <row r="9485" spans="9:16">
      <c r="I9485" s="213"/>
      <c r="J9485" s="213"/>
      <c r="L9485" s="272">
        <f t="shared" si="663"/>
        <v>1900</v>
      </c>
      <c r="M9485" s="272">
        <f t="shared" si="664"/>
        <v>1</v>
      </c>
      <c r="O9485" s="61">
        <f t="shared" si="665"/>
        <v>1900</v>
      </c>
      <c r="P9485" s="61">
        <f t="shared" si="666"/>
        <v>1</v>
      </c>
    </row>
    <row r="9486" spans="9:16">
      <c r="I9486" s="213"/>
      <c r="J9486" s="213"/>
      <c r="L9486" s="272">
        <f t="shared" si="663"/>
        <v>1900</v>
      </c>
      <c r="M9486" s="272">
        <f t="shared" si="664"/>
        <v>1</v>
      </c>
      <c r="O9486" s="61">
        <f t="shared" si="665"/>
        <v>1900</v>
      </c>
      <c r="P9486" s="61">
        <f t="shared" si="666"/>
        <v>1</v>
      </c>
    </row>
    <row r="9487" spans="9:16">
      <c r="I9487" s="213"/>
      <c r="J9487" s="213"/>
      <c r="L9487" s="272">
        <f t="shared" si="663"/>
        <v>1900</v>
      </c>
      <c r="M9487" s="272">
        <f t="shared" si="664"/>
        <v>1</v>
      </c>
      <c r="O9487" s="61">
        <f t="shared" si="665"/>
        <v>1900</v>
      </c>
      <c r="P9487" s="61">
        <f t="shared" si="666"/>
        <v>1</v>
      </c>
    </row>
    <row r="9488" spans="9:16">
      <c r="I9488" s="213"/>
      <c r="J9488" s="213"/>
      <c r="L9488" s="272">
        <f t="shared" ref="L9488:L9551" si="667">YEAR(B9488)</f>
        <v>1900</v>
      </c>
      <c r="M9488" s="272">
        <f t="shared" ref="M9488:M9551" si="668">MONTH(B9488)</f>
        <v>1</v>
      </c>
      <c r="O9488" s="61">
        <f t="shared" ref="O9488:O9551" si="669">YEAR(B9488)</f>
        <v>1900</v>
      </c>
      <c r="P9488" s="61">
        <f t="shared" ref="P9488:P9551" si="670">MONTH(B9488)</f>
        <v>1</v>
      </c>
    </row>
    <row r="9489" spans="9:16">
      <c r="I9489" s="213"/>
      <c r="J9489" s="213"/>
      <c r="L9489" s="272">
        <f t="shared" si="667"/>
        <v>1900</v>
      </c>
      <c r="M9489" s="272">
        <f t="shared" si="668"/>
        <v>1</v>
      </c>
      <c r="O9489" s="61">
        <f t="shared" si="669"/>
        <v>1900</v>
      </c>
      <c r="P9489" s="61">
        <f t="shared" si="670"/>
        <v>1</v>
      </c>
    </row>
    <row r="9490" spans="9:16">
      <c r="I9490" s="213"/>
      <c r="J9490" s="213"/>
      <c r="L9490" s="272">
        <f t="shared" si="667"/>
        <v>1900</v>
      </c>
      <c r="M9490" s="272">
        <f t="shared" si="668"/>
        <v>1</v>
      </c>
      <c r="O9490" s="61">
        <f t="shared" si="669"/>
        <v>1900</v>
      </c>
      <c r="P9490" s="61">
        <f t="shared" si="670"/>
        <v>1</v>
      </c>
    </row>
    <row r="9491" spans="9:16">
      <c r="I9491" s="213"/>
      <c r="J9491" s="213"/>
      <c r="L9491" s="272">
        <f t="shared" si="667"/>
        <v>1900</v>
      </c>
      <c r="M9491" s="272">
        <f t="shared" si="668"/>
        <v>1</v>
      </c>
      <c r="O9491" s="61">
        <f t="shared" si="669"/>
        <v>1900</v>
      </c>
      <c r="P9491" s="61">
        <f t="shared" si="670"/>
        <v>1</v>
      </c>
    </row>
    <row r="9492" spans="9:16">
      <c r="I9492" s="213"/>
      <c r="J9492" s="213"/>
      <c r="L9492" s="272">
        <f t="shared" si="667"/>
        <v>1900</v>
      </c>
      <c r="M9492" s="272">
        <f t="shared" si="668"/>
        <v>1</v>
      </c>
      <c r="O9492" s="61">
        <f t="shared" si="669"/>
        <v>1900</v>
      </c>
      <c r="P9492" s="61">
        <f t="shared" si="670"/>
        <v>1</v>
      </c>
    </row>
    <row r="9493" spans="9:16">
      <c r="I9493" s="213"/>
      <c r="J9493" s="213"/>
      <c r="L9493" s="272">
        <f t="shared" si="667"/>
        <v>1900</v>
      </c>
      <c r="M9493" s="272">
        <f t="shared" si="668"/>
        <v>1</v>
      </c>
      <c r="O9493" s="61">
        <f t="shared" si="669"/>
        <v>1900</v>
      </c>
      <c r="P9493" s="61">
        <f t="shared" si="670"/>
        <v>1</v>
      </c>
    </row>
    <row r="9494" spans="9:16">
      <c r="I9494" s="213"/>
      <c r="J9494" s="213"/>
      <c r="L9494" s="272">
        <f t="shared" si="667"/>
        <v>1900</v>
      </c>
      <c r="M9494" s="272">
        <f t="shared" si="668"/>
        <v>1</v>
      </c>
      <c r="O9494" s="61">
        <f t="shared" si="669"/>
        <v>1900</v>
      </c>
      <c r="P9494" s="61">
        <f t="shared" si="670"/>
        <v>1</v>
      </c>
    </row>
    <row r="9495" spans="9:16">
      <c r="I9495" s="213"/>
      <c r="J9495" s="213"/>
      <c r="L9495" s="272">
        <f t="shared" si="667"/>
        <v>1900</v>
      </c>
      <c r="M9495" s="272">
        <f t="shared" si="668"/>
        <v>1</v>
      </c>
      <c r="O9495" s="61">
        <f t="shared" si="669"/>
        <v>1900</v>
      </c>
      <c r="P9495" s="61">
        <f t="shared" si="670"/>
        <v>1</v>
      </c>
    </row>
    <row r="9496" spans="9:16">
      <c r="I9496" s="213"/>
      <c r="J9496" s="213"/>
      <c r="L9496" s="272">
        <f t="shared" si="667"/>
        <v>1900</v>
      </c>
      <c r="M9496" s="272">
        <f t="shared" si="668"/>
        <v>1</v>
      </c>
      <c r="O9496" s="61">
        <f t="shared" si="669"/>
        <v>1900</v>
      </c>
      <c r="P9496" s="61">
        <f t="shared" si="670"/>
        <v>1</v>
      </c>
    </row>
    <row r="9497" spans="9:16">
      <c r="I9497" s="213"/>
      <c r="J9497" s="213"/>
      <c r="L9497" s="272">
        <f t="shared" si="667"/>
        <v>1900</v>
      </c>
      <c r="M9497" s="272">
        <f t="shared" si="668"/>
        <v>1</v>
      </c>
      <c r="O9497" s="61">
        <f t="shared" si="669"/>
        <v>1900</v>
      </c>
      <c r="P9497" s="61">
        <f t="shared" si="670"/>
        <v>1</v>
      </c>
    </row>
    <row r="9498" spans="9:16">
      <c r="I9498" s="213"/>
      <c r="J9498" s="213"/>
      <c r="L9498" s="272">
        <f t="shared" si="667"/>
        <v>1900</v>
      </c>
      <c r="M9498" s="272">
        <f t="shared" si="668"/>
        <v>1</v>
      </c>
      <c r="O9498" s="61">
        <f t="shared" si="669"/>
        <v>1900</v>
      </c>
      <c r="P9498" s="61">
        <f t="shared" si="670"/>
        <v>1</v>
      </c>
    </row>
    <row r="9499" spans="9:16">
      <c r="I9499" s="213"/>
      <c r="J9499" s="213"/>
      <c r="L9499" s="272">
        <f t="shared" si="667"/>
        <v>1900</v>
      </c>
      <c r="M9499" s="272">
        <f t="shared" si="668"/>
        <v>1</v>
      </c>
      <c r="O9499" s="61">
        <f t="shared" si="669"/>
        <v>1900</v>
      </c>
      <c r="P9499" s="61">
        <f t="shared" si="670"/>
        <v>1</v>
      </c>
    </row>
    <row r="9500" spans="9:16">
      <c r="I9500" s="213"/>
      <c r="J9500" s="213"/>
      <c r="L9500" s="272">
        <f t="shared" si="667"/>
        <v>1900</v>
      </c>
      <c r="M9500" s="272">
        <f t="shared" si="668"/>
        <v>1</v>
      </c>
      <c r="O9500" s="61">
        <f t="shared" si="669"/>
        <v>1900</v>
      </c>
      <c r="P9500" s="61">
        <f t="shared" si="670"/>
        <v>1</v>
      </c>
    </row>
    <row r="9501" spans="9:16">
      <c r="I9501" s="213"/>
      <c r="J9501" s="213"/>
      <c r="L9501" s="272">
        <f t="shared" si="667"/>
        <v>1900</v>
      </c>
      <c r="M9501" s="272">
        <f t="shared" si="668"/>
        <v>1</v>
      </c>
      <c r="O9501" s="61">
        <f t="shared" si="669"/>
        <v>1900</v>
      </c>
      <c r="P9501" s="61">
        <f t="shared" si="670"/>
        <v>1</v>
      </c>
    </row>
    <row r="9502" spans="9:16">
      <c r="I9502" s="213"/>
      <c r="J9502" s="213"/>
      <c r="L9502" s="272">
        <f t="shared" si="667"/>
        <v>1900</v>
      </c>
      <c r="M9502" s="272">
        <f t="shared" si="668"/>
        <v>1</v>
      </c>
      <c r="O9502" s="61">
        <f t="shared" si="669"/>
        <v>1900</v>
      </c>
      <c r="P9502" s="61">
        <f t="shared" si="670"/>
        <v>1</v>
      </c>
    </row>
    <row r="9503" spans="9:16">
      <c r="I9503" s="213"/>
      <c r="J9503" s="213"/>
      <c r="L9503" s="272">
        <f t="shared" si="667"/>
        <v>1900</v>
      </c>
      <c r="M9503" s="272">
        <f t="shared" si="668"/>
        <v>1</v>
      </c>
      <c r="O9503" s="61">
        <f t="shared" si="669"/>
        <v>1900</v>
      </c>
      <c r="P9503" s="61">
        <f t="shared" si="670"/>
        <v>1</v>
      </c>
    </row>
    <row r="9504" spans="9:16">
      <c r="I9504" s="213"/>
      <c r="J9504" s="213"/>
      <c r="L9504" s="272">
        <f t="shared" si="667"/>
        <v>1900</v>
      </c>
      <c r="M9504" s="272">
        <f t="shared" si="668"/>
        <v>1</v>
      </c>
      <c r="O9504" s="61">
        <f t="shared" si="669"/>
        <v>1900</v>
      </c>
      <c r="P9504" s="61">
        <f t="shared" si="670"/>
        <v>1</v>
      </c>
    </row>
    <row r="9505" spans="9:16">
      <c r="I9505" s="213"/>
      <c r="J9505" s="213"/>
      <c r="L9505" s="272">
        <f t="shared" si="667"/>
        <v>1900</v>
      </c>
      <c r="M9505" s="272">
        <f t="shared" si="668"/>
        <v>1</v>
      </c>
      <c r="O9505" s="61">
        <f t="shared" si="669"/>
        <v>1900</v>
      </c>
      <c r="P9505" s="61">
        <f t="shared" si="670"/>
        <v>1</v>
      </c>
    </row>
    <row r="9506" spans="9:16">
      <c r="I9506" s="213"/>
      <c r="J9506" s="213"/>
      <c r="L9506" s="272">
        <f t="shared" si="667"/>
        <v>1900</v>
      </c>
      <c r="M9506" s="272">
        <f t="shared" si="668"/>
        <v>1</v>
      </c>
      <c r="O9506" s="61">
        <f t="shared" si="669"/>
        <v>1900</v>
      </c>
      <c r="P9506" s="61">
        <f t="shared" si="670"/>
        <v>1</v>
      </c>
    </row>
    <row r="9507" spans="9:16">
      <c r="I9507" s="213"/>
      <c r="J9507" s="213"/>
      <c r="L9507" s="272">
        <f t="shared" si="667"/>
        <v>1900</v>
      </c>
      <c r="M9507" s="272">
        <f t="shared" si="668"/>
        <v>1</v>
      </c>
      <c r="O9507" s="61">
        <f t="shared" si="669"/>
        <v>1900</v>
      </c>
      <c r="P9507" s="61">
        <f t="shared" si="670"/>
        <v>1</v>
      </c>
    </row>
    <row r="9508" spans="9:16">
      <c r="I9508" s="213"/>
      <c r="J9508" s="213"/>
      <c r="L9508" s="272">
        <f t="shared" si="667"/>
        <v>1900</v>
      </c>
      <c r="M9508" s="272">
        <f t="shared" si="668"/>
        <v>1</v>
      </c>
      <c r="O9508" s="61">
        <f t="shared" si="669"/>
        <v>1900</v>
      </c>
      <c r="P9508" s="61">
        <f t="shared" si="670"/>
        <v>1</v>
      </c>
    </row>
    <row r="9509" spans="9:16">
      <c r="I9509" s="213"/>
      <c r="J9509" s="213"/>
      <c r="L9509" s="272">
        <f t="shared" si="667"/>
        <v>1900</v>
      </c>
      <c r="M9509" s="272">
        <f t="shared" si="668"/>
        <v>1</v>
      </c>
      <c r="O9509" s="61">
        <f t="shared" si="669"/>
        <v>1900</v>
      </c>
      <c r="P9509" s="61">
        <f t="shared" si="670"/>
        <v>1</v>
      </c>
    </row>
    <row r="9510" spans="9:16">
      <c r="I9510" s="213"/>
      <c r="J9510" s="213"/>
      <c r="L9510" s="272">
        <f t="shared" si="667"/>
        <v>1900</v>
      </c>
      <c r="M9510" s="272">
        <f t="shared" si="668"/>
        <v>1</v>
      </c>
      <c r="O9510" s="61">
        <f t="shared" si="669"/>
        <v>1900</v>
      </c>
      <c r="P9510" s="61">
        <f t="shared" si="670"/>
        <v>1</v>
      </c>
    </row>
    <row r="9511" spans="9:16">
      <c r="I9511" s="213"/>
      <c r="J9511" s="213"/>
      <c r="L9511" s="272">
        <f t="shared" si="667"/>
        <v>1900</v>
      </c>
      <c r="M9511" s="272">
        <f t="shared" si="668"/>
        <v>1</v>
      </c>
      <c r="O9511" s="61">
        <f t="shared" si="669"/>
        <v>1900</v>
      </c>
      <c r="P9511" s="61">
        <f t="shared" si="670"/>
        <v>1</v>
      </c>
    </row>
    <row r="9512" spans="9:16">
      <c r="I9512" s="213"/>
      <c r="J9512" s="213"/>
      <c r="L9512" s="272">
        <f t="shared" si="667"/>
        <v>1900</v>
      </c>
      <c r="M9512" s="272">
        <f t="shared" si="668"/>
        <v>1</v>
      </c>
      <c r="O9512" s="61">
        <f t="shared" si="669"/>
        <v>1900</v>
      </c>
      <c r="P9512" s="61">
        <f t="shared" si="670"/>
        <v>1</v>
      </c>
    </row>
    <row r="9513" spans="9:16">
      <c r="I9513" s="213"/>
      <c r="J9513" s="213"/>
      <c r="L9513" s="272">
        <f t="shared" si="667"/>
        <v>1900</v>
      </c>
      <c r="M9513" s="272">
        <f t="shared" si="668"/>
        <v>1</v>
      </c>
      <c r="O9513" s="61">
        <f t="shared" si="669"/>
        <v>1900</v>
      </c>
      <c r="P9513" s="61">
        <f t="shared" si="670"/>
        <v>1</v>
      </c>
    </row>
    <row r="9514" spans="9:16">
      <c r="I9514" s="213"/>
      <c r="J9514" s="213"/>
      <c r="L9514" s="272">
        <f t="shared" si="667"/>
        <v>1900</v>
      </c>
      <c r="M9514" s="272">
        <f t="shared" si="668"/>
        <v>1</v>
      </c>
      <c r="O9514" s="61">
        <f t="shared" si="669"/>
        <v>1900</v>
      </c>
      <c r="P9514" s="61">
        <f t="shared" si="670"/>
        <v>1</v>
      </c>
    </row>
    <row r="9515" spans="9:16">
      <c r="I9515" s="213"/>
      <c r="J9515" s="213"/>
      <c r="L9515" s="272">
        <f t="shared" si="667"/>
        <v>1900</v>
      </c>
      <c r="M9515" s="272">
        <f t="shared" si="668"/>
        <v>1</v>
      </c>
      <c r="O9515" s="61">
        <f t="shared" si="669"/>
        <v>1900</v>
      </c>
      <c r="P9515" s="61">
        <f t="shared" si="670"/>
        <v>1</v>
      </c>
    </row>
    <row r="9516" spans="9:16">
      <c r="I9516" s="213"/>
      <c r="J9516" s="213"/>
      <c r="L9516" s="272">
        <f t="shared" si="667"/>
        <v>1900</v>
      </c>
      <c r="M9516" s="272">
        <f t="shared" si="668"/>
        <v>1</v>
      </c>
      <c r="O9516" s="61">
        <f t="shared" si="669"/>
        <v>1900</v>
      </c>
      <c r="P9516" s="61">
        <f t="shared" si="670"/>
        <v>1</v>
      </c>
    </row>
    <row r="9517" spans="9:16">
      <c r="I9517" s="213"/>
      <c r="J9517" s="213"/>
      <c r="L9517" s="272">
        <f t="shared" si="667"/>
        <v>1900</v>
      </c>
      <c r="M9517" s="272">
        <f t="shared" si="668"/>
        <v>1</v>
      </c>
      <c r="O9517" s="61">
        <f t="shared" si="669"/>
        <v>1900</v>
      </c>
      <c r="P9517" s="61">
        <f t="shared" si="670"/>
        <v>1</v>
      </c>
    </row>
    <row r="9518" spans="9:16">
      <c r="I9518" s="213"/>
      <c r="J9518" s="213"/>
      <c r="L9518" s="272">
        <f t="shared" si="667"/>
        <v>1900</v>
      </c>
      <c r="M9518" s="272">
        <f t="shared" si="668"/>
        <v>1</v>
      </c>
      <c r="O9518" s="61">
        <f t="shared" si="669"/>
        <v>1900</v>
      </c>
      <c r="P9518" s="61">
        <f t="shared" si="670"/>
        <v>1</v>
      </c>
    </row>
    <row r="9519" spans="9:16">
      <c r="I9519" s="213"/>
      <c r="J9519" s="213"/>
      <c r="L9519" s="272">
        <f t="shared" si="667"/>
        <v>1900</v>
      </c>
      <c r="M9519" s="272">
        <f t="shared" si="668"/>
        <v>1</v>
      </c>
      <c r="O9519" s="61">
        <f t="shared" si="669"/>
        <v>1900</v>
      </c>
      <c r="P9519" s="61">
        <f t="shared" si="670"/>
        <v>1</v>
      </c>
    </row>
    <row r="9520" spans="9:16">
      <c r="I9520" s="213"/>
      <c r="J9520" s="213"/>
      <c r="L9520" s="272">
        <f t="shared" si="667"/>
        <v>1900</v>
      </c>
      <c r="M9520" s="272">
        <f t="shared" si="668"/>
        <v>1</v>
      </c>
      <c r="O9520" s="61">
        <f t="shared" si="669"/>
        <v>1900</v>
      </c>
      <c r="P9520" s="61">
        <f t="shared" si="670"/>
        <v>1</v>
      </c>
    </row>
    <row r="9521" spans="9:16">
      <c r="I9521" s="213"/>
      <c r="J9521" s="213"/>
      <c r="L9521" s="272">
        <f t="shared" si="667"/>
        <v>1900</v>
      </c>
      <c r="M9521" s="272">
        <f t="shared" si="668"/>
        <v>1</v>
      </c>
      <c r="O9521" s="61">
        <f t="shared" si="669"/>
        <v>1900</v>
      </c>
      <c r="P9521" s="61">
        <f t="shared" si="670"/>
        <v>1</v>
      </c>
    </row>
    <row r="9522" spans="9:16">
      <c r="I9522" s="213"/>
      <c r="J9522" s="213"/>
      <c r="L9522" s="272">
        <f t="shared" si="667"/>
        <v>1900</v>
      </c>
      <c r="M9522" s="272">
        <f t="shared" si="668"/>
        <v>1</v>
      </c>
      <c r="O9522" s="61">
        <f t="shared" si="669"/>
        <v>1900</v>
      </c>
      <c r="P9522" s="61">
        <f t="shared" si="670"/>
        <v>1</v>
      </c>
    </row>
    <row r="9523" spans="9:16">
      <c r="I9523" s="213"/>
      <c r="J9523" s="213"/>
      <c r="L9523" s="272">
        <f t="shared" si="667"/>
        <v>1900</v>
      </c>
      <c r="M9523" s="272">
        <f t="shared" si="668"/>
        <v>1</v>
      </c>
      <c r="O9523" s="61">
        <f t="shared" si="669"/>
        <v>1900</v>
      </c>
      <c r="P9523" s="61">
        <f t="shared" si="670"/>
        <v>1</v>
      </c>
    </row>
    <row r="9524" spans="9:16">
      <c r="I9524" s="213"/>
      <c r="J9524" s="213"/>
      <c r="L9524" s="272">
        <f t="shared" si="667"/>
        <v>1900</v>
      </c>
      <c r="M9524" s="272">
        <f t="shared" si="668"/>
        <v>1</v>
      </c>
      <c r="O9524" s="61">
        <f t="shared" si="669"/>
        <v>1900</v>
      </c>
      <c r="P9524" s="61">
        <f t="shared" si="670"/>
        <v>1</v>
      </c>
    </row>
    <row r="9525" spans="9:16">
      <c r="I9525" s="213"/>
      <c r="J9525" s="213"/>
      <c r="L9525" s="272">
        <f t="shared" si="667"/>
        <v>1900</v>
      </c>
      <c r="M9525" s="272">
        <f t="shared" si="668"/>
        <v>1</v>
      </c>
      <c r="O9525" s="61">
        <f t="shared" si="669"/>
        <v>1900</v>
      </c>
      <c r="P9525" s="61">
        <f t="shared" si="670"/>
        <v>1</v>
      </c>
    </row>
    <row r="9526" spans="9:16">
      <c r="I9526" s="213"/>
      <c r="J9526" s="213"/>
      <c r="L9526" s="272">
        <f t="shared" si="667"/>
        <v>1900</v>
      </c>
      <c r="M9526" s="272">
        <f t="shared" si="668"/>
        <v>1</v>
      </c>
      <c r="O9526" s="61">
        <f t="shared" si="669"/>
        <v>1900</v>
      </c>
      <c r="P9526" s="61">
        <f t="shared" si="670"/>
        <v>1</v>
      </c>
    </row>
    <row r="9527" spans="9:16">
      <c r="I9527" s="213"/>
      <c r="J9527" s="213"/>
      <c r="L9527" s="272">
        <f t="shared" si="667"/>
        <v>1900</v>
      </c>
      <c r="M9527" s="272">
        <f t="shared" si="668"/>
        <v>1</v>
      </c>
      <c r="O9527" s="61">
        <f t="shared" si="669"/>
        <v>1900</v>
      </c>
      <c r="P9527" s="61">
        <f t="shared" si="670"/>
        <v>1</v>
      </c>
    </row>
    <row r="9528" spans="9:16">
      <c r="I9528" s="213"/>
      <c r="J9528" s="213"/>
      <c r="L9528" s="272">
        <f t="shared" si="667"/>
        <v>1900</v>
      </c>
      <c r="M9528" s="272">
        <f t="shared" si="668"/>
        <v>1</v>
      </c>
      <c r="O9528" s="61">
        <f t="shared" si="669"/>
        <v>1900</v>
      </c>
      <c r="P9528" s="61">
        <f t="shared" si="670"/>
        <v>1</v>
      </c>
    </row>
    <row r="9529" spans="9:16">
      <c r="I9529" s="213"/>
      <c r="J9529" s="213"/>
      <c r="L9529" s="272">
        <f t="shared" si="667"/>
        <v>1900</v>
      </c>
      <c r="M9529" s="272">
        <f t="shared" si="668"/>
        <v>1</v>
      </c>
      <c r="O9529" s="61">
        <f t="shared" si="669"/>
        <v>1900</v>
      </c>
      <c r="P9529" s="61">
        <f t="shared" si="670"/>
        <v>1</v>
      </c>
    </row>
    <row r="9530" spans="9:16">
      <c r="I9530" s="213"/>
      <c r="J9530" s="213"/>
      <c r="L9530" s="272">
        <f t="shared" si="667"/>
        <v>1900</v>
      </c>
      <c r="M9530" s="272">
        <f t="shared" si="668"/>
        <v>1</v>
      </c>
      <c r="O9530" s="61">
        <f t="shared" si="669"/>
        <v>1900</v>
      </c>
      <c r="P9530" s="61">
        <f t="shared" si="670"/>
        <v>1</v>
      </c>
    </row>
    <row r="9531" spans="9:16">
      <c r="I9531" s="213"/>
      <c r="J9531" s="213"/>
      <c r="L9531" s="272">
        <f t="shared" si="667"/>
        <v>1900</v>
      </c>
      <c r="M9531" s="272">
        <f t="shared" si="668"/>
        <v>1</v>
      </c>
      <c r="O9531" s="61">
        <f t="shared" si="669"/>
        <v>1900</v>
      </c>
      <c r="P9531" s="61">
        <f t="shared" si="670"/>
        <v>1</v>
      </c>
    </row>
    <row r="9532" spans="9:16">
      <c r="I9532" s="213"/>
      <c r="J9532" s="213"/>
      <c r="L9532" s="272">
        <f t="shared" si="667"/>
        <v>1900</v>
      </c>
      <c r="M9532" s="272">
        <f t="shared" si="668"/>
        <v>1</v>
      </c>
      <c r="O9532" s="61">
        <f t="shared" si="669"/>
        <v>1900</v>
      </c>
      <c r="P9532" s="61">
        <f t="shared" si="670"/>
        <v>1</v>
      </c>
    </row>
    <row r="9533" spans="9:16">
      <c r="I9533" s="213"/>
      <c r="J9533" s="213"/>
      <c r="L9533" s="272">
        <f t="shared" si="667"/>
        <v>1900</v>
      </c>
      <c r="M9533" s="272">
        <f t="shared" si="668"/>
        <v>1</v>
      </c>
      <c r="O9533" s="61">
        <f t="shared" si="669"/>
        <v>1900</v>
      </c>
      <c r="P9533" s="61">
        <f t="shared" si="670"/>
        <v>1</v>
      </c>
    </row>
    <row r="9534" spans="9:16">
      <c r="I9534" s="213"/>
      <c r="J9534" s="213"/>
      <c r="L9534" s="272">
        <f t="shared" si="667"/>
        <v>1900</v>
      </c>
      <c r="M9534" s="272">
        <f t="shared" si="668"/>
        <v>1</v>
      </c>
      <c r="O9534" s="61">
        <f t="shared" si="669"/>
        <v>1900</v>
      </c>
      <c r="P9534" s="61">
        <f t="shared" si="670"/>
        <v>1</v>
      </c>
    </row>
    <row r="9535" spans="9:16">
      <c r="I9535" s="213"/>
      <c r="J9535" s="213"/>
      <c r="L9535" s="272">
        <f t="shared" si="667"/>
        <v>1900</v>
      </c>
      <c r="M9535" s="272">
        <f t="shared" si="668"/>
        <v>1</v>
      </c>
      <c r="O9535" s="61">
        <f t="shared" si="669"/>
        <v>1900</v>
      </c>
      <c r="P9535" s="61">
        <f t="shared" si="670"/>
        <v>1</v>
      </c>
    </row>
    <row r="9536" spans="9:16">
      <c r="I9536" s="213"/>
      <c r="J9536" s="213"/>
      <c r="L9536" s="272">
        <f t="shared" si="667"/>
        <v>1900</v>
      </c>
      <c r="M9536" s="272">
        <f t="shared" si="668"/>
        <v>1</v>
      </c>
      <c r="O9536" s="61">
        <f t="shared" si="669"/>
        <v>1900</v>
      </c>
      <c r="P9536" s="61">
        <f t="shared" si="670"/>
        <v>1</v>
      </c>
    </row>
    <row r="9537" spans="9:16">
      <c r="I9537" s="213"/>
      <c r="J9537" s="213"/>
      <c r="L9537" s="272">
        <f t="shared" si="667"/>
        <v>1900</v>
      </c>
      <c r="M9537" s="272">
        <f t="shared" si="668"/>
        <v>1</v>
      </c>
      <c r="O9537" s="61">
        <f t="shared" si="669"/>
        <v>1900</v>
      </c>
      <c r="P9537" s="61">
        <f t="shared" si="670"/>
        <v>1</v>
      </c>
    </row>
    <row r="9538" spans="9:16">
      <c r="I9538" s="213"/>
      <c r="J9538" s="213"/>
      <c r="L9538" s="272">
        <f t="shared" si="667"/>
        <v>1900</v>
      </c>
      <c r="M9538" s="272">
        <f t="shared" si="668"/>
        <v>1</v>
      </c>
      <c r="O9538" s="61">
        <f t="shared" si="669"/>
        <v>1900</v>
      </c>
      <c r="P9538" s="61">
        <f t="shared" si="670"/>
        <v>1</v>
      </c>
    </row>
    <row r="9539" spans="9:16">
      <c r="I9539" s="213"/>
      <c r="J9539" s="213"/>
      <c r="L9539" s="272">
        <f t="shared" si="667"/>
        <v>1900</v>
      </c>
      <c r="M9539" s="272">
        <f t="shared" si="668"/>
        <v>1</v>
      </c>
      <c r="O9539" s="61">
        <f t="shared" si="669"/>
        <v>1900</v>
      </c>
      <c r="P9539" s="61">
        <f t="shared" si="670"/>
        <v>1</v>
      </c>
    </row>
    <row r="9540" spans="9:16">
      <c r="I9540" s="213"/>
      <c r="J9540" s="213"/>
      <c r="L9540" s="272">
        <f t="shared" si="667"/>
        <v>1900</v>
      </c>
      <c r="M9540" s="272">
        <f t="shared" si="668"/>
        <v>1</v>
      </c>
      <c r="O9540" s="61">
        <f t="shared" si="669"/>
        <v>1900</v>
      </c>
      <c r="P9540" s="61">
        <f t="shared" si="670"/>
        <v>1</v>
      </c>
    </row>
    <row r="9541" spans="9:16">
      <c r="I9541" s="213"/>
      <c r="J9541" s="213"/>
      <c r="L9541" s="272">
        <f t="shared" si="667"/>
        <v>1900</v>
      </c>
      <c r="M9541" s="272">
        <f t="shared" si="668"/>
        <v>1</v>
      </c>
      <c r="O9541" s="61">
        <f t="shared" si="669"/>
        <v>1900</v>
      </c>
      <c r="P9541" s="61">
        <f t="shared" si="670"/>
        <v>1</v>
      </c>
    </row>
    <row r="9542" spans="9:16">
      <c r="I9542" s="213"/>
      <c r="J9542" s="213"/>
      <c r="L9542" s="272">
        <f t="shared" si="667"/>
        <v>1900</v>
      </c>
      <c r="M9542" s="272">
        <f t="shared" si="668"/>
        <v>1</v>
      </c>
      <c r="O9542" s="61">
        <f t="shared" si="669"/>
        <v>1900</v>
      </c>
      <c r="P9542" s="61">
        <f t="shared" si="670"/>
        <v>1</v>
      </c>
    </row>
    <row r="9543" spans="9:16">
      <c r="I9543" s="213"/>
      <c r="J9543" s="213"/>
      <c r="L9543" s="272">
        <f t="shared" si="667"/>
        <v>1900</v>
      </c>
      <c r="M9543" s="272">
        <f t="shared" si="668"/>
        <v>1</v>
      </c>
      <c r="O9543" s="61">
        <f t="shared" si="669"/>
        <v>1900</v>
      </c>
      <c r="P9543" s="61">
        <f t="shared" si="670"/>
        <v>1</v>
      </c>
    </row>
    <row r="9544" spans="9:16">
      <c r="I9544" s="213"/>
      <c r="J9544" s="213"/>
      <c r="L9544" s="272">
        <f t="shared" si="667"/>
        <v>1900</v>
      </c>
      <c r="M9544" s="272">
        <f t="shared" si="668"/>
        <v>1</v>
      </c>
      <c r="O9544" s="61">
        <f t="shared" si="669"/>
        <v>1900</v>
      </c>
      <c r="P9544" s="61">
        <f t="shared" si="670"/>
        <v>1</v>
      </c>
    </row>
    <row r="9545" spans="9:16">
      <c r="I9545" s="213"/>
      <c r="J9545" s="213"/>
      <c r="L9545" s="272">
        <f t="shared" si="667"/>
        <v>1900</v>
      </c>
      <c r="M9545" s="272">
        <f t="shared" si="668"/>
        <v>1</v>
      </c>
      <c r="O9545" s="61">
        <f t="shared" si="669"/>
        <v>1900</v>
      </c>
      <c r="P9545" s="61">
        <f t="shared" si="670"/>
        <v>1</v>
      </c>
    </row>
    <row r="9546" spans="9:16">
      <c r="I9546" s="213"/>
      <c r="J9546" s="213"/>
      <c r="L9546" s="272">
        <f t="shared" si="667"/>
        <v>1900</v>
      </c>
      <c r="M9546" s="272">
        <f t="shared" si="668"/>
        <v>1</v>
      </c>
      <c r="O9546" s="61">
        <f t="shared" si="669"/>
        <v>1900</v>
      </c>
      <c r="P9546" s="61">
        <f t="shared" si="670"/>
        <v>1</v>
      </c>
    </row>
    <row r="9547" spans="9:16">
      <c r="I9547" s="213"/>
      <c r="J9547" s="213"/>
      <c r="L9547" s="272">
        <f t="shared" si="667"/>
        <v>1900</v>
      </c>
      <c r="M9547" s="272">
        <f t="shared" si="668"/>
        <v>1</v>
      </c>
      <c r="O9547" s="61">
        <f t="shared" si="669"/>
        <v>1900</v>
      </c>
      <c r="P9547" s="61">
        <f t="shared" si="670"/>
        <v>1</v>
      </c>
    </row>
    <row r="9548" spans="9:16">
      <c r="I9548" s="213"/>
      <c r="J9548" s="213"/>
      <c r="L9548" s="272">
        <f t="shared" si="667"/>
        <v>1900</v>
      </c>
      <c r="M9548" s="272">
        <f t="shared" si="668"/>
        <v>1</v>
      </c>
      <c r="O9548" s="61">
        <f t="shared" si="669"/>
        <v>1900</v>
      </c>
      <c r="P9548" s="61">
        <f t="shared" si="670"/>
        <v>1</v>
      </c>
    </row>
    <row r="9549" spans="9:16">
      <c r="I9549" s="213"/>
      <c r="J9549" s="213"/>
      <c r="L9549" s="272">
        <f t="shared" si="667"/>
        <v>1900</v>
      </c>
      <c r="M9549" s="272">
        <f t="shared" si="668"/>
        <v>1</v>
      </c>
      <c r="O9549" s="61">
        <f t="shared" si="669"/>
        <v>1900</v>
      </c>
      <c r="P9549" s="61">
        <f t="shared" si="670"/>
        <v>1</v>
      </c>
    </row>
    <row r="9550" spans="9:16">
      <c r="I9550" s="213"/>
      <c r="J9550" s="213"/>
      <c r="L9550" s="272">
        <f t="shared" si="667"/>
        <v>1900</v>
      </c>
      <c r="M9550" s="272">
        <f t="shared" si="668"/>
        <v>1</v>
      </c>
      <c r="O9550" s="61">
        <f t="shared" si="669"/>
        <v>1900</v>
      </c>
      <c r="P9550" s="61">
        <f t="shared" si="670"/>
        <v>1</v>
      </c>
    </row>
    <row r="9551" spans="9:16">
      <c r="I9551" s="213"/>
      <c r="J9551" s="213"/>
      <c r="L9551" s="272">
        <f t="shared" si="667"/>
        <v>1900</v>
      </c>
      <c r="M9551" s="272">
        <f t="shared" si="668"/>
        <v>1</v>
      </c>
      <c r="O9551" s="61">
        <f t="shared" si="669"/>
        <v>1900</v>
      </c>
      <c r="P9551" s="61">
        <f t="shared" si="670"/>
        <v>1</v>
      </c>
    </row>
    <row r="9552" spans="9:16">
      <c r="I9552" s="213"/>
      <c r="J9552" s="213"/>
      <c r="L9552" s="272">
        <f t="shared" ref="L9552:L9615" si="671">YEAR(B9552)</f>
        <v>1900</v>
      </c>
      <c r="M9552" s="272">
        <f t="shared" ref="M9552:M9615" si="672">MONTH(B9552)</f>
        <v>1</v>
      </c>
      <c r="O9552" s="61">
        <f t="shared" ref="O9552:O9615" si="673">YEAR(B9552)</f>
        <v>1900</v>
      </c>
      <c r="P9552" s="61">
        <f t="shared" ref="P9552:P9615" si="674">MONTH(B9552)</f>
        <v>1</v>
      </c>
    </row>
    <row r="9553" spans="9:16">
      <c r="I9553" s="213"/>
      <c r="J9553" s="213"/>
      <c r="L9553" s="272">
        <f t="shared" si="671"/>
        <v>1900</v>
      </c>
      <c r="M9553" s="272">
        <f t="shared" si="672"/>
        <v>1</v>
      </c>
      <c r="O9553" s="61">
        <f t="shared" si="673"/>
        <v>1900</v>
      </c>
      <c r="P9553" s="61">
        <f t="shared" si="674"/>
        <v>1</v>
      </c>
    </row>
    <row r="9554" spans="9:16">
      <c r="I9554" s="213"/>
      <c r="J9554" s="213"/>
      <c r="L9554" s="272">
        <f t="shared" si="671"/>
        <v>1900</v>
      </c>
      <c r="M9554" s="272">
        <f t="shared" si="672"/>
        <v>1</v>
      </c>
      <c r="O9554" s="61">
        <f t="shared" si="673"/>
        <v>1900</v>
      </c>
      <c r="P9554" s="61">
        <f t="shared" si="674"/>
        <v>1</v>
      </c>
    </row>
    <row r="9555" spans="9:16">
      <c r="I9555" s="213"/>
      <c r="J9555" s="213"/>
      <c r="L9555" s="272">
        <f t="shared" si="671"/>
        <v>1900</v>
      </c>
      <c r="M9555" s="272">
        <f t="shared" si="672"/>
        <v>1</v>
      </c>
      <c r="O9555" s="61">
        <f t="shared" si="673"/>
        <v>1900</v>
      </c>
      <c r="P9555" s="61">
        <f t="shared" si="674"/>
        <v>1</v>
      </c>
    </row>
    <row r="9556" spans="9:16">
      <c r="I9556" s="213"/>
      <c r="J9556" s="213"/>
      <c r="L9556" s="272">
        <f t="shared" si="671"/>
        <v>1900</v>
      </c>
      <c r="M9556" s="272">
        <f t="shared" si="672"/>
        <v>1</v>
      </c>
      <c r="O9556" s="61">
        <f t="shared" si="673"/>
        <v>1900</v>
      </c>
      <c r="P9556" s="61">
        <f t="shared" si="674"/>
        <v>1</v>
      </c>
    </row>
    <row r="9557" spans="9:16">
      <c r="I9557" s="213"/>
      <c r="J9557" s="213"/>
      <c r="L9557" s="272">
        <f t="shared" si="671"/>
        <v>1900</v>
      </c>
      <c r="M9557" s="272">
        <f t="shared" si="672"/>
        <v>1</v>
      </c>
      <c r="O9557" s="61">
        <f t="shared" si="673"/>
        <v>1900</v>
      </c>
      <c r="P9557" s="61">
        <f t="shared" si="674"/>
        <v>1</v>
      </c>
    </row>
    <row r="9558" spans="9:16">
      <c r="I9558" s="213"/>
      <c r="J9558" s="213"/>
      <c r="L9558" s="272">
        <f t="shared" si="671"/>
        <v>1900</v>
      </c>
      <c r="M9558" s="272">
        <f t="shared" si="672"/>
        <v>1</v>
      </c>
      <c r="O9558" s="61">
        <f t="shared" si="673"/>
        <v>1900</v>
      </c>
      <c r="P9558" s="61">
        <f t="shared" si="674"/>
        <v>1</v>
      </c>
    </row>
    <row r="9559" spans="9:16">
      <c r="I9559" s="213"/>
      <c r="J9559" s="213"/>
      <c r="L9559" s="272">
        <f t="shared" si="671"/>
        <v>1900</v>
      </c>
      <c r="M9559" s="272">
        <f t="shared" si="672"/>
        <v>1</v>
      </c>
      <c r="O9559" s="61">
        <f t="shared" si="673"/>
        <v>1900</v>
      </c>
      <c r="P9559" s="61">
        <f t="shared" si="674"/>
        <v>1</v>
      </c>
    </row>
    <row r="9560" spans="9:16">
      <c r="I9560" s="213"/>
      <c r="J9560" s="213"/>
      <c r="L9560" s="272">
        <f t="shared" si="671"/>
        <v>1900</v>
      </c>
      <c r="M9560" s="272">
        <f t="shared" si="672"/>
        <v>1</v>
      </c>
      <c r="O9560" s="61">
        <f t="shared" si="673"/>
        <v>1900</v>
      </c>
      <c r="P9560" s="61">
        <f t="shared" si="674"/>
        <v>1</v>
      </c>
    </row>
    <row r="9561" spans="9:16">
      <c r="I9561" s="213"/>
      <c r="J9561" s="213"/>
      <c r="L9561" s="272">
        <f t="shared" si="671"/>
        <v>1900</v>
      </c>
      <c r="M9561" s="272">
        <f t="shared" si="672"/>
        <v>1</v>
      </c>
      <c r="O9561" s="61">
        <f t="shared" si="673"/>
        <v>1900</v>
      </c>
      <c r="P9561" s="61">
        <f t="shared" si="674"/>
        <v>1</v>
      </c>
    </row>
    <row r="9562" spans="9:16">
      <c r="I9562" s="213"/>
      <c r="J9562" s="213"/>
      <c r="L9562" s="272">
        <f t="shared" si="671"/>
        <v>1900</v>
      </c>
      <c r="M9562" s="272">
        <f t="shared" si="672"/>
        <v>1</v>
      </c>
      <c r="O9562" s="61">
        <f t="shared" si="673"/>
        <v>1900</v>
      </c>
      <c r="P9562" s="61">
        <f t="shared" si="674"/>
        <v>1</v>
      </c>
    </row>
    <row r="9563" spans="9:16">
      <c r="I9563" s="213"/>
      <c r="J9563" s="213"/>
      <c r="L9563" s="272">
        <f t="shared" si="671"/>
        <v>1900</v>
      </c>
      <c r="M9563" s="272">
        <f t="shared" si="672"/>
        <v>1</v>
      </c>
      <c r="O9563" s="61">
        <f t="shared" si="673"/>
        <v>1900</v>
      </c>
      <c r="P9563" s="61">
        <f t="shared" si="674"/>
        <v>1</v>
      </c>
    </row>
    <row r="9564" spans="9:16">
      <c r="I9564" s="213"/>
      <c r="J9564" s="213"/>
      <c r="L9564" s="272">
        <f t="shared" si="671"/>
        <v>1900</v>
      </c>
      <c r="M9564" s="272">
        <f t="shared" si="672"/>
        <v>1</v>
      </c>
      <c r="O9564" s="61">
        <f t="shared" si="673"/>
        <v>1900</v>
      </c>
      <c r="P9564" s="61">
        <f t="shared" si="674"/>
        <v>1</v>
      </c>
    </row>
    <row r="9565" spans="9:16">
      <c r="I9565" s="213"/>
      <c r="J9565" s="213"/>
      <c r="L9565" s="272">
        <f t="shared" si="671"/>
        <v>1900</v>
      </c>
      <c r="M9565" s="272">
        <f t="shared" si="672"/>
        <v>1</v>
      </c>
      <c r="O9565" s="61">
        <f t="shared" si="673"/>
        <v>1900</v>
      </c>
      <c r="P9565" s="61">
        <f t="shared" si="674"/>
        <v>1</v>
      </c>
    </row>
    <row r="9566" spans="9:16">
      <c r="I9566" s="213"/>
      <c r="J9566" s="213"/>
      <c r="L9566" s="272">
        <f t="shared" si="671"/>
        <v>1900</v>
      </c>
      <c r="M9566" s="272">
        <f t="shared" si="672"/>
        <v>1</v>
      </c>
      <c r="O9566" s="61">
        <f t="shared" si="673"/>
        <v>1900</v>
      </c>
      <c r="P9566" s="61">
        <f t="shared" si="674"/>
        <v>1</v>
      </c>
    </row>
    <row r="9567" spans="9:16">
      <c r="I9567" s="213"/>
      <c r="J9567" s="213"/>
      <c r="L9567" s="272">
        <f t="shared" si="671"/>
        <v>1900</v>
      </c>
      <c r="M9567" s="272">
        <f t="shared" si="672"/>
        <v>1</v>
      </c>
      <c r="O9567" s="61">
        <f t="shared" si="673"/>
        <v>1900</v>
      </c>
      <c r="P9567" s="61">
        <f t="shared" si="674"/>
        <v>1</v>
      </c>
    </row>
    <row r="9568" spans="9:16">
      <c r="I9568" s="213"/>
      <c r="J9568" s="213"/>
      <c r="L9568" s="272">
        <f t="shared" si="671"/>
        <v>1900</v>
      </c>
      <c r="M9568" s="272">
        <f t="shared" si="672"/>
        <v>1</v>
      </c>
      <c r="O9568" s="61">
        <f t="shared" si="673"/>
        <v>1900</v>
      </c>
      <c r="P9568" s="61">
        <f t="shared" si="674"/>
        <v>1</v>
      </c>
    </row>
    <row r="9569" spans="9:16">
      <c r="I9569" s="213"/>
      <c r="J9569" s="213"/>
      <c r="L9569" s="272">
        <f t="shared" si="671"/>
        <v>1900</v>
      </c>
      <c r="M9569" s="272">
        <f t="shared" si="672"/>
        <v>1</v>
      </c>
      <c r="O9569" s="61">
        <f t="shared" si="673"/>
        <v>1900</v>
      </c>
      <c r="P9569" s="61">
        <f t="shared" si="674"/>
        <v>1</v>
      </c>
    </row>
    <row r="9570" spans="9:16">
      <c r="I9570" s="213"/>
      <c r="J9570" s="213"/>
      <c r="L9570" s="272">
        <f t="shared" si="671"/>
        <v>1900</v>
      </c>
      <c r="M9570" s="272">
        <f t="shared" si="672"/>
        <v>1</v>
      </c>
      <c r="O9570" s="61">
        <f t="shared" si="673"/>
        <v>1900</v>
      </c>
      <c r="P9570" s="61">
        <f t="shared" si="674"/>
        <v>1</v>
      </c>
    </row>
    <row r="9571" spans="9:16">
      <c r="I9571" s="213"/>
      <c r="J9571" s="213"/>
      <c r="L9571" s="272">
        <f t="shared" si="671"/>
        <v>1900</v>
      </c>
      <c r="M9571" s="272">
        <f t="shared" si="672"/>
        <v>1</v>
      </c>
      <c r="O9571" s="61">
        <f t="shared" si="673"/>
        <v>1900</v>
      </c>
      <c r="P9571" s="61">
        <f t="shared" si="674"/>
        <v>1</v>
      </c>
    </row>
    <row r="9572" spans="9:16">
      <c r="I9572" s="213"/>
      <c r="J9572" s="213"/>
      <c r="L9572" s="272">
        <f t="shared" si="671"/>
        <v>1900</v>
      </c>
      <c r="M9572" s="272">
        <f t="shared" si="672"/>
        <v>1</v>
      </c>
      <c r="O9572" s="61">
        <f t="shared" si="673"/>
        <v>1900</v>
      </c>
      <c r="P9572" s="61">
        <f t="shared" si="674"/>
        <v>1</v>
      </c>
    </row>
    <row r="9573" spans="9:16">
      <c r="I9573" s="213"/>
      <c r="J9573" s="213"/>
      <c r="L9573" s="272">
        <f t="shared" si="671"/>
        <v>1900</v>
      </c>
      <c r="M9573" s="272">
        <f t="shared" si="672"/>
        <v>1</v>
      </c>
      <c r="O9573" s="61">
        <f t="shared" si="673"/>
        <v>1900</v>
      </c>
      <c r="P9573" s="61">
        <f t="shared" si="674"/>
        <v>1</v>
      </c>
    </row>
    <row r="9574" spans="9:16">
      <c r="I9574" s="213"/>
      <c r="J9574" s="213"/>
      <c r="L9574" s="272">
        <f t="shared" si="671"/>
        <v>1900</v>
      </c>
      <c r="M9574" s="272">
        <f t="shared" si="672"/>
        <v>1</v>
      </c>
      <c r="O9574" s="61">
        <f t="shared" si="673"/>
        <v>1900</v>
      </c>
      <c r="P9574" s="61">
        <f t="shared" si="674"/>
        <v>1</v>
      </c>
    </row>
    <row r="9575" spans="9:16">
      <c r="I9575" s="213"/>
      <c r="J9575" s="213"/>
      <c r="L9575" s="272">
        <f t="shared" si="671"/>
        <v>1900</v>
      </c>
      <c r="M9575" s="272">
        <f t="shared" si="672"/>
        <v>1</v>
      </c>
      <c r="O9575" s="61">
        <f t="shared" si="673"/>
        <v>1900</v>
      </c>
      <c r="P9575" s="61">
        <f t="shared" si="674"/>
        <v>1</v>
      </c>
    </row>
    <row r="9576" spans="9:16">
      <c r="I9576" s="213"/>
      <c r="J9576" s="213"/>
      <c r="L9576" s="272">
        <f t="shared" si="671"/>
        <v>1900</v>
      </c>
      <c r="M9576" s="272">
        <f t="shared" si="672"/>
        <v>1</v>
      </c>
      <c r="O9576" s="61">
        <f t="shared" si="673"/>
        <v>1900</v>
      </c>
      <c r="P9576" s="61">
        <f t="shared" si="674"/>
        <v>1</v>
      </c>
    </row>
    <row r="9577" spans="9:16">
      <c r="I9577" s="213"/>
      <c r="J9577" s="213"/>
      <c r="L9577" s="272">
        <f t="shared" si="671"/>
        <v>1900</v>
      </c>
      <c r="M9577" s="272">
        <f t="shared" si="672"/>
        <v>1</v>
      </c>
      <c r="O9577" s="61">
        <f t="shared" si="673"/>
        <v>1900</v>
      </c>
      <c r="P9577" s="61">
        <f t="shared" si="674"/>
        <v>1</v>
      </c>
    </row>
    <row r="9578" spans="9:16">
      <c r="I9578" s="213"/>
      <c r="J9578" s="213"/>
      <c r="L9578" s="272">
        <f t="shared" si="671"/>
        <v>1900</v>
      </c>
      <c r="M9578" s="272">
        <f t="shared" si="672"/>
        <v>1</v>
      </c>
      <c r="O9578" s="61">
        <f t="shared" si="673"/>
        <v>1900</v>
      </c>
      <c r="P9578" s="61">
        <f t="shared" si="674"/>
        <v>1</v>
      </c>
    </row>
    <row r="9579" spans="9:16">
      <c r="I9579" s="213"/>
      <c r="J9579" s="213"/>
      <c r="L9579" s="272">
        <f t="shared" si="671"/>
        <v>1900</v>
      </c>
      <c r="M9579" s="272">
        <f t="shared" si="672"/>
        <v>1</v>
      </c>
      <c r="O9579" s="61">
        <f t="shared" si="673"/>
        <v>1900</v>
      </c>
      <c r="P9579" s="61">
        <f t="shared" si="674"/>
        <v>1</v>
      </c>
    </row>
    <row r="9580" spans="9:16">
      <c r="I9580" s="213"/>
      <c r="J9580" s="213"/>
      <c r="L9580" s="272">
        <f t="shared" si="671"/>
        <v>1900</v>
      </c>
      <c r="M9580" s="272">
        <f t="shared" si="672"/>
        <v>1</v>
      </c>
      <c r="O9580" s="61">
        <f t="shared" si="673"/>
        <v>1900</v>
      </c>
      <c r="P9580" s="61">
        <f t="shared" si="674"/>
        <v>1</v>
      </c>
    </row>
    <row r="9581" spans="9:16">
      <c r="I9581" s="213"/>
      <c r="J9581" s="213"/>
      <c r="L9581" s="272">
        <f t="shared" si="671"/>
        <v>1900</v>
      </c>
      <c r="M9581" s="272">
        <f t="shared" si="672"/>
        <v>1</v>
      </c>
      <c r="O9581" s="61">
        <f t="shared" si="673"/>
        <v>1900</v>
      </c>
      <c r="P9581" s="61">
        <f t="shared" si="674"/>
        <v>1</v>
      </c>
    </row>
    <row r="9582" spans="9:16">
      <c r="I9582" s="213"/>
      <c r="J9582" s="213"/>
      <c r="L9582" s="272">
        <f t="shared" si="671"/>
        <v>1900</v>
      </c>
      <c r="M9582" s="272">
        <f t="shared" si="672"/>
        <v>1</v>
      </c>
      <c r="O9582" s="61">
        <f t="shared" si="673"/>
        <v>1900</v>
      </c>
      <c r="P9582" s="61">
        <f t="shared" si="674"/>
        <v>1</v>
      </c>
    </row>
    <row r="9583" spans="9:16">
      <c r="I9583" s="213"/>
      <c r="J9583" s="213"/>
      <c r="L9583" s="272">
        <f t="shared" si="671"/>
        <v>1900</v>
      </c>
      <c r="M9583" s="272">
        <f t="shared" si="672"/>
        <v>1</v>
      </c>
      <c r="O9583" s="61">
        <f t="shared" si="673"/>
        <v>1900</v>
      </c>
      <c r="P9583" s="61">
        <f t="shared" si="674"/>
        <v>1</v>
      </c>
    </row>
    <row r="9584" spans="9:16">
      <c r="I9584" s="213"/>
      <c r="J9584" s="213"/>
      <c r="L9584" s="272">
        <f t="shared" si="671"/>
        <v>1900</v>
      </c>
      <c r="M9584" s="272">
        <f t="shared" si="672"/>
        <v>1</v>
      </c>
      <c r="O9584" s="61">
        <f t="shared" si="673"/>
        <v>1900</v>
      </c>
      <c r="P9584" s="61">
        <f t="shared" si="674"/>
        <v>1</v>
      </c>
    </row>
    <row r="9585" spans="9:16">
      <c r="I9585" s="213"/>
      <c r="J9585" s="213"/>
      <c r="L9585" s="272">
        <f t="shared" si="671"/>
        <v>1900</v>
      </c>
      <c r="M9585" s="272">
        <f t="shared" si="672"/>
        <v>1</v>
      </c>
      <c r="O9585" s="61">
        <f t="shared" si="673"/>
        <v>1900</v>
      </c>
      <c r="P9585" s="61">
        <f t="shared" si="674"/>
        <v>1</v>
      </c>
    </row>
    <row r="9586" spans="9:16">
      <c r="I9586" s="213"/>
      <c r="J9586" s="213"/>
      <c r="L9586" s="272">
        <f t="shared" si="671"/>
        <v>1900</v>
      </c>
      <c r="M9586" s="272">
        <f t="shared" si="672"/>
        <v>1</v>
      </c>
      <c r="O9586" s="61">
        <f t="shared" si="673"/>
        <v>1900</v>
      </c>
      <c r="P9586" s="61">
        <f t="shared" si="674"/>
        <v>1</v>
      </c>
    </row>
    <row r="9587" spans="9:16">
      <c r="I9587" s="213"/>
      <c r="J9587" s="213"/>
      <c r="L9587" s="272">
        <f t="shared" si="671"/>
        <v>1900</v>
      </c>
      <c r="M9587" s="272">
        <f t="shared" si="672"/>
        <v>1</v>
      </c>
      <c r="O9587" s="61">
        <f t="shared" si="673"/>
        <v>1900</v>
      </c>
      <c r="P9587" s="61">
        <f t="shared" si="674"/>
        <v>1</v>
      </c>
    </row>
    <row r="9588" spans="9:16">
      <c r="I9588" s="213"/>
      <c r="J9588" s="213"/>
      <c r="L9588" s="272">
        <f t="shared" si="671"/>
        <v>1900</v>
      </c>
      <c r="M9588" s="272">
        <f t="shared" si="672"/>
        <v>1</v>
      </c>
      <c r="O9588" s="61">
        <f t="shared" si="673"/>
        <v>1900</v>
      </c>
      <c r="P9588" s="61">
        <f t="shared" si="674"/>
        <v>1</v>
      </c>
    </row>
    <row r="9589" spans="9:16">
      <c r="I9589" s="213"/>
      <c r="J9589" s="213"/>
      <c r="L9589" s="272">
        <f t="shared" si="671"/>
        <v>1900</v>
      </c>
      <c r="M9589" s="272">
        <f t="shared" si="672"/>
        <v>1</v>
      </c>
      <c r="O9589" s="61">
        <f t="shared" si="673"/>
        <v>1900</v>
      </c>
      <c r="P9589" s="61">
        <f t="shared" si="674"/>
        <v>1</v>
      </c>
    </row>
    <row r="9590" spans="9:16">
      <c r="I9590" s="213"/>
      <c r="J9590" s="213"/>
      <c r="L9590" s="272">
        <f t="shared" si="671"/>
        <v>1900</v>
      </c>
      <c r="M9590" s="272">
        <f t="shared" si="672"/>
        <v>1</v>
      </c>
      <c r="O9590" s="61">
        <f t="shared" si="673"/>
        <v>1900</v>
      </c>
      <c r="P9590" s="61">
        <f t="shared" si="674"/>
        <v>1</v>
      </c>
    </row>
    <row r="9591" spans="9:16">
      <c r="I9591" s="213"/>
      <c r="J9591" s="213"/>
      <c r="L9591" s="272">
        <f t="shared" si="671"/>
        <v>1900</v>
      </c>
      <c r="M9591" s="272">
        <f t="shared" si="672"/>
        <v>1</v>
      </c>
      <c r="O9591" s="61">
        <f t="shared" si="673"/>
        <v>1900</v>
      </c>
      <c r="P9591" s="61">
        <f t="shared" si="674"/>
        <v>1</v>
      </c>
    </row>
    <row r="9592" spans="9:16">
      <c r="I9592" s="213"/>
      <c r="J9592" s="213"/>
      <c r="L9592" s="272">
        <f t="shared" si="671"/>
        <v>1900</v>
      </c>
      <c r="M9592" s="272">
        <f t="shared" si="672"/>
        <v>1</v>
      </c>
      <c r="O9592" s="61">
        <f t="shared" si="673"/>
        <v>1900</v>
      </c>
      <c r="P9592" s="61">
        <f t="shared" si="674"/>
        <v>1</v>
      </c>
    </row>
    <row r="9593" spans="9:16">
      <c r="I9593" s="213"/>
      <c r="J9593" s="213"/>
      <c r="L9593" s="272">
        <f t="shared" si="671"/>
        <v>1900</v>
      </c>
      <c r="M9593" s="272">
        <f t="shared" si="672"/>
        <v>1</v>
      </c>
      <c r="O9593" s="61">
        <f t="shared" si="673"/>
        <v>1900</v>
      </c>
      <c r="P9593" s="61">
        <f t="shared" si="674"/>
        <v>1</v>
      </c>
    </row>
    <row r="9594" spans="9:16">
      <c r="I9594" s="213"/>
      <c r="J9594" s="213"/>
      <c r="L9594" s="272">
        <f t="shared" si="671"/>
        <v>1900</v>
      </c>
      <c r="M9594" s="272">
        <f t="shared" si="672"/>
        <v>1</v>
      </c>
      <c r="O9594" s="61">
        <f t="shared" si="673"/>
        <v>1900</v>
      </c>
      <c r="P9594" s="61">
        <f t="shared" si="674"/>
        <v>1</v>
      </c>
    </row>
    <row r="9595" spans="9:16">
      <c r="I9595" s="213"/>
      <c r="J9595" s="213"/>
      <c r="L9595" s="272">
        <f t="shared" si="671"/>
        <v>1900</v>
      </c>
      <c r="M9595" s="272">
        <f t="shared" si="672"/>
        <v>1</v>
      </c>
      <c r="O9595" s="61">
        <f t="shared" si="673"/>
        <v>1900</v>
      </c>
      <c r="P9595" s="61">
        <f t="shared" si="674"/>
        <v>1</v>
      </c>
    </row>
    <row r="9596" spans="9:16">
      <c r="I9596" s="213"/>
      <c r="J9596" s="213"/>
      <c r="L9596" s="272">
        <f t="shared" si="671"/>
        <v>1900</v>
      </c>
      <c r="M9596" s="272">
        <f t="shared" si="672"/>
        <v>1</v>
      </c>
      <c r="O9596" s="61">
        <f t="shared" si="673"/>
        <v>1900</v>
      </c>
      <c r="P9596" s="61">
        <f t="shared" si="674"/>
        <v>1</v>
      </c>
    </row>
    <row r="9597" spans="9:16">
      <c r="I9597" s="213"/>
      <c r="J9597" s="213"/>
      <c r="L9597" s="272">
        <f t="shared" si="671"/>
        <v>1900</v>
      </c>
      <c r="M9597" s="272">
        <f t="shared" si="672"/>
        <v>1</v>
      </c>
      <c r="O9597" s="61">
        <f t="shared" si="673"/>
        <v>1900</v>
      </c>
      <c r="P9597" s="61">
        <f t="shared" si="674"/>
        <v>1</v>
      </c>
    </row>
    <row r="9598" spans="9:16">
      <c r="I9598" s="213"/>
      <c r="J9598" s="213"/>
      <c r="L9598" s="272">
        <f t="shared" si="671"/>
        <v>1900</v>
      </c>
      <c r="M9598" s="272">
        <f t="shared" si="672"/>
        <v>1</v>
      </c>
      <c r="O9598" s="61">
        <f t="shared" si="673"/>
        <v>1900</v>
      </c>
      <c r="P9598" s="61">
        <f t="shared" si="674"/>
        <v>1</v>
      </c>
    </row>
    <row r="9599" spans="9:16">
      <c r="I9599" s="213"/>
      <c r="J9599" s="213"/>
      <c r="L9599" s="272">
        <f t="shared" si="671"/>
        <v>1900</v>
      </c>
      <c r="M9599" s="272">
        <f t="shared" si="672"/>
        <v>1</v>
      </c>
      <c r="O9599" s="61">
        <f t="shared" si="673"/>
        <v>1900</v>
      </c>
      <c r="P9599" s="61">
        <f t="shared" si="674"/>
        <v>1</v>
      </c>
    </row>
    <row r="9600" spans="9:16">
      <c r="I9600" s="213"/>
      <c r="J9600" s="213"/>
      <c r="L9600" s="272">
        <f t="shared" si="671"/>
        <v>1900</v>
      </c>
      <c r="M9600" s="272">
        <f t="shared" si="672"/>
        <v>1</v>
      </c>
      <c r="O9600" s="61">
        <f t="shared" si="673"/>
        <v>1900</v>
      </c>
      <c r="P9600" s="61">
        <f t="shared" si="674"/>
        <v>1</v>
      </c>
    </row>
    <row r="9601" spans="9:16">
      <c r="I9601" s="213"/>
      <c r="J9601" s="213"/>
      <c r="L9601" s="272">
        <f t="shared" si="671"/>
        <v>1900</v>
      </c>
      <c r="M9601" s="272">
        <f t="shared" si="672"/>
        <v>1</v>
      </c>
      <c r="O9601" s="61">
        <f t="shared" si="673"/>
        <v>1900</v>
      </c>
      <c r="P9601" s="61">
        <f t="shared" si="674"/>
        <v>1</v>
      </c>
    </row>
    <row r="9602" spans="9:16">
      <c r="I9602" s="213"/>
      <c r="J9602" s="213"/>
      <c r="L9602" s="272">
        <f t="shared" si="671"/>
        <v>1900</v>
      </c>
      <c r="M9602" s="272">
        <f t="shared" si="672"/>
        <v>1</v>
      </c>
      <c r="O9602" s="61">
        <f t="shared" si="673"/>
        <v>1900</v>
      </c>
      <c r="P9602" s="61">
        <f t="shared" si="674"/>
        <v>1</v>
      </c>
    </row>
    <row r="9603" spans="9:16">
      <c r="I9603" s="213"/>
      <c r="J9603" s="213"/>
      <c r="L9603" s="272">
        <f t="shared" si="671"/>
        <v>1900</v>
      </c>
      <c r="M9603" s="272">
        <f t="shared" si="672"/>
        <v>1</v>
      </c>
      <c r="O9603" s="61">
        <f t="shared" si="673"/>
        <v>1900</v>
      </c>
      <c r="P9603" s="61">
        <f t="shared" si="674"/>
        <v>1</v>
      </c>
    </row>
    <row r="9604" spans="9:16">
      <c r="I9604" s="213"/>
      <c r="J9604" s="213"/>
      <c r="L9604" s="272">
        <f t="shared" si="671"/>
        <v>1900</v>
      </c>
      <c r="M9604" s="272">
        <f t="shared" si="672"/>
        <v>1</v>
      </c>
      <c r="O9604" s="61">
        <f t="shared" si="673"/>
        <v>1900</v>
      </c>
      <c r="P9604" s="61">
        <f t="shared" si="674"/>
        <v>1</v>
      </c>
    </row>
    <row r="9605" spans="9:16">
      <c r="I9605" s="213"/>
      <c r="J9605" s="213"/>
      <c r="L9605" s="272">
        <f t="shared" si="671"/>
        <v>1900</v>
      </c>
      <c r="M9605" s="272">
        <f t="shared" si="672"/>
        <v>1</v>
      </c>
      <c r="O9605" s="61">
        <f t="shared" si="673"/>
        <v>1900</v>
      </c>
      <c r="P9605" s="61">
        <f t="shared" si="674"/>
        <v>1</v>
      </c>
    </row>
    <row r="9606" spans="9:16">
      <c r="I9606" s="213"/>
      <c r="J9606" s="213"/>
      <c r="L9606" s="272">
        <f t="shared" si="671"/>
        <v>1900</v>
      </c>
      <c r="M9606" s="272">
        <f t="shared" si="672"/>
        <v>1</v>
      </c>
      <c r="O9606" s="61">
        <f t="shared" si="673"/>
        <v>1900</v>
      </c>
      <c r="P9606" s="61">
        <f t="shared" si="674"/>
        <v>1</v>
      </c>
    </row>
    <row r="9607" spans="9:16">
      <c r="I9607" s="213"/>
      <c r="J9607" s="213"/>
      <c r="L9607" s="272">
        <f t="shared" si="671"/>
        <v>1900</v>
      </c>
      <c r="M9607" s="272">
        <f t="shared" si="672"/>
        <v>1</v>
      </c>
      <c r="O9607" s="61">
        <f t="shared" si="673"/>
        <v>1900</v>
      </c>
      <c r="P9607" s="61">
        <f t="shared" si="674"/>
        <v>1</v>
      </c>
    </row>
    <row r="9608" spans="9:16">
      <c r="I9608" s="213"/>
      <c r="J9608" s="213"/>
      <c r="L9608" s="272">
        <f t="shared" si="671"/>
        <v>1900</v>
      </c>
      <c r="M9608" s="272">
        <f t="shared" si="672"/>
        <v>1</v>
      </c>
      <c r="O9608" s="61">
        <f t="shared" si="673"/>
        <v>1900</v>
      </c>
      <c r="P9608" s="61">
        <f t="shared" si="674"/>
        <v>1</v>
      </c>
    </row>
    <row r="9609" spans="9:16">
      <c r="I9609" s="213"/>
      <c r="J9609" s="213"/>
      <c r="L9609" s="272">
        <f t="shared" si="671"/>
        <v>1900</v>
      </c>
      <c r="M9609" s="272">
        <f t="shared" si="672"/>
        <v>1</v>
      </c>
      <c r="O9609" s="61">
        <f t="shared" si="673"/>
        <v>1900</v>
      </c>
      <c r="P9609" s="61">
        <f t="shared" si="674"/>
        <v>1</v>
      </c>
    </row>
    <row r="9610" spans="9:16">
      <c r="I9610" s="213"/>
      <c r="J9610" s="213"/>
      <c r="L9610" s="272">
        <f t="shared" si="671"/>
        <v>1900</v>
      </c>
      <c r="M9610" s="272">
        <f t="shared" si="672"/>
        <v>1</v>
      </c>
      <c r="O9610" s="61">
        <f t="shared" si="673"/>
        <v>1900</v>
      </c>
      <c r="P9610" s="61">
        <f t="shared" si="674"/>
        <v>1</v>
      </c>
    </row>
    <row r="9611" spans="9:16">
      <c r="I9611" s="213"/>
      <c r="J9611" s="213"/>
      <c r="L9611" s="272">
        <f t="shared" si="671"/>
        <v>1900</v>
      </c>
      <c r="M9611" s="272">
        <f t="shared" si="672"/>
        <v>1</v>
      </c>
      <c r="O9611" s="61">
        <f t="shared" si="673"/>
        <v>1900</v>
      </c>
      <c r="P9611" s="61">
        <f t="shared" si="674"/>
        <v>1</v>
      </c>
    </row>
    <row r="9612" spans="9:16">
      <c r="I9612" s="213"/>
      <c r="J9612" s="213"/>
      <c r="L9612" s="272">
        <f t="shared" si="671"/>
        <v>1900</v>
      </c>
      <c r="M9612" s="272">
        <f t="shared" si="672"/>
        <v>1</v>
      </c>
      <c r="O9612" s="61">
        <f t="shared" si="673"/>
        <v>1900</v>
      </c>
      <c r="P9612" s="61">
        <f t="shared" si="674"/>
        <v>1</v>
      </c>
    </row>
    <row r="9613" spans="9:16">
      <c r="I9613" s="213"/>
      <c r="J9613" s="213"/>
      <c r="L9613" s="272">
        <f t="shared" si="671"/>
        <v>1900</v>
      </c>
      <c r="M9613" s="272">
        <f t="shared" si="672"/>
        <v>1</v>
      </c>
      <c r="O9613" s="61">
        <f t="shared" si="673"/>
        <v>1900</v>
      </c>
      <c r="P9613" s="61">
        <f t="shared" si="674"/>
        <v>1</v>
      </c>
    </row>
    <row r="9614" spans="9:16">
      <c r="I9614" s="213"/>
      <c r="J9614" s="213"/>
      <c r="L9614" s="272">
        <f t="shared" si="671"/>
        <v>1900</v>
      </c>
      <c r="M9614" s="272">
        <f t="shared" si="672"/>
        <v>1</v>
      </c>
      <c r="O9614" s="61">
        <f t="shared" si="673"/>
        <v>1900</v>
      </c>
      <c r="P9614" s="61">
        <f t="shared" si="674"/>
        <v>1</v>
      </c>
    </row>
    <row r="9615" spans="9:16">
      <c r="I9615" s="213"/>
      <c r="J9615" s="213"/>
      <c r="L9615" s="272">
        <f t="shared" si="671"/>
        <v>1900</v>
      </c>
      <c r="M9615" s="272">
        <f t="shared" si="672"/>
        <v>1</v>
      </c>
      <c r="O9615" s="61">
        <f t="shared" si="673"/>
        <v>1900</v>
      </c>
      <c r="P9615" s="61">
        <f t="shared" si="674"/>
        <v>1</v>
      </c>
    </row>
    <row r="9616" spans="9:16">
      <c r="I9616" s="213"/>
      <c r="J9616" s="213"/>
      <c r="L9616" s="272">
        <f t="shared" ref="L9616:L9679" si="675">YEAR(B9616)</f>
        <v>1900</v>
      </c>
      <c r="M9616" s="272">
        <f t="shared" ref="M9616:M9679" si="676">MONTH(B9616)</f>
        <v>1</v>
      </c>
      <c r="O9616" s="61">
        <f t="shared" ref="O9616:O9679" si="677">YEAR(B9616)</f>
        <v>1900</v>
      </c>
      <c r="P9616" s="61">
        <f t="shared" ref="P9616:P9679" si="678">MONTH(B9616)</f>
        <v>1</v>
      </c>
    </row>
    <row r="9617" spans="9:16">
      <c r="I9617" s="213"/>
      <c r="J9617" s="213"/>
      <c r="L9617" s="272">
        <f t="shared" si="675"/>
        <v>1900</v>
      </c>
      <c r="M9617" s="272">
        <f t="shared" si="676"/>
        <v>1</v>
      </c>
      <c r="O9617" s="61">
        <f t="shared" si="677"/>
        <v>1900</v>
      </c>
      <c r="P9617" s="61">
        <f t="shared" si="678"/>
        <v>1</v>
      </c>
    </row>
    <row r="9618" spans="9:16">
      <c r="I9618" s="213"/>
      <c r="J9618" s="213"/>
      <c r="L9618" s="272">
        <f t="shared" si="675"/>
        <v>1900</v>
      </c>
      <c r="M9618" s="272">
        <f t="shared" si="676"/>
        <v>1</v>
      </c>
      <c r="O9618" s="61">
        <f t="shared" si="677"/>
        <v>1900</v>
      </c>
      <c r="P9618" s="61">
        <f t="shared" si="678"/>
        <v>1</v>
      </c>
    </row>
    <row r="9619" spans="9:16">
      <c r="I9619" s="213"/>
      <c r="J9619" s="213"/>
      <c r="L9619" s="272">
        <f t="shared" si="675"/>
        <v>1900</v>
      </c>
      <c r="M9619" s="272">
        <f t="shared" si="676"/>
        <v>1</v>
      </c>
      <c r="O9619" s="61">
        <f t="shared" si="677"/>
        <v>1900</v>
      </c>
      <c r="P9619" s="61">
        <f t="shared" si="678"/>
        <v>1</v>
      </c>
    </row>
    <row r="9620" spans="9:16">
      <c r="I9620" s="213"/>
      <c r="J9620" s="213"/>
      <c r="L9620" s="272">
        <f t="shared" si="675"/>
        <v>1900</v>
      </c>
      <c r="M9620" s="272">
        <f t="shared" si="676"/>
        <v>1</v>
      </c>
      <c r="O9620" s="61">
        <f t="shared" si="677"/>
        <v>1900</v>
      </c>
      <c r="P9620" s="61">
        <f t="shared" si="678"/>
        <v>1</v>
      </c>
    </row>
    <row r="9621" spans="9:16">
      <c r="I9621" s="213"/>
      <c r="J9621" s="213"/>
      <c r="L9621" s="272">
        <f t="shared" si="675"/>
        <v>1900</v>
      </c>
      <c r="M9621" s="272">
        <f t="shared" si="676"/>
        <v>1</v>
      </c>
      <c r="O9621" s="61">
        <f t="shared" si="677"/>
        <v>1900</v>
      </c>
      <c r="P9621" s="61">
        <f t="shared" si="678"/>
        <v>1</v>
      </c>
    </row>
    <row r="9622" spans="9:16">
      <c r="I9622" s="213"/>
      <c r="J9622" s="213"/>
      <c r="L9622" s="272">
        <f t="shared" si="675"/>
        <v>1900</v>
      </c>
      <c r="M9622" s="272">
        <f t="shared" si="676"/>
        <v>1</v>
      </c>
      <c r="O9622" s="61">
        <f t="shared" si="677"/>
        <v>1900</v>
      </c>
      <c r="P9622" s="61">
        <f t="shared" si="678"/>
        <v>1</v>
      </c>
    </row>
    <row r="9623" spans="9:16">
      <c r="I9623" s="213"/>
      <c r="J9623" s="213"/>
      <c r="L9623" s="272">
        <f t="shared" si="675"/>
        <v>1900</v>
      </c>
      <c r="M9623" s="272">
        <f t="shared" si="676"/>
        <v>1</v>
      </c>
      <c r="O9623" s="61">
        <f t="shared" si="677"/>
        <v>1900</v>
      </c>
      <c r="P9623" s="61">
        <f t="shared" si="678"/>
        <v>1</v>
      </c>
    </row>
    <row r="9624" spans="9:16">
      <c r="I9624" s="213"/>
      <c r="J9624" s="213"/>
      <c r="L9624" s="272">
        <f t="shared" si="675"/>
        <v>1900</v>
      </c>
      <c r="M9624" s="272">
        <f t="shared" si="676"/>
        <v>1</v>
      </c>
      <c r="O9624" s="61">
        <f t="shared" si="677"/>
        <v>1900</v>
      </c>
      <c r="P9624" s="61">
        <f t="shared" si="678"/>
        <v>1</v>
      </c>
    </row>
    <row r="9625" spans="9:16">
      <c r="I9625" s="213"/>
      <c r="J9625" s="213"/>
      <c r="L9625" s="272">
        <f t="shared" si="675"/>
        <v>1900</v>
      </c>
      <c r="M9625" s="272">
        <f t="shared" si="676"/>
        <v>1</v>
      </c>
      <c r="O9625" s="61">
        <f t="shared" si="677"/>
        <v>1900</v>
      </c>
      <c r="P9625" s="61">
        <f t="shared" si="678"/>
        <v>1</v>
      </c>
    </row>
    <row r="9626" spans="9:16">
      <c r="I9626" s="213"/>
      <c r="J9626" s="213"/>
      <c r="L9626" s="272">
        <f t="shared" si="675"/>
        <v>1900</v>
      </c>
      <c r="M9626" s="272">
        <f t="shared" si="676"/>
        <v>1</v>
      </c>
      <c r="O9626" s="61">
        <f t="shared" si="677"/>
        <v>1900</v>
      </c>
      <c r="P9626" s="61">
        <f t="shared" si="678"/>
        <v>1</v>
      </c>
    </row>
    <row r="9627" spans="9:16">
      <c r="I9627" s="213"/>
      <c r="J9627" s="213"/>
      <c r="L9627" s="272">
        <f t="shared" si="675"/>
        <v>1900</v>
      </c>
      <c r="M9627" s="272">
        <f t="shared" si="676"/>
        <v>1</v>
      </c>
      <c r="O9627" s="61">
        <f t="shared" si="677"/>
        <v>1900</v>
      </c>
      <c r="P9627" s="61">
        <f t="shared" si="678"/>
        <v>1</v>
      </c>
    </row>
    <row r="9628" spans="9:16">
      <c r="I9628" s="213"/>
      <c r="J9628" s="213"/>
      <c r="L9628" s="272">
        <f t="shared" si="675"/>
        <v>1900</v>
      </c>
      <c r="M9628" s="272">
        <f t="shared" si="676"/>
        <v>1</v>
      </c>
      <c r="O9628" s="61">
        <f t="shared" si="677"/>
        <v>1900</v>
      </c>
      <c r="P9628" s="61">
        <f t="shared" si="678"/>
        <v>1</v>
      </c>
    </row>
    <row r="9629" spans="9:16">
      <c r="I9629" s="213"/>
      <c r="J9629" s="213"/>
      <c r="L9629" s="272">
        <f t="shared" si="675"/>
        <v>1900</v>
      </c>
      <c r="M9629" s="272">
        <f t="shared" si="676"/>
        <v>1</v>
      </c>
      <c r="O9629" s="61">
        <f t="shared" si="677"/>
        <v>1900</v>
      </c>
      <c r="P9629" s="61">
        <f t="shared" si="678"/>
        <v>1</v>
      </c>
    </row>
    <row r="9630" spans="9:16">
      <c r="I9630" s="213"/>
      <c r="J9630" s="213"/>
      <c r="L9630" s="272">
        <f t="shared" si="675"/>
        <v>1900</v>
      </c>
      <c r="M9630" s="272">
        <f t="shared" si="676"/>
        <v>1</v>
      </c>
      <c r="O9630" s="61">
        <f t="shared" si="677"/>
        <v>1900</v>
      </c>
      <c r="P9630" s="61">
        <f t="shared" si="678"/>
        <v>1</v>
      </c>
    </row>
    <row r="9631" spans="9:16">
      <c r="I9631" s="213"/>
      <c r="J9631" s="213"/>
      <c r="L9631" s="272">
        <f t="shared" si="675"/>
        <v>1900</v>
      </c>
      <c r="M9631" s="272">
        <f t="shared" si="676"/>
        <v>1</v>
      </c>
      <c r="O9631" s="61">
        <f t="shared" si="677"/>
        <v>1900</v>
      </c>
      <c r="P9631" s="61">
        <f t="shared" si="678"/>
        <v>1</v>
      </c>
    </row>
    <row r="9632" spans="9:16">
      <c r="I9632" s="213"/>
      <c r="J9632" s="213"/>
      <c r="L9632" s="272">
        <f t="shared" si="675"/>
        <v>1900</v>
      </c>
      <c r="M9632" s="272">
        <f t="shared" si="676"/>
        <v>1</v>
      </c>
      <c r="O9632" s="61">
        <f t="shared" si="677"/>
        <v>1900</v>
      </c>
      <c r="P9632" s="61">
        <f t="shared" si="678"/>
        <v>1</v>
      </c>
    </row>
    <row r="9633" spans="9:16">
      <c r="I9633" s="213"/>
      <c r="J9633" s="213"/>
      <c r="L9633" s="272">
        <f t="shared" si="675"/>
        <v>1900</v>
      </c>
      <c r="M9633" s="272">
        <f t="shared" si="676"/>
        <v>1</v>
      </c>
      <c r="O9633" s="61">
        <f t="shared" si="677"/>
        <v>1900</v>
      </c>
      <c r="P9633" s="61">
        <f t="shared" si="678"/>
        <v>1</v>
      </c>
    </row>
    <row r="9634" spans="9:16">
      <c r="I9634" s="213"/>
      <c r="J9634" s="213"/>
      <c r="L9634" s="272">
        <f t="shared" si="675"/>
        <v>1900</v>
      </c>
      <c r="M9634" s="272">
        <f t="shared" si="676"/>
        <v>1</v>
      </c>
      <c r="O9634" s="61">
        <f t="shared" si="677"/>
        <v>1900</v>
      </c>
      <c r="P9634" s="61">
        <f t="shared" si="678"/>
        <v>1</v>
      </c>
    </row>
    <row r="9635" spans="9:16">
      <c r="I9635" s="213"/>
      <c r="J9635" s="213"/>
      <c r="L9635" s="272">
        <f t="shared" si="675"/>
        <v>1900</v>
      </c>
      <c r="M9635" s="272">
        <f t="shared" si="676"/>
        <v>1</v>
      </c>
      <c r="O9635" s="61">
        <f t="shared" si="677"/>
        <v>1900</v>
      </c>
      <c r="P9635" s="61">
        <f t="shared" si="678"/>
        <v>1</v>
      </c>
    </row>
    <row r="9636" spans="9:16">
      <c r="I9636" s="213"/>
      <c r="J9636" s="213"/>
      <c r="L9636" s="272">
        <f t="shared" si="675"/>
        <v>1900</v>
      </c>
      <c r="M9636" s="272">
        <f t="shared" si="676"/>
        <v>1</v>
      </c>
      <c r="O9636" s="61">
        <f t="shared" si="677"/>
        <v>1900</v>
      </c>
      <c r="P9636" s="61">
        <f t="shared" si="678"/>
        <v>1</v>
      </c>
    </row>
    <row r="9637" spans="9:16">
      <c r="I9637" s="213"/>
      <c r="J9637" s="213"/>
      <c r="L9637" s="272">
        <f t="shared" si="675"/>
        <v>1900</v>
      </c>
      <c r="M9637" s="272">
        <f t="shared" si="676"/>
        <v>1</v>
      </c>
      <c r="O9637" s="61">
        <f t="shared" si="677"/>
        <v>1900</v>
      </c>
      <c r="P9637" s="61">
        <f t="shared" si="678"/>
        <v>1</v>
      </c>
    </row>
    <row r="9638" spans="9:16">
      <c r="I9638" s="213"/>
      <c r="J9638" s="213"/>
      <c r="L9638" s="272">
        <f t="shared" si="675"/>
        <v>1900</v>
      </c>
      <c r="M9638" s="272">
        <f t="shared" si="676"/>
        <v>1</v>
      </c>
      <c r="O9638" s="61">
        <f t="shared" si="677"/>
        <v>1900</v>
      </c>
      <c r="P9638" s="61">
        <f t="shared" si="678"/>
        <v>1</v>
      </c>
    </row>
    <row r="9639" spans="9:16">
      <c r="I9639" s="213"/>
      <c r="J9639" s="213"/>
      <c r="L9639" s="272">
        <f t="shared" si="675"/>
        <v>1900</v>
      </c>
      <c r="M9639" s="272">
        <f t="shared" si="676"/>
        <v>1</v>
      </c>
      <c r="O9639" s="61">
        <f t="shared" si="677"/>
        <v>1900</v>
      </c>
      <c r="P9639" s="61">
        <f t="shared" si="678"/>
        <v>1</v>
      </c>
    </row>
    <row r="9640" spans="9:16">
      <c r="I9640" s="213"/>
      <c r="J9640" s="213"/>
      <c r="L9640" s="272">
        <f t="shared" si="675"/>
        <v>1900</v>
      </c>
      <c r="M9640" s="272">
        <f t="shared" si="676"/>
        <v>1</v>
      </c>
      <c r="O9640" s="61">
        <f t="shared" si="677"/>
        <v>1900</v>
      </c>
      <c r="P9640" s="61">
        <f t="shared" si="678"/>
        <v>1</v>
      </c>
    </row>
    <row r="9641" spans="9:16">
      <c r="I9641" s="213"/>
      <c r="J9641" s="213"/>
      <c r="L9641" s="272">
        <f t="shared" si="675"/>
        <v>1900</v>
      </c>
      <c r="M9641" s="272">
        <f t="shared" si="676"/>
        <v>1</v>
      </c>
      <c r="O9641" s="61">
        <f t="shared" si="677"/>
        <v>1900</v>
      </c>
      <c r="P9641" s="61">
        <f t="shared" si="678"/>
        <v>1</v>
      </c>
    </row>
    <row r="9642" spans="9:16">
      <c r="I9642" s="213"/>
      <c r="J9642" s="213"/>
      <c r="L9642" s="272">
        <f t="shared" si="675"/>
        <v>1900</v>
      </c>
      <c r="M9642" s="272">
        <f t="shared" si="676"/>
        <v>1</v>
      </c>
      <c r="O9642" s="61">
        <f t="shared" si="677"/>
        <v>1900</v>
      </c>
      <c r="P9642" s="61">
        <f t="shared" si="678"/>
        <v>1</v>
      </c>
    </row>
    <row r="9643" spans="9:16">
      <c r="I9643" s="213"/>
      <c r="J9643" s="213"/>
      <c r="L9643" s="272">
        <f t="shared" si="675"/>
        <v>1900</v>
      </c>
      <c r="M9643" s="272">
        <f t="shared" si="676"/>
        <v>1</v>
      </c>
      <c r="O9643" s="61">
        <f t="shared" si="677"/>
        <v>1900</v>
      </c>
      <c r="P9643" s="61">
        <f t="shared" si="678"/>
        <v>1</v>
      </c>
    </row>
    <row r="9644" spans="9:16">
      <c r="I9644" s="213"/>
      <c r="J9644" s="213"/>
      <c r="L9644" s="272">
        <f t="shared" si="675"/>
        <v>1900</v>
      </c>
      <c r="M9644" s="272">
        <f t="shared" si="676"/>
        <v>1</v>
      </c>
      <c r="O9644" s="61">
        <f t="shared" si="677"/>
        <v>1900</v>
      </c>
      <c r="P9644" s="61">
        <f t="shared" si="678"/>
        <v>1</v>
      </c>
    </row>
    <row r="9645" spans="9:16">
      <c r="I9645" s="213"/>
      <c r="J9645" s="213"/>
      <c r="L9645" s="272">
        <f t="shared" si="675"/>
        <v>1900</v>
      </c>
      <c r="M9645" s="272">
        <f t="shared" si="676"/>
        <v>1</v>
      </c>
      <c r="O9645" s="61">
        <f t="shared" si="677"/>
        <v>1900</v>
      </c>
      <c r="P9645" s="61">
        <f t="shared" si="678"/>
        <v>1</v>
      </c>
    </row>
    <row r="9646" spans="9:16">
      <c r="I9646" s="213"/>
      <c r="J9646" s="213"/>
      <c r="L9646" s="272">
        <f t="shared" si="675"/>
        <v>1900</v>
      </c>
      <c r="M9646" s="272">
        <f t="shared" si="676"/>
        <v>1</v>
      </c>
      <c r="O9646" s="61">
        <f t="shared" si="677"/>
        <v>1900</v>
      </c>
      <c r="P9646" s="61">
        <f t="shared" si="678"/>
        <v>1</v>
      </c>
    </row>
    <row r="9647" spans="9:16">
      <c r="I9647" s="213"/>
      <c r="J9647" s="213"/>
      <c r="L9647" s="272">
        <f t="shared" si="675"/>
        <v>1900</v>
      </c>
      <c r="M9647" s="272">
        <f t="shared" si="676"/>
        <v>1</v>
      </c>
      <c r="O9647" s="61">
        <f t="shared" si="677"/>
        <v>1900</v>
      </c>
      <c r="P9647" s="61">
        <f t="shared" si="678"/>
        <v>1</v>
      </c>
    </row>
    <row r="9648" spans="9:16">
      <c r="I9648" s="213"/>
      <c r="J9648" s="213"/>
      <c r="L9648" s="272">
        <f t="shared" si="675"/>
        <v>1900</v>
      </c>
      <c r="M9648" s="272">
        <f t="shared" si="676"/>
        <v>1</v>
      </c>
      <c r="O9648" s="61">
        <f t="shared" si="677"/>
        <v>1900</v>
      </c>
      <c r="P9648" s="61">
        <f t="shared" si="678"/>
        <v>1</v>
      </c>
    </row>
    <row r="9649" spans="9:16">
      <c r="I9649" s="213"/>
      <c r="J9649" s="213"/>
      <c r="L9649" s="272">
        <f t="shared" si="675"/>
        <v>1900</v>
      </c>
      <c r="M9649" s="272">
        <f t="shared" si="676"/>
        <v>1</v>
      </c>
      <c r="O9649" s="61">
        <f t="shared" si="677"/>
        <v>1900</v>
      </c>
      <c r="P9649" s="61">
        <f t="shared" si="678"/>
        <v>1</v>
      </c>
    </row>
    <row r="9650" spans="9:16">
      <c r="I9650" s="213"/>
      <c r="J9650" s="213"/>
      <c r="L9650" s="272">
        <f t="shared" si="675"/>
        <v>1900</v>
      </c>
      <c r="M9650" s="272">
        <f t="shared" si="676"/>
        <v>1</v>
      </c>
      <c r="O9650" s="61">
        <f t="shared" si="677"/>
        <v>1900</v>
      </c>
      <c r="P9650" s="61">
        <f t="shared" si="678"/>
        <v>1</v>
      </c>
    </row>
    <row r="9651" spans="9:16">
      <c r="I9651" s="213"/>
      <c r="J9651" s="213"/>
      <c r="L9651" s="272">
        <f t="shared" si="675"/>
        <v>1900</v>
      </c>
      <c r="M9651" s="272">
        <f t="shared" si="676"/>
        <v>1</v>
      </c>
      <c r="O9651" s="61">
        <f t="shared" si="677"/>
        <v>1900</v>
      </c>
      <c r="P9651" s="61">
        <f t="shared" si="678"/>
        <v>1</v>
      </c>
    </row>
    <row r="9652" spans="9:16">
      <c r="I9652" s="213"/>
      <c r="J9652" s="213"/>
      <c r="L9652" s="272">
        <f t="shared" si="675"/>
        <v>1900</v>
      </c>
      <c r="M9652" s="272">
        <f t="shared" si="676"/>
        <v>1</v>
      </c>
      <c r="O9652" s="61">
        <f t="shared" si="677"/>
        <v>1900</v>
      </c>
      <c r="P9652" s="61">
        <f t="shared" si="678"/>
        <v>1</v>
      </c>
    </row>
    <row r="9653" spans="9:16">
      <c r="I9653" s="213"/>
      <c r="J9653" s="213"/>
      <c r="L9653" s="272">
        <f t="shared" si="675"/>
        <v>1900</v>
      </c>
      <c r="M9653" s="272">
        <f t="shared" si="676"/>
        <v>1</v>
      </c>
      <c r="O9653" s="61">
        <f t="shared" si="677"/>
        <v>1900</v>
      </c>
      <c r="P9653" s="61">
        <f t="shared" si="678"/>
        <v>1</v>
      </c>
    </row>
    <row r="9654" spans="9:16">
      <c r="I9654" s="213"/>
      <c r="J9654" s="213"/>
      <c r="L9654" s="272">
        <f t="shared" si="675"/>
        <v>1900</v>
      </c>
      <c r="M9654" s="272">
        <f t="shared" si="676"/>
        <v>1</v>
      </c>
      <c r="O9654" s="61">
        <f t="shared" si="677"/>
        <v>1900</v>
      </c>
      <c r="P9654" s="61">
        <f t="shared" si="678"/>
        <v>1</v>
      </c>
    </row>
    <row r="9655" spans="9:16">
      <c r="I9655" s="213"/>
      <c r="J9655" s="213"/>
      <c r="L9655" s="272">
        <f t="shared" si="675"/>
        <v>1900</v>
      </c>
      <c r="M9655" s="272">
        <f t="shared" si="676"/>
        <v>1</v>
      </c>
      <c r="O9655" s="61">
        <f t="shared" si="677"/>
        <v>1900</v>
      </c>
      <c r="P9655" s="61">
        <f t="shared" si="678"/>
        <v>1</v>
      </c>
    </row>
    <row r="9656" spans="9:16">
      <c r="I9656" s="213"/>
      <c r="J9656" s="213"/>
      <c r="L9656" s="272">
        <f t="shared" si="675"/>
        <v>1900</v>
      </c>
      <c r="M9656" s="272">
        <f t="shared" si="676"/>
        <v>1</v>
      </c>
      <c r="O9656" s="61">
        <f t="shared" si="677"/>
        <v>1900</v>
      </c>
      <c r="P9656" s="61">
        <f t="shared" si="678"/>
        <v>1</v>
      </c>
    </row>
    <row r="9657" spans="9:16">
      <c r="I9657" s="213"/>
      <c r="J9657" s="213"/>
      <c r="L9657" s="272">
        <f t="shared" si="675"/>
        <v>1900</v>
      </c>
      <c r="M9657" s="272">
        <f t="shared" si="676"/>
        <v>1</v>
      </c>
      <c r="O9657" s="61">
        <f t="shared" si="677"/>
        <v>1900</v>
      </c>
      <c r="P9657" s="61">
        <f t="shared" si="678"/>
        <v>1</v>
      </c>
    </row>
    <row r="9658" spans="9:16">
      <c r="I9658" s="213"/>
      <c r="J9658" s="213"/>
      <c r="L9658" s="272">
        <f t="shared" si="675"/>
        <v>1900</v>
      </c>
      <c r="M9658" s="272">
        <f t="shared" si="676"/>
        <v>1</v>
      </c>
      <c r="O9658" s="61">
        <f t="shared" si="677"/>
        <v>1900</v>
      </c>
      <c r="P9658" s="61">
        <f t="shared" si="678"/>
        <v>1</v>
      </c>
    </row>
    <row r="9659" spans="9:16">
      <c r="I9659" s="213"/>
      <c r="J9659" s="213"/>
      <c r="L9659" s="272">
        <f t="shared" si="675"/>
        <v>1900</v>
      </c>
      <c r="M9659" s="272">
        <f t="shared" si="676"/>
        <v>1</v>
      </c>
      <c r="O9659" s="61">
        <f t="shared" si="677"/>
        <v>1900</v>
      </c>
      <c r="P9659" s="61">
        <f t="shared" si="678"/>
        <v>1</v>
      </c>
    </row>
    <row r="9660" spans="9:16">
      <c r="I9660" s="213"/>
      <c r="J9660" s="213"/>
      <c r="L9660" s="272">
        <f t="shared" si="675"/>
        <v>1900</v>
      </c>
      <c r="M9660" s="272">
        <f t="shared" si="676"/>
        <v>1</v>
      </c>
      <c r="O9660" s="61">
        <f t="shared" si="677"/>
        <v>1900</v>
      </c>
      <c r="P9660" s="61">
        <f t="shared" si="678"/>
        <v>1</v>
      </c>
    </row>
    <row r="9661" spans="9:16">
      <c r="I9661" s="213"/>
      <c r="J9661" s="213"/>
      <c r="L9661" s="272">
        <f t="shared" si="675"/>
        <v>1900</v>
      </c>
      <c r="M9661" s="272">
        <f t="shared" si="676"/>
        <v>1</v>
      </c>
      <c r="O9661" s="61">
        <f t="shared" si="677"/>
        <v>1900</v>
      </c>
      <c r="P9661" s="61">
        <f t="shared" si="678"/>
        <v>1</v>
      </c>
    </row>
    <row r="9662" spans="9:16">
      <c r="I9662" s="213"/>
      <c r="J9662" s="213"/>
      <c r="L9662" s="272">
        <f t="shared" si="675"/>
        <v>1900</v>
      </c>
      <c r="M9662" s="272">
        <f t="shared" si="676"/>
        <v>1</v>
      </c>
      <c r="O9662" s="61">
        <f t="shared" si="677"/>
        <v>1900</v>
      </c>
      <c r="P9662" s="61">
        <f t="shared" si="678"/>
        <v>1</v>
      </c>
    </row>
    <row r="9663" spans="9:16">
      <c r="I9663" s="213"/>
      <c r="J9663" s="213"/>
      <c r="L9663" s="272">
        <f t="shared" si="675"/>
        <v>1900</v>
      </c>
      <c r="M9663" s="272">
        <f t="shared" si="676"/>
        <v>1</v>
      </c>
      <c r="O9663" s="61">
        <f t="shared" si="677"/>
        <v>1900</v>
      </c>
      <c r="P9663" s="61">
        <f t="shared" si="678"/>
        <v>1</v>
      </c>
    </row>
    <row r="9664" spans="9:16">
      <c r="I9664" s="213"/>
      <c r="J9664" s="213"/>
      <c r="L9664" s="272">
        <f t="shared" si="675"/>
        <v>1900</v>
      </c>
      <c r="M9664" s="272">
        <f t="shared" si="676"/>
        <v>1</v>
      </c>
      <c r="O9664" s="61">
        <f t="shared" si="677"/>
        <v>1900</v>
      </c>
      <c r="P9664" s="61">
        <f t="shared" si="678"/>
        <v>1</v>
      </c>
    </row>
    <row r="9665" spans="9:16">
      <c r="I9665" s="213"/>
      <c r="J9665" s="213"/>
      <c r="L9665" s="272">
        <f t="shared" si="675"/>
        <v>1900</v>
      </c>
      <c r="M9665" s="272">
        <f t="shared" si="676"/>
        <v>1</v>
      </c>
      <c r="O9665" s="61">
        <f t="shared" si="677"/>
        <v>1900</v>
      </c>
      <c r="P9665" s="61">
        <f t="shared" si="678"/>
        <v>1</v>
      </c>
    </row>
    <row r="9666" spans="9:16">
      <c r="I9666" s="213"/>
      <c r="J9666" s="213"/>
      <c r="L9666" s="272">
        <f t="shared" si="675"/>
        <v>1900</v>
      </c>
      <c r="M9666" s="272">
        <f t="shared" si="676"/>
        <v>1</v>
      </c>
      <c r="O9666" s="61">
        <f t="shared" si="677"/>
        <v>1900</v>
      </c>
      <c r="P9666" s="61">
        <f t="shared" si="678"/>
        <v>1</v>
      </c>
    </row>
    <row r="9667" spans="9:16">
      <c r="I9667" s="213"/>
      <c r="J9667" s="213"/>
      <c r="L9667" s="272">
        <f t="shared" si="675"/>
        <v>1900</v>
      </c>
      <c r="M9667" s="272">
        <f t="shared" si="676"/>
        <v>1</v>
      </c>
      <c r="O9667" s="61">
        <f t="shared" si="677"/>
        <v>1900</v>
      </c>
      <c r="P9667" s="61">
        <f t="shared" si="678"/>
        <v>1</v>
      </c>
    </row>
    <row r="9668" spans="9:16">
      <c r="I9668" s="213"/>
      <c r="J9668" s="213"/>
      <c r="L9668" s="272">
        <f t="shared" si="675"/>
        <v>1900</v>
      </c>
      <c r="M9668" s="272">
        <f t="shared" si="676"/>
        <v>1</v>
      </c>
      <c r="O9668" s="61">
        <f t="shared" si="677"/>
        <v>1900</v>
      </c>
      <c r="P9668" s="61">
        <f t="shared" si="678"/>
        <v>1</v>
      </c>
    </row>
    <row r="9669" spans="9:16">
      <c r="I9669" s="213"/>
      <c r="J9669" s="213"/>
      <c r="L9669" s="272">
        <f t="shared" si="675"/>
        <v>1900</v>
      </c>
      <c r="M9669" s="272">
        <f t="shared" si="676"/>
        <v>1</v>
      </c>
      <c r="O9669" s="61">
        <f t="shared" si="677"/>
        <v>1900</v>
      </c>
      <c r="P9669" s="61">
        <f t="shared" si="678"/>
        <v>1</v>
      </c>
    </row>
    <row r="9670" spans="9:16">
      <c r="I9670" s="213"/>
      <c r="J9670" s="213"/>
      <c r="L9670" s="272">
        <f t="shared" si="675"/>
        <v>1900</v>
      </c>
      <c r="M9670" s="272">
        <f t="shared" si="676"/>
        <v>1</v>
      </c>
      <c r="O9670" s="61">
        <f t="shared" si="677"/>
        <v>1900</v>
      </c>
      <c r="P9670" s="61">
        <f t="shared" si="678"/>
        <v>1</v>
      </c>
    </row>
    <row r="9671" spans="9:16">
      <c r="I9671" s="213"/>
      <c r="J9671" s="213"/>
      <c r="L9671" s="272">
        <f t="shared" si="675"/>
        <v>1900</v>
      </c>
      <c r="M9671" s="272">
        <f t="shared" si="676"/>
        <v>1</v>
      </c>
      <c r="O9671" s="61">
        <f t="shared" si="677"/>
        <v>1900</v>
      </c>
      <c r="P9671" s="61">
        <f t="shared" si="678"/>
        <v>1</v>
      </c>
    </row>
    <row r="9672" spans="9:16">
      <c r="I9672" s="213"/>
      <c r="J9672" s="213"/>
      <c r="L9672" s="272">
        <f t="shared" si="675"/>
        <v>1900</v>
      </c>
      <c r="M9672" s="272">
        <f t="shared" si="676"/>
        <v>1</v>
      </c>
      <c r="O9672" s="61">
        <f t="shared" si="677"/>
        <v>1900</v>
      </c>
      <c r="P9672" s="61">
        <f t="shared" si="678"/>
        <v>1</v>
      </c>
    </row>
    <row r="9673" spans="9:16">
      <c r="I9673" s="213"/>
      <c r="J9673" s="213"/>
      <c r="L9673" s="272">
        <f t="shared" si="675"/>
        <v>1900</v>
      </c>
      <c r="M9673" s="272">
        <f t="shared" si="676"/>
        <v>1</v>
      </c>
      <c r="O9673" s="61">
        <f t="shared" si="677"/>
        <v>1900</v>
      </c>
      <c r="P9673" s="61">
        <f t="shared" si="678"/>
        <v>1</v>
      </c>
    </row>
    <row r="9674" spans="9:16">
      <c r="I9674" s="213"/>
      <c r="J9674" s="213"/>
      <c r="L9674" s="272">
        <f t="shared" si="675"/>
        <v>1900</v>
      </c>
      <c r="M9674" s="272">
        <f t="shared" si="676"/>
        <v>1</v>
      </c>
      <c r="O9674" s="61">
        <f t="shared" si="677"/>
        <v>1900</v>
      </c>
      <c r="P9674" s="61">
        <f t="shared" si="678"/>
        <v>1</v>
      </c>
    </row>
    <row r="9675" spans="9:16">
      <c r="I9675" s="213"/>
      <c r="J9675" s="213"/>
      <c r="L9675" s="272">
        <f t="shared" si="675"/>
        <v>1900</v>
      </c>
      <c r="M9675" s="272">
        <f t="shared" si="676"/>
        <v>1</v>
      </c>
      <c r="O9675" s="61">
        <f t="shared" si="677"/>
        <v>1900</v>
      </c>
      <c r="P9675" s="61">
        <f t="shared" si="678"/>
        <v>1</v>
      </c>
    </row>
    <row r="9676" spans="9:16">
      <c r="I9676" s="213"/>
      <c r="J9676" s="213"/>
      <c r="L9676" s="272">
        <f t="shared" si="675"/>
        <v>1900</v>
      </c>
      <c r="M9676" s="272">
        <f t="shared" si="676"/>
        <v>1</v>
      </c>
      <c r="O9676" s="61">
        <f t="shared" si="677"/>
        <v>1900</v>
      </c>
      <c r="P9676" s="61">
        <f t="shared" si="678"/>
        <v>1</v>
      </c>
    </row>
    <row r="9677" spans="9:16">
      <c r="I9677" s="213"/>
      <c r="J9677" s="213"/>
      <c r="L9677" s="272">
        <f t="shared" si="675"/>
        <v>1900</v>
      </c>
      <c r="M9677" s="272">
        <f t="shared" si="676"/>
        <v>1</v>
      </c>
      <c r="O9677" s="61">
        <f t="shared" si="677"/>
        <v>1900</v>
      </c>
      <c r="P9677" s="61">
        <f t="shared" si="678"/>
        <v>1</v>
      </c>
    </row>
    <row r="9678" spans="9:16">
      <c r="I9678" s="213"/>
      <c r="J9678" s="213"/>
      <c r="L9678" s="272">
        <f t="shared" si="675"/>
        <v>1900</v>
      </c>
      <c r="M9678" s="272">
        <f t="shared" si="676"/>
        <v>1</v>
      </c>
      <c r="O9678" s="61">
        <f t="shared" si="677"/>
        <v>1900</v>
      </c>
      <c r="P9678" s="61">
        <f t="shared" si="678"/>
        <v>1</v>
      </c>
    </row>
    <row r="9679" spans="9:16">
      <c r="I9679" s="213"/>
      <c r="J9679" s="213"/>
      <c r="L9679" s="272">
        <f t="shared" si="675"/>
        <v>1900</v>
      </c>
      <c r="M9679" s="272">
        <f t="shared" si="676"/>
        <v>1</v>
      </c>
      <c r="O9679" s="61">
        <f t="shared" si="677"/>
        <v>1900</v>
      </c>
      <c r="P9679" s="61">
        <f t="shared" si="678"/>
        <v>1</v>
      </c>
    </row>
    <row r="9680" spans="9:16">
      <c r="I9680" s="213"/>
      <c r="J9680" s="213"/>
      <c r="L9680" s="272">
        <f t="shared" ref="L9680:L9743" si="679">YEAR(B9680)</f>
        <v>1900</v>
      </c>
      <c r="M9680" s="272">
        <f t="shared" ref="M9680:M9743" si="680">MONTH(B9680)</f>
        <v>1</v>
      </c>
      <c r="O9680" s="61">
        <f t="shared" ref="O9680:O9743" si="681">YEAR(B9680)</f>
        <v>1900</v>
      </c>
      <c r="P9680" s="61">
        <f t="shared" ref="P9680:P9743" si="682">MONTH(B9680)</f>
        <v>1</v>
      </c>
    </row>
    <row r="9681" spans="9:16">
      <c r="I9681" s="213"/>
      <c r="J9681" s="213"/>
      <c r="L9681" s="272">
        <f t="shared" si="679"/>
        <v>1900</v>
      </c>
      <c r="M9681" s="272">
        <f t="shared" si="680"/>
        <v>1</v>
      </c>
      <c r="O9681" s="61">
        <f t="shared" si="681"/>
        <v>1900</v>
      </c>
      <c r="P9681" s="61">
        <f t="shared" si="682"/>
        <v>1</v>
      </c>
    </row>
    <row r="9682" spans="9:16">
      <c r="I9682" s="213"/>
      <c r="J9682" s="213"/>
      <c r="L9682" s="272">
        <f t="shared" si="679"/>
        <v>1900</v>
      </c>
      <c r="M9682" s="272">
        <f t="shared" si="680"/>
        <v>1</v>
      </c>
      <c r="O9682" s="61">
        <f t="shared" si="681"/>
        <v>1900</v>
      </c>
      <c r="P9682" s="61">
        <f t="shared" si="682"/>
        <v>1</v>
      </c>
    </row>
    <row r="9683" spans="9:16">
      <c r="I9683" s="213"/>
      <c r="J9683" s="213"/>
      <c r="L9683" s="272">
        <f t="shared" si="679"/>
        <v>1900</v>
      </c>
      <c r="M9683" s="272">
        <f t="shared" si="680"/>
        <v>1</v>
      </c>
      <c r="O9683" s="61">
        <f t="shared" si="681"/>
        <v>1900</v>
      </c>
      <c r="P9683" s="61">
        <f t="shared" si="682"/>
        <v>1</v>
      </c>
    </row>
    <row r="9684" spans="9:16">
      <c r="I9684" s="213"/>
      <c r="J9684" s="213"/>
      <c r="L9684" s="272">
        <f t="shared" si="679"/>
        <v>1900</v>
      </c>
      <c r="M9684" s="272">
        <f t="shared" si="680"/>
        <v>1</v>
      </c>
      <c r="O9684" s="61">
        <f t="shared" si="681"/>
        <v>1900</v>
      </c>
      <c r="P9684" s="61">
        <f t="shared" si="682"/>
        <v>1</v>
      </c>
    </row>
    <row r="9685" spans="9:16">
      <c r="I9685" s="213"/>
      <c r="J9685" s="213"/>
      <c r="L9685" s="272">
        <f t="shared" si="679"/>
        <v>1900</v>
      </c>
      <c r="M9685" s="272">
        <f t="shared" si="680"/>
        <v>1</v>
      </c>
      <c r="O9685" s="61">
        <f t="shared" si="681"/>
        <v>1900</v>
      </c>
      <c r="P9685" s="61">
        <f t="shared" si="682"/>
        <v>1</v>
      </c>
    </row>
    <row r="9686" spans="9:16">
      <c r="I9686" s="213"/>
      <c r="J9686" s="213"/>
      <c r="L9686" s="272">
        <f t="shared" si="679"/>
        <v>1900</v>
      </c>
      <c r="M9686" s="272">
        <f t="shared" si="680"/>
        <v>1</v>
      </c>
      <c r="O9686" s="61">
        <f t="shared" si="681"/>
        <v>1900</v>
      </c>
      <c r="P9686" s="61">
        <f t="shared" si="682"/>
        <v>1</v>
      </c>
    </row>
    <row r="9687" spans="9:16">
      <c r="I9687" s="213"/>
      <c r="J9687" s="213"/>
      <c r="L9687" s="272">
        <f t="shared" si="679"/>
        <v>1900</v>
      </c>
      <c r="M9687" s="272">
        <f t="shared" si="680"/>
        <v>1</v>
      </c>
      <c r="O9687" s="61">
        <f t="shared" si="681"/>
        <v>1900</v>
      </c>
      <c r="P9687" s="61">
        <f t="shared" si="682"/>
        <v>1</v>
      </c>
    </row>
    <row r="9688" spans="9:16">
      <c r="I9688" s="213"/>
      <c r="J9688" s="213"/>
      <c r="L9688" s="272">
        <f t="shared" si="679"/>
        <v>1900</v>
      </c>
      <c r="M9688" s="272">
        <f t="shared" si="680"/>
        <v>1</v>
      </c>
      <c r="O9688" s="61">
        <f t="shared" si="681"/>
        <v>1900</v>
      </c>
      <c r="P9688" s="61">
        <f t="shared" si="682"/>
        <v>1</v>
      </c>
    </row>
    <row r="9689" spans="9:16">
      <c r="I9689" s="213"/>
      <c r="J9689" s="213"/>
      <c r="L9689" s="272">
        <f t="shared" si="679"/>
        <v>1900</v>
      </c>
      <c r="M9689" s="272">
        <f t="shared" si="680"/>
        <v>1</v>
      </c>
      <c r="O9689" s="61">
        <f t="shared" si="681"/>
        <v>1900</v>
      </c>
      <c r="P9689" s="61">
        <f t="shared" si="682"/>
        <v>1</v>
      </c>
    </row>
    <row r="9690" spans="9:16">
      <c r="I9690" s="213"/>
      <c r="J9690" s="213"/>
      <c r="L9690" s="272">
        <f t="shared" si="679"/>
        <v>1900</v>
      </c>
      <c r="M9690" s="272">
        <f t="shared" si="680"/>
        <v>1</v>
      </c>
      <c r="O9690" s="61">
        <f t="shared" si="681"/>
        <v>1900</v>
      </c>
      <c r="P9690" s="61">
        <f t="shared" si="682"/>
        <v>1</v>
      </c>
    </row>
    <row r="9691" spans="9:16">
      <c r="I9691" s="213"/>
      <c r="J9691" s="213"/>
      <c r="L9691" s="272">
        <f t="shared" si="679"/>
        <v>1900</v>
      </c>
      <c r="M9691" s="272">
        <f t="shared" si="680"/>
        <v>1</v>
      </c>
      <c r="O9691" s="61">
        <f t="shared" si="681"/>
        <v>1900</v>
      </c>
      <c r="P9691" s="61">
        <f t="shared" si="682"/>
        <v>1</v>
      </c>
    </row>
    <row r="9692" spans="9:16">
      <c r="I9692" s="213"/>
      <c r="J9692" s="213"/>
      <c r="L9692" s="272">
        <f t="shared" si="679"/>
        <v>1900</v>
      </c>
      <c r="M9692" s="272">
        <f t="shared" si="680"/>
        <v>1</v>
      </c>
      <c r="O9692" s="61">
        <f t="shared" si="681"/>
        <v>1900</v>
      </c>
      <c r="P9692" s="61">
        <f t="shared" si="682"/>
        <v>1</v>
      </c>
    </row>
    <row r="9693" spans="9:16">
      <c r="I9693" s="213"/>
      <c r="J9693" s="213"/>
      <c r="L9693" s="272">
        <f t="shared" si="679"/>
        <v>1900</v>
      </c>
      <c r="M9693" s="272">
        <f t="shared" si="680"/>
        <v>1</v>
      </c>
      <c r="O9693" s="61">
        <f t="shared" si="681"/>
        <v>1900</v>
      </c>
      <c r="P9693" s="61">
        <f t="shared" si="682"/>
        <v>1</v>
      </c>
    </row>
    <row r="9694" spans="9:16">
      <c r="I9694" s="213"/>
      <c r="J9694" s="213"/>
      <c r="L9694" s="272">
        <f t="shared" si="679"/>
        <v>1900</v>
      </c>
      <c r="M9694" s="272">
        <f t="shared" si="680"/>
        <v>1</v>
      </c>
      <c r="O9694" s="61">
        <f t="shared" si="681"/>
        <v>1900</v>
      </c>
      <c r="P9694" s="61">
        <f t="shared" si="682"/>
        <v>1</v>
      </c>
    </row>
    <row r="9695" spans="9:16">
      <c r="I9695" s="213"/>
      <c r="J9695" s="213"/>
      <c r="L9695" s="272">
        <f t="shared" si="679"/>
        <v>1900</v>
      </c>
      <c r="M9695" s="272">
        <f t="shared" si="680"/>
        <v>1</v>
      </c>
      <c r="O9695" s="61">
        <f t="shared" si="681"/>
        <v>1900</v>
      </c>
      <c r="P9695" s="61">
        <f t="shared" si="682"/>
        <v>1</v>
      </c>
    </row>
    <row r="9696" spans="9:16">
      <c r="I9696" s="213"/>
      <c r="J9696" s="213"/>
      <c r="L9696" s="272">
        <f t="shared" si="679"/>
        <v>1900</v>
      </c>
      <c r="M9696" s="272">
        <f t="shared" si="680"/>
        <v>1</v>
      </c>
      <c r="O9696" s="61">
        <f t="shared" si="681"/>
        <v>1900</v>
      </c>
      <c r="P9696" s="61">
        <f t="shared" si="682"/>
        <v>1</v>
      </c>
    </row>
    <row r="9697" spans="9:16">
      <c r="I9697" s="213"/>
      <c r="J9697" s="213"/>
      <c r="L9697" s="272">
        <f t="shared" si="679"/>
        <v>1900</v>
      </c>
      <c r="M9697" s="272">
        <f t="shared" si="680"/>
        <v>1</v>
      </c>
      <c r="O9697" s="61">
        <f t="shared" si="681"/>
        <v>1900</v>
      </c>
      <c r="P9697" s="61">
        <f t="shared" si="682"/>
        <v>1</v>
      </c>
    </row>
    <row r="9698" spans="9:16">
      <c r="I9698" s="213"/>
      <c r="J9698" s="213"/>
      <c r="L9698" s="272">
        <f t="shared" si="679"/>
        <v>1900</v>
      </c>
      <c r="M9698" s="272">
        <f t="shared" si="680"/>
        <v>1</v>
      </c>
      <c r="O9698" s="61">
        <f t="shared" si="681"/>
        <v>1900</v>
      </c>
      <c r="P9698" s="61">
        <f t="shared" si="682"/>
        <v>1</v>
      </c>
    </row>
    <row r="9699" spans="9:16">
      <c r="I9699" s="213"/>
      <c r="J9699" s="213"/>
      <c r="L9699" s="272">
        <f t="shared" si="679"/>
        <v>1900</v>
      </c>
      <c r="M9699" s="272">
        <f t="shared" si="680"/>
        <v>1</v>
      </c>
      <c r="O9699" s="61">
        <f t="shared" si="681"/>
        <v>1900</v>
      </c>
      <c r="P9699" s="61">
        <f t="shared" si="682"/>
        <v>1</v>
      </c>
    </row>
    <row r="9700" spans="9:16">
      <c r="I9700" s="213"/>
      <c r="J9700" s="213"/>
      <c r="L9700" s="272">
        <f t="shared" si="679"/>
        <v>1900</v>
      </c>
      <c r="M9700" s="272">
        <f t="shared" si="680"/>
        <v>1</v>
      </c>
      <c r="O9700" s="61">
        <f t="shared" si="681"/>
        <v>1900</v>
      </c>
      <c r="P9700" s="61">
        <f t="shared" si="682"/>
        <v>1</v>
      </c>
    </row>
    <row r="9701" spans="9:16">
      <c r="I9701" s="213"/>
      <c r="J9701" s="213"/>
      <c r="L9701" s="272">
        <f t="shared" si="679"/>
        <v>1900</v>
      </c>
      <c r="M9701" s="272">
        <f t="shared" si="680"/>
        <v>1</v>
      </c>
      <c r="O9701" s="61">
        <f t="shared" si="681"/>
        <v>1900</v>
      </c>
      <c r="P9701" s="61">
        <f t="shared" si="682"/>
        <v>1</v>
      </c>
    </row>
    <row r="9702" spans="9:16">
      <c r="I9702" s="213"/>
      <c r="J9702" s="213"/>
      <c r="L9702" s="272">
        <f t="shared" si="679"/>
        <v>1900</v>
      </c>
      <c r="M9702" s="272">
        <f t="shared" si="680"/>
        <v>1</v>
      </c>
      <c r="O9702" s="61">
        <f t="shared" si="681"/>
        <v>1900</v>
      </c>
      <c r="P9702" s="61">
        <f t="shared" si="682"/>
        <v>1</v>
      </c>
    </row>
    <row r="9703" spans="9:16">
      <c r="I9703" s="213"/>
      <c r="J9703" s="213"/>
      <c r="L9703" s="272">
        <f t="shared" si="679"/>
        <v>1900</v>
      </c>
      <c r="M9703" s="272">
        <f t="shared" si="680"/>
        <v>1</v>
      </c>
      <c r="O9703" s="61">
        <f t="shared" si="681"/>
        <v>1900</v>
      </c>
      <c r="P9703" s="61">
        <f t="shared" si="682"/>
        <v>1</v>
      </c>
    </row>
    <row r="9704" spans="9:16">
      <c r="I9704" s="213"/>
      <c r="J9704" s="213"/>
      <c r="L9704" s="272">
        <f t="shared" si="679"/>
        <v>1900</v>
      </c>
      <c r="M9704" s="272">
        <f t="shared" si="680"/>
        <v>1</v>
      </c>
      <c r="O9704" s="61">
        <f t="shared" si="681"/>
        <v>1900</v>
      </c>
      <c r="P9704" s="61">
        <f t="shared" si="682"/>
        <v>1</v>
      </c>
    </row>
    <row r="9705" spans="9:16">
      <c r="I9705" s="213"/>
      <c r="J9705" s="213"/>
      <c r="L9705" s="272">
        <f t="shared" si="679"/>
        <v>1900</v>
      </c>
      <c r="M9705" s="272">
        <f t="shared" si="680"/>
        <v>1</v>
      </c>
      <c r="O9705" s="61">
        <f t="shared" si="681"/>
        <v>1900</v>
      </c>
      <c r="P9705" s="61">
        <f t="shared" si="682"/>
        <v>1</v>
      </c>
    </row>
    <row r="9706" spans="9:16">
      <c r="I9706" s="213"/>
      <c r="J9706" s="213"/>
      <c r="L9706" s="272">
        <f t="shared" si="679"/>
        <v>1900</v>
      </c>
      <c r="M9706" s="272">
        <f t="shared" si="680"/>
        <v>1</v>
      </c>
      <c r="O9706" s="61">
        <f t="shared" si="681"/>
        <v>1900</v>
      </c>
      <c r="P9706" s="61">
        <f t="shared" si="682"/>
        <v>1</v>
      </c>
    </row>
    <row r="9707" spans="9:16">
      <c r="I9707" s="213"/>
      <c r="J9707" s="213"/>
      <c r="L9707" s="272">
        <f t="shared" si="679"/>
        <v>1900</v>
      </c>
      <c r="M9707" s="272">
        <f t="shared" si="680"/>
        <v>1</v>
      </c>
      <c r="O9707" s="61">
        <f t="shared" si="681"/>
        <v>1900</v>
      </c>
      <c r="P9707" s="61">
        <f t="shared" si="682"/>
        <v>1</v>
      </c>
    </row>
    <row r="9708" spans="9:16">
      <c r="I9708" s="213"/>
      <c r="J9708" s="213"/>
      <c r="L9708" s="272">
        <f t="shared" si="679"/>
        <v>1900</v>
      </c>
      <c r="M9708" s="272">
        <f t="shared" si="680"/>
        <v>1</v>
      </c>
      <c r="O9708" s="61">
        <f t="shared" si="681"/>
        <v>1900</v>
      </c>
      <c r="P9708" s="61">
        <f t="shared" si="682"/>
        <v>1</v>
      </c>
    </row>
    <row r="9709" spans="9:16">
      <c r="I9709" s="213"/>
      <c r="J9709" s="213"/>
      <c r="L9709" s="272">
        <f t="shared" si="679"/>
        <v>1900</v>
      </c>
      <c r="M9709" s="272">
        <f t="shared" si="680"/>
        <v>1</v>
      </c>
      <c r="O9709" s="61">
        <f t="shared" si="681"/>
        <v>1900</v>
      </c>
      <c r="P9709" s="61">
        <f t="shared" si="682"/>
        <v>1</v>
      </c>
    </row>
    <row r="9710" spans="9:16">
      <c r="I9710" s="213"/>
      <c r="J9710" s="213"/>
      <c r="L9710" s="272">
        <f t="shared" si="679"/>
        <v>1900</v>
      </c>
      <c r="M9710" s="272">
        <f t="shared" si="680"/>
        <v>1</v>
      </c>
      <c r="O9710" s="61">
        <f t="shared" si="681"/>
        <v>1900</v>
      </c>
      <c r="P9710" s="61">
        <f t="shared" si="682"/>
        <v>1</v>
      </c>
    </row>
    <row r="9711" spans="9:16">
      <c r="I9711" s="213"/>
      <c r="J9711" s="213"/>
      <c r="L9711" s="272">
        <f t="shared" si="679"/>
        <v>1900</v>
      </c>
      <c r="M9711" s="272">
        <f t="shared" si="680"/>
        <v>1</v>
      </c>
      <c r="O9711" s="61">
        <f t="shared" si="681"/>
        <v>1900</v>
      </c>
      <c r="P9711" s="61">
        <f t="shared" si="682"/>
        <v>1</v>
      </c>
    </row>
    <row r="9712" spans="9:16">
      <c r="I9712" s="213"/>
      <c r="J9712" s="213"/>
      <c r="L9712" s="272">
        <f t="shared" si="679"/>
        <v>1900</v>
      </c>
      <c r="M9712" s="272">
        <f t="shared" si="680"/>
        <v>1</v>
      </c>
      <c r="O9712" s="61">
        <f t="shared" si="681"/>
        <v>1900</v>
      </c>
      <c r="P9712" s="61">
        <f t="shared" si="682"/>
        <v>1</v>
      </c>
    </row>
    <row r="9713" spans="9:16">
      <c r="I9713" s="213"/>
      <c r="J9713" s="213"/>
      <c r="L9713" s="272">
        <f t="shared" si="679"/>
        <v>1900</v>
      </c>
      <c r="M9713" s="272">
        <f t="shared" si="680"/>
        <v>1</v>
      </c>
      <c r="O9713" s="61">
        <f t="shared" si="681"/>
        <v>1900</v>
      </c>
      <c r="P9713" s="61">
        <f t="shared" si="682"/>
        <v>1</v>
      </c>
    </row>
    <row r="9714" spans="9:16">
      <c r="I9714" s="213"/>
      <c r="J9714" s="213"/>
      <c r="L9714" s="272">
        <f t="shared" si="679"/>
        <v>1900</v>
      </c>
      <c r="M9714" s="272">
        <f t="shared" si="680"/>
        <v>1</v>
      </c>
      <c r="O9714" s="61">
        <f t="shared" si="681"/>
        <v>1900</v>
      </c>
      <c r="P9714" s="61">
        <f t="shared" si="682"/>
        <v>1</v>
      </c>
    </row>
    <row r="9715" spans="9:16">
      <c r="I9715" s="213"/>
      <c r="J9715" s="213"/>
      <c r="L9715" s="272">
        <f t="shared" si="679"/>
        <v>1900</v>
      </c>
      <c r="M9715" s="272">
        <f t="shared" si="680"/>
        <v>1</v>
      </c>
      <c r="O9715" s="61">
        <f t="shared" si="681"/>
        <v>1900</v>
      </c>
      <c r="P9715" s="61">
        <f t="shared" si="682"/>
        <v>1</v>
      </c>
    </row>
    <row r="9716" spans="9:16">
      <c r="I9716" s="213"/>
      <c r="J9716" s="213"/>
      <c r="L9716" s="272">
        <f t="shared" si="679"/>
        <v>1900</v>
      </c>
      <c r="M9716" s="272">
        <f t="shared" si="680"/>
        <v>1</v>
      </c>
      <c r="O9716" s="61">
        <f t="shared" si="681"/>
        <v>1900</v>
      </c>
      <c r="P9716" s="61">
        <f t="shared" si="682"/>
        <v>1</v>
      </c>
    </row>
    <row r="9717" spans="9:16">
      <c r="I9717" s="213"/>
      <c r="J9717" s="213"/>
      <c r="L9717" s="272">
        <f t="shared" si="679"/>
        <v>1900</v>
      </c>
      <c r="M9717" s="272">
        <f t="shared" si="680"/>
        <v>1</v>
      </c>
      <c r="O9717" s="61">
        <f t="shared" si="681"/>
        <v>1900</v>
      </c>
      <c r="P9717" s="61">
        <f t="shared" si="682"/>
        <v>1</v>
      </c>
    </row>
    <row r="9718" spans="9:16">
      <c r="I9718" s="213"/>
      <c r="J9718" s="213"/>
      <c r="L9718" s="272">
        <f t="shared" si="679"/>
        <v>1900</v>
      </c>
      <c r="M9718" s="272">
        <f t="shared" si="680"/>
        <v>1</v>
      </c>
      <c r="O9718" s="61">
        <f t="shared" si="681"/>
        <v>1900</v>
      </c>
      <c r="P9718" s="61">
        <f t="shared" si="682"/>
        <v>1</v>
      </c>
    </row>
    <row r="9719" spans="9:16">
      <c r="I9719" s="213"/>
      <c r="J9719" s="213"/>
      <c r="L9719" s="272">
        <f t="shared" si="679"/>
        <v>1900</v>
      </c>
      <c r="M9719" s="272">
        <f t="shared" si="680"/>
        <v>1</v>
      </c>
      <c r="O9719" s="61">
        <f t="shared" si="681"/>
        <v>1900</v>
      </c>
      <c r="P9719" s="61">
        <f t="shared" si="682"/>
        <v>1</v>
      </c>
    </row>
    <row r="9720" spans="9:16">
      <c r="I9720" s="213"/>
      <c r="J9720" s="213"/>
      <c r="L9720" s="272">
        <f t="shared" si="679"/>
        <v>1900</v>
      </c>
      <c r="M9720" s="272">
        <f t="shared" si="680"/>
        <v>1</v>
      </c>
      <c r="O9720" s="61">
        <f t="shared" si="681"/>
        <v>1900</v>
      </c>
      <c r="P9720" s="61">
        <f t="shared" si="682"/>
        <v>1</v>
      </c>
    </row>
    <row r="9721" spans="9:16">
      <c r="I9721" s="213"/>
      <c r="J9721" s="213"/>
      <c r="L9721" s="272">
        <f t="shared" si="679"/>
        <v>1900</v>
      </c>
      <c r="M9721" s="272">
        <f t="shared" si="680"/>
        <v>1</v>
      </c>
      <c r="O9721" s="61">
        <f t="shared" si="681"/>
        <v>1900</v>
      </c>
      <c r="P9721" s="61">
        <f t="shared" si="682"/>
        <v>1</v>
      </c>
    </row>
    <row r="9722" spans="9:16">
      <c r="I9722" s="213"/>
      <c r="J9722" s="213"/>
      <c r="L9722" s="272">
        <f t="shared" si="679"/>
        <v>1900</v>
      </c>
      <c r="M9722" s="272">
        <f t="shared" si="680"/>
        <v>1</v>
      </c>
      <c r="O9722" s="61">
        <f t="shared" si="681"/>
        <v>1900</v>
      </c>
      <c r="P9722" s="61">
        <f t="shared" si="682"/>
        <v>1</v>
      </c>
    </row>
    <row r="9723" spans="9:16">
      <c r="I9723" s="213"/>
      <c r="J9723" s="213"/>
      <c r="L9723" s="272">
        <f t="shared" si="679"/>
        <v>1900</v>
      </c>
      <c r="M9723" s="272">
        <f t="shared" si="680"/>
        <v>1</v>
      </c>
      <c r="O9723" s="61">
        <f t="shared" si="681"/>
        <v>1900</v>
      </c>
      <c r="P9723" s="61">
        <f t="shared" si="682"/>
        <v>1</v>
      </c>
    </row>
    <row r="9724" spans="9:16">
      <c r="I9724" s="213"/>
      <c r="J9724" s="213"/>
      <c r="L9724" s="272">
        <f t="shared" si="679"/>
        <v>1900</v>
      </c>
      <c r="M9724" s="272">
        <f t="shared" si="680"/>
        <v>1</v>
      </c>
      <c r="O9724" s="61">
        <f t="shared" si="681"/>
        <v>1900</v>
      </c>
      <c r="P9724" s="61">
        <f t="shared" si="682"/>
        <v>1</v>
      </c>
    </row>
    <row r="9725" spans="9:16">
      <c r="I9725" s="213"/>
      <c r="J9725" s="213"/>
      <c r="L9725" s="272">
        <f t="shared" si="679"/>
        <v>1900</v>
      </c>
      <c r="M9725" s="272">
        <f t="shared" si="680"/>
        <v>1</v>
      </c>
      <c r="O9725" s="61">
        <f t="shared" si="681"/>
        <v>1900</v>
      </c>
      <c r="P9725" s="61">
        <f t="shared" si="682"/>
        <v>1</v>
      </c>
    </row>
    <row r="9726" spans="9:16">
      <c r="I9726" s="213"/>
      <c r="J9726" s="213"/>
      <c r="L9726" s="272">
        <f t="shared" si="679"/>
        <v>1900</v>
      </c>
      <c r="M9726" s="272">
        <f t="shared" si="680"/>
        <v>1</v>
      </c>
      <c r="O9726" s="61">
        <f t="shared" si="681"/>
        <v>1900</v>
      </c>
      <c r="P9726" s="61">
        <f t="shared" si="682"/>
        <v>1</v>
      </c>
    </row>
    <row r="9727" spans="9:16">
      <c r="I9727" s="213"/>
      <c r="J9727" s="213"/>
      <c r="L9727" s="272">
        <f t="shared" si="679"/>
        <v>1900</v>
      </c>
      <c r="M9727" s="272">
        <f t="shared" si="680"/>
        <v>1</v>
      </c>
      <c r="O9727" s="61">
        <f t="shared" si="681"/>
        <v>1900</v>
      </c>
      <c r="P9727" s="61">
        <f t="shared" si="682"/>
        <v>1</v>
      </c>
    </row>
    <row r="9728" spans="9:16">
      <c r="I9728" s="213"/>
      <c r="J9728" s="213"/>
      <c r="L9728" s="272">
        <f t="shared" si="679"/>
        <v>1900</v>
      </c>
      <c r="M9728" s="272">
        <f t="shared" si="680"/>
        <v>1</v>
      </c>
      <c r="O9728" s="61">
        <f t="shared" si="681"/>
        <v>1900</v>
      </c>
      <c r="P9728" s="61">
        <f t="shared" si="682"/>
        <v>1</v>
      </c>
    </row>
    <row r="9729" spans="9:16">
      <c r="I9729" s="213"/>
      <c r="J9729" s="213"/>
      <c r="L9729" s="272">
        <f t="shared" si="679"/>
        <v>1900</v>
      </c>
      <c r="M9729" s="272">
        <f t="shared" si="680"/>
        <v>1</v>
      </c>
      <c r="O9729" s="61">
        <f t="shared" si="681"/>
        <v>1900</v>
      </c>
      <c r="P9729" s="61">
        <f t="shared" si="682"/>
        <v>1</v>
      </c>
    </row>
    <row r="9730" spans="9:16">
      <c r="I9730" s="213"/>
      <c r="J9730" s="213"/>
      <c r="L9730" s="272">
        <f t="shared" si="679"/>
        <v>1900</v>
      </c>
      <c r="M9730" s="272">
        <f t="shared" si="680"/>
        <v>1</v>
      </c>
      <c r="O9730" s="61">
        <f t="shared" si="681"/>
        <v>1900</v>
      </c>
      <c r="P9730" s="61">
        <f t="shared" si="682"/>
        <v>1</v>
      </c>
    </row>
    <row r="9731" spans="9:16">
      <c r="I9731" s="213"/>
      <c r="J9731" s="213"/>
      <c r="L9731" s="272">
        <f t="shared" si="679"/>
        <v>1900</v>
      </c>
      <c r="M9731" s="272">
        <f t="shared" si="680"/>
        <v>1</v>
      </c>
      <c r="O9731" s="61">
        <f t="shared" si="681"/>
        <v>1900</v>
      </c>
      <c r="P9731" s="61">
        <f t="shared" si="682"/>
        <v>1</v>
      </c>
    </row>
    <row r="9732" spans="9:16">
      <c r="I9732" s="213"/>
      <c r="J9732" s="213"/>
      <c r="L9732" s="272">
        <f t="shared" si="679"/>
        <v>1900</v>
      </c>
      <c r="M9732" s="272">
        <f t="shared" si="680"/>
        <v>1</v>
      </c>
      <c r="O9732" s="61">
        <f t="shared" si="681"/>
        <v>1900</v>
      </c>
      <c r="P9732" s="61">
        <f t="shared" si="682"/>
        <v>1</v>
      </c>
    </row>
    <row r="9733" spans="9:16">
      <c r="I9733" s="213"/>
      <c r="J9733" s="213"/>
      <c r="L9733" s="272">
        <f t="shared" si="679"/>
        <v>1900</v>
      </c>
      <c r="M9733" s="272">
        <f t="shared" si="680"/>
        <v>1</v>
      </c>
      <c r="O9733" s="61">
        <f t="shared" si="681"/>
        <v>1900</v>
      </c>
      <c r="P9733" s="61">
        <f t="shared" si="682"/>
        <v>1</v>
      </c>
    </row>
    <row r="9734" spans="9:16">
      <c r="I9734" s="213"/>
      <c r="J9734" s="213"/>
      <c r="L9734" s="272">
        <f t="shared" si="679"/>
        <v>1900</v>
      </c>
      <c r="M9734" s="272">
        <f t="shared" si="680"/>
        <v>1</v>
      </c>
      <c r="O9734" s="61">
        <f t="shared" si="681"/>
        <v>1900</v>
      </c>
      <c r="P9734" s="61">
        <f t="shared" si="682"/>
        <v>1</v>
      </c>
    </row>
    <row r="9735" spans="9:16">
      <c r="I9735" s="213"/>
      <c r="J9735" s="213"/>
      <c r="L9735" s="272">
        <f t="shared" si="679"/>
        <v>1900</v>
      </c>
      <c r="M9735" s="272">
        <f t="shared" si="680"/>
        <v>1</v>
      </c>
      <c r="O9735" s="61">
        <f t="shared" si="681"/>
        <v>1900</v>
      </c>
      <c r="P9735" s="61">
        <f t="shared" si="682"/>
        <v>1</v>
      </c>
    </row>
    <row r="9736" spans="9:16">
      <c r="I9736" s="213"/>
      <c r="J9736" s="213"/>
      <c r="L9736" s="272">
        <f t="shared" si="679"/>
        <v>1900</v>
      </c>
      <c r="M9736" s="272">
        <f t="shared" si="680"/>
        <v>1</v>
      </c>
      <c r="O9736" s="61">
        <f t="shared" si="681"/>
        <v>1900</v>
      </c>
      <c r="P9736" s="61">
        <f t="shared" si="682"/>
        <v>1</v>
      </c>
    </row>
    <row r="9737" spans="9:16">
      <c r="I9737" s="213"/>
      <c r="J9737" s="213"/>
      <c r="L9737" s="272">
        <f t="shared" si="679"/>
        <v>1900</v>
      </c>
      <c r="M9737" s="272">
        <f t="shared" si="680"/>
        <v>1</v>
      </c>
      <c r="O9737" s="61">
        <f t="shared" si="681"/>
        <v>1900</v>
      </c>
      <c r="P9737" s="61">
        <f t="shared" si="682"/>
        <v>1</v>
      </c>
    </row>
    <row r="9738" spans="9:16">
      <c r="I9738" s="213"/>
      <c r="J9738" s="213"/>
      <c r="L9738" s="272">
        <f t="shared" si="679"/>
        <v>1900</v>
      </c>
      <c r="M9738" s="272">
        <f t="shared" si="680"/>
        <v>1</v>
      </c>
      <c r="O9738" s="61">
        <f t="shared" si="681"/>
        <v>1900</v>
      </c>
      <c r="P9738" s="61">
        <f t="shared" si="682"/>
        <v>1</v>
      </c>
    </row>
    <row r="9739" spans="9:16">
      <c r="I9739" s="213"/>
      <c r="J9739" s="213"/>
      <c r="L9739" s="272">
        <f t="shared" si="679"/>
        <v>1900</v>
      </c>
      <c r="M9739" s="272">
        <f t="shared" si="680"/>
        <v>1</v>
      </c>
      <c r="O9739" s="61">
        <f t="shared" si="681"/>
        <v>1900</v>
      </c>
      <c r="P9739" s="61">
        <f t="shared" si="682"/>
        <v>1</v>
      </c>
    </row>
    <row r="9740" spans="9:16">
      <c r="I9740" s="213"/>
      <c r="J9740" s="213"/>
      <c r="L9740" s="272">
        <f t="shared" si="679"/>
        <v>1900</v>
      </c>
      <c r="M9740" s="272">
        <f t="shared" si="680"/>
        <v>1</v>
      </c>
      <c r="O9740" s="61">
        <f t="shared" si="681"/>
        <v>1900</v>
      </c>
      <c r="P9740" s="61">
        <f t="shared" si="682"/>
        <v>1</v>
      </c>
    </row>
    <row r="9741" spans="9:16">
      <c r="I9741" s="213"/>
      <c r="J9741" s="213"/>
      <c r="L9741" s="272">
        <f t="shared" si="679"/>
        <v>1900</v>
      </c>
      <c r="M9741" s="272">
        <f t="shared" si="680"/>
        <v>1</v>
      </c>
      <c r="O9741" s="61">
        <f t="shared" si="681"/>
        <v>1900</v>
      </c>
      <c r="P9741" s="61">
        <f t="shared" si="682"/>
        <v>1</v>
      </c>
    </row>
    <row r="9742" spans="9:16">
      <c r="I9742" s="213"/>
      <c r="J9742" s="213"/>
      <c r="L9742" s="272">
        <f t="shared" si="679"/>
        <v>1900</v>
      </c>
      <c r="M9742" s="272">
        <f t="shared" si="680"/>
        <v>1</v>
      </c>
      <c r="O9742" s="61">
        <f t="shared" si="681"/>
        <v>1900</v>
      </c>
      <c r="P9742" s="61">
        <f t="shared" si="682"/>
        <v>1</v>
      </c>
    </row>
    <row r="9743" spans="9:16">
      <c r="I9743" s="213"/>
      <c r="J9743" s="213"/>
      <c r="L9743" s="272">
        <f t="shared" si="679"/>
        <v>1900</v>
      </c>
      <c r="M9743" s="272">
        <f t="shared" si="680"/>
        <v>1</v>
      </c>
      <c r="O9743" s="61">
        <f t="shared" si="681"/>
        <v>1900</v>
      </c>
      <c r="P9743" s="61">
        <f t="shared" si="682"/>
        <v>1</v>
      </c>
    </row>
    <row r="9744" spans="9:16">
      <c r="I9744" s="213"/>
      <c r="J9744" s="213"/>
      <c r="L9744" s="272">
        <f t="shared" ref="L9744:L9807" si="683">YEAR(B9744)</f>
        <v>1900</v>
      </c>
      <c r="M9744" s="272">
        <f t="shared" ref="M9744:M9807" si="684">MONTH(B9744)</f>
        <v>1</v>
      </c>
      <c r="O9744" s="61">
        <f t="shared" ref="O9744:O9807" si="685">YEAR(B9744)</f>
        <v>1900</v>
      </c>
      <c r="P9744" s="61">
        <f t="shared" ref="P9744:P9807" si="686">MONTH(B9744)</f>
        <v>1</v>
      </c>
    </row>
    <row r="9745" spans="9:16">
      <c r="I9745" s="213"/>
      <c r="J9745" s="213"/>
      <c r="L9745" s="272">
        <f t="shared" si="683"/>
        <v>1900</v>
      </c>
      <c r="M9745" s="272">
        <f t="shared" si="684"/>
        <v>1</v>
      </c>
      <c r="O9745" s="61">
        <f t="shared" si="685"/>
        <v>1900</v>
      </c>
      <c r="P9745" s="61">
        <f t="shared" si="686"/>
        <v>1</v>
      </c>
    </row>
    <row r="9746" spans="9:16">
      <c r="I9746" s="213"/>
      <c r="J9746" s="213"/>
      <c r="L9746" s="272">
        <f t="shared" si="683"/>
        <v>1900</v>
      </c>
      <c r="M9746" s="272">
        <f t="shared" si="684"/>
        <v>1</v>
      </c>
      <c r="O9746" s="61">
        <f t="shared" si="685"/>
        <v>1900</v>
      </c>
      <c r="P9746" s="61">
        <f t="shared" si="686"/>
        <v>1</v>
      </c>
    </row>
    <row r="9747" spans="9:16">
      <c r="I9747" s="213"/>
      <c r="J9747" s="213"/>
      <c r="L9747" s="272">
        <f t="shared" si="683"/>
        <v>1900</v>
      </c>
      <c r="M9747" s="272">
        <f t="shared" si="684"/>
        <v>1</v>
      </c>
      <c r="O9747" s="61">
        <f t="shared" si="685"/>
        <v>1900</v>
      </c>
      <c r="P9747" s="61">
        <f t="shared" si="686"/>
        <v>1</v>
      </c>
    </row>
    <row r="9748" spans="9:16">
      <c r="I9748" s="213"/>
      <c r="J9748" s="213"/>
      <c r="L9748" s="272">
        <f t="shared" si="683"/>
        <v>1900</v>
      </c>
      <c r="M9748" s="272">
        <f t="shared" si="684"/>
        <v>1</v>
      </c>
      <c r="O9748" s="61">
        <f t="shared" si="685"/>
        <v>1900</v>
      </c>
      <c r="P9748" s="61">
        <f t="shared" si="686"/>
        <v>1</v>
      </c>
    </row>
    <row r="9749" spans="9:16">
      <c r="I9749" s="213"/>
      <c r="J9749" s="213"/>
      <c r="L9749" s="272">
        <f t="shared" si="683"/>
        <v>1900</v>
      </c>
      <c r="M9749" s="272">
        <f t="shared" si="684"/>
        <v>1</v>
      </c>
      <c r="O9749" s="61">
        <f t="shared" si="685"/>
        <v>1900</v>
      </c>
      <c r="P9749" s="61">
        <f t="shared" si="686"/>
        <v>1</v>
      </c>
    </row>
    <row r="9750" spans="9:16">
      <c r="I9750" s="213"/>
      <c r="J9750" s="213"/>
      <c r="L9750" s="272">
        <f t="shared" si="683"/>
        <v>1900</v>
      </c>
      <c r="M9750" s="272">
        <f t="shared" si="684"/>
        <v>1</v>
      </c>
      <c r="O9750" s="61">
        <f t="shared" si="685"/>
        <v>1900</v>
      </c>
      <c r="P9750" s="61">
        <f t="shared" si="686"/>
        <v>1</v>
      </c>
    </row>
    <row r="9751" spans="9:16">
      <c r="I9751" s="213"/>
      <c r="J9751" s="213"/>
      <c r="L9751" s="272">
        <f t="shared" si="683"/>
        <v>1900</v>
      </c>
      <c r="M9751" s="272">
        <f t="shared" si="684"/>
        <v>1</v>
      </c>
      <c r="O9751" s="61">
        <f t="shared" si="685"/>
        <v>1900</v>
      </c>
      <c r="P9751" s="61">
        <f t="shared" si="686"/>
        <v>1</v>
      </c>
    </row>
    <row r="9752" spans="9:16">
      <c r="I9752" s="213"/>
      <c r="J9752" s="213"/>
      <c r="L9752" s="272">
        <f t="shared" si="683"/>
        <v>1900</v>
      </c>
      <c r="M9752" s="272">
        <f t="shared" si="684"/>
        <v>1</v>
      </c>
      <c r="O9752" s="61">
        <f t="shared" si="685"/>
        <v>1900</v>
      </c>
      <c r="P9752" s="61">
        <f t="shared" si="686"/>
        <v>1</v>
      </c>
    </row>
    <row r="9753" spans="9:16">
      <c r="I9753" s="213"/>
      <c r="J9753" s="213"/>
      <c r="L9753" s="272">
        <f t="shared" si="683"/>
        <v>1900</v>
      </c>
      <c r="M9753" s="272">
        <f t="shared" si="684"/>
        <v>1</v>
      </c>
      <c r="O9753" s="61">
        <f t="shared" si="685"/>
        <v>1900</v>
      </c>
      <c r="P9753" s="61">
        <f t="shared" si="686"/>
        <v>1</v>
      </c>
    </row>
    <row r="9754" spans="9:16">
      <c r="I9754" s="213"/>
      <c r="J9754" s="213"/>
      <c r="L9754" s="272">
        <f t="shared" si="683"/>
        <v>1900</v>
      </c>
      <c r="M9754" s="272">
        <f t="shared" si="684"/>
        <v>1</v>
      </c>
      <c r="O9754" s="61">
        <f t="shared" si="685"/>
        <v>1900</v>
      </c>
      <c r="P9754" s="61">
        <f t="shared" si="686"/>
        <v>1</v>
      </c>
    </row>
    <row r="9755" spans="9:16">
      <c r="I9755" s="213"/>
      <c r="J9755" s="213"/>
      <c r="L9755" s="272">
        <f t="shared" si="683"/>
        <v>1900</v>
      </c>
      <c r="M9755" s="272">
        <f t="shared" si="684"/>
        <v>1</v>
      </c>
      <c r="O9755" s="61">
        <f t="shared" si="685"/>
        <v>1900</v>
      </c>
      <c r="P9755" s="61">
        <f t="shared" si="686"/>
        <v>1</v>
      </c>
    </row>
    <row r="9756" spans="9:16">
      <c r="I9756" s="213"/>
      <c r="J9756" s="213"/>
      <c r="L9756" s="272">
        <f t="shared" si="683"/>
        <v>1900</v>
      </c>
      <c r="M9756" s="272">
        <f t="shared" si="684"/>
        <v>1</v>
      </c>
      <c r="O9756" s="61">
        <f t="shared" si="685"/>
        <v>1900</v>
      </c>
      <c r="P9756" s="61">
        <f t="shared" si="686"/>
        <v>1</v>
      </c>
    </row>
    <row r="9757" spans="9:16">
      <c r="I9757" s="213"/>
      <c r="J9757" s="213"/>
      <c r="L9757" s="272">
        <f t="shared" si="683"/>
        <v>1900</v>
      </c>
      <c r="M9757" s="272">
        <f t="shared" si="684"/>
        <v>1</v>
      </c>
      <c r="O9757" s="61">
        <f t="shared" si="685"/>
        <v>1900</v>
      </c>
      <c r="P9757" s="61">
        <f t="shared" si="686"/>
        <v>1</v>
      </c>
    </row>
    <row r="9758" spans="9:16">
      <c r="I9758" s="213"/>
      <c r="J9758" s="213"/>
      <c r="L9758" s="272">
        <f t="shared" si="683"/>
        <v>1900</v>
      </c>
      <c r="M9758" s="272">
        <f t="shared" si="684"/>
        <v>1</v>
      </c>
      <c r="O9758" s="61">
        <f t="shared" si="685"/>
        <v>1900</v>
      </c>
      <c r="P9758" s="61">
        <f t="shared" si="686"/>
        <v>1</v>
      </c>
    </row>
    <row r="9759" spans="9:16">
      <c r="I9759" s="213"/>
      <c r="J9759" s="213"/>
      <c r="L9759" s="272">
        <f t="shared" si="683"/>
        <v>1900</v>
      </c>
      <c r="M9759" s="272">
        <f t="shared" si="684"/>
        <v>1</v>
      </c>
      <c r="O9759" s="61">
        <f t="shared" si="685"/>
        <v>1900</v>
      </c>
      <c r="P9759" s="61">
        <f t="shared" si="686"/>
        <v>1</v>
      </c>
    </row>
    <row r="9760" spans="9:16">
      <c r="I9760" s="213"/>
      <c r="J9760" s="213"/>
      <c r="L9760" s="272">
        <f t="shared" si="683"/>
        <v>1900</v>
      </c>
      <c r="M9760" s="272">
        <f t="shared" si="684"/>
        <v>1</v>
      </c>
      <c r="O9760" s="61">
        <f t="shared" si="685"/>
        <v>1900</v>
      </c>
      <c r="P9760" s="61">
        <f t="shared" si="686"/>
        <v>1</v>
      </c>
    </row>
    <row r="9761" spans="9:16">
      <c r="I9761" s="213"/>
      <c r="J9761" s="213"/>
      <c r="L9761" s="272">
        <f t="shared" si="683"/>
        <v>1900</v>
      </c>
      <c r="M9761" s="272">
        <f t="shared" si="684"/>
        <v>1</v>
      </c>
      <c r="O9761" s="61">
        <f t="shared" si="685"/>
        <v>1900</v>
      </c>
      <c r="P9761" s="61">
        <f t="shared" si="686"/>
        <v>1</v>
      </c>
    </row>
    <row r="9762" spans="9:16">
      <c r="I9762" s="213"/>
      <c r="J9762" s="213"/>
      <c r="L9762" s="272">
        <f t="shared" si="683"/>
        <v>1900</v>
      </c>
      <c r="M9762" s="272">
        <f t="shared" si="684"/>
        <v>1</v>
      </c>
      <c r="O9762" s="61">
        <f t="shared" si="685"/>
        <v>1900</v>
      </c>
      <c r="P9762" s="61">
        <f t="shared" si="686"/>
        <v>1</v>
      </c>
    </row>
    <row r="9763" spans="9:16">
      <c r="I9763" s="213"/>
      <c r="J9763" s="213"/>
      <c r="L9763" s="272">
        <f t="shared" si="683"/>
        <v>1900</v>
      </c>
      <c r="M9763" s="272">
        <f t="shared" si="684"/>
        <v>1</v>
      </c>
      <c r="O9763" s="61">
        <f t="shared" si="685"/>
        <v>1900</v>
      </c>
      <c r="P9763" s="61">
        <f t="shared" si="686"/>
        <v>1</v>
      </c>
    </row>
    <row r="9764" spans="9:16">
      <c r="I9764" s="213"/>
      <c r="J9764" s="213"/>
      <c r="L9764" s="272">
        <f t="shared" si="683"/>
        <v>1900</v>
      </c>
      <c r="M9764" s="272">
        <f t="shared" si="684"/>
        <v>1</v>
      </c>
      <c r="O9764" s="61">
        <f t="shared" si="685"/>
        <v>1900</v>
      </c>
      <c r="P9764" s="61">
        <f t="shared" si="686"/>
        <v>1</v>
      </c>
    </row>
    <row r="9765" spans="9:16">
      <c r="I9765" s="213"/>
      <c r="J9765" s="213"/>
      <c r="L9765" s="272">
        <f t="shared" si="683"/>
        <v>1900</v>
      </c>
      <c r="M9765" s="272">
        <f t="shared" si="684"/>
        <v>1</v>
      </c>
      <c r="O9765" s="61">
        <f t="shared" si="685"/>
        <v>1900</v>
      </c>
      <c r="P9765" s="61">
        <f t="shared" si="686"/>
        <v>1</v>
      </c>
    </row>
    <row r="9766" spans="9:16">
      <c r="I9766" s="213"/>
      <c r="J9766" s="213"/>
      <c r="L9766" s="272">
        <f t="shared" si="683"/>
        <v>1900</v>
      </c>
      <c r="M9766" s="272">
        <f t="shared" si="684"/>
        <v>1</v>
      </c>
      <c r="O9766" s="61">
        <f t="shared" si="685"/>
        <v>1900</v>
      </c>
      <c r="P9766" s="61">
        <f t="shared" si="686"/>
        <v>1</v>
      </c>
    </row>
    <row r="9767" spans="9:16">
      <c r="I9767" s="213"/>
      <c r="J9767" s="213"/>
      <c r="L9767" s="272">
        <f t="shared" si="683"/>
        <v>1900</v>
      </c>
      <c r="M9767" s="272">
        <f t="shared" si="684"/>
        <v>1</v>
      </c>
      <c r="O9767" s="61">
        <f t="shared" si="685"/>
        <v>1900</v>
      </c>
      <c r="P9767" s="61">
        <f t="shared" si="686"/>
        <v>1</v>
      </c>
    </row>
    <row r="9768" spans="9:16">
      <c r="I9768" s="213"/>
      <c r="J9768" s="213"/>
      <c r="L9768" s="272">
        <f t="shared" si="683"/>
        <v>1900</v>
      </c>
      <c r="M9768" s="272">
        <f t="shared" si="684"/>
        <v>1</v>
      </c>
      <c r="O9768" s="61">
        <f t="shared" si="685"/>
        <v>1900</v>
      </c>
      <c r="P9768" s="61">
        <f t="shared" si="686"/>
        <v>1</v>
      </c>
    </row>
    <row r="9769" spans="9:16">
      <c r="I9769" s="213"/>
      <c r="J9769" s="213"/>
      <c r="L9769" s="272">
        <f t="shared" si="683"/>
        <v>1900</v>
      </c>
      <c r="M9769" s="272">
        <f t="shared" si="684"/>
        <v>1</v>
      </c>
      <c r="O9769" s="61">
        <f t="shared" si="685"/>
        <v>1900</v>
      </c>
      <c r="P9769" s="61">
        <f t="shared" si="686"/>
        <v>1</v>
      </c>
    </row>
    <row r="9770" spans="9:16">
      <c r="I9770" s="213"/>
      <c r="J9770" s="213"/>
      <c r="L9770" s="272">
        <f t="shared" si="683"/>
        <v>1900</v>
      </c>
      <c r="M9770" s="272">
        <f t="shared" si="684"/>
        <v>1</v>
      </c>
      <c r="O9770" s="61">
        <f t="shared" si="685"/>
        <v>1900</v>
      </c>
      <c r="P9770" s="61">
        <f t="shared" si="686"/>
        <v>1</v>
      </c>
    </row>
    <row r="9771" spans="9:16">
      <c r="I9771" s="213"/>
      <c r="J9771" s="213"/>
      <c r="L9771" s="272">
        <f t="shared" si="683"/>
        <v>1900</v>
      </c>
      <c r="M9771" s="272">
        <f t="shared" si="684"/>
        <v>1</v>
      </c>
      <c r="O9771" s="61">
        <f t="shared" si="685"/>
        <v>1900</v>
      </c>
      <c r="P9771" s="61">
        <f t="shared" si="686"/>
        <v>1</v>
      </c>
    </row>
    <row r="9772" spans="9:16">
      <c r="I9772" s="213"/>
      <c r="J9772" s="213"/>
      <c r="L9772" s="272">
        <f t="shared" si="683"/>
        <v>1900</v>
      </c>
      <c r="M9772" s="272">
        <f t="shared" si="684"/>
        <v>1</v>
      </c>
      <c r="O9772" s="61">
        <f t="shared" si="685"/>
        <v>1900</v>
      </c>
      <c r="P9772" s="61">
        <f t="shared" si="686"/>
        <v>1</v>
      </c>
    </row>
    <row r="9773" spans="9:16">
      <c r="I9773" s="213"/>
      <c r="J9773" s="213"/>
      <c r="L9773" s="272">
        <f t="shared" si="683"/>
        <v>1900</v>
      </c>
      <c r="M9773" s="272">
        <f t="shared" si="684"/>
        <v>1</v>
      </c>
      <c r="O9773" s="61">
        <f t="shared" si="685"/>
        <v>1900</v>
      </c>
      <c r="P9773" s="61">
        <f t="shared" si="686"/>
        <v>1</v>
      </c>
    </row>
    <row r="9774" spans="9:16">
      <c r="I9774" s="213"/>
      <c r="J9774" s="213"/>
      <c r="L9774" s="272">
        <f t="shared" si="683"/>
        <v>1900</v>
      </c>
      <c r="M9774" s="272">
        <f t="shared" si="684"/>
        <v>1</v>
      </c>
      <c r="O9774" s="61">
        <f t="shared" si="685"/>
        <v>1900</v>
      </c>
      <c r="P9774" s="61">
        <f t="shared" si="686"/>
        <v>1</v>
      </c>
    </row>
    <row r="9775" spans="9:16">
      <c r="I9775" s="213"/>
      <c r="J9775" s="213"/>
      <c r="L9775" s="272">
        <f t="shared" si="683"/>
        <v>1900</v>
      </c>
      <c r="M9775" s="272">
        <f t="shared" si="684"/>
        <v>1</v>
      </c>
      <c r="O9775" s="61">
        <f t="shared" si="685"/>
        <v>1900</v>
      </c>
      <c r="P9775" s="61">
        <f t="shared" si="686"/>
        <v>1</v>
      </c>
    </row>
    <row r="9776" spans="9:16">
      <c r="I9776" s="213"/>
      <c r="J9776" s="213"/>
      <c r="L9776" s="272">
        <f t="shared" si="683"/>
        <v>1900</v>
      </c>
      <c r="M9776" s="272">
        <f t="shared" si="684"/>
        <v>1</v>
      </c>
      <c r="O9776" s="61">
        <f t="shared" si="685"/>
        <v>1900</v>
      </c>
      <c r="P9776" s="61">
        <f t="shared" si="686"/>
        <v>1</v>
      </c>
    </row>
    <row r="9777" spans="9:16">
      <c r="I9777" s="213"/>
      <c r="J9777" s="213"/>
      <c r="L9777" s="272">
        <f t="shared" si="683"/>
        <v>1900</v>
      </c>
      <c r="M9777" s="272">
        <f t="shared" si="684"/>
        <v>1</v>
      </c>
      <c r="O9777" s="61">
        <f t="shared" si="685"/>
        <v>1900</v>
      </c>
      <c r="P9777" s="61">
        <f t="shared" si="686"/>
        <v>1</v>
      </c>
    </row>
    <row r="9778" spans="9:16">
      <c r="I9778" s="213"/>
      <c r="J9778" s="213"/>
      <c r="L9778" s="272">
        <f t="shared" si="683"/>
        <v>1900</v>
      </c>
      <c r="M9778" s="272">
        <f t="shared" si="684"/>
        <v>1</v>
      </c>
      <c r="O9778" s="61">
        <f t="shared" si="685"/>
        <v>1900</v>
      </c>
      <c r="P9778" s="61">
        <f t="shared" si="686"/>
        <v>1</v>
      </c>
    </row>
    <row r="9779" spans="9:16">
      <c r="I9779" s="213"/>
      <c r="J9779" s="213"/>
      <c r="L9779" s="272">
        <f t="shared" si="683"/>
        <v>1900</v>
      </c>
      <c r="M9779" s="272">
        <f t="shared" si="684"/>
        <v>1</v>
      </c>
      <c r="O9779" s="61">
        <f t="shared" si="685"/>
        <v>1900</v>
      </c>
      <c r="P9779" s="61">
        <f t="shared" si="686"/>
        <v>1</v>
      </c>
    </row>
    <row r="9780" spans="9:16">
      <c r="I9780" s="213"/>
      <c r="J9780" s="213"/>
      <c r="L9780" s="272">
        <f t="shared" si="683"/>
        <v>1900</v>
      </c>
      <c r="M9780" s="272">
        <f t="shared" si="684"/>
        <v>1</v>
      </c>
      <c r="O9780" s="61">
        <f t="shared" si="685"/>
        <v>1900</v>
      </c>
      <c r="P9780" s="61">
        <f t="shared" si="686"/>
        <v>1</v>
      </c>
    </row>
    <row r="9781" spans="9:16">
      <c r="I9781" s="213"/>
      <c r="J9781" s="213"/>
      <c r="L9781" s="272">
        <f t="shared" si="683"/>
        <v>1900</v>
      </c>
      <c r="M9781" s="272">
        <f t="shared" si="684"/>
        <v>1</v>
      </c>
      <c r="O9781" s="61">
        <f t="shared" si="685"/>
        <v>1900</v>
      </c>
      <c r="P9781" s="61">
        <f t="shared" si="686"/>
        <v>1</v>
      </c>
    </row>
    <row r="9782" spans="9:16">
      <c r="I9782" s="213"/>
      <c r="J9782" s="213"/>
      <c r="L9782" s="272">
        <f t="shared" si="683"/>
        <v>1900</v>
      </c>
      <c r="M9782" s="272">
        <f t="shared" si="684"/>
        <v>1</v>
      </c>
      <c r="O9782" s="61">
        <f t="shared" si="685"/>
        <v>1900</v>
      </c>
      <c r="P9782" s="61">
        <f t="shared" si="686"/>
        <v>1</v>
      </c>
    </row>
    <row r="9783" spans="9:16">
      <c r="I9783" s="213"/>
      <c r="J9783" s="213"/>
      <c r="L9783" s="272">
        <f t="shared" si="683"/>
        <v>1900</v>
      </c>
      <c r="M9783" s="272">
        <f t="shared" si="684"/>
        <v>1</v>
      </c>
      <c r="O9783" s="61">
        <f t="shared" si="685"/>
        <v>1900</v>
      </c>
      <c r="P9783" s="61">
        <f t="shared" si="686"/>
        <v>1</v>
      </c>
    </row>
    <row r="9784" spans="9:16">
      <c r="I9784" s="213"/>
      <c r="J9784" s="213"/>
      <c r="L9784" s="272">
        <f t="shared" si="683"/>
        <v>1900</v>
      </c>
      <c r="M9784" s="272">
        <f t="shared" si="684"/>
        <v>1</v>
      </c>
      <c r="O9784" s="61">
        <f t="shared" si="685"/>
        <v>1900</v>
      </c>
      <c r="P9784" s="61">
        <f t="shared" si="686"/>
        <v>1</v>
      </c>
    </row>
    <row r="9785" spans="9:16">
      <c r="I9785" s="213"/>
      <c r="J9785" s="213"/>
      <c r="L9785" s="272">
        <f t="shared" si="683"/>
        <v>1900</v>
      </c>
      <c r="M9785" s="272">
        <f t="shared" si="684"/>
        <v>1</v>
      </c>
      <c r="O9785" s="61">
        <f t="shared" si="685"/>
        <v>1900</v>
      </c>
      <c r="P9785" s="61">
        <f t="shared" si="686"/>
        <v>1</v>
      </c>
    </row>
    <row r="9786" spans="9:16">
      <c r="I9786" s="213"/>
      <c r="J9786" s="213"/>
      <c r="L9786" s="272">
        <f t="shared" si="683"/>
        <v>1900</v>
      </c>
      <c r="M9786" s="272">
        <f t="shared" si="684"/>
        <v>1</v>
      </c>
      <c r="O9786" s="61">
        <f t="shared" si="685"/>
        <v>1900</v>
      </c>
      <c r="P9786" s="61">
        <f t="shared" si="686"/>
        <v>1</v>
      </c>
    </row>
    <row r="9787" spans="9:16">
      <c r="I9787" s="213"/>
      <c r="J9787" s="213"/>
      <c r="L9787" s="272">
        <f t="shared" si="683"/>
        <v>1900</v>
      </c>
      <c r="M9787" s="272">
        <f t="shared" si="684"/>
        <v>1</v>
      </c>
      <c r="O9787" s="61">
        <f t="shared" si="685"/>
        <v>1900</v>
      </c>
      <c r="P9787" s="61">
        <f t="shared" si="686"/>
        <v>1</v>
      </c>
    </row>
    <row r="9788" spans="9:16">
      <c r="I9788" s="213"/>
      <c r="J9788" s="213"/>
      <c r="L9788" s="272">
        <f t="shared" si="683"/>
        <v>1900</v>
      </c>
      <c r="M9788" s="272">
        <f t="shared" si="684"/>
        <v>1</v>
      </c>
      <c r="O9788" s="61">
        <f t="shared" si="685"/>
        <v>1900</v>
      </c>
      <c r="P9788" s="61">
        <f t="shared" si="686"/>
        <v>1</v>
      </c>
    </row>
    <row r="9789" spans="9:16">
      <c r="I9789" s="213"/>
      <c r="J9789" s="213"/>
      <c r="L9789" s="272">
        <f t="shared" si="683"/>
        <v>1900</v>
      </c>
      <c r="M9789" s="272">
        <f t="shared" si="684"/>
        <v>1</v>
      </c>
      <c r="O9789" s="61">
        <f t="shared" si="685"/>
        <v>1900</v>
      </c>
      <c r="P9789" s="61">
        <f t="shared" si="686"/>
        <v>1</v>
      </c>
    </row>
    <row r="9790" spans="9:16">
      <c r="I9790" s="213"/>
      <c r="J9790" s="213"/>
      <c r="L9790" s="272">
        <f t="shared" si="683"/>
        <v>1900</v>
      </c>
      <c r="M9790" s="272">
        <f t="shared" si="684"/>
        <v>1</v>
      </c>
      <c r="O9790" s="61">
        <f t="shared" si="685"/>
        <v>1900</v>
      </c>
      <c r="P9790" s="61">
        <f t="shared" si="686"/>
        <v>1</v>
      </c>
    </row>
    <row r="9791" spans="9:16">
      <c r="I9791" s="213"/>
      <c r="J9791" s="213"/>
      <c r="L9791" s="272">
        <f t="shared" si="683"/>
        <v>1900</v>
      </c>
      <c r="M9791" s="272">
        <f t="shared" si="684"/>
        <v>1</v>
      </c>
      <c r="O9791" s="61">
        <f t="shared" si="685"/>
        <v>1900</v>
      </c>
      <c r="P9791" s="61">
        <f t="shared" si="686"/>
        <v>1</v>
      </c>
    </row>
    <row r="9792" spans="9:16">
      <c r="I9792" s="213"/>
      <c r="J9792" s="213"/>
      <c r="L9792" s="272">
        <f t="shared" si="683"/>
        <v>1900</v>
      </c>
      <c r="M9792" s="272">
        <f t="shared" si="684"/>
        <v>1</v>
      </c>
      <c r="O9792" s="61">
        <f t="shared" si="685"/>
        <v>1900</v>
      </c>
      <c r="P9792" s="61">
        <f t="shared" si="686"/>
        <v>1</v>
      </c>
    </row>
    <row r="9793" spans="9:16">
      <c r="I9793" s="213"/>
      <c r="J9793" s="213"/>
      <c r="L9793" s="272">
        <f t="shared" si="683"/>
        <v>1900</v>
      </c>
      <c r="M9793" s="272">
        <f t="shared" si="684"/>
        <v>1</v>
      </c>
      <c r="O9793" s="61">
        <f t="shared" si="685"/>
        <v>1900</v>
      </c>
      <c r="P9793" s="61">
        <f t="shared" si="686"/>
        <v>1</v>
      </c>
    </row>
    <row r="9794" spans="9:16">
      <c r="I9794" s="213"/>
      <c r="J9794" s="213"/>
      <c r="L9794" s="272">
        <f t="shared" si="683"/>
        <v>1900</v>
      </c>
      <c r="M9794" s="272">
        <f t="shared" si="684"/>
        <v>1</v>
      </c>
      <c r="O9794" s="61">
        <f t="shared" si="685"/>
        <v>1900</v>
      </c>
      <c r="P9794" s="61">
        <f t="shared" si="686"/>
        <v>1</v>
      </c>
    </row>
    <row r="9795" spans="9:16">
      <c r="I9795" s="213"/>
      <c r="J9795" s="213"/>
      <c r="L9795" s="272">
        <f t="shared" si="683"/>
        <v>1900</v>
      </c>
      <c r="M9795" s="272">
        <f t="shared" si="684"/>
        <v>1</v>
      </c>
      <c r="O9795" s="61">
        <f t="shared" si="685"/>
        <v>1900</v>
      </c>
      <c r="P9795" s="61">
        <f t="shared" si="686"/>
        <v>1</v>
      </c>
    </row>
    <row r="9796" spans="9:16">
      <c r="I9796" s="213"/>
      <c r="J9796" s="213"/>
      <c r="L9796" s="272">
        <f t="shared" si="683"/>
        <v>1900</v>
      </c>
      <c r="M9796" s="272">
        <f t="shared" si="684"/>
        <v>1</v>
      </c>
      <c r="O9796" s="61">
        <f t="shared" si="685"/>
        <v>1900</v>
      </c>
      <c r="P9796" s="61">
        <f t="shared" si="686"/>
        <v>1</v>
      </c>
    </row>
    <row r="9797" spans="9:16">
      <c r="I9797" s="213"/>
      <c r="J9797" s="213"/>
      <c r="L9797" s="272">
        <f t="shared" si="683"/>
        <v>1900</v>
      </c>
      <c r="M9797" s="272">
        <f t="shared" si="684"/>
        <v>1</v>
      </c>
      <c r="O9797" s="61">
        <f t="shared" si="685"/>
        <v>1900</v>
      </c>
      <c r="P9797" s="61">
        <f t="shared" si="686"/>
        <v>1</v>
      </c>
    </row>
    <row r="9798" spans="9:16">
      <c r="I9798" s="213"/>
      <c r="J9798" s="213"/>
      <c r="L9798" s="272">
        <f t="shared" si="683"/>
        <v>1900</v>
      </c>
      <c r="M9798" s="272">
        <f t="shared" si="684"/>
        <v>1</v>
      </c>
      <c r="O9798" s="61">
        <f t="shared" si="685"/>
        <v>1900</v>
      </c>
      <c r="P9798" s="61">
        <f t="shared" si="686"/>
        <v>1</v>
      </c>
    </row>
    <row r="9799" spans="9:16">
      <c r="I9799" s="213"/>
      <c r="J9799" s="213"/>
      <c r="L9799" s="272">
        <f t="shared" si="683"/>
        <v>1900</v>
      </c>
      <c r="M9799" s="272">
        <f t="shared" si="684"/>
        <v>1</v>
      </c>
      <c r="O9799" s="61">
        <f t="shared" si="685"/>
        <v>1900</v>
      </c>
      <c r="P9799" s="61">
        <f t="shared" si="686"/>
        <v>1</v>
      </c>
    </row>
    <row r="9800" spans="9:16">
      <c r="I9800" s="213"/>
      <c r="J9800" s="213"/>
      <c r="L9800" s="272">
        <f t="shared" si="683"/>
        <v>1900</v>
      </c>
      <c r="M9800" s="272">
        <f t="shared" si="684"/>
        <v>1</v>
      </c>
      <c r="O9800" s="61">
        <f t="shared" si="685"/>
        <v>1900</v>
      </c>
      <c r="P9800" s="61">
        <f t="shared" si="686"/>
        <v>1</v>
      </c>
    </row>
    <row r="9801" spans="9:16">
      <c r="I9801" s="213"/>
      <c r="J9801" s="213"/>
      <c r="L9801" s="272">
        <f t="shared" si="683"/>
        <v>1900</v>
      </c>
      <c r="M9801" s="272">
        <f t="shared" si="684"/>
        <v>1</v>
      </c>
      <c r="O9801" s="61">
        <f t="shared" si="685"/>
        <v>1900</v>
      </c>
      <c r="P9801" s="61">
        <f t="shared" si="686"/>
        <v>1</v>
      </c>
    </row>
    <row r="9802" spans="9:16">
      <c r="I9802" s="213"/>
      <c r="J9802" s="213"/>
      <c r="L9802" s="272">
        <f t="shared" si="683"/>
        <v>1900</v>
      </c>
      <c r="M9802" s="272">
        <f t="shared" si="684"/>
        <v>1</v>
      </c>
      <c r="O9802" s="61">
        <f t="shared" si="685"/>
        <v>1900</v>
      </c>
      <c r="P9802" s="61">
        <f t="shared" si="686"/>
        <v>1</v>
      </c>
    </row>
    <row r="9803" spans="9:16">
      <c r="I9803" s="213"/>
      <c r="J9803" s="213"/>
      <c r="L9803" s="272">
        <f t="shared" si="683"/>
        <v>1900</v>
      </c>
      <c r="M9803" s="272">
        <f t="shared" si="684"/>
        <v>1</v>
      </c>
      <c r="O9803" s="61">
        <f t="shared" si="685"/>
        <v>1900</v>
      </c>
      <c r="P9803" s="61">
        <f t="shared" si="686"/>
        <v>1</v>
      </c>
    </row>
    <row r="9804" spans="9:16">
      <c r="I9804" s="213"/>
      <c r="J9804" s="213"/>
      <c r="L9804" s="272">
        <f t="shared" si="683"/>
        <v>1900</v>
      </c>
      <c r="M9804" s="272">
        <f t="shared" si="684"/>
        <v>1</v>
      </c>
      <c r="O9804" s="61">
        <f t="shared" si="685"/>
        <v>1900</v>
      </c>
      <c r="P9804" s="61">
        <f t="shared" si="686"/>
        <v>1</v>
      </c>
    </row>
    <row r="9805" spans="9:16">
      <c r="I9805" s="213"/>
      <c r="J9805" s="213"/>
      <c r="L9805" s="272">
        <f t="shared" si="683"/>
        <v>1900</v>
      </c>
      <c r="M9805" s="272">
        <f t="shared" si="684"/>
        <v>1</v>
      </c>
      <c r="O9805" s="61">
        <f t="shared" si="685"/>
        <v>1900</v>
      </c>
      <c r="P9805" s="61">
        <f t="shared" si="686"/>
        <v>1</v>
      </c>
    </row>
    <row r="9806" spans="9:16">
      <c r="I9806" s="213"/>
      <c r="J9806" s="213"/>
      <c r="L9806" s="272">
        <f t="shared" si="683"/>
        <v>1900</v>
      </c>
      <c r="M9806" s="272">
        <f t="shared" si="684"/>
        <v>1</v>
      </c>
      <c r="O9806" s="61">
        <f t="shared" si="685"/>
        <v>1900</v>
      </c>
      <c r="P9806" s="61">
        <f t="shared" si="686"/>
        <v>1</v>
      </c>
    </row>
    <row r="9807" spans="9:16">
      <c r="I9807" s="213"/>
      <c r="J9807" s="213"/>
      <c r="L9807" s="272">
        <f t="shared" si="683"/>
        <v>1900</v>
      </c>
      <c r="M9807" s="272">
        <f t="shared" si="684"/>
        <v>1</v>
      </c>
      <c r="O9807" s="61">
        <f t="shared" si="685"/>
        <v>1900</v>
      </c>
      <c r="P9807" s="61">
        <f t="shared" si="686"/>
        <v>1</v>
      </c>
    </row>
    <row r="9808" spans="9:16">
      <c r="I9808" s="213"/>
      <c r="J9808" s="213"/>
      <c r="L9808" s="272">
        <f t="shared" ref="L9808:L9871" si="687">YEAR(B9808)</f>
        <v>1900</v>
      </c>
      <c r="M9808" s="272">
        <f t="shared" ref="M9808:M9871" si="688">MONTH(B9808)</f>
        <v>1</v>
      </c>
      <c r="O9808" s="61">
        <f t="shared" ref="O9808:O9871" si="689">YEAR(B9808)</f>
        <v>1900</v>
      </c>
      <c r="P9808" s="61">
        <f t="shared" ref="P9808:P9871" si="690">MONTH(B9808)</f>
        <v>1</v>
      </c>
    </row>
    <row r="9809" spans="9:16">
      <c r="I9809" s="213"/>
      <c r="J9809" s="213"/>
      <c r="L9809" s="272">
        <f t="shared" si="687"/>
        <v>1900</v>
      </c>
      <c r="M9809" s="272">
        <f t="shared" si="688"/>
        <v>1</v>
      </c>
      <c r="O9809" s="61">
        <f t="shared" si="689"/>
        <v>1900</v>
      </c>
      <c r="P9809" s="61">
        <f t="shared" si="690"/>
        <v>1</v>
      </c>
    </row>
    <row r="9810" spans="9:16">
      <c r="I9810" s="213"/>
      <c r="J9810" s="213"/>
      <c r="L9810" s="272">
        <f t="shared" si="687"/>
        <v>1900</v>
      </c>
      <c r="M9810" s="272">
        <f t="shared" si="688"/>
        <v>1</v>
      </c>
      <c r="O9810" s="61">
        <f t="shared" si="689"/>
        <v>1900</v>
      </c>
      <c r="P9810" s="61">
        <f t="shared" si="690"/>
        <v>1</v>
      </c>
    </row>
    <row r="9811" spans="9:16">
      <c r="I9811" s="213"/>
      <c r="J9811" s="213"/>
      <c r="L9811" s="272">
        <f t="shared" si="687"/>
        <v>1900</v>
      </c>
      <c r="M9811" s="272">
        <f t="shared" si="688"/>
        <v>1</v>
      </c>
      <c r="O9811" s="61">
        <f t="shared" si="689"/>
        <v>1900</v>
      </c>
      <c r="P9811" s="61">
        <f t="shared" si="690"/>
        <v>1</v>
      </c>
    </row>
    <row r="9812" spans="9:16">
      <c r="I9812" s="213"/>
      <c r="J9812" s="213"/>
      <c r="L9812" s="272">
        <f t="shared" si="687"/>
        <v>1900</v>
      </c>
      <c r="M9812" s="272">
        <f t="shared" si="688"/>
        <v>1</v>
      </c>
      <c r="O9812" s="61">
        <f t="shared" si="689"/>
        <v>1900</v>
      </c>
      <c r="P9812" s="61">
        <f t="shared" si="690"/>
        <v>1</v>
      </c>
    </row>
    <row r="9813" spans="9:16">
      <c r="I9813" s="213"/>
      <c r="J9813" s="213"/>
      <c r="L9813" s="272">
        <f t="shared" si="687"/>
        <v>1900</v>
      </c>
      <c r="M9813" s="272">
        <f t="shared" si="688"/>
        <v>1</v>
      </c>
      <c r="O9813" s="61">
        <f t="shared" si="689"/>
        <v>1900</v>
      </c>
      <c r="P9813" s="61">
        <f t="shared" si="690"/>
        <v>1</v>
      </c>
    </row>
    <row r="9814" spans="9:16">
      <c r="I9814" s="213"/>
      <c r="J9814" s="213"/>
      <c r="L9814" s="272">
        <f t="shared" si="687"/>
        <v>1900</v>
      </c>
      <c r="M9814" s="272">
        <f t="shared" si="688"/>
        <v>1</v>
      </c>
      <c r="O9814" s="61">
        <f t="shared" si="689"/>
        <v>1900</v>
      </c>
      <c r="P9814" s="61">
        <f t="shared" si="690"/>
        <v>1</v>
      </c>
    </row>
    <row r="9815" spans="9:16">
      <c r="I9815" s="213"/>
      <c r="J9815" s="213"/>
      <c r="L9815" s="272">
        <f t="shared" si="687"/>
        <v>1900</v>
      </c>
      <c r="M9815" s="272">
        <f t="shared" si="688"/>
        <v>1</v>
      </c>
      <c r="O9815" s="61">
        <f t="shared" si="689"/>
        <v>1900</v>
      </c>
      <c r="P9815" s="61">
        <f t="shared" si="690"/>
        <v>1</v>
      </c>
    </row>
    <row r="9816" spans="9:16">
      <c r="I9816" s="213"/>
      <c r="J9816" s="213"/>
      <c r="L9816" s="272">
        <f t="shared" si="687"/>
        <v>1900</v>
      </c>
      <c r="M9816" s="272">
        <f t="shared" si="688"/>
        <v>1</v>
      </c>
      <c r="O9816" s="61">
        <f t="shared" si="689"/>
        <v>1900</v>
      </c>
      <c r="P9816" s="61">
        <f t="shared" si="690"/>
        <v>1</v>
      </c>
    </row>
    <row r="9817" spans="9:16">
      <c r="I9817" s="213"/>
      <c r="J9817" s="213"/>
      <c r="L9817" s="272">
        <f t="shared" si="687"/>
        <v>1900</v>
      </c>
      <c r="M9817" s="272">
        <f t="shared" si="688"/>
        <v>1</v>
      </c>
      <c r="O9817" s="61">
        <f t="shared" si="689"/>
        <v>1900</v>
      </c>
      <c r="P9817" s="61">
        <f t="shared" si="690"/>
        <v>1</v>
      </c>
    </row>
    <row r="9818" spans="9:16">
      <c r="I9818" s="213"/>
      <c r="J9818" s="213"/>
      <c r="L9818" s="272">
        <f t="shared" si="687"/>
        <v>1900</v>
      </c>
      <c r="M9818" s="272">
        <f t="shared" si="688"/>
        <v>1</v>
      </c>
      <c r="O9818" s="61">
        <f t="shared" si="689"/>
        <v>1900</v>
      </c>
      <c r="P9818" s="61">
        <f t="shared" si="690"/>
        <v>1</v>
      </c>
    </row>
    <row r="9819" spans="9:16">
      <c r="I9819" s="213"/>
      <c r="J9819" s="213"/>
      <c r="L9819" s="272">
        <f t="shared" si="687"/>
        <v>1900</v>
      </c>
      <c r="M9819" s="272">
        <f t="shared" si="688"/>
        <v>1</v>
      </c>
      <c r="O9819" s="61">
        <f t="shared" si="689"/>
        <v>1900</v>
      </c>
      <c r="P9819" s="61">
        <f t="shared" si="690"/>
        <v>1</v>
      </c>
    </row>
    <row r="9820" spans="9:16">
      <c r="I9820" s="213"/>
      <c r="J9820" s="213"/>
      <c r="L9820" s="272">
        <f t="shared" si="687"/>
        <v>1900</v>
      </c>
      <c r="M9820" s="272">
        <f t="shared" si="688"/>
        <v>1</v>
      </c>
      <c r="O9820" s="61">
        <f t="shared" si="689"/>
        <v>1900</v>
      </c>
      <c r="P9820" s="61">
        <f t="shared" si="690"/>
        <v>1</v>
      </c>
    </row>
    <row r="9821" spans="9:16">
      <c r="I9821" s="213"/>
      <c r="J9821" s="213"/>
      <c r="L9821" s="272">
        <f t="shared" si="687"/>
        <v>1900</v>
      </c>
      <c r="M9821" s="272">
        <f t="shared" si="688"/>
        <v>1</v>
      </c>
      <c r="O9821" s="61">
        <f t="shared" si="689"/>
        <v>1900</v>
      </c>
      <c r="P9821" s="61">
        <f t="shared" si="690"/>
        <v>1</v>
      </c>
    </row>
    <row r="9822" spans="9:16">
      <c r="I9822" s="213"/>
      <c r="J9822" s="213"/>
      <c r="L9822" s="272">
        <f t="shared" si="687"/>
        <v>1900</v>
      </c>
      <c r="M9822" s="272">
        <f t="shared" si="688"/>
        <v>1</v>
      </c>
      <c r="O9822" s="61">
        <f t="shared" si="689"/>
        <v>1900</v>
      </c>
      <c r="P9822" s="61">
        <f t="shared" si="690"/>
        <v>1</v>
      </c>
    </row>
    <row r="9823" spans="9:16">
      <c r="I9823" s="213"/>
      <c r="J9823" s="213"/>
      <c r="L9823" s="272">
        <f t="shared" si="687"/>
        <v>1900</v>
      </c>
      <c r="M9823" s="272">
        <f t="shared" si="688"/>
        <v>1</v>
      </c>
      <c r="O9823" s="61">
        <f t="shared" si="689"/>
        <v>1900</v>
      </c>
      <c r="P9823" s="61">
        <f t="shared" si="690"/>
        <v>1</v>
      </c>
    </row>
    <row r="9824" spans="9:16">
      <c r="I9824" s="213"/>
      <c r="J9824" s="213"/>
      <c r="L9824" s="272">
        <f t="shared" si="687"/>
        <v>1900</v>
      </c>
      <c r="M9824" s="272">
        <f t="shared" si="688"/>
        <v>1</v>
      </c>
      <c r="O9824" s="61">
        <f t="shared" si="689"/>
        <v>1900</v>
      </c>
      <c r="P9824" s="61">
        <f t="shared" si="690"/>
        <v>1</v>
      </c>
    </row>
    <row r="9825" spans="9:16">
      <c r="I9825" s="213"/>
      <c r="J9825" s="213"/>
      <c r="L9825" s="272">
        <f t="shared" si="687"/>
        <v>1900</v>
      </c>
      <c r="M9825" s="272">
        <f t="shared" si="688"/>
        <v>1</v>
      </c>
      <c r="O9825" s="61">
        <f t="shared" si="689"/>
        <v>1900</v>
      </c>
      <c r="P9825" s="61">
        <f t="shared" si="690"/>
        <v>1</v>
      </c>
    </row>
    <row r="9826" spans="9:16">
      <c r="I9826" s="213"/>
      <c r="J9826" s="213"/>
      <c r="L9826" s="272">
        <f t="shared" si="687"/>
        <v>1900</v>
      </c>
      <c r="M9826" s="272">
        <f t="shared" si="688"/>
        <v>1</v>
      </c>
      <c r="O9826" s="61">
        <f t="shared" si="689"/>
        <v>1900</v>
      </c>
      <c r="P9826" s="61">
        <f t="shared" si="690"/>
        <v>1</v>
      </c>
    </row>
    <row r="9827" spans="9:16">
      <c r="I9827" s="213"/>
      <c r="J9827" s="213"/>
      <c r="L9827" s="272">
        <f t="shared" si="687"/>
        <v>1900</v>
      </c>
      <c r="M9827" s="272">
        <f t="shared" si="688"/>
        <v>1</v>
      </c>
      <c r="O9827" s="61">
        <f t="shared" si="689"/>
        <v>1900</v>
      </c>
      <c r="P9827" s="61">
        <f t="shared" si="690"/>
        <v>1</v>
      </c>
    </row>
    <row r="9828" spans="9:16">
      <c r="I9828" s="213"/>
      <c r="J9828" s="213"/>
      <c r="L9828" s="272">
        <f t="shared" si="687"/>
        <v>1900</v>
      </c>
      <c r="M9828" s="272">
        <f t="shared" si="688"/>
        <v>1</v>
      </c>
      <c r="O9828" s="61">
        <f t="shared" si="689"/>
        <v>1900</v>
      </c>
      <c r="P9828" s="61">
        <f t="shared" si="690"/>
        <v>1</v>
      </c>
    </row>
    <row r="9829" spans="9:16">
      <c r="I9829" s="213"/>
      <c r="J9829" s="213"/>
      <c r="L9829" s="272">
        <f t="shared" si="687"/>
        <v>1900</v>
      </c>
      <c r="M9829" s="272">
        <f t="shared" si="688"/>
        <v>1</v>
      </c>
      <c r="O9829" s="61">
        <f t="shared" si="689"/>
        <v>1900</v>
      </c>
      <c r="P9829" s="61">
        <f t="shared" si="690"/>
        <v>1</v>
      </c>
    </row>
    <row r="9830" spans="9:16">
      <c r="I9830" s="213"/>
      <c r="J9830" s="213"/>
      <c r="L9830" s="272">
        <f t="shared" si="687"/>
        <v>1900</v>
      </c>
      <c r="M9830" s="272">
        <f t="shared" si="688"/>
        <v>1</v>
      </c>
      <c r="O9830" s="61">
        <f t="shared" si="689"/>
        <v>1900</v>
      </c>
      <c r="P9830" s="61">
        <f t="shared" si="690"/>
        <v>1</v>
      </c>
    </row>
    <row r="9831" spans="9:16">
      <c r="I9831" s="213"/>
      <c r="J9831" s="213"/>
      <c r="L9831" s="272">
        <f t="shared" si="687"/>
        <v>1900</v>
      </c>
      <c r="M9831" s="272">
        <f t="shared" si="688"/>
        <v>1</v>
      </c>
      <c r="O9831" s="61">
        <f t="shared" si="689"/>
        <v>1900</v>
      </c>
      <c r="P9831" s="61">
        <f t="shared" si="690"/>
        <v>1</v>
      </c>
    </row>
    <row r="9832" spans="9:16">
      <c r="I9832" s="213"/>
      <c r="J9832" s="213"/>
      <c r="L9832" s="272">
        <f t="shared" si="687"/>
        <v>1900</v>
      </c>
      <c r="M9832" s="272">
        <f t="shared" si="688"/>
        <v>1</v>
      </c>
      <c r="O9832" s="61">
        <f t="shared" si="689"/>
        <v>1900</v>
      </c>
      <c r="P9832" s="61">
        <f t="shared" si="690"/>
        <v>1</v>
      </c>
    </row>
    <row r="9833" spans="9:16">
      <c r="I9833" s="213"/>
      <c r="J9833" s="213"/>
      <c r="L9833" s="272">
        <f t="shared" si="687"/>
        <v>1900</v>
      </c>
      <c r="M9833" s="272">
        <f t="shared" si="688"/>
        <v>1</v>
      </c>
      <c r="O9833" s="61">
        <f t="shared" si="689"/>
        <v>1900</v>
      </c>
      <c r="P9833" s="61">
        <f t="shared" si="690"/>
        <v>1</v>
      </c>
    </row>
    <row r="9834" spans="9:16">
      <c r="I9834" s="213"/>
      <c r="J9834" s="213"/>
      <c r="L9834" s="272">
        <f t="shared" si="687"/>
        <v>1900</v>
      </c>
      <c r="M9834" s="272">
        <f t="shared" si="688"/>
        <v>1</v>
      </c>
      <c r="O9834" s="61">
        <f t="shared" si="689"/>
        <v>1900</v>
      </c>
      <c r="P9834" s="61">
        <f t="shared" si="690"/>
        <v>1</v>
      </c>
    </row>
    <row r="9835" spans="9:16">
      <c r="I9835" s="213"/>
      <c r="J9835" s="213"/>
      <c r="L9835" s="272">
        <f t="shared" si="687"/>
        <v>1900</v>
      </c>
      <c r="M9835" s="272">
        <f t="shared" si="688"/>
        <v>1</v>
      </c>
      <c r="O9835" s="61">
        <f t="shared" si="689"/>
        <v>1900</v>
      </c>
      <c r="P9835" s="61">
        <f t="shared" si="690"/>
        <v>1</v>
      </c>
    </row>
    <row r="9836" spans="9:16">
      <c r="I9836" s="213"/>
      <c r="J9836" s="213"/>
      <c r="L9836" s="272">
        <f t="shared" si="687"/>
        <v>1900</v>
      </c>
      <c r="M9836" s="272">
        <f t="shared" si="688"/>
        <v>1</v>
      </c>
      <c r="O9836" s="61">
        <f t="shared" si="689"/>
        <v>1900</v>
      </c>
      <c r="P9836" s="61">
        <f t="shared" si="690"/>
        <v>1</v>
      </c>
    </row>
    <row r="9837" spans="9:16">
      <c r="I9837" s="213"/>
      <c r="J9837" s="213"/>
      <c r="L9837" s="272">
        <f t="shared" si="687"/>
        <v>1900</v>
      </c>
      <c r="M9837" s="272">
        <f t="shared" si="688"/>
        <v>1</v>
      </c>
      <c r="O9837" s="61">
        <f t="shared" si="689"/>
        <v>1900</v>
      </c>
      <c r="P9837" s="61">
        <f t="shared" si="690"/>
        <v>1</v>
      </c>
    </row>
    <row r="9838" spans="9:16">
      <c r="I9838" s="213"/>
      <c r="J9838" s="213"/>
      <c r="L9838" s="272">
        <f t="shared" si="687"/>
        <v>1900</v>
      </c>
      <c r="M9838" s="272">
        <f t="shared" si="688"/>
        <v>1</v>
      </c>
      <c r="O9838" s="61">
        <f t="shared" si="689"/>
        <v>1900</v>
      </c>
      <c r="P9838" s="61">
        <f t="shared" si="690"/>
        <v>1</v>
      </c>
    </row>
    <row r="9839" spans="9:16">
      <c r="I9839" s="213"/>
      <c r="J9839" s="213"/>
      <c r="L9839" s="272">
        <f t="shared" si="687"/>
        <v>1900</v>
      </c>
      <c r="M9839" s="272">
        <f t="shared" si="688"/>
        <v>1</v>
      </c>
      <c r="O9839" s="61">
        <f t="shared" si="689"/>
        <v>1900</v>
      </c>
      <c r="P9839" s="61">
        <f t="shared" si="690"/>
        <v>1</v>
      </c>
    </row>
    <row r="9840" spans="9:16">
      <c r="I9840" s="213"/>
      <c r="J9840" s="213"/>
      <c r="L9840" s="272">
        <f t="shared" si="687"/>
        <v>1900</v>
      </c>
      <c r="M9840" s="272">
        <f t="shared" si="688"/>
        <v>1</v>
      </c>
      <c r="O9840" s="61">
        <f t="shared" si="689"/>
        <v>1900</v>
      </c>
      <c r="P9840" s="61">
        <f t="shared" si="690"/>
        <v>1</v>
      </c>
    </row>
    <row r="9841" spans="9:16">
      <c r="I9841" s="213"/>
      <c r="J9841" s="213"/>
      <c r="L9841" s="272">
        <f t="shared" si="687"/>
        <v>1900</v>
      </c>
      <c r="M9841" s="272">
        <f t="shared" si="688"/>
        <v>1</v>
      </c>
      <c r="O9841" s="61">
        <f t="shared" si="689"/>
        <v>1900</v>
      </c>
      <c r="P9841" s="61">
        <f t="shared" si="690"/>
        <v>1</v>
      </c>
    </row>
    <row r="9842" spans="9:16">
      <c r="I9842" s="213"/>
      <c r="J9842" s="213"/>
      <c r="L9842" s="272">
        <f t="shared" si="687"/>
        <v>1900</v>
      </c>
      <c r="M9842" s="272">
        <f t="shared" si="688"/>
        <v>1</v>
      </c>
      <c r="O9842" s="61">
        <f t="shared" si="689"/>
        <v>1900</v>
      </c>
      <c r="P9842" s="61">
        <f t="shared" si="690"/>
        <v>1</v>
      </c>
    </row>
    <row r="9843" spans="9:16">
      <c r="I9843" s="213"/>
      <c r="J9843" s="213"/>
      <c r="L9843" s="272">
        <f t="shared" si="687"/>
        <v>1900</v>
      </c>
      <c r="M9843" s="272">
        <f t="shared" si="688"/>
        <v>1</v>
      </c>
      <c r="O9843" s="61">
        <f t="shared" si="689"/>
        <v>1900</v>
      </c>
      <c r="P9843" s="61">
        <f t="shared" si="690"/>
        <v>1</v>
      </c>
    </row>
    <row r="9844" spans="9:16">
      <c r="I9844" s="213"/>
      <c r="J9844" s="213"/>
      <c r="L9844" s="272">
        <f t="shared" si="687"/>
        <v>1900</v>
      </c>
      <c r="M9844" s="272">
        <f t="shared" si="688"/>
        <v>1</v>
      </c>
      <c r="O9844" s="61">
        <f t="shared" si="689"/>
        <v>1900</v>
      </c>
      <c r="P9844" s="61">
        <f t="shared" si="690"/>
        <v>1</v>
      </c>
    </row>
    <row r="9845" spans="9:16">
      <c r="I9845" s="213"/>
      <c r="J9845" s="213"/>
      <c r="L9845" s="272">
        <f t="shared" si="687"/>
        <v>1900</v>
      </c>
      <c r="M9845" s="272">
        <f t="shared" si="688"/>
        <v>1</v>
      </c>
      <c r="O9845" s="61">
        <f t="shared" si="689"/>
        <v>1900</v>
      </c>
      <c r="P9845" s="61">
        <f t="shared" si="690"/>
        <v>1</v>
      </c>
    </row>
    <row r="9846" spans="9:16">
      <c r="I9846" s="213"/>
      <c r="J9846" s="213"/>
      <c r="L9846" s="272">
        <f t="shared" si="687"/>
        <v>1900</v>
      </c>
      <c r="M9846" s="272">
        <f t="shared" si="688"/>
        <v>1</v>
      </c>
      <c r="O9846" s="61">
        <f t="shared" si="689"/>
        <v>1900</v>
      </c>
      <c r="P9846" s="61">
        <f t="shared" si="690"/>
        <v>1</v>
      </c>
    </row>
    <row r="9847" spans="9:16">
      <c r="I9847" s="213"/>
      <c r="J9847" s="213"/>
      <c r="L9847" s="272">
        <f t="shared" si="687"/>
        <v>1900</v>
      </c>
      <c r="M9847" s="272">
        <f t="shared" si="688"/>
        <v>1</v>
      </c>
      <c r="O9847" s="61">
        <f t="shared" si="689"/>
        <v>1900</v>
      </c>
      <c r="P9847" s="61">
        <f t="shared" si="690"/>
        <v>1</v>
      </c>
    </row>
    <row r="9848" spans="9:16">
      <c r="I9848" s="213"/>
      <c r="J9848" s="213"/>
      <c r="L9848" s="272">
        <f t="shared" si="687"/>
        <v>1900</v>
      </c>
      <c r="M9848" s="272">
        <f t="shared" si="688"/>
        <v>1</v>
      </c>
      <c r="O9848" s="61">
        <f t="shared" si="689"/>
        <v>1900</v>
      </c>
      <c r="P9848" s="61">
        <f t="shared" si="690"/>
        <v>1</v>
      </c>
    </row>
    <row r="9849" spans="9:16">
      <c r="I9849" s="213"/>
      <c r="J9849" s="213"/>
      <c r="L9849" s="272">
        <f t="shared" si="687"/>
        <v>1900</v>
      </c>
      <c r="M9849" s="272">
        <f t="shared" si="688"/>
        <v>1</v>
      </c>
      <c r="O9849" s="61">
        <f t="shared" si="689"/>
        <v>1900</v>
      </c>
      <c r="P9849" s="61">
        <f t="shared" si="690"/>
        <v>1</v>
      </c>
    </row>
    <row r="9850" spans="9:16">
      <c r="I9850" s="213"/>
      <c r="J9850" s="213"/>
      <c r="L9850" s="272">
        <f t="shared" si="687"/>
        <v>1900</v>
      </c>
      <c r="M9850" s="272">
        <f t="shared" si="688"/>
        <v>1</v>
      </c>
      <c r="O9850" s="61">
        <f t="shared" si="689"/>
        <v>1900</v>
      </c>
      <c r="P9850" s="61">
        <f t="shared" si="690"/>
        <v>1</v>
      </c>
    </row>
    <row r="9851" spans="9:16">
      <c r="I9851" s="213"/>
      <c r="J9851" s="213"/>
      <c r="L9851" s="272">
        <f t="shared" si="687"/>
        <v>1900</v>
      </c>
      <c r="M9851" s="272">
        <f t="shared" si="688"/>
        <v>1</v>
      </c>
      <c r="O9851" s="61">
        <f t="shared" si="689"/>
        <v>1900</v>
      </c>
      <c r="P9851" s="61">
        <f t="shared" si="690"/>
        <v>1</v>
      </c>
    </row>
    <row r="9852" spans="9:16">
      <c r="I9852" s="213"/>
      <c r="J9852" s="213"/>
      <c r="L9852" s="272">
        <f t="shared" si="687"/>
        <v>1900</v>
      </c>
      <c r="M9852" s="272">
        <f t="shared" si="688"/>
        <v>1</v>
      </c>
      <c r="O9852" s="61">
        <f t="shared" si="689"/>
        <v>1900</v>
      </c>
      <c r="P9852" s="61">
        <f t="shared" si="690"/>
        <v>1</v>
      </c>
    </row>
    <row r="9853" spans="9:16">
      <c r="I9853" s="213"/>
      <c r="J9853" s="213"/>
      <c r="L9853" s="272">
        <f t="shared" si="687"/>
        <v>1900</v>
      </c>
      <c r="M9853" s="272">
        <f t="shared" si="688"/>
        <v>1</v>
      </c>
      <c r="O9853" s="61">
        <f t="shared" si="689"/>
        <v>1900</v>
      </c>
      <c r="P9853" s="61">
        <f t="shared" si="690"/>
        <v>1</v>
      </c>
    </row>
    <row r="9854" spans="9:16">
      <c r="I9854" s="213"/>
      <c r="J9854" s="213"/>
      <c r="L9854" s="272">
        <f t="shared" si="687"/>
        <v>1900</v>
      </c>
      <c r="M9854" s="272">
        <f t="shared" si="688"/>
        <v>1</v>
      </c>
      <c r="O9854" s="61">
        <f t="shared" si="689"/>
        <v>1900</v>
      </c>
      <c r="P9854" s="61">
        <f t="shared" si="690"/>
        <v>1</v>
      </c>
    </row>
    <row r="9855" spans="9:16">
      <c r="I9855" s="213"/>
      <c r="J9855" s="213"/>
      <c r="L9855" s="272">
        <f t="shared" si="687"/>
        <v>1900</v>
      </c>
      <c r="M9855" s="272">
        <f t="shared" si="688"/>
        <v>1</v>
      </c>
      <c r="O9855" s="61">
        <f t="shared" si="689"/>
        <v>1900</v>
      </c>
      <c r="P9855" s="61">
        <f t="shared" si="690"/>
        <v>1</v>
      </c>
    </row>
    <row r="9856" spans="9:16">
      <c r="I9856" s="213"/>
      <c r="J9856" s="213"/>
      <c r="L9856" s="272">
        <f t="shared" si="687"/>
        <v>1900</v>
      </c>
      <c r="M9856" s="272">
        <f t="shared" si="688"/>
        <v>1</v>
      </c>
      <c r="O9856" s="61">
        <f t="shared" si="689"/>
        <v>1900</v>
      </c>
      <c r="P9856" s="61">
        <f t="shared" si="690"/>
        <v>1</v>
      </c>
    </row>
    <row r="9857" spans="9:16">
      <c r="I9857" s="213"/>
      <c r="J9857" s="213"/>
      <c r="L9857" s="272">
        <f t="shared" si="687"/>
        <v>1900</v>
      </c>
      <c r="M9857" s="272">
        <f t="shared" si="688"/>
        <v>1</v>
      </c>
      <c r="O9857" s="61">
        <f t="shared" si="689"/>
        <v>1900</v>
      </c>
      <c r="P9857" s="61">
        <f t="shared" si="690"/>
        <v>1</v>
      </c>
    </row>
    <row r="9858" spans="9:16">
      <c r="I9858" s="213"/>
      <c r="J9858" s="213"/>
      <c r="L9858" s="272">
        <f t="shared" si="687"/>
        <v>1900</v>
      </c>
      <c r="M9858" s="272">
        <f t="shared" si="688"/>
        <v>1</v>
      </c>
      <c r="O9858" s="61">
        <f t="shared" si="689"/>
        <v>1900</v>
      </c>
      <c r="P9858" s="61">
        <f t="shared" si="690"/>
        <v>1</v>
      </c>
    </row>
    <row r="9859" spans="9:16">
      <c r="I9859" s="213"/>
      <c r="J9859" s="213"/>
      <c r="L9859" s="272">
        <f t="shared" si="687"/>
        <v>1900</v>
      </c>
      <c r="M9859" s="272">
        <f t="shared" si="688"/>
        <v>1</v>
      </c>
      <c r="O9859" s="61">
        <f t="shared" si="689"/>
        <v>1900</v>
      </c>
      <c r="P9859" s="61">
        <f t="shared" si="690"/>
        <v>1</v>
      </c>
    </row>
    <row r="9860" spans="9:16">
      <c r="I9860" s="213"/>
      <c r="J9860" s="213"/>
      <c r="L9860" s="272">
        <f t="shared" si="687"/>
        <v>1900</v>
      </c>
      <c r="M9860" s="272">
        <f t="shared" si="688"/>
        <v>1</v>
      </c>
      <c r="O9860" s="61">
        <f t="shared" si="689"/>
        <v>1900</v>
      </c>
      <c r="P9860" s="61">
        <f t="shared" si="690"/>
        <v>1</v>
      </c>
    </row>
    <row r="9861" spans="9:16">
      <c r="I9861" s="213"/>
      <c r="J9861" s="213"/>
      <c r="L9861" s="272">
        <f t="shared" si="687"/>
        <v>1900</v>
      </c>
      <c r="M9861" s="272">
        <f t="shared" si="688"/>
        <v>1</v>
      </c>
      <c r="O9861" s="61">
        <f t="shared" si="689"/>
        <v>1900</v>
      </c>
      <c r="P9861" s="61">
        <f t="shared" si="690"/>
        <v>1</v>
      </c>
    </row>
    <row r="9862" spans="9:16">
      <c r="I9862" s="213"/>
      <c r="J9862" s="213"/>
      <c r="L9862" s="272">
        <f t="shared" si="687"/>
        <v>1900</v>
      </c>
      <c r="M9862" s="272">
        <f t="shared" si="688"/>
        <v>1</v>
      </c>
      <c r="O9862" s="61">
        <f t="shared" si="689"/>
        <v>1900</v>
      </c>
      <c r="P9862" s="61">
        <f t="shared" si="690"/>
        <v>1</v>
      </c>
    </row>
    <row r="9863" spans="9:16">
      <c r="I9863" s="213"/>
      <c r="J9863" s="213"/>
      <c r="L9863" s="272">
        <f t="shared" si="687"/>
        <v>1900</v>
      </c>
      <c r="M9863" s="272">
        <f t="shared" si="688"/>
        <v>1</v>
      </c>
      <c r="O9863" s="61">
        <f t="shared" si="689"/>
        <v>1900</v>
      </c>
      <c r="P9863" s="61">
        <f t="shared" si="690"/>
        <v>1</v>
      </c>
    </row>
    <row r="9864" spans="9:16">
      <c r="I9864" s="213"/>
      <c r="J9864" s="213"/>
      <c r="L9864" s="272">
        <f t="shared" si="687"/>
        <v>1900</v>
      </c>
      <c r="M9864" s="272">
        <f t="shared" si="688"/>
        <v>1</v>
      </c>
      <c r="O9864" s="61">
        <f t="shared" si="689"/>
        <v>1900</v>
      </c>
      <c r="P9864" s="61">
        <f t="shared" si="690"/>
        <v>1</v>
      </c>
    </row>
    <row r="9865" spans="9:16">
      <c r="I9865" s="213"/>
      <c r="J9865" s="213"/>
      <c r="L9865" s="272">
        <f t="shared" si="687"/>
        <v>1900</v>
      </c>
      <c r="M9865" s="272">
        <f t="shared" si="688"/>
        <v>1</v>
      </c>
      <c r="O9865" s="61">
        <f t="shared" si="689"/>
        <v>1900</v>
      </c>
      <c r="P9865" s="61">
        <f t="shared" si="690"/>
        <v>1</v>
      </c>
    </row>
    <row r="9866" spans="9:16">
      <c r="I9866" s="213"/>
      <c r="J9866" s="213"/>
      <c r="L9866" s="272">
        <f t="shared" si="687"/>
        <v>1900</v>
      </c>
      <c r="M9866" s="272">
        <f t="shared" si="688"/>
        <v>1</v>
      </c>
      <c r="O9866" s="61">
        <f t="shared" si="689"/>
        <v>1900</v>
      </c>
      <c r="P9866" s="61">
        <f t="shared" si="690"/>
        <v>1</v>
      </c>
    </row>
    <row r="9867" spans="9:16">
      <c r="I9867" s="213"/>
      <c r="J9867" s="213"/>
      <c r="L9867" s="272">
        <f t="shared" si="687"/>
        <v>1900</v>
      </c>
      <c r="M9867" s="272">
        <f t="shared" si="688"/>
        <v>1</v>
      </c>
      <c r="O9867" s="61">
        <f t="shared" si="689"/>
        <v>1900</v>
      </c>
      <c r="P9867" s="61">
        <f t="shared" si="690"/>
        <v>1</v>
      </c>
    </row>
    <row r="9868" spans="9:16">
      <c r="I9868" s="213"/>
      <c r="J9868" s="213"/>
      <c r="L9868" s="272">
        <f t="shared" si="687"/>
        <v>1900</v>
      </c>
      <c r="M9868" s="272">
        <f t="shared" si="688"/>
        <v>1</v>
      </c>
      <c r="O9868" s="61">
        <f t="shared" si="689"/>
        <v>1900</v>
      </c>
      <c r="P9868" s="61">
        <f t="shared" si="690"/>
        <v>1</v>
      </c>
    </row>
    <row r="9869" spans="9:16">
      <c r="I9869" s="213"/>
      <c r="J9869" s="213"/>
      <c r="L9869" s="272">
        <f t="shared" si="687"/>
        <v>1900</v>
      </c>
      <c r="M9869" s="272">
        <f t="shared" si="688"/>
        <v>1</v>
      </c>
      <c r="O9869" s="61">
        <f t="shared" si="689"/>
        <v>1900</v>
      </c>
      <c r="P9869" s="61">
        <f t="shared" si="690"/>
        <v>1</v>
      </c>
    </row>
    <row r="9870" spans="9:16">
      <c r="I9870" s="213"/>
      <c r="J9870" s="213"/>
      <c r="L9870" s="272">
        <f t="shared" si="687"/>
        <v>1900</v>
      </c>
      <c r="M9870" s="272">
        <f t="shared" si="688"/>
        <v>1</v>
      </c>
      <c r="O9870" s="61">
        <f t="shared" si="689"/>
        <v>1900</v>
      </c>
      <c r="P9870" s="61">
        <f t="shared" si="690"/>
        <v>1</v>
      </c>
    </row>
    <row r="9871" spans="9:16">
      <c r="I9871" s="213"/>
      <c r="J9871" s="213"/>
      <c r="L9871" s="272">
        <f t="shared" si="687"/>
        <v>1900</v>
      </c>
      <c r="M9871" s="272">
        <f t="shared" si="688"/>
        <v>1</v>
      </c>
      <c r="O9871" s="61">
        <f t="shared" si="689"/>
        <v>1900</v>
      </c>
      <c r="P9871" s="61">
        <f t="shared" si="690"/>
        <v>1</v>
      </c>
    </row>
    <row r="9872" spans="9:16">
      <c r="I9872" s="213"/>
      <c r="J9872" s="213"/>
      <c r="L9872" s="272">
        <f t="shared" ref="L9872:L9935" si="691">YEAR(B9872)</f>
        <v>1900</v>
      </c>
      <c r="M9872" s="272">
        <f t="shared" ref="M9872:M9935" si="692">MONTH(B9872)</f>
        <v>1</v>
      </c>
      <c r="O9872" s="61">
        <f t="shared" ref="O9872:O9935" si="693">YEAR(B9872)</f>
        <v>1900</v>
      </c>
      <c r="P9872" s="61">
        <f t="shared" ref="P9872:P9935" si="694">MONTH(B9872)</f>
        <v>1</v>
      </c>
    </row>
    <row r="9873" spans="9:16">
      <c r="I9873" s="213"/>
      <c r="J9873" s="213"/>
      <c r="L9873" s="272">
        <f t="shared" si="691"/>
        <v>1900</v>
      </c>
      <c r="M9873" s="272">
        <f t="shared" si="692"/>
        <v>1</v>
      </c>
      <c r="O9873" s="61">
        <f t="shared" si="693"/>
        <v>1900</v>
      </c>
      <c r="P9873" s="61">
        <f t="shared" si="694"/>
        <v>1</v>
      </c>
    </row>
    <row r="9874" spans="9:16">
      <c r="I9874" s="213"/>
      <c r="J9874" s="213"/>
      <c r="L9874" s="272">
        <f t="shared" si="691"/>
        <v>1900</v>
      </c>
      <c r="M9874" s="272">
        <f t="shared" si="692"/>
        <v>1</v>
      </c>
      <c r="O9874" s="61">
        <f t="shared" si="693"/>
        <v>1900</v>
      </c>
      <c r="P9874" s="61">
        <f t="shared" si="694"/>
        <v>1</v>
      </c>
    </row>
    <row r="9875" spans="9:16">
      <c r="I9875" s="213"/>
      <c r="J9875" s="213"/>
      <c r="L9875" s="272">
        <f t="shared" si="691"/>
        <v>1900</v>
      </c>
      <c r="M9875" s="272">
        <f t="shared" si="692"/>
        <v>1</v>
      </c>
      <c r="O9875" s="61">
        <f t="shared" si="693"/>
        <v>1900</v>
      </c>
      <c r="P9875" s="61">
        <f t="shared" si="694"/>
        <v>1</v>
      </c>
    </row>
    <row r="9876" spans="9:16">
      <c r="I9876" s="213"/>
      <c r="J9876" s="213"/>
      <c r="L9876" s="272">
        <f t="shared" si="691"/>
        <v>1900</v>
      </c>
      <c r="M9876" s="272">
        <f t="shared" si="692"/>
        <v>1</v>
      </c>
      <c r="O9876" s="61">
        <f t="shared" si="693"/>
        <v>1900</v>
      </c>
      <c r="P9876" s="61">
        <f t="shared" si="694"/>
        <v>1</v>
      </c>
    </row>
    <row r="9877" spans="9:16">
      <c r="I9877" s="213"/>
      <c r="J9877" s="213"/>
      <c r="L9877" s="272">
        <f t="shared" si="691"/>
        <v>1900</v>
      </c>
      <c r="M9877" s="272">
        <f t="shared" si="692"/>
        <v>1</v>
      </c>
      <c r="O9877" s="61">
        <f t="shared" si="693"/>
        <v>1900</v>
      </c>
      <c r="P9877" s="61">
        <f t="shared" si="694"/>
        <v>1</v>
      </c>
    </row>
    <row r="9878" spans="9:16">
      <c r="I9878" s="213"/>
      <c r="J9878" s="213"/>
      <c r="L9878" s="272">
        <f t="shared" si="691"/>
        <v>1900</v>
      </c>
      <c r="M9878" s="272">
        <f t="shared" si="692"/>
        <v>1</v>
      </c>
      <c r="O9878" s="61">
        <f t="shared" si="693"/>
        <v>1900</v>
      </c>
      <c r="P9878" s="61">
        <f t="shared" si="694"/>
        <v>1</v>
      </c>
    </row>
    <row r="9879" spans="9:16">
      <c r="I9879" s="213"/>
      <c r="J9879" s="213"/>
      <c r="L9879" s="272">
        <f t="shared" si="691"/>
        <v>1900</v>
      </c>
      <c r="M9879" s="272">
        <f t="shared" si="692"/>
        <v>1</v>
      </c>
      <c r="O9879" s="61">
        <f t="shared" si="693"/>
        <v>1900</v>
      </c>
      <c r="P9879" s="61">
        <f t="shared" si="694"/>
        <v>1</v>
      </c>
    </row>
    <row r="9880" spans="9:16">
      <c r="I9880" s="213"/>
      <c r="J9880" s="213"/>
      <c r="L9880" s="272">
        <f t="shared" si="691"/>
        <v>1900</v>
      </c>
      <c r="M9880" s="272">
        <f t="shared" si="692"/>
        <v>1</v>
      </c>
      <c r="O9880" s="61">
        <f t="shared" si="693"/>
        <v>1900</v>
      </c>
      <c r="P9880" s="61">
        <f t="shared" si="694"/>
        <v>1</v>
      </c>
    </row>
    <row r="9881" spans="9:16">
      <c r="I9881" s="213"/>
      <c r="J9881" s="213"/>
      <c r="L9881" s="272">
        <f t="shared" si="691"/>
        <v>1900</v>
      </c>
      <c r="M9881" s="272">
        <f t="shared" si="692"/>
        <v>1</v>
      </c>
      <c r="O9881" s="61">
        <f t="shared" si="693"/>
        <v>1900</v>
      </c>
      <c r="P9881" s="61">
        <f t="shared" si="694"/>
        <v>1</v>
      </c>
    </row>
    <row r="9882" spans="9:16">
      <c r="I9882" s="213"/>
      <c r="J9882" s="213"/>
      <c r="L9882" s="272">
        <f t="shared" si="691"/>
        <v>1900</v>
      </c>
      <c r="M9882" s="272">
        <f t="shared" si="692"/>
        <v>1</v>
      </c>
      <c r="O9882" s="61">
        <f t="shared" si="693"/>
        <v>1900</v>
      </c>
      <c r="P9882" s="61">
        <f t="shared" si="694"/>
        <v>1</v>
      </c>
    </row>
    <row r="9883" spans="9:16">
      <c r="I9883" s="213"/>
      <c r="J9883" s="213"/>
      <c r="L9883" s="272">
        <f t="shared" si="691"/>
        <v>1900</v>
      </c>
      <c r="M9883" s="272">
        <f t="shared" si="692"/>
        <v>1</v>
      </c>
      <c r="O9883" s="61">
        <f t="shared" si="693"/>
        <v>1900</v>
      </c>
      <c r="P9883" s="61">
        <f t="shared" si="694"/>
        <v>1</v>
      </c>
    </row>
    <row r="9884" spans="9:16">
      <c r="I9884" s="213"/>
      <c r="J9884" s="213"/>
      <c r="L9884" s="272">
        <f t="shared" si="691"/>
        <v>1900</v>
      </c>
      <c r="M9884" s="272">
        <f t="shared" si="692"/>
        <v>1</v>
      </c>
      <c r="O9884" s="61">
        <f t="shared" si="693"/>
        <v>1900</v>
      </c>
      <c r="P9884" s="61">
        <f t="shared" si="694"/>
        <v>1</v>
      </c>
    </row>
    <row r="9885" spans="9:16">
      <c r="I9885" s="213"/>
      <c r="J9885" s="213"/>
      <c r="L9885" s="272">
        <f t="shared" si="691"/>
        <v>1900</v>
      </c>
      <c r="M9885" s="272">
        <f t="shared" si="692"/>
        <v>1</v>
      </c>
      <c r="O9885" s="61">
        <f t="shared" si="693"/>
        <v>1900</v>
      </c>
      <c r="P9885" s="61">
        <f t="shared" si="694"/>
        <v>1</v>
      </c>
    </row>
    <row r="9886" spans="9:16">
      <c r="I9886" s="213"/>
      <c r="J9886" s="213"/>
      <c r="L9886" s="272">
        <f t="shared" si="691"/>
        <v>1900</v>
      </c>
      <c r="M9886" s="272">
        <f t="shared" si="692"/>
        <v>1</v>
      </c>
      <c r="O9886" s="61">
        <f t="shared" si="693"/>
        <v>1900</v>
      </c>
      <c r="P9886" s="61">
        <f t="shared" si="694"/>
        <v>1</v>
      </c>
    </row>
    <row r="9887" spans="9:16">
      <c r="I9887" s="213"/>
      <c r="J9887" s="213"/>
      <c r="L9887" s="272">
        <f t="shared" si="691"/>
        <v>1900</v>
      </c>
      <c r="M9887" s="272">
        <f t="shared" si="692"/>
        <v>1</v>
      </c>
      <c r="O9887" s="61">
        <f t="shared" si="693"/>
        <v>1900</v>
      </c>
      <c r="P9887" s="61">
        <f t="shared" si="694"/>
        <v>1</v>
      </c>
    </row>
    <row r="9888" spans="9:16">
      <c r="I9888" s="213"/>
      <c r="J9888" s="213"/>
      <c r="L9888" s="272">
        <f t="shared" si="691"/>
        <v>1900</v>
      </c>
      <c r="M9888" s="272">
        <f t="shared" si="692"/>
        <v>1</v>
      </c>
      <c r="O9888" s="61">
        <f t="shared" si="693"/>
        <v>1900</v>
      </c>
      <c r="P9888" s="61">
        <f t="shared" si="694"/>
        <v>1</v>
      </c>
    </row>
    <row r="9889" spans="9:16">
      <c r="I9889" s="213"/>
      <c r="J9889" s="213"/>
      <c r="L9889" s="272">
        <f t="shared" si="691"/>
        <v>1900</v>
      </c>
      <c r="M9889" s="272">
        <f t="shared" si="692"/>
        <v>1</v>
      </c>
      <c r="O9889" s="61">
        <f t="shared" si="693"/>
        <v>1900</v>
      </c>
      <c r="P9889" s="61">
        <f t="shared" si="694"/>
        <v>1</v>
      </c>
    </row>
    <row r="9890" spans="9:16">
      <c r="I9890" s="213"/>
      <c r="J9890" s="213"/>
      <c r="L9890" s="272">
        <f t="shared" si="691"/>
        <v>1900</v>
      </c>
      <c r="M9890" s="272">
        <f t="shared" si="692"/>
        <v>1</v>
      </c>
      <c r="O9890" s="61">
        <f t="shared" si="693"/>
        <v>1900</v>
      </c>
      <c r="P9890" s="61">
        <f t="shared" si="694"/>
        <v>1</v>
      </c>
    </row>
    <row r="9891" spans="9:16">
      <c r="I9891" s="213"/>
      <c r="J9891" s="213"/>
      <c r="L9891" s="272">
        <f t="shared" si="691"/>
        <v>1900</v>
      </c>
      <c r="M9891" s="272">
        <f t="shared" si="692"/>
        <v>1</v>
      </c>
      <c r="O9891" s="61">
        <f t="shared" si="693"/>
        <v>1900</v>
      </c>
      <c r="P9891" s="61">
        <f t="shared" si="694"/>
        <v>1</v>
      </c>
    </row>
    <row r="9892" spans="9:16">
      <c r="I9892" s="213"/>
      <c r="J9892" s="213"/>
      <c r="L9892" s="272">
        <f t="shared" si="691"/>
        <v>1900</v>
      </c>
      <c r="M9892" s="272">
        <f t="shared" si="692"/>
        <v>1</v>
      </c>
      <c r="O9892" s="61">
        <f t="shared" si="693"/>
        <v>1900</v>
      </c>
      <c r="P9892" s="61">
        <f t="shared" si="694"/>
        <v>1</v>
      </c>
    </row>
    <row r="9893" spans="9:16">
      <c r="I9893" s="213"/>
      <c r="J9893" s="213"/>
      <c r="L9893" s="272">
        <f t="shared" si="691"/>
        <v>1900</v>
      </c>
      <c r="M9893" s="272">
        <f t="shared" si="692"/>
        <v>1</v>
      </c>
      <c r="O9893" s="61">
        <f t="shared" si="693"/>
        <v>1900</v>
      </c>
      <c r="P9893" s="61">
        <f t="shared" si="694"/>
        <v>1</v>
      </c>
    </row>
    <row r="9894" spans="9:16">
      <c r="I9894" s="213"/>
      <c r="J9894" s="213"/>
      <c r="L9894" s="272">
        <f t="shared" si="691"/>
        <v>1900</v>
      </c>
      <c r="M9894" s="272">
        <f t="shared" si="692"/>
        <v>1</v>
      </c>
      <c r="O9894" s="61">
        <f t="shared" si="693"/>
        <v>1900</v>
      </c>
      <c r="P9894" s="61">
        <f t="shared" si="694"/>
        <v>1</v>
      </c>
    </row>
    <row r="9895" spans="9:16">
      <c r="I9895" s="213"/>
      <c r="J9895" s="213"/>
      <c r="L9895" s="272">
        <f t="shared" si="691"/>
        <v>1900</v>
      </c>
      <c r="M9895" s="272">
        <f t="shared" si="692"/>
        <v>1</v>
      </c>
      <c r="O9895" s="61">
        <f t="shared" si="693"/>
        <v>1900</v>
      </c>
      <c r="P9895" s="61">
        <f t="shared" si="694"/>
        <v>1</v>
      </c>
    </row>
    <row r="9896" spans="9:16">
      <c r="I9896" s="213"/>
      <c r="J9896" s="213"/>
      <c r="L9896" s="272">
        <f t="shared" si="691"/>
        <v>1900</v>
      </c>
      <c r="M9896" s="272">
        <f t="shared" si="692"/>
        <v>1</v>
      </c>
      <c r="O9896" s="61">
        <f t="shared" si="693"/>
        <v>1900</v>
      </c>
      <c r="P9896" s="61">
        <f t="shared" si="694"/>
        <v>1</v>
      </c>
    </row>
    <row r="9897" spans="9:16">
      <c r="I9897" s="213"/>
      <c r="J9897" s="213"/>
      <c r="L9897" s="272">
        <f t="shared" si="691"/>
        <v>1900</v>
      </c>
      <c r="M9897" s="272">
        <f t="shared" si="692"/>
        <v>1</v>
      </c>
      <c r="O9897" s="61">
        <f t="shared" si="693"/>
        <v>1900</v>
      </c>
      <c r="P9897" s="61">
        <f t="shared" si="694"/>
        <v>1</v>
      </c>
    </row>
    <row r="9898" spans="9:16">
      <c r="I9898" s="213"/>
      <c r="J9898" s="213"/>
      <c r="L9898" s="272">
        <f t="shared" si="691"/>
        <v>1900</v>
      </c>
      <c r="M9898" s="272">
        <f t="shared" si="692"/>
        <v>1</v>
      </c>
      <c r="O9898" s="61">
        <f t="shared" si="693"/>
        <v>1900</v>
      </c>
      <c r="P9898" s="61">
        <f t="shared" si="694"/>
        <v>1</v>
      </c>
    </row>
    <row r="9899" spans="9:16">
      <c r="I9899" s="213"/>
      <c r="J9899" s="213"/>
      <c r="L9899" s="272">
        <f t="shared" si="691"/>
        <v>1900</v>
      </c>
      <c r="M9899" s="272">
        <f t="shared" si="692"/>
        <v>1</v>
      </c>
      <c r="O9899" s="61">
        <f t="shared" si="693"/>
        <v>1900</v>
      </c>
      <c r="P9899" s="61">
        <f t="shared" si="694"/>
        <v>1</v>
      </c>
    </row>
    <row r="9900" spans="9:16">
      <c r="I9900" s="213"/>
      <c r="J9900" s="213"/>
      <c r="L9900" s="272">
        <f t="shared" si="691"/>
        <v>1900</v>
      </c>
      <c r="M9900" s="272">
        <f t="shared" si="692"/>
        <v>1</v>
      </c>
      <c r="O9900" s="61">
        <f t="shared" si="693"/>
        <v>1900</v>
      </c>
      <c r="P9900" s="61">
        <f t="shared" si="694"/>
        <v>1</v>
      </c>
    </row>
    <row r="9901" spans="9:16">
      <c r="I9901" s="213"/>
      <c r="J9901" s="213"/>
      <c r="L9901" s="272">
        <f t="shared" si="691"/>
        <v>1900</v>
      </c>
      <c r="M9901" s="272">
        <f t="shared" si="692"/>
        <v>1</v>
      </c>
      <c r="O9901" s="61">
        <f t="shared" si="693"/>
        <v>1900</v>
      </c>
      <c r="P9901" s="61">
        <f t="shared" si="694"/>
        <v>1</v>
      </c>
    </row>
    <row r="9902" spans="9:16">
      <c r="I9902" s="213"/>
      <c r="J9902" s="213"/>
      <c r="L9902" s="272">
        <f t="shared" si="691"/>
        <v>1900</v>
      </c>
      <c r="M9902" s="272">
        <f t="shared" si="692"/>
        <v>1</v>
      </c>
      <c r="O9902" s="61">
        <f t="shared" si="693"/>
        <v>1900</v>
      </c>
      <c r="P9902" s="61">
        <f t="shared" si="694"/>
        <v>1</v>
      </c>
    </row>
    <row r="9903" spans="9:16">
      <c r="I9903" s="213"/>
      <c r="J9903" s="213"/>
      <c r="L9903" s="272">
        <f t="shared" si="691"/>
        <v>1900</v>
      </c>
      <c r="M9903" s="272">
        <f t="shared" si="692"/>
        <v>1</v>
      </c>
      <c r="O9903" s="61">
        <f t="shared" si="693"/>
        <v>1900</v>
      </c>
      <c r="P9903" s="61">
        <f t="shared" si="694"/>
        <v>1</v>
      </c>
    </row>
    <row r="9904" spans="9:16">
      <c r="I9904" s="213"/>
      <c r="J9904" s="213"/>
      <c r="L9904" s="272">
        <f t="shared" si="691"/>
        <v>1900</v>
      </c>
      <c r="M9904" s="272">
        <f t="shared" si="692"/>
        <v>1</v>
      </c>
      <c r="O9904" s="61">
        <f t="shared" si="693"/>
        <v>1900</v>
      </c>
      <c r="P9904" s="61">
        <f t="shared" si="694"/>
        <v>1</v>
      </c>
    </row>
    <row r="9905" spans="9:16">
      <c r="I9905" s="213"/>
      <c r="J9905" s="213"/>
      <c r="L9905" s="272">
        <f t="shared" si="691"/>
        <v>1900</v>
      </c>
      <c r="M9905" s="272">
        <f t="shared" si="692"/>
        <v>1</v>
      </c>
      <c r="O9905" s="61">
        <f t="shared" si="693"/>
        <v>1900</v>
      </c>
      <c r="P9905" s="61">
        <f t="shared" si="694"/>
        <v>1</v>
      </c>
    </row>
    <row r="9906" spans="9:16">
      <c r="I9906" s="213"/>
      <c r="J9906" s="213"/>
      <c r="L9906" s="272">
        <f t="shared" si="691"/>
        <v>1900</v>
      </c>
      <c r="M9906" s="272">
        <f t="shared" si="692"/>
        <v>1</v>
      </c>
      <c r="O9906" s="61">
        <f t="shared" si="693"/>
        <v>1900</v>
      </c>
      <c r="P9906" s="61">
        <f t="shared" si="694"/>
        <v>1</v>
      </c>
    </row>
    <row r="9907" spans="9:16">
      <c r="I9907" s="213"/>
      <c r="J9907" s="213"/>
      <c r="L9907" s="272">
        <f t="shared" si="691"/>
        <v>1900</v>
      </c>
      <c r="M9907" s="272">
        <f t="shared" si="692"/>
        <v>1</v>
      </c>
      <c r="O9907" s="61">
        <f t="shared" si="693"/>
        <v>1900</v>
      </c>
      <c r="P9907" s="61">
        <f t="shared" si="694"/>
        <v>1</v>
      </c>
    </row>
    <row r="9908" spans="9:16">
      <c r="I9908" s="213"/>
      <c r="J9908" s="213"/>
      <c r="L9908" s="272">
        <f t="shared" si="691"/>
        <v>1900</v>
      </c>
      <c r="M9908" s="272">
        <f t="shared" si="692"/>
        <v>1</v>
      </c>
      <c r="O9908" s="61">
        <f t="shared" si="693"/>
        <v>1900</v>
      </c>
      <c r="P9908" s="61">
        <f t="shared" si="694"/>
        <v>1</v>
      </c>
    </row>
    <row r="9909" spans="9:16">
      <c r="I9909" s="213"/>
      <c r="J9909" s="213"/>
      <c r="L9909" s="272">
        <f t="shared" si="691"/>
        <v>1900</v>
      </c>
      <c r="M9909" s="272">
        <f t="shared" si="692"/>
        <v>1</v>
      </c>
      <c r="O9909" s="61">
        <f t="shared" si="693"/>
        <v>1900</v>
      </c>
      <c r="P9909" s="61">
        <f t="shared" si="694"/>
        <v>1</v>
      </c>
    </row>
    <row r="9910" spans="9:16">
      <c r="I9910" s="213"/>
      <c r="J9910" s="213"/>
      <c r="L9910" s="272">
        <f t="shared" si="691"/>
        <v>1900</v>
      </c>
      <c r="M9910" s="272">
        <f t="shared" si="692"/>
        <v>1</v>
      </c>
      <c r="O9910" s="61">
        <f t="shared" si="693"/>
        <v>1900</v>
      </c>
      <c r="P9910" s="61">
        <f t="shared" si="694"/>
        <v>1</v>
      </c>
    </row>
    <row r="9911" spans="9:16">
      <c r="I9911" s="213"/>
      <c r="J9911" s="213"/>
      <c r="L9911" s="272">
        <f t="shared" si="691"/>
        <v>1900</v>
      </c>
      <c r="M9911" s="272">
        <f t="shared" si="692"/>
        <v>1</v>
      </c>
      <c r="O9911" s="61">
        <f t="shared" si="693"/>
        <v>1900</v>
      </c>
      <c r="P9911" s="61">
        <f t="shared" si="694"/>
        <v>1</v>
      </c>
    </row>
    <row r="9912" spans="9:16">
      <c r="I9912" s="213"/>
      <c r="J9912" s="213"/>
      <c r="L9912" s="272">
        <f t="shared" si="691"/>
        <v>1900</v>
      </c>
      <c r="M9912" s="272">
        <f t="shared" si="692"/>
        <v>1</v>
      </c>
      <c r="O9912" s="61">
        <f t="shared" si="693"/>
        <v>1900</v>
      </c>
      <c r="P9912" s="61">
        <f t="shared" si="694"/>
        <v>1</v>
      </c>
    </row>
    <row r="9913" spans="9:16">
      <c r="I9913" s="213"/>
      <c r="J9913" s="213"/>
      <c r="L9913" s="272">
        <f t="shared" si="691"/>
        <v>1900</v>
      </c>
      <c r="M9913" s="272">
        <f t="shared" si="692"/>
        <v>1</v>
      </c>
      <c r="O9913" s="61">
        <f t="shared" si="693"/>
        <v>1900</v>
      </c>
      <c r="P9913" s="61">
        <f t="shared" si="694"/>
        <v>1</v>
      </c>
    </row>
    <row r="9914" spans="9:16">
      <c r="I9914" s="213"/>
      <c r="J9914" s="213"/>
      <c r="L9914" s="272">
        <f t="shared" si="691"/>
        <v>1900</v>
      </c>
      <c r="M9914" s="272">
        <f t="shared" si="692"/>
        <v>1</v>
      </c>
      <c r="O9914" s="61">
        <f t="shared" si="693"/>
        <v>1900</v>
      </c>
      <c r="P9914" s="61">
        <f t="shared" si="694"/>
        <v>1</v>
      </c>
    </row>
    <row r="9915" spans="9:16">
      <c r="I9915" s="213"/>
      <c r="J9915" s="213"/>
      <c r="L9915" s="272">
        <f t="shared" si="691"/>
        <v>1900</v>
      </c>
      <c r="M9915" s="272">
        <f t="shared" si="692"/>
        <v>1</v>
      </c>
      <c r="O9915" s="61">
        <f t="shared" si="693"/>
        <v>1900</v>
      </c>
      <c r="P9915" s="61">
        <f t="shared" si="694"/>
        <v>1</v>
      </c>
    </row>
    <row r="9916" spans="9:16">
      <c r="I9916" s="213"/>
      <c r="J9916" s="213"/>
      <c r="L9916" s="272">
        <f t="shared" si="691"/>
        <v>1900</v>
      </c>
      <c r="M9916" s="272">
        <f t="shared" si="692"/>
        <v>1</v>
      </c>
      <c r="O9916" s="61">
        <f t="shared" si="693"/>
        <v>1900</v>
      </c>
      <c r="P9916" s="61">
        <f t="shared" si="694"/>
        <v>1</v>
      </c>
    </row>
    <row r="9917" spans="9:16">
      <c r="I9917" s="213"/>
      <c r="J9917" s="213"/>
      <c r="L9917" s="272">
        <f t="shared" si="691"/>
        <v>1900</v>
      </c>
      <c r="M9917" s="272">
        <f t="shared" si="692"/>
        <v>1</v>
      </c>
      <c r="O9917" s="61">
        <f t="shared" si="693"/>
        <v>1900</v>
      </c>
      <c r="P9917" s="61">
        <f t="shared" si="694"/>
        <v>1</v>
      </c>
    </row>
    <row r="9918" spans="9:16">
      <c r="I9918" s="213"/>
      <c r="J9918" s="213"/>
      <c r="L9918" s="272">
        <f t="shared" si="691"/>
        <v>1900</v>
      </c>
      <c r="M9918" s="272">
        <f t="shared" si="692"/>
        <v>1</v>
      </c>
      <c r="O9918" s="61">
        <f t="shared" si="693"/>
        <v>1900</v>
      </c>
      <c r="P9918" s="61">
        <f t="shared" si="694"/>
        <v>1</v>
      </c>
    </row>
    <row r="9919" spans="9:16">
      <c r="I9919" s="213"/>
      <c r="J9919" s="213"/>
      <c r="L9919" s="272">
        <f t="shared" si="691"/>
        <v>1900</v>
      </c>
      <c r="M9919" s="272">
        <f t="shared" si="692"/>
        <v>1</v>
      </c>
      <c r="O9919" s="61">
        <f t="shared" si="693"/>
        <v>1900</v>
      </c>
      <c r="P9919" s="61">
        <f t="shared" si="694"/>
        <v>1</v>
      </c>
    </row>
    <row r="9920" spans="9:16">
      <c r="I9920" s="213"/>
      <c r="J9920" s="213"/>
      <c r="L9920" s="272">
        <f t="shared" si="691"/>
        <v>1900</v>
      </c>
      <c r="M9920" s="272">
        <f t="shared" si="692"/>
        <v>1</v>
      </c>
      <c r="O9920" s="61">
        <f t="shared" si="693"/>
        <v>1900</v>
      </c>
      <c r="P9920" s="61">
        <f t="shared" si="694"/>
        <v>1</v>
      </c>
    </row>
    <row r="9921" spans="9:16">
      <c r="I9921" s="213"/>
      <c r="J9921" s="213"/>
      <c r="L9921" s="272">
        <f t="shared" si="691"/>
        <v>1900</v>
      </c>
      <c r="M9921" s="272">
        <f t="shared" si="692"/>
        <v>1</v>
      </c>
      <c r="O9921" s="61">
        <f t="shared" si="693"/>
        <v>1900</v>
      </c>
      <c r="P9921" s="61">
        <f t="shared" si="694"/>
        <v>1</v>
      </c>
    </row>
    <row r="9922" spans="9:16">
      <c r="I9922" s="213"/>
      <c r="J9922" s="213"/>
      <c r="L9922" s="272">
        <f t="shared" si="691"/>
        <v>1900</v>
      </c>
      <c r="M9922" s="272">
        <f t="shared" si="692"/>
        <v>1</v>
      </c>
      <c r="O9922" s="61">
        <f t="shared" si="693"/>
        <v>1900</v>
      </c>
      <c r="P9922" s="61">
        <f t="shared" si="694"/>
        <v>1</v>
      </c>
    </row>
    <row r="9923" spans="9:16">
      <c r="I9923" s="213"/>
      <c r="J9923" s="213"/>
      <c r="L9923" s="272">
        <f t="shared" si="691"/>
        <v>1900</v>
      </c>
      <c r="M9923" s="272">
        <f t="shared" si="692"/>
        <v>1</v>
      </c>
      <c r="O9923" s="61">
        <f t="shared" si="693"/>
        <v>1900</v>
      </c>
      <c r="P9923" s="61">
        <f t="shared" si="694"/>
        <v>1</v>
      </c>
    </row>
    <row r="9924" spans="9:16">
      <c r="I9924" s="213"/>
      <c r="J9924" s="213"/>
      <c r="L9924" s="272">
        <f t="shared" si="691"/>
        <v>1900</v>
      </c>
      <c r="M9924" s="272">
        <f t="shared" si="692"/>
        <v>1</v>
      </c>
      <c r="O9924" s="61">
        <f t="shared" si="693"/>
        <v>1900</v>
      </c>
      <c r="P9924" s="61">
        <f t="shared" si="694"/>
        <v>1</v>
      </c>
    </row>
    <row r="9925" spans="9:16">
      <c r="I9925" s="213"/>
      <c r="J9925" s="213"/>
      <c r="L9925" s="272">
        <f t="shared" si="691"/>
        <v>1900</v>
      </c>
      <c r="M9925" s="272">
        <f t="shared" si="692"/>
        <v>1</v>
      </c>
      <c r="O9925" s="61">
        <f t="shared" si="693"/>
        <v>1900</v>
      </c>
      <c r="P9925" s="61">
        <f t="shared" si="694"/>
        <v>1</v>
      </c>
    </row>
    <row r="9926" spans="9:16">
      <c r="I9926" s="213"/>
      <c r="J9926" s="213"/>
      <c r="L9926" s="272">
        <f t="shared" si="691"/>
        <v>1900</v>
      </c>
      <c r="M9926" s="272">
        <f t="shared" si="692"/>
        <v>1</v>
      </c>
      <c r="O9926" s="61">
        <f t="shared" si="693"/>
        <v>1900</v>
      </c>
      <c r="P9926" s="61">
        <f t="shared" si="694"/>
        <v>1</v>
      </c>
    </row>
    <row r="9927" spans="9:16">
      <c r="I9927" s="213"/>
      <c r="J9927" s="213"/>
      <c r="L9927" s="272">
        <f t="shared" si="691"/>
        <v>1900</v>
      </c>
      <c r="M9927" s="272">
        <f t="shared" si="692"/>
        <v>1</v>
      </c>
      <c r="O9927" s="61">
        <f t="shared" si="693"/>
        <v>1900</v>
      </c>
      <c r="P9927" s="61">
        <f t="shared" si="694"/>
        <v>1</v>
      </c>
    </row>
    <row r="9928" spans="9:16">
      <c r="I9928" s="213"/>
      <c r="J9928" s="213"/>
      <c r="L9928" s="272">
        <f t="shared" si="691"/>
        <v>1900</v>
      </c>
      <c r="M9928" s="272">
        <f t="shared" si="692"/>
        <v>1</v>
      </c>
      <c r="O9928" s="61">
        <f t="shared" si="693"/>
        <v>1900</v>
      </c>
      <c r="P9928" s="61">
        <f t="shared" si="694"/>
        <v>1</v>
      </c>
    </row>
    <row r="9929" spans="9:16">
      <c r="I9929" s="213"/>
      <c r="J9929" s="213"/>
      <c r="L9929" s="272">
        <f t="shared" si="691"/>
        <v>1900</v>
      </c>
      <c r="M9929" s="272">
        <f t="shared" si="692"/>
        <v>1</v>
      </c>
      <c r="O9929" s="61">
        <f t="shared" si="693"/>
        <v>1900</v>
      </c>
      <c r="P9929" s="61">
        <f t="shared" si="694"/>
        <v>1</v>
      </c>
    </row>
    <row r="9930" spans="9:16">
      <c r="I9930" s="213"/>
      <c r="J9930" s="213"/>
      <c r="L9930" s="272">
        <f t="shared" si="691"/>
        <v>1900</v>
      </c>
      <c r="M9930" s="272">
        <f t="shared" si="692"/>
        <v>1</v>
      </c>
      <c r="O9930" s="61">
        <f t="shared" si="693"/>
        <v>1900</v>
      </c>
      <c r="P9930" s="61">
        <f t="shared" si="694"/>
        <v>1</v>
      </c>
    </row>
    <row r="9931" spans="9:16">
      <c r="I9931" s="213"/>
      <c r="J9931" s="213"/>
      <c r="L9931" s="272">
        <f t="shared" si="691"/>
        <v>1900</v>
      </c>
      <c r="M9931" s="272">
        <f t="shared" si="692"/>
        <v>1</v>
      </c>
      <c r="O9931" s="61">
        <f t="shared" si="693"/>
        <v>1900</v>
      </c>
      <c r="P9931" s="61">
        <f t="shared" si="694"/>
        <v>1</v>
      </c>
    </row>
    <row r="9932" spans="9:16">
      <c r="I9932" s="213"/>
      <c r="J9932" s="213"/>
      <c r="L9932" s="272">
        <f t="shared" si="691"/>
        <v>1900</v>
      </c>
      <c r="M9932" s="272">
        <f t="shared" si="692"/>
        <v>1</v>
      </c>
      <c r="O9932" s="61">
        <f t="shared" si="693"/>
        <v>1900</v>
      </c>
      <c r="P9932" s="61">
        <f t="shared" si="694"/>
        <v>1</v>
      </c>
    </row>
    <row r="9933" spans="9:16">
      <c r="I9933" s="213"/>
      <c r="J9933" s="213"/>
      <c r="L9933" s="272">
        <f t="shared" si="691"/>
        <v>1900</v>
      </c>
      <c r="M9933" s="272">
        <f t="shared" si="692"/>
        <v>1</v>
      </c>
      <c r="O9933" s="61">
        <f t="shared" si="693"/>
        <v>1900</v>
      </c>
      <c r="P9933" s="61">
        <f t="shared" si="694"/>
        <v>1</v>
      </c>
    </row>
    <row r="9934" spans="9:16">
      <c r="I9934" s="213"/>
      <c r="J9934" s="213"/>
      <c r="L9934" s="272">
        <f t="shared" si="691"/>
        <v>1900</v>
      </c>
      <c r="M9934" s="272">
        <f t="shared" si="692"/>
        <v>1</v>
      </c>
      <c r="O9934" s="61">
        <f t="shared" si="693"/>
        <v>1900</v>
      </c>
      <c r="P9934" s="61">
        <f t="shared" si="694"/>
        <v>1</v>
      </c>
    </row>
    <row r="9935" spans="9:16">
      <c r="I9935" s="213"/>
      <c r="J9935" s="213"/>
      <c r="L9935" s="272">
        <f t="shared" si="691"/>
        <v>1900</v>
      </c>
      <c r="M9935" s="272">
        <f t="shared" si="692"/>
        <v>1</v>
      </c>
      <c r="O9935" s="61">
        <f t="shared" si="693"/>
        <v>1900</v>
      </c>
      <c r="P9935" s="61">
        <f t="shared" si="694"/>
        <v>1</v>
      </c>
    </row>
    <row r="9936" spans="9:16">
      <c r="I9936" s="213"/>
      <c r="J9936" s="213"/>
      <c r="L9936" s="272">
        <f t="shared" ref="L9936:L9999" si="695">YEAR(B9936)</f>
        <v>1900</v>
      </c>
      <c r="M9936" s="272">
        <f t="shared" ref="M9936:M9999" si="696">MONTH(B9936)</f>
        <v>1</v>
      </c>
      <c r="O9936" s="61">
        <f t="shared" ref="O9936:O9999" si="697">YEAR(B9936)</f>
        <v>1900</v>
      </c>
      <c r="P9936" s="61">
        <f t="shared" ref="P9936:P9999" si="698">MONTH(B9936)</f>
        <v>1</v>
      </c>
    </row>
    <row r="9937" spans="9:16">
      <c r="I9937" s="213"/>
      <c r="J9937" s="213"/>
      <c r="L9937" s="272">
        <f t="shared" si="695"/>
        <v>1900</v>
      </c>
      <c r="M9937" s="272">
        <f t="shared" si="696"/>
        <v>1</v>
      </c>
      <c r="O9937" s="61">
        <f t="shared" si="697"/>
        <v>1900</v>
      </c>
      <c r="P9937" s="61">
        <f t="shared" si="698"/>
        <v>1</v>
      </c>
    </row>
    <row r="9938" spans="9:16">
      <c r="I9938" s="213"/>
      <c r="J9938" s="213"/>
      <c r="L9938" s="272">
        <f t="shared" si="695"/>
        <v>1900</v>
      </c>
      <c r="M9938" s="272">
        <f t="shared" si="696"/>
        <v>1</v>
      </c>
      <c r="O9938" s="61">
        <f t="shared" si="697"/>
        <v>1900</v>
      </c>
      <c r="P9938" s="61">
        <f t="shared" si="698"/>
        <v>1</v>
      </c>
    </row>
    <row r="9939" spans="9:16">
      <c r="I9939" s="213"/>
      <c r="J9939" s="213"/>
      <c r="L9939" s="272">
        <f t="shared" si="695"/>
        <v>1900</v>
      </c>
      <c r="M9939" s="272">
        <f t="shared" si="696"/>
        <v>1</v>
      </c>
      <c r="O9939" s="61">
        <f t="shared" si="697"/>
        <v>1900</v>
      </c>
      <c r="P9939" s="61">
        <f t="shared" si="698"/>
        <v>1</v>
      </c>
    </row>
    <row r="9940" spans="9:16">
      <c r="I9940" s="213"/>
      <c r="J9940" s="213"/>
      <c r="L9940" s="272">
        <f t="shared" si="695"/>
        <v>1900</v>
      </c>
      <c r="M9940" s="272">
        <f t="shared" si="696"/>
        <v>1</v>
      </c>
      <c r="O9940" s="61">
        <f t="shared" si="697"/>
        <v>1900</v>
      </c>
      <c r="P9940" s="61">
        <f t="shared" si="698"/>
        <v>1</v>
      </c>
    </row>
    <row r="9941" spans="9:16">
      <c r="I9941" s="213"/>
      <c r="J9941" s="213"/>
      <c r="L9941" s="272">
        <f t="shared" si="695"/>
        <v>1900</v>
      </c>
      <c r="M9941" s="272">
        <f t="shared" si="696"/>
        <v>1</v>
      </c>
      <c r="O9941" s="61">
        <f t="shared" si="697"/>
        <v>1900</v>
      </c>
      <c r="P9941" s="61">
        <f t="shared" si="698"/>
        <v>1</v>
      </c>
    </row>
    <row r="9942" spans="9:16">
      <c r="I9942" s="213"/>
      <c r="J9942" s="213"/>
      <c r="L9942" s="272">
        <f t="shared" si="695"/>
        <v>1900</v>
      </c>
      <c r="M9942" s="272">
        <f t="shared" si="696"/>
        <v>1</v>
      </c>
      <c r="O9942" s="61">
        <f t="shared" si="697"/>
        <v>1900</v>
      </c>
      <c r="P9942" s="61">
        <f t="shared" si="698"/>
        <v>1</v>
      </c>
    </row>
    <row r="9943" spans="9:16">
      <c r="I9943" s="213"/>
      <c r="J9943" s="213"/>
      <c r="L9943" s="272">
        <f t="shared" si="695"/>
        <v>1900</v>
      </c>
      <c r="M9943" s="272">
        <f t="shared" si="696"/>
        <v>1</v>
      </c>
      <c r="O9943" s="61">
        <f t="shared" si="697"/>
        <v>1900</v>
      </c>
      <c r="P9943" s="61">
        <f t="shared" si="698"/>
        <v>1</v>
      </c>
    </row>
    <row r="9944" spans="9:16">
      <c r="I9944" s="213"/>
      <c r="J9944" s="213"/>
      <c r="L9944" s="272">
        <f t="shared" si="695"/>
        <v>1900</v>
      </c>
      <c r="M9944" s="272">
        <f t="shared" si="696"/>
        <v>1</v>
      </c>
      <c r="O9944" s="61">
        <f t="shared" si="697"/>
        <v>1900</v>
      </c>
      <c r="P9944" s="61">
        <f t="shared" si="698"/>
        <v>1</v>
      </c>
    </row>
    <row r="9945" spans="9:16">
      <c r="I9945" s="213"/>
      <c r="J9945" s="213"/>
      <c r="L9945" s="272">
        <f t="shared" si="695"/>
        <v>1900</v>
      </c>
      <c r="M9945" s="272">
        <f t="shared" si="696"/>
        <v>1</v>
      </c>
      <c r="O9945" s="61">
        <f t="shared" si="697"/>
        <v>1900</v>
      </c>
      <c r="P9945" s="61">
        <f t="shared" si="698"/>
        <v>1</v>
      </c>
    </row>
    <row r="9946" spans="9:16">
      <c r="I9946" s="213"/>
      <c r="J9946" s="213"/>
      <c r="L9946" s="272">
        <f t="shared" si="695"/>
        <v>1900</v>
      </c>
      <c r="M9946" s="272">
        <f t="shared" si="696"/>
        <v>1</v>
      </c>
      <c r="O9946" s="61">
        <f t="shared" si="697"/>
        <v>1900</v>
      </c>
      <c r="P9946" s="61">
        <f t="shared" si="698"/>
        <v>1</v>
      </c>
    </row>
    <row r="9947" spans="9:16">
      <c r="I9947" s="213"/>
      <c r="J9947" s="213"/>
      <c r="L9947" s="272">
        <f t="shared" si="695"/>
        <v>1900</v>
      </c>
      <c r="M9947" s="272">
        <f t="shared" si="696"/>
        <v>1</v>
      </c>
      <c r="O9947" s="61">
        <f t="shared" si="697"/>
        <v>1900</v>
      </c>
      <c r="P9947" s="61">
        <f t="shared" si="698"/>
        <v>1</v>
      </c>
    </row>
    <row r="9948" spans="9:16">
      <c r="I9948" s="213"/>
      <c r="J9948" s="213"/>
      <c r="L9948" s="272">
        <f t="shared" si="695"/>
        <v>1900</v>
      </c>
      <c r="M9948" s="272">
        <f t="shared" si="696"/>
        <v>1</v>
      </c>
      <c r="O9948" s="61">
        <f t="shared" si="697"/>
        <v>1900</v>
      </c>
      <c r="P9948" s="61">
        <f t="shared" si="698"/>
        <v>1</v>
      </c>
    </row>
    <row r="9949" spans="9:16">
      <c r="I9949" s="213"/>
      <c r="J9949" s="213"/>
      <c r="L9949" s="272">
        <f t="shared" si="695"/>
        <v>1900</v>
      </c>
      <c r="M9949" s="272">
        <f t="shared" si="696"/>
        <v>1</v>
      </c>
      <c r="O9949" s="61">
        <f t="shared" si="697"/>
        <v>1900</v>
      </c>
      <c r="P9949" s="61">
        <f t="shared" si="698"/>
        <v>1</v>
      </c>
    </row>
    <row r="9950" spans="9:16">
      <c r="I9950" s="213"/>
      <c r="J9950" s="213"/>
      <c r="L9950" s="272">
        <f t="shared" si="695"/>
        <v>1900</v>
      </c>
      <c r="M9950" s="272">
        <f t="shared" si="696"/>
        <v>1</v>
      </c>
      <c r="O9950" s="61">
        <f t="shared" si="697"/>
        <v>1900</v>
      </c>
      <c r="P9950" s="61">
        <f t="shared" si="698"/>
        <v>1</v>
      </c>
    </row>
    <row r="9951" spans="9:16">
      <c r="I9951" s="213"/>
      <c r="J9951" s="213"/>
      <c r="L9951" s="272">
        <f t="shared" si="695"/>
        <v>1900</v>
      </c>
      <c r="M9951" s="272">
        <f t="shared" si="696"/>
        <v>1</v>
      </c>
      <c r="O9951" s="61">
        <f t="shared" si="697"/>
        <v>1900</v>
      </c>
      <c r="P9951" s="61">
        <f t="shared" si="698"/>
        <v>1</v>
      </c>
    </row>
    <row r="9952" spans="9:16">
      <c r="I9952" s="213"/>
      <c r="J9952" s="213"/>
      <c r="L9952" s="272">
        <f t="shared" si="695"/>
        <v>1900</v>
      </c>
      <c r="M9952" s="272">
        <f t="shared" si="696"/>
        <v>1</v>
      </c>
      <c r="O9952" s="61">
        <f t="shared" si="697"/>
        <v>1900</v>
      </c>
      <c r="P9952" s="61">
        <f t="shared" si="698"/>
        <v>1</v>
      </c>
    </row>
    <row r="9953" spans="9:16">
      <c r="I9953" s="213"/>
      <c r="J9953" s="213"/>
      <c r="L9953" s="272">
        <f t="shared" si="695"/>
        <v>1900</v>
      </c>
      <c r="M9953" s="272">
        <f t="shared" si="696"/>
        <v>1</v>
      </c>
      <c r="O9953" s="61">
        <f t="shared" si="697"/>
        <v>1900</v>
      </c>
      <c r="P9953" s="61">
        <f t="shared" si="698"/>
        <v>1</v>
      </c>
    </row>
    <row r="9954" spans="9:16">
      <c r="I9954" s="213"/>
      <c r="J9954" s="213"/>
      <c r="L9954" s="272">
        <f t="shared" si="695"/>
        <v>1900</v>
      </c>
      <c r="M9954" s="272">
        <f t="shared" si="696"/>
        <v>1</v>
      </c>
      <c r="O9954" s="61">
        <f t="shared" si="697"/>
        <v>1900</v>
      </c>
      <c r="P9954" s="61">
        <f t="shared" si="698"/>
        <v>1</v>
      </c>
    </row>
    <row r="9955" spans="9:16">
      <c r="I9955" s="213"/>
      <c r="J9955" s="213"/>
      <c r="L9955" s="272">
        <f t="shared" si="695"/>
        <v>1900</v>
      </c>
      <c r="M9955" s="272">
        <f t="shared" si="696"/>
        <v>1</v>
      </c>
      <c r="O9955" s="61">
        <f t="shared" si="697"/>
        <v>1900</v>
      </c>
      <c r="P9955" s="61">
        <f t="shared" si="698"/>
        <v>1</v>
      </c>
    </row>
    <row r="9956" spans="9:16">
      <c r="I9956" s="213"/>
      <c r="J9956" s="213"/>
      <c r="L9956" s="272">
        <f t="shared" si="695"/>
        <v>1900</v>
      </c>
      <c r="M9956" s="272">
        <f t="shared" si="696"/>
        <v>1</v>
      </c>
      <c r="O9956" s="61">
        <f t="shared" si="697"/>
        <v>1900</v>
      </c>
      <c r="P9956" s="61">
        <f t="shared" si="698"/>
        <v>1</v>
      </c>
    </row>
    <row r="9957" spans="9:16">
      <c r="I9957" s="213"/>
      <c r="J9957" s="213"/>
      <c r="L9957" s="272">
        <f t="shared" si="695"/>
        <v>1900</v>
      </c>
      <c r="M9957" s="272">
        <f t="shared" si="696"/>
        <v>1</v>
      </c>
      <c r="O9957" s="61">
        <f t="shared" si="697"/>
        <v>1900</v>
      </c>
      <c r="P9957" s="61">
        <f t="shared" si="698"/>
        <v>1</v>
      </c>
    </row>
    <row r="9958" spans="9:16">
      <c r="I9958" s="213"/>
      <c r="J9958" s="213"/>
      <c r="L9958" s="272">
        <f t="shared" si="695"/>
        <v>1900</v>
      </c>
      <c r="M9958" s="272">
        <f t="shared" si="696"/>
        <v>1</v>
      </c>
      <c r="O9958" s="61">
        <f t="shared" si="697"/>
        <v>1900</v>
      </c>
      <c r="P9958" s="61">
        <f t="shared" si="698"/>
        <v>1</v>
      </c>
    </row>
    <row r="9959" spans="9:16">
      <c r="I9959" s="213"/>
      <c r="J9959" s="213"/>
      <c r="L9959" s="272">
        <f t="shared" si="695"/>
        <v>1900</v>
      </c>
      <c r="M9959" s="272">
        <f t="shared" si="696"/>
        <v>1</v>
      </c>
      <c r="O9959" s="61">
        <f t="shared" si="697"/>
        <v>1900</v>
      </c>
      <c r="P9959" s="61">
        <f t="shared" si="698"/>
        <v>1</v>
      </c>
    </row>
    <row r="9960" spans="9:16">
      <c r="I9960" s="213"/>
      <c r="J9960" s="213"/>
      <c r="L9960" s="272">
        <f t="shared" si="695"/>
        <v>1900</v>
      </c>
      <c r="M9960" s="272">
        <f t="shared" si="696"/>
        <v>1</v>
      </c>
      <c r="O9960" s="61">
        <f t="shared" si="697"/>
        <v>1900</v>
      </c>
      <c r="P9960" s="61">
        <f t="shared" si="698"/>
        <v>1</v>
      </c>
    </row>
    <row r="9961" spans="9:16">
      <c r="I9961" s="213"/>
      <c r="J9961" s="213"/>
      <c r="L9961" s="272">
        <f t="shared" si="695"/>
        <v>1900</v>
      </c>
      <c r="M9961" s="272">
        <f t="shared" si="696"/>
        <v>1</v>
      </c>
      <c r="O9961" s="61">
        <f t="shared" si="697"/>
        <v>1900</v>
      </c>
      <c r="P9961" s="61">
        <f t="shared" si="698"/>
        <v>1</v>
      </c>
    </row>
    <row r="9962" spans="9:16">
      <c r="I9962" s="213"/>
      <c r="J9962" s="213"/>
      <c r="L9962" s="272">
        <f t="shared" si="695"/>
        <v>1900</v>
      </c>
      <c r="M9962" s="272">
        <f t="shared" si="696"/>
        <v>1</v>
      </c>
      <c r="O9962" s="61">
        <f t="shared" si="697"/>
        <v>1900</v>
      </c>
      <c r="P9962" s="61">
        <f t="shared" si="698"/>
        <v>1</v>
      </c>
    </row>
    <row r="9963" spans="9:16">
      <c r="I9963" s="213"/>
      <c r="J9963" s="213"/>
      <c r="L9963" s="272">
        <f t="shared" si="695"/>
        <v>1900</v>
      </c>
      <c r="M9963" s="272">
        <f t="shared" si="696"/>
        <v>1</v>
      </c>
      <c r="O9963" s="61">
        <f t="shared" si="697"/>
        <v>1900</v>
      </c>
      <c r="P9963" s="61">
        <f t="shared" si="698"/>
        <v>1</v>
      </c>
    </row>
    <row r="9964" spans="9:16">
      <c r="I9964" s="213"/>
      <c r="J9964" s="213"/>
      <c r="L9964" s="272">
        <f t="shared" si="695"/>
        <v>1900</v>
      </c>
      <c r="M9964" s="272">
        <f t="shared" si="696"/>
        <v>1</v>
      </c>
      <c r="O9964" s="61">
        <f t="shared" si="697"/>
        <v>1900</v>
      </c>
      <c r="P9964" s="61">
        <f t="shared" si="698"/>
        <v>1</v>
      </c>
    </row>
    <row r="9965" spans="9:16">
      <c r="I9965" s="213"/>
      <c r="J9965" s="213"/>
      <c r="L9965" s="272">
        <f t="shared" si="695"/>
        <v>1900</v>
      </c>
      <c r="M9965" s="272">
        <f t="shared" si="696"/>
        <v>1</v>
      </c>
      <c r="O9965" s="61">
        <f t="shared" si="697"/>
        <v>1900</v>
      </c>
      <c r="P9965" s="61">
        <f t="shared" si="698"/>
        <v>1</v>
      </c>
    </row>
    <row r="9966" spans="9:16">
      <c r="I9966" s="213"/>
      <c r="J9966" s="213"/>
      <c r="L9966" s="272">
        <f t="shared" si="695"/>
        <v>1900</v>
      </c>
      <c r="M9966" s="272">
        <f t="shared" si="696"/>
        <v>1</v>
      </c>
      <c r="O9966" s="61">
        <f t="shared" si="697"/>
        <v>1900</v>
      </c>
      <c r="P9966" s="61">
        <f t="shared" si="698"/>
        <v>1</v>
      </c>
    </row>
    <row r="9967" spans="9:16">
      <c r="I9967" s="213"/>
      <c r="J9967" s="213"/>
      <c r="L9967" s="272">
        <f t="shared" si="695"/>
        <v>1900</v>
      </c>
      <c r="M9967" s="272">
        <f t="shared" si="696"/>
        <v>1</v>
      </c>
      <c r="O9967" s="61">
        <f t="shared" si="697"/>
        <v>1900</v>
      </c>
      <c r="P9967" s="61">
        <f t="shared" si="698"/>
        <v>1</v>
      </c>
    </row>
    <row r="9968" spans="9:16">
      <c r="I9968" s="213"/>
      <c r="J9968" s="213"/>
      <c r="L9968" s="272">
        <f t="shared" si="695"/>
        <v>1900</v>
      </c>
      <c r="M9968" s="272">
        <f t="shared" si="696"/>
        <v>1</v>
      </c>
      <c r="O9968" s="61">
        <f t="shared" si="697"/>
        <v>1900</v>
      </c>
      <c r="P9968" s="61">
        <f t="shared" si="698"/>
        <v>1</v>
      </c>
    </row>
    <row r="9969" spans="9:16">
      <c r="I9969" s="213"/>
      <c r="J9969" s="213"/>
      <c r="L9969" s="272">
        <f t="shared" si="695"/>
        <v>1900</v>
      </c>
      <c r="M9969" s="272">
        <f t="shared" si="696"/>
        <v>1</v>
      </c>
      <c r="O9969" s="61">
        <f t="shared" si="697"/>
        <v>1900</v>
      </c>
      <c r="P9969" s="61">
        <f t="shared" si="698"/>
        <v>1</v>
      </c>
    </row>
    <row r="9970" spans="9:16">
      <c r="I9970" s="213"/>
      <c r="J9970" s="213"/>
      <c r="L9970" s="272">
        <f t="shared" si="695"/>
        <v>1900</v>
      </c>
      <c r="M9970" s="272">
        <f t="shared" si="696"/>
        <v>1</v>
      </c>
      <c r="O9970" s="61">
        <f t="shared" si="697"/>
        <v>1900</v>
      </c>
      <c r="P9970" s="61">
        <f t="shared" si="698"/>
        <v>1</v>
      </c>
    </row>
    <row r="9971" spans="9:16">
      <c r="I9971" s="213"/>
      <c r="J9971" s="213"/>
      <c r="L9971" s="272">
        <f t="shared" si="695"/>
        <v>1900</v>
      </c>
      <c r="M9971" s="272">
        <f t="shared" si="696"/>
        <v>1</v>
      </c>
      <c r="O9971" s="61">
        <f t="shared" si="697"/>
        <v>1900</v>
      </c>
      <c r="P9971" s="61">
        <f t="shared" si="698"/>
        <v>1</v>
      </c>
    </row>
    <row r="9972" spans="9:16">
      <c r="I9972" s="213"/>
      <c r="J9972" s="213"/>
      <c r="L9972" s="272">
        <f t="shared" si="695"/>
        <v>1900</v>
      </c>
      <c r="M9972" s="272">
        <f t="shared" si="696"/>
        <v>1</v>
      </c>
      <c r="O9972" s="61">
        <f t="shared" si="697"/>
        <v>1900</v>
      </c>
      <c r="P9972" s="61">
        <f t="shared" si="698"/>
        <v>1</v>
      </c>
    </row>
    <row r="9973" spans="9:16">
      <c r="I9973" s="213"/>
      <c r="J9973" s="213"/>
      <c r="L9973" s="272">
        <f t="shared" si="695"/>
        <v>1900</v>
      </c>
      <c r="M9973" s="272">
        <f t="shared" si="696"/>
        <v>1</v>
      </c>
      <c r="O9973" s="61">
        <f t="shared" si="697"/>
        <v>1900</v>
      </c>
      <c r="P9973" s="61">
        <f t="shared" si="698"/>
        <v>1</v>
      </c>
    </row>
    <row r="9974" spans="9:16">
      <c r="I9974" s="213"/>
      <c r="J9974" s="213"/>
      <c r="L9974" s="272">
        <f t="shared" si="695"/>
        <v>1900</v>
      </c>
      <c r="M9974" s="272">
        <f t="shared" si="696"/>
        <v>1</v>
      </c>
      <c r="O9974" s="61">
        <f t="shared" si="697"/>
        <v>1900</v>
      </c>
      <c r="P9974" s="61">
        <f t="shared" si="698"/>
        <v>1</v>
      </c>
    </row>
    <row r="9975" spans="9:16">
      <c r="I9975" s="213"/>
      <c r="J9975" s="213"/>
      <c r="L9975" s="272">
        <f t="shared" si="695"/>
        <v>1900</v>
      </c>
      <c r="M9975" s="272">
        <f t="shared" si="696"/>
        <v>1</v>
      </c>
      <c r="O9975" s="61">
        <f t="shared" si="697"/>
        <v>1900</v>
      </c>
      <c r="P9975" s="61">
        <f t="shared" si="698"/>
        <v>1</v>
      </c>
    </row>
    <row r="9976" spans="9:16">
      <c r="I9976" s="213"/>
      <c r="J9976" s="213"/>
      <c r="L9976" s="272">
        <f t="shared" si="695"/>
        <v>1900</v>
      </c>
      <c r="M9976" s="272">
        <f t="shared" si="696"/>
        <v>1</v>
      </c>
      <c r="O9976" s="61">
        <f t="shared" si="697"/>
        <v>1900</v>
      </c>
      <c r="P9976" s="61">
        <f t="shared" si="698"/>
        <v>1</v>
      </c>
    </row>
    <row r="9977" spans="9:16">
      <c r="I9977" s="213"/>
      <c r="J9977" s="213"/>
      <c r="L9977" s="272">
        <f t="shared" si="695"/>
        <v>1900</v>
      </c>
      <c r="M9977" s="272">
        <f t="shared" si="696"/>
        <v>1</v>
      </c>
      <c r="O9977" s="61">
        <f t="shared" si="697"/>
        <v>1900</v>
      </c>
      <c r="P9977" s="61">
        <f t="shared" si="698"/>
        <v>1</v>
      </c>
    </row>
    <row r="9978" spans="9:16">
      <c r="I9978" s="213"/>
      <c r="J9978" s="213"/>
      <c r="L9978" s="272">
        <f t="shared" si="695"/>
        <v>1900</v>
      </c>
      <c r="M9978" s="272">
        <f t="shared" si="696"/>
        <v>1</v>
      </c>
      <c r="O9978" s="61">
        <f t="shared" si="697"/>
        <v>1900</v>
      </c>
      <c r="P9978" s="61">
        <f t="shared" si="698"/>
        <v>1</v>
      </c>
    </row>
    <row r="9979" spans="9:16">
      <c r="I9979" s="213"/>
      <c r="J9979" s="213"/>
      <c r="L9979" s="272">
        <f t="shared" si="695"/>
        <v>1900</v>
      </c>
      <c r="M9979" s="272">
        <f t="shared" si="696"/>
        <v>1</v>
      </c>
      <c r="O9979" s="61">
        <f t="shared" si="697"/>
        <v>1900</v>
      </c>
      <c r="P9979" s="61">
        <f t="shared" si="698"/>
        <v>1</v>
      </c>
    </row>
    <row r="9980" spans="9:16">
      <c r="I9980" s="213"/>
      <c r="J9980" s="213"/>
      <c r="L9980" s="272">
        <f t="shared" si="695"/>
        <v>1900</v>
      </c>
      <c r="M9980" s="272">
        <f t="shared" si="696"/>
        <v>1</v>
      </c>
      <c r="O9980" s="61">
        <f t="shared" si="697"/>
        <v>1900</v>
      </c>
      <c r="P9980" s="61">
        <f t="shared" si="698"/>
        <v>1</v>
      </c>
    </row>
    <row r="9981" spans="9:16">
      <c r="I9981" s="213"/>
      <c r="J9981" s="213"/>
      <c r="L9981" s="272">
        <f t="shared" si="695"/>
        <v>1900</v>
      </c>
      <c r="M9981" s="272">
        <f t="shared" si="696"/>
        <v>1</v>
      </c>
      <c r="O9981" s="61">
        <f t="shared" si="697"/>
        <v>1900</v>
      </c>
      <c r="P9981" s="61">
        <f t="shared" si="698"/>
        <v>1</v>
      </c>
    </row>
    <row r="9982" spans="9:16">
      <c r="I9982" s="213"/>
      <c r="J9982" s="213"/>
      <c r="L9982" s="272">
        <f t="shared" si="695"/>
        <v>1900</v>
      </c>
      <c r="M9982" s="272">
        <f t="shared" si="696"/>
        <v>1</v>
      </c>
      <c r="O9982" s="61">
        <f t="shared" si="697"/>
        <v>1900</v>
      </c>
      <c r="P9982" s="61">
        <f t="shared" si="698"/>
        <v>1</v>
      </c>
    </row>
    <row r="9983" spans="9:16">
      <c r="I9983" s="213"/>
      <c r="J9983" s="213"/>
      <c r="L9983" s="272">
        <f t="shared" si="695"/>
        <v>1900</v>
      </c>
      <c r="M9983" s="272">
        <f t="shared" si="696"/>
        <v>1</v>
      </c>
      <c r="O9983" s="61">
        <f t="shared" si="697"/>
        <v>1900</v>
      </c>
      <c r="P9983" s="61">
        <f t="shared" si="698"/>
        <v>1</v>
      </c>
    </row>
    <row r="9984" spans="9:16">
      <c r="I9984" s="213"/>
      <c r="J9984" s="213"/>
      <c r="L9984" s="272">
        <f t="shared" si="695"/>
        <v>1900</v>
      </c>
      <c r="M9984" s="272">
        <f t="shared" si="696"/>
        <v>1</v>
      </c>
      <c r="O9984" s="61">
        <f t="shared" si="697"/>
        <v>1900</v>
      </c>
      <c r="P9984" s="61">
        <f t="shared" si="698"/>
        <v>1</v>
      </c>
    </row>
    <row r="9985" spans="9:16">
      <c r="I9985" s="213"/>
      <c r="J9985" s="213"/>
      <c r="L9985" s="272">
        <f t="shared" si="695"/>
        <v>1900</v>
      </c>
      <c r="M9985" s="272">
        <f t="shared" si="696"/>
        <v>1</v>
      </c>
      <c r="O9985" s="61">
        <f t="shared" si="697"/>
        <v>1900</v>
      </c>
      <c r="P9985" s="61">
        <f t="shared" si="698"/>
        <v>1</v>
      </c>
    </row>
    <row r="9986" spans="9:16">
      <c r="I9986" s="213"/>
      <c r="J9986" s="213"/>
      <c r="L9986" s="272">
        <f t="shared" si="695"/>
        <v>1900</v>
      </c>
      <c r="M9986" s="272">
        <f t="shared" si="696"/>
        <v>1</v>
      </c>
      <c r="O9986" s="61">
        <f t="shared" si="697"/>
        <v>1900</v>
      </c>
      <c r="P9986" s="61">
        <f t="shared" si="698"/>
        <v>1</v>
      </c>
    </row>
    <row r="9987" spans="9:16">
      <c r="I9987" s="213"/>
      <c r="J9987" s="213"/>
      <c r="L9987" s="272">
        <f t="shared" si="695"/>
        <v>1900</v>
      </c>
      <c r="M9987" s="272">
        <f t="shared" si="696"/>
        <v>1</v>
      </c>
      <c r="O9987" s="61">
        <f t="shared" si="697"/>
        <v>1900</v>
      </c>
      <c r="P9987" s="61">
        <f t="shared" si="698"/>
        <v>1</v>
      </c>
    </row>
    <row r="9988" spans="9:16">
      <c r="I9988" s="213"/>
      <c r="J9988" s="213"/>
      <c r="L9988" s="272">
        <f t="shared" si="695"/>
        <v>1900</v>
      </c>
      <c r="M9988" s="272">
        <f t="shared" si="696"/>
        <v>1</v>
      </c>
      <c r="O9988" s="61">
        <f t="shared" si="697"/>
        <v>1900</v>
      </c>
      <c r="P9988" s="61">
        <f t="shared" si="698"/>
        <v>1</v>
      </c>
    </row>
    <row r="9989" spans="9:16">
      <c r="I9989" s="213"/>
      <c r="J9989" s="213"/>
      <c r="L9989" s="272">
        <f t="shared" si="695"/>
        <v>1900</v>
      </c>
      <c r="M9989" s="272">
        <f t="shared" si="696"/>
        <v>1</v>
      </c>
      <c r="O9989" s="61">
        <f t="shared" si="697"/>
        <v>1900</v>
      </c>
      <c r="P9989" s="61">
        <f t="shared" si="698"/>
        <v>1</v>
      </c>
    </row>
    <row r="9990" spans="9:16">
      <c r="I9990" s="213"/>
      <c r="J9990" s="213"/>
      <c r="L9990" s="272">
        <f t="shared" si="695"/>
        <v>1900</v>
      </c>
      <c r="M9990" s="272">
        <f t="shared" si="696"/>
        <v>1</v>
      </c>
      <c r="O9990" s="61">
        <f t="shared" si="697"/>
        <v>1900</v>
      </c>
      <c r="P9990" s="61">
        <f t="shared" si="698"/>
        <v>1</v>
      </c>
    </row>
    <row r="9991" spans="9:16">
      <c r="I9991" s="213"/>
      <c r="J9991" s="213"/>
      <c r="L9991" s="272">
        <f t="shared" si="695"/>
        <v>1900</v>
      </c>
      <c r="M9991" s="272">
        <f t="shared" si="696"/>
        <v>1</v>
      </c>
      <c r="O9991" s="61">
        <f t="shared" si="697"/>
        <v>1900</v>
      </c>
      <c r="P9991" s="61">
        <f t="shared" si="698"/>
        <v>1</v>
      </c>
    </row>
    <row r="9992" spans="9:16">
      <c r="I9992" s="213"/>
      <c r="J9992" s="213"/>
      <c r="L9992" s="272">
        <f t="shared" si="695"/>
        <v>1900</v>
      </c>
      <c r="M9992" s="272">
        <f t="shared" si="696"/>
        <v>1</v>
      </c>
      <c r="O9992" s="61">
        <f t="shared" si="697"/>
        <v>1900</v>
      </c>
      <c r="P9992" s="61">
        <f t="shared" si="698"/>
        <v>1</v>
      </c>
    </row>
    <row r="9993" spans="9:16">
      <c r="I9993" s="213"/>
      <c r="J9993" s="213"/>
      <c r="L9993" s="272">
        <f t="shared" si="695"/>
        <v>1900</v>
      </c>
      <c r="M9993" s="272">
        <f t="shared" si="696"/>
        <v>1</v>
      </c>
      <c r="O9993" s="61">
        <f t="shared" si="697"/>
        <v>1900</v>
      </c>
      <c r="P9993" s="61">
        <f t="shared" si="698"/>
        <v>1</v>
      </c>
    </row>
    <row r="9994" spans="9:16">
      <c r="I9994" s="213"/>
      <c r="J9994" s="213"/>
      <c r="L9994" s="272">
        <f t="shared" si="695"/>
        <v>1900</v>
      </c>
      <c r="M9994" s="272">
        <f t="shared" si="696"/>
        <v>1</v>
      </c>
      <c r="O9994" s="61">
        <f t="shared" si="697"/>
        <v>1900</v>
      </c>
      <c r="P9994" s="61">
        <f t="shared" si="698"/>
        <v>1</v>
      </c>
    </row>
    <row r="9995" spans="9:16">
      <c r="I9995" s="213"/>
      <c r="J9995" s="213"/>
      <c r="L9995" s="272">
        <f t="shared" si="695"/>
        <v>1900</v>
      </c>
      <c r="M9995" s="272">
        <f t="shared" si="696"/>
        <v>1</v>
      </c>
      <c r="O9995" s="61">
        <f t="shared" si="697"/>
        <v>1900</v>
      </c>
      <c r="P9995" s="61">
        <f t="shared" si="698"/>
        <v>1</v>
      </c>
    </row>
    <row r="9996" spans="9:16">
      <c r="I9996" s="213"/>
      <c r="J9996" s="213"/>
      <c r="L9996" s="272">
        <f t="shared" si="695"/>
        <v>1900</v>
      </c>
      <c r="M9996" s="272">
        <f t="shared" si="696"/>
        <v>1</v>
      </c>
      <c r="O9996" s="61">
        <f t="shared" si="697"/>
        <v>1900</v>
      </c>
      <c r="P9996" s="61">
        <f t="shared" si="698"/>
        <v>1</v>
      </c>
    </row>
    <row r="9997" spans="9:16">
      <c r="I9997" s="213"/>
      <c r="J9997" s="213"/>
      <c r="L9997" s="272">
        <f t="shared" si="695"/>
        <v>1900</v>
      </c>
      <c r="M9997" s="272">
        <f t="shared" si="696"/>
        <v>1</v>
      </c>
      <c r="O9997" s="61">
        <f t="shared" si="697"/>
        <v>1900</v>
      </c>
      <c r="P9997" s="61">
        <f t="shared" si="698"/>
        <v>1</v>
      </c>
    </row>
    <row r="9998" spans="9:16">
      <c r="I9998" s="213"/>
      <c r="J9998" s="213"/>
      <c r="L9998" s="272">
        <f t="shared" si="695"/>
        <v>1900</v>
      </c>
      <c r="M9998" s="272">
        <f t="shared" si="696"/>
        <v>1</v>
      </c>
      <c r="O9998" s="61">
        <f t="shared" si="697"/>
        <v>1900</v>
      </c>
      <c r="P9998" s="61">
        <f t="shared" si="698"/>
        <v>1</v>
      </c>
    </row>
    <row r="9999" spans="9:16">
      <c r="I9999" s="213"/>
      <c r="J9999" s="213"/>
      <c r="L9999" s="272">
        <f t="shared" si="695"/>
        <v>1900</v>
      </c>
      <c r="M9999" s="272">
        <f t="shared" si="696"/>
        <v>1</v>
      </c>
      <c r="O9999" s="61">
        <f t="shared" si="697"/>
        <v>1900</v>
      </c>
      <c r="P9999" s="61">
        <f t="shared" si="698"/>
        <v>1</v>
      </c>
    </row>
    <row r="10000" spans="9:16">
      <c r="I10000" s="213"/>
      <c r="J10000" s="213"/>
      <c r="L10000" s="272">
        <f t="shared" ref="L10000" si="699">YEAR(B10000)</f>
        <v>1900</v>
      </c>
      <c r="M10000" s="272">
        <f t="shared" ref="M10000" si="700">MONTH(B10000)</f>
        <v>1</v>
      </c>
      <c r="O10000" s="61">
        <f t="shared" ref="O10000" si="701">YEAR(B10000)</f>
        <v>1900</v>
      </c>
      <c r="P10000" s="61">
        <f t="shared" ref="P10000" si="702">MONTH(B10000)</f>
        <v>1</v>
      </c>
    </row>
  </sheetData>
  <sheetProtection algorithmName="SHA-512" hashValue="YVBQmkDYTEoRks6H3PrjbSIj8P6GfoiUNnbEZTv+4IQpZs1X9R0R10O3jQmYqynZUp7Wow4T/4/k/MVeGpUUpQ==" saltValue="FBHh038vJ9C8Yc8aQYn/cA==" spinCount="100000" sheet="1" objects="1" scenarios="1" selectLockedCells="1"/>
  <protectedRanges>
    <protectedRange sqref="E30:E32 B30:C32 G26:G32" name="Range1_2_1"/>
    <protectedRange sqref="D30:D32" name="Range1_1_1_1"/>
    <protectedRange sqref="F30:F32 B26:F29 B15:H25" name="Range1_1_2"/>
    <protectedRange sqref="F275:F277" name="Range1_1_1_2"/>
    <protectedRange sqref="C85:E85 C104:G110 C103:E103 B84:E84 C86:G92 B85:B92 B93:E102 B103:B110 G84:G110 C240:E240 C259:G261 C258:E258 B239:E239 C241:G247 B240:B247 B248:E257 B258:B261 G239:G266 B262:D264 B265:B266 E262:G266 B329:E355 C484:E506" name="Range1_3_1"/>
    <protectedRange sqref="E44:E81 B44:C81 E83 B83:C83 G44:G81 G83 E199:E236 B199:C236 E238 B238:C238 G199:G236 G238 E289:E326 B289:C326 E328 B328:C328 E444:E481 C444:C481 E483 C483" name="Range1_2_1_1"/>
    <protectedRange sqref="D44:D81 D83 D199:D236 D238 D289:D326 D328 D444:D481 D483" name="Range1_1_1_1_1"/>
    <protectedRange sqref="B82:E82 B33:H43 G82:H82 F34:F187 B237:E237 B188:H198 G237:H237 F189:F274 B327:E327 B278:F278 C482:E482 C433:E443 B279:E288 F279:F506" name="Range1_1_2_1"/>
  </protectedRanges>
  <sortState xmlns:xlrd2="http://schemas.microsoft.com/office/spreadsheetml/2017/richdata2" ref="B11:F151">
    <sortCondition ref="B11:B151"/>
  </sortState>
  <dataConsolidate/>
  <mergeCells count="8">
    <mergeCell ref="R13:T13"/>
    <mergeCell ref="L13:N13"/>
    <mergeCell ref="G14:H14"/>
    <mergeCell ref="G1:H1"/>
    <mergeCell ref="B13:C13"/>
    <mergeCell ref="B4:C4"/>
    <mergeCell ref="B2:C2"/>
    <mergeCell ref="B3:C3"/>
  </mergeCells>
  <phoneticPr fontId="18"/>
  <dataValidations count="2">
    <dataValidation type="list" allowBlank="1" showInputMessage="1" showErrorMessage="1" sqref="D15:D1224" xr:uid="{00000000-0002-0000-0000-000000000000}">
      <formula1>CountryNames</formula1>
    </dataValidation>
    <dataValidation type="list" allowBlank="1" showInputMessage="1" showErrorMessage="1" sqref="F15:F1224" xr:uid="{00000000-0002-0000-0000-000001000000}">
      <formula1>YesNo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77" orientation="portrait" r:id="rId1"/>
  <drawing r:id="rId2"/>
  <legacyDrawing r:id="rId3"/>
  <controls>
    <mc:AlternateContent xmlns:mc="http://schemas.openxmlformats.org/markup-compatibility/2006">
      <mc:Choice Requires="x14">
        <control shapeId="2074" r:id="rId4" name="cmbNoOfRooms">
          <controlPr defaultSize="0" autoLine="0" linkedCell="Management!H7" listFillRange="Management!E1:E25" r:id="rId5">
            <anchor moveWithCells="1">
              <from>
                <xdr:col>2</xdr:col>
                <xdr:colOff>518160</xdr:colOff>
                <xdr:row>6</xdr:row>
                <xdr:rowOff>30480</xdr:rowOff>
              </from>
              <to>
                <xdr:col>3</xdr:col>
                <xdr:colOff>601980</xdr:colOff>
                <xdr:row>7</xdr:row>
                <xdr:rowOff>15240</xdr:rowOff>
              </to>
            </anchor>
          </controlPr>
        </control>
      </mc:Choice>
      <mc:Fallback>
        <control shapeId="2074" r:id="rId4" name="cmbNoOfRooms"/>
      </mc:Fallback>
    </mc:AlternateContent>
    <mc:AlternateContent xmlns:mc="http://schemas.openxmlformats.org/markup-compatibility/2006">
      <mc:Choice Requires="x14">
        <control shapeId="2072" r:id="rId6" name="cmbNoGuest">
          <controlPr defaultSize="0" autoLine="0" listFillRange="Management!E1:E20" r:id="rId7">
            <anchor moveWithCells="1">
              <from>
                <xdr:col>4</xdr:col>
                <xdr:colOff>76200</xdr:colOff>
                <xdr:row>9</xdr:row>
                <xdr:rowOff>38100</xdr:rowOff>
              </from>
              <to>
                <xdr:col>4</xdr:col>
                <xdr:colOff>769620</xdr:colOff>
                <xdr:row>10</xdr:row>
                <xdr:rowOff>7620</xdr:rowOff>
              </to>
            </anchor>
          </controlPr>
        </control>
      </mc:Choice>
      <mc:Fallback>
        <control shapeId="2072" r:id="rId6" name="cmbNoGuest"/>
      </mc:Fallback>
    </mc:AlternateContent>
    <mc:AlternateContent xmlns:mc="http://schemas.openxmlformats.org/markup-compatibility/2006">
      <mc:Choice Requires="x14">
        <control shapeId="2061" r:id="rId8" name="cbCheckInDay">
          <controlPr defaultSize="0" autoFill="0" autoLine="0" r:id="rId9">
            <anchor moveWithCells="1">
              <from>
                <xdr:col>6</xdr:col>
                <xdr:colOff>0</xdr:colOff>
                <xdr:row>8</xdr:row>
                <xdr:rowOff>190500</xdr:rowOff>
              </from>
              <to>
                <xdr:col>7</xdr:col>
                <xdr:colOff>746760</xdr:colOff>
                <xdr:row>9</xdr:row>
                <xdr:rowOff>205740</xdr:rowOff>
              </to>
            </anchor>
          </controlPr>
        </control>
      </mc:Choice>
      <mc:Fallback>
        <control shapeId="2061" r:id="rId8" name="cbCheckInDay"/>
      </mc:Fallback>
    </mc:AlternateContent>
    <mc:AlternateContent xmlns:mc="http://schemas.openxmlformats.org/markup-compatibility/2006">
      <mc:Choice Requires="x14">
        <control shapeId="2062" r:id="rId10" name="cmbCountry">
          <controlPr defaultSize="0" autoLine="0" autoPict="0" listFillRange="Management!A1:A235" r:id="rId11">
            <anchor moveWithCells="1">
              <from>
                <xdr:col>2</xdr:col>
                <xdr:colOff>137160</xdr:colOff>
                <xdr:row>10</xdr:row>
                <xdr:rowOff>76200</xdr:rowOff>
              </from>
              <to>
                <xdr:col>4</xdr:col>
                <xdr:colOff>30480</xdr:colOff>
                <xdr:row>10</xdr:row>
                <xdr:rowOff>350520</xdr:rowOff>
              </to>
            </anchor>
          </controlPr>
        </control>
      </mc:Choice>
      <mc:Fallback>
        <control shapeId="2062" r:id="rId10" name="cmbCountry"/>
      </mc:Fallback>
    </mc:AlternateContent>
    <mc:AlternateContent xmlns:mc="http://schemas.openxmlformats.org/markup-compatibility/2006">
      <mc:Choice Requires="x14">
        <control shapeId="2067" r:id="rId12" name="cmdAdd">
          <controlPr defaultSize="0" autoLine="0" r:id="rId13">
            <anchor moveWithCells="1">
              <from>
                <xdr:col>6</xdr:col>
                <xdr:colOff>0</xdr:colOff>
                <xdr:row>10</xdr:row>
                <xdr:rowOff>0</xdr:rowOff>
              </from>
              <to>
                <xdr:col>7</xdr:col>
                <xdr:colOff>792480</xdr:colOff>
                <xdr:row>10</xdr:row>
                <xdr:rowOff>358140</xdr:rowOff>
              </to>
            </anchor>
          </controlPr>
        </control>
      </mc:Choice>
      <mc:Fallback>
        <control shapeId="2067" r:id="rId12" name="cmdAdd"/>
      </mc:Fallback>
    </mc:AlternateContent>
    <mc:AlternateContent xmlns:mc="http://schemas.openxmlformats.org/markup-compatibility/2006">
      <mc:Choice Requires="x14">
        <control shapeId="2068" r:id="rId14" name="cmbRoomNo">
          <controlPr defaultSize="0" autoLine="0" listFillRange="Management!E1:E25" r:id="rId15">
            <anchor moveWithCells="1">
              <from>
                <xdr:col>2</xdr:col>
                <xdr:colOff>144780</xdr:colOff>
                <xdr:row>9</xdr:row>
                <xdr:rowOff>38100</xdr:rowOff>
              </from>
              <to>
                <xdr:col>3</xdr:col>
                <xdr:colOff>114300</xdr:colOff>
                <xdr:row>10</xdr:row>
                <xdr:rowOff>7620</xdr:rowOff>
              </to>
            </anchor>
          </controlPr>
        </control>
      </mc:Choice>
      <mc:Fallback>
        <control shapeId="2068" r:id="rId14" name="cmbRoomNo"/>
      </mc:Fallback>
    </mc:AlternateContent>
    <mc:AlternateContent xmlns:mc="http://schemas.openxmlformats.org/markup-compatibility/2006">
      <mc:Choice Requires="x14">
        <control shapeId="2069" r:id="rId16" name="cmbMonth">
          <controlPr defaultSize="0" autoLine="0" linkedCell="Management!H5" listFillRange="Management!C1:D12" r:id="rId17">
            <anchor moveWithCells="1">
              <from>
                <xdr:col>3</xdr:col>
                <xdr:colOff>1607820</xdr:colOff>
                <xdr:row>5</xdr:row>
                <xdr:rowOff>7620</xdr:rowOff>
              </from>
              <to>
                <xdr:col>4</xdr:col>
                <xdr:colOff>876300</xdr:colOff>
                <xdr:row>6</xdr:row>
                <xdr:rowOff>0</xdr:rowOff>
              </to>
            </anchor>
          </controlPr>
        </control>
      </mc:Choice>
      <mc:Fallback>
        <control shapeId="2069" r:id="rId16" name="cmbMonth"/>
      </mc:Fallback>
    </mc:AlternateContent>
    <mc:AlternateContent xmlns:mc="http://schemas.openxmlformats.org/markup-compatibility/2006">
      <mc:Choice Requires="x14">
        <control shapeId="2070" r:id="rId18" name="cmbYear">
          <controlPr defaultSize="0" autoLine="0" linkedCell="Management!H4" listFillRange="Management!B1:B30" r:id="rId19">
            <anchor moveWithCells="1">
              <from>
                <xdr:col>2</xdr:col>
                <xdr:colOff>518160</xdr:colOff>
                <xdr:row>5</xdr:row>
                <xdr:rowOff>22860</xdr:rowOff>
              </from>
              <to>
                <xdr:col>3</xdr:col>
                <xdr:colOff>975360</xdr:colOff>
                <xdr:row>6</xdr:row>
                <xdr:rowOff>15240</xdr:rowOff>
              </to>
            </anchor>
          </controlPr>
        </control>
      </mc:Choice>
      <mc:Fallback>
        <control shapeId="2070" r:id="rId18" name="cmbYear"/>
      </mc:Fallback>
    </mc:AlternateContent>
    <mc:AlternateContent xmlns:mc="http://schemas.openxmlformats.org/markup-compatibility/2006">
      <mc:Choice Requires="x14">
        <control shapeId="2071" r:id="rId20" name="cmbDay">
          <controlPr defaultSize="0" autoLine="0" listFillRange="Management!D1:D31" r:id="rId21">
            <anchor moveWithCells="1">
              <from>
                <xdr:col>2</xdr:col>
                <xdr:colOff>144780</xdr:colOff>
                <xdr:row>8</xdr:row>
                <xdr:rowOff>30480</xdr:rowOff>
              </from>
              <to>
                <xdr:col>3</xdr:col>
                <xdr:colOff>114300</xdr:colOff>
                <xdr:row>8</xdr:row>
                <xdr:rowOff>304800</xdr:rowOff>
              </to>
            </anchor>
          </controlPr>
        </control>
      </mc:Choice>
      <mc:Fallback>
        <control shapeId="2071" r:id="rId20" name="cmbDay"/>
      </mc:Fallback>
    </mc:AlternateContent>
    <mc:AlternateContent xmlns:mc="http://schemas.openxmlformats.org/markup-compatibility/2006">
      <mc:Choice Requires="x14">
        <control shapeId="2078" r:id="rId22" name="cmdSummaryReport">
          <controlPr defaultSize="0" autoLine="0" r:id="rId23">
            <anchor moveWithCells="1">
              <from>
                <xdr:col>5</xdr:col>
                <xdr:colOff>121920</xdr:colOff>
                <xdr:row>5</xdr:row>
                <xdr:rowOff>76200</xdr:rowOff>
              </from>
              <to>
                <xdr:col>7</xdr:col>
                <xdr:colOff>137160</xdr:colOff>
                <xdr:row>7</xdr:row>
                <xdr:rowOff>243840</xdr:rowOff>
              </to>
            </anchor>
          </controlPr>
        </control>
      </mc:Choice>
      <mc:Fallback>
        <control shapeId="2078" r:id="rId22" name="cmdSummaryReport"/>
      </mc:Fallback>
    </mc:AlternateContent>
    <mc:AlternateContent xmlns:mc="http://schemas.openxmlformats.org/markup-compatibility/2006">
      <mc:Choice Requires="x14">
        <control shapeId="2085" r:id="rId24" name="txtDailyRate">
          <controlPr defaultSize="0" autoLine="0" r:id="rId25">
            <anchor moveWithCells="1">
              <from>
                <xdr:col>5</xdr:col>
                <xdr:colOff>144780</xdr:colOff>
                <xdr:row>10</xdr:row>
                <xdr:rowOff>83820</xdr:rowOff>
              </from>
              <to>
                <xdr:col>5</xdr:col>
                <xdr:colOff>800100</xdr:colOff>
                <xdr:row>10</xdr:row>
                <xdr:rowOff>342900</xdr:rowOff>
              </to>
            </anchor>
          </controlPr>
        </control>
      </mc:Choice>
      <mc:Fallback>
        <control shapeId="2085" r:id="rId24" name="txtDailyRate"/>
      </mc:Fallback>
    </mc:AlternateContent>
    <mc:AlternateContent xmlns:mc="http://schemas.openxmlformats.org/markup-compatibility/2006">
      <mc:Choice Requires="x14">
        <control shapeId="2093" r:id="rId26" name="ComboBox1">
          <controlPr locked="0" defaultSize="0" autoLine="0" linkedCell="Management!H6" listFillRange="AEType!A2:A14" r:id="rId27">
            <anchor moveWithCells="1">
              <from>
                <xdr:col>3</xdr:col>
                <xdr:colOff>1623060</xdr:colOff>
                <xdr:row>6</xdr:row>
                <xdr:rowOff>30480</xdr:rowOff>
              </from>
              <to>
                <xdr:col>4</xdr:col>
                <xdr:colOff>891540</xdr:colOff>
                <xdr:row>7</xdr:row>
                <xdr:rowOff>22860</xdr:rowOff>
              </to>
            </anchor>
          </controlPr>
        </control>
      </mc:Choice>
      <mc:Fallback>
        <control shapeId="2093" r:id="rId26" name="ComboBox1"/>
      </mc:Fallback>
    </mc:AlternateContent>
    <mc:AlternateContent xmlns:mc="http://schemas.openxmlformats.org/markup-compatibility/2006">
      <mc:Choice Requires="x14">
        <control shapeId="2100" r:id="rId28" name="txtNoPreviousDay">
          <controlPr defaultSize="0" autoLine="0" linkedCell="Management!H11" r:id="rId29">
            <anchor moveWithCells="1">
              <from>
                <xdr:col>4</xdr:col>
                <xdr:colOff>289560</xdr:colOff>
                <xdr:row>7</xdr:row>
                <xdr:rowOff>30480</xdr:rowOff>
              </from>
              <to>
                <xdr:col>4</xdr:col>
                <xdr:colOff>944880</xdr:colOff>
                <xdr:row>7</xdr:row>
                <xdr:rowOff>259080</xdr:rowOff>
              </to>
            </anchor>
          </controlPr>
        </control>
      </mc:Choice>
      <mc:Fallback>
        <control shapeId="2100" r:id="rId28" name="txtNoPreviousDay"/>
      </mc:Fallback>
    </mc:AlternateContent>
    <mc:AlternateContent xmlns:mc="http://schemas.openxmlformats.org/markup-compatibility/2006">
      <mc:Choice Requires="x14">
        <control shapeId="2103" r:id="rId30" name="txtMunicipality">
          <controlPr defaultSize="0" autoLine="0" r:id="rId31">
            <anchor moveWithCells="1">
              <from>
                <xdr:col>3</xdr:col>
                <xdr:colOff>83820</xdr:colOff>
                <xdr:row>2</xdr:row>
                <xdr:rowOff>38100</xdr:rowOff>
              </from>
              <to>
                <xdr:col>5</xdr:col>
                <xdr:colOff>1089660</xdr:colOff>
                <xdr:row>2</xdr:row>
                <xdr:rowOff>373380</xdr:rowOff>
              </to>
            </anchor>
          </controlPr>
        </control>
      </mc:Choice>
      <mc:Fallback>
        <control shapeId="2103" r:id="rId30" name="txtMunicipality"/>
      </mc:Fallback>
    </mc:AlternateContent>
    <mc:AlternateContent xmlns:mc="http://schemas.openxmlformats.org/markup-compatibility/2006">
      <mc:Choice Requires="x14">
        <control shapeId="2104" r:id="rId32" name="txtAE">
          <controlPr defaultSize="0" autoLine="0" r:id="rId33">
            <anchor moveWithCells="1">
              <from>
                <xdr:col>3</xdr:col>
                <xdr:colOff>83820</xdr:colOff>
                <xdr:row>3</xdr:row>
                <xdr:rowOff>0</xdr:rowOff>
              </from>
              <to>
                <xdr:col>5</xdr:col>
                <xdr:colOff>1089660</xdr:colOff>
                <xdr:row>3</xdr:row>
                <xdr:rowOff>335280</xdr:rowOff>
              </to>
            </anchor>
          </controlPr>
        </control>
      </mc:Choice>
      <mc:Fallback>
        <control shapeId="2104" r:id="rId32" name="txtAE"/>
      </mc:Fallback>
    </mc:AlternateContent>
    <mc:AlternateContent xmlns:mc="http://schemas.openxmlformats.org/markup-compatibility/2006">
      <mc:Choice Requires="x14">
        <control shapeId="2105" r:id="rId34" name="ComboBox2">
          <controlPr defaultSize="0" autoLine="0" linkedCell="Management!H8" listFillRange="Management!J2:J142" r:id="rId35">
            <anchor moveWithCells="1">
              <from>
                <xdr:col>3</xdr:col>
                <xdr:colOff>83820</xdr:colOff>
                <xdr:row>1</xdr:row>
                <xdr:rowOff>83820</xdr:rowOff>
              </from>
              <to>
                <xdr:col>5</xdr:col>
                <xdr:colOff>1104900</xdr:colOff>
                <xdr:row>1</xdr:row>
                <xdr:rowOff>419100</xdr:rowOff>
              </to>
            </anchor>
          </controlPr>
        </control>
      </mc:Choice>
      <mc:Fallback>
        <control shapeId="2105" r:id="rId34" name="Combo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N52"/>
  <sheetViews>
    <sheetView showGridLines="0" tabSelected="1" zoomScale="110" zoomScaleNormal="110" zoomScaleSheetLayoutView="80" workbookViewId="0">
      <selection activeCell="G28" sqref="G28"/>
    </sheetView>
  </sheetViews>
  <sheetFormatPr defaultColWidth="9" defaultRowHeight="13.8"/>
  <cols>
    <col min="1" max="1" width="9.88671875" style="10" customWidth="1"/>
    <col min="2" max="2" width="9" style="10"/>
    <col min="3" max="3" width="11.6640625" style="10" customWidth="1"/>
    <col min="4" max="5" width="9" style="10"/>
    <col min="6" max="6" width="16.5546875" style="10" customWidth="1"/>
    <col min="7" max="7" width="30.6640625" style="10" customWidth="1"/>
    <col min="8" max="16384" width="9" style="10"/>
  </cols>
  <sheetData>
    <row r="1" spans="1:14" ht="7.5" customHeight="1"/>
    <row r="2" spans="1:14" ht="18" customHeight="1">
      <c r="G2" s="223" t="s">
        <v>614</v>
      </c>
    </row>
    <row r="3" spans="1:14" ht="21" customHeight="1">
      <c r="A3" s="31" t="s">
        <v>68</v>
      </c>
      <c r="B3" s="26"/>
      <c r="C3" s="26"/>
      <c r="D3" s="26"/>
      <c r="E3" s="26"/>
      <c r="F3" s="26"/>
      <c r="G3" s="26"/>
      <c r="H3" s="26"/>
    </row>
    <row r="4" spans="1:14">
      <c r="N4" s="10" t="s">
        <v>75</v>
      </c>
    </row>
    <row r="5" spans="1:14">
      <c r="A5" s="10" t="s">
        <v>590</v>
      </c>
      <c r="D5" s="32" t="str">
        <f>IF(Management!H8&lt;&gt;"",Management!H8,"")</f>
        <v>Misamis Occidental</v>
      </c>
      <c r="E5" s="33"/>
      <c r="F5" s="34"/>
    </row>
    <row r="6" spans="1:14" ht="6" customHeight="1"/>
    <row r="7" spans="1:14">
      <c r="A7" s="10" t="s">
        <v>591</v>
      </c>
      <c r="D7" s="32" t="str">
        <f>IF(Management!H9&lt;&gt;"",Management!H9,"")</f>
        <v>PANAON</v>
      </c>
      <c r="E7" s="33"/>
      <c r="F7" s="34"/>
      <c r="G7" s="25">
        <f>IF(B9="January",1,IF(B9="February",2,IF(B9="March",3,IF(B9="April",4,IF(B9="May",5,IF(B9="June",6,IF(B9="July",7,IF(B9="August",8,IF(B9="September",9,IF(B9="October",10,IF(B9="November",11,IF(B9="December",12,"Error"))))))))))))</f>
        <v>1</v>
      </c>
    </row>
    <row r="8" spans="1:14">
      <c r="G8" s="25"/>
    </row>
    <row r="9" spans="1:14" ht="19.5" customHeight="1">
      <c r="A9" s="10" t="s">
        <v>30</v>
      </c>
      <c r="B9" s="28" t="str">
        <f>MonthlyRecord!F2</f>
        <v>January</v>
      </c>
      <c r="C9" s="24" t="str">
        <f>IF(G7="Error","Error","")</f>
        <v/>
      </c>
      <c r="D9" s="13" t="s">
        <v>31</v>
      </c>
      <c r="E9" s="28" t="str">
        <f>YearMaster</f>
        <v>2024</v>
      </c>
      <c r="F9" s="13" t="s">
        <v>66</v>
      </c>
      <c r="G9" s="30">
        <f>DAY(DATE(E9,IF(B9="January",1,IF(B9="February",2,IF(B9="March",3,IF(B9="April",4,IF(B9="May",5,IF(B9="June",6,IF(B9="July",7,IF(B9="August",8,IF(B9="September",9,IF(B9="October",10,IF(B9="November",11,IF(B9="December",12,"Error"))))))))))))+1,0))</f>
        <v>31</v>
      </c>
    </row>
    <row r="11" spans="1:14" ht="7.5" customHeight="1"/>
    <row r="12" spans="1:14">
      <c r="A12" s="51" t="s">
        <v>32</v>
      </c>
      <c r="B12" s="10" t="s">
        <v>33</v>
      </c>
      <c r="G12" s="224" t="str">
        <f>Management!H10</f>
        <v>NAY MORENA</v>
      </c>
    </row>
    <row r="13" spans="1:14" ht="6.75" customHeight="1">
      <c r="A13" s="52"/>
    </row>
    <row r="14" spans="1:14">
      <c r="A14" s="51" t="s">
        <v>34</v>
      </c>
      <c r="B14" s="10" t="s">
        <v>44</v>
      </c>
      <c r="G14" s="43" t="str">
        <f>Management!H6</f>
        <v>Resort</v>
      </c>
    </row>
    <row r="15" spans="1:14" ht="4.5" customHeight="1">
      <c r="A15" s="52"/>
      <c r="G15" s="25" t="s">
        <v>65</v>
      </c>
    </row>
    <row r="16" spans="1:14">
      <c r="A16" s="51" t="s">
        <v>35</v>
      </c>
      <c r="B16" s="10" t="s">
        <v>45</v>
      </c>
      <c r="G16" s="29" t="str">
        <f>VLOOKUP(G14,AEType!A2:B14,2,)</f>
        <v>RES</v>
      </c>
    </row>
    <row r="17" spans="1:7" ht="5.25" customHeight="1">
      <c r="A17" s="51"/>
      <c r="G17" s="23"/>
    </row>
    <row r="18" spans="1:7">
      <c r="A18" s="51" t="s">
        <v>72</v>
      </c>
      <c r="B18" s="10" t="s">
        <v>159</v>
      </c>
      <c r="G18" s="222" t="str">
        <f>NumberOfRooms</f>
        <v>5</v>
      </c>
    </row>
    <row r="19" spans="1:7" ht="13.5" customHeight="1" thickBot="1">
      <c r="A19" s="52"/>
    </row>
    <row r="20" spans="1:7" ht="14.4" thickBot="1">
      <c r="A20" s="51" t="s">
        <v>47</v>
      </c>
      <c r="B20" s="10" t="s">
        <v>36</v>
      </c>
      <c r="G20" s="69">
        <f>MonthlyRecord!C49</f>
        <v>2</v>
      </c>
    </row>
    <row r="21" spans="1:7" ht="5.25" customHeight="1" thickBot="1">
      <c r="A21" s="52"/>
    </row>
    <row r="22" spans="1:7" ht="14.4" thickBot="1">
      <c r="A22" s="51" t="s">
        <v>37</v>
      </c>
      <c r="B22" s="10" t="s">
        <v>46</v>
      </c>
      <c r="G22" s="69">
        <f>MonthlyRecord!E49</f>
        <v>7</v>
      </c>
    </row>
    <row r="23" spans="1:7" ht="5.25" customHeight="1" thickBot="1">
      <c r="A23" s="52"/>
    </row>
    <row r="24" spans="1:7" ht="14.4" thickBot="1">
      <c r="A24" s="51" t="s">
        <v>38</v>
      </c>
      <c r="B24" s="10" t="s">
        <v>39</v>
      </c>
      <c r="G24" s="69">
        <f>MonthlyRecord!F49</f>
        <v>4</v>
      </c>
    </row>
    <row r="25" spans="1:7" ht="4.5" customHeight="1">
      <c r="A25" s="52"/>
    </row>
    <row r="26" spans="1:7" ht="14.4">
      <c r="A26" s="51" t="s">
        <v>40</v>
      </c>
      <c r="B26" s="220" t="s">
        <v>41</v>
      </c>
      <c r="G26" s="225">
        <f>MonthlyRecord!G49</f>
        <v>2.5806451612903226E-2</v>
      </c>
    </row>
    <row r="27" spans="1:7" ht="11.25" customHeight="1">
      <c r="A27" s="52"/>
    </row>
    <row r="28" spans="1:7">
      <c r="A28" s="51" t="s">
        <v>74</v>
      </c>
      <c r="B28" s="211" t="s">
        <v>414</v>
      </c>
      <c r="G28" s="134">
        <f>MonthlyRecord!C50</f>
        <v>0</v>
      </c>
    </row>
    <row r="29" spans="1:7" ht="6" customHeight="1">
      <c r="A29" s="51"/>
      <c r="B29" s="211"/>
      <c r="G29" s="135"/>
    </row>
    <row r="30" spans="1:7" ht="17.25" customHeight="1">
      <c r="A30" s="51" t="s">
        <v>132</v>
      </c>
      <c r="B30" s="10" t="s">
        <v>604</v>
      </c>
      <c r="G30" s="219">
        <f>MonthlyRecord!E50</f>
        <v>0</v>
      </c>
    </row>
    <row r="31" spans="1:7" ht="6.75" customHeight="1">
      <c r="A31" s="51"/>
      <c r="B31" s="211"/>
      <c r="G31" s="135"/>
    </row>
    <row r="32" spans="1:7">
      <c r="A32" s="52" t="s">
        <v>161</v>
      </c>
      <c r="B32" s="211" t="s">
        <v>415</v>
      </c>
      <c r="G32" s="136">
        <f>MonthlyRecord!C51</f>
        <v>2</v>
      </c>
    </row>
    <row r="33" spans="1:14" ht="6.75" customHeight="1">
      <c r="A33" s="51"/>
      <c r="B33" s="211"/>
      <c r="G33" s="135"/>
    </row>
    <row r="34" spans="1:14">
      <c r="A34" s="11" t="s">
        <v>332</v>
      </c>
      <c r="B34" s="10" t="s">
        <v>595</v>
      </c>
      <c r="G34" s="218">
        <f>MonthlyRecord!E51</f>
        <v>7</v>
      </c>
    </row>
    <row r="35" spans="1:14" ht="6.75" customHeight="1">
      <c r="A35" s="51"/>
      <c r="B35" s="211"/>
      <c r="G35" s="135"/>
    </row>
    <row r="36" spans="1:14">
      <c r="A36" s="51" t="s">
        <v>594</v>
      </c>
      <c r="B36" s="211" t="s">
        <v>416</v>
      </c>
      <c r="G36" s="134">
        <f>MonthlyRecord!C52</f>
        <v>0</v>
      </c>
    </row>
    <row r="37" spans="1:14" ht="5.25" customHeight="1">
      <c r="A37" s="51"/>
      <c r="B37" s="211"/>
      <c r="G37" s="135"/>
    </row>
    <row r="38" spans="1:14">
      <c r="A38" s="11" t="s">
        <v>597</v>
      </c>
      <c r="B38" s="10" t="s">
        <v>596</v>
      </c>
      <c r="G38" s="219">
        <f>MonthlyRecord!E52</f>
        <v>0</v>
      </c>
    </row>
    <row r="39" spans="1:14" ht="6.75" customHeight="1">
      <c r="A39" s="11"/>
      <c r="B39" s="211"/>
      <c r="G39" s="135"/>
    </row>
    <row r="40" spans="1:14">
      <c r="A40" s="11" t="s">
        <v>598</v>
      </c>
      <c r="B40" s="211" t="s">
        <v>417</v>
      </c>
      <c r="G40" s="136">
        <f>MonthlyRecord!C53</f>
        <v>0</v>
      </c>
    </row>
    <row r="41" spans="1:14" ht="4.5" customHeight="1">
      <c r="A41" s="11"/>
      <c r="B41" s="211"/>
      <c r="G41" s="48"/>
    </row>
    <row r="42" spans="1:14">
      <c r="A42" s="11" t="s">
        <v>600</v>
      </c>
      <c r="B42" s="10" t="s">
        <v>599</v>
      </c>
      <c r="G42" s="218">
        <f>MonthlyRecord!E53</f>
        <v>0</v>
      </c>
    </row>
    <row r="43" spans="1:14" ht="13.5" customHeight="1">
      <c r="G43" s="48"/>
    </row>
    <row r="44" spans="1:14" ht="14.4">
      <c r="A44" s="11" t="s">
        <v>602</v>
      </c>
      <c r="B44" s="220" t="s">
        <v>601</v>
      </c>
      <c r="G44" s="226">
        <f>MonthlyRecord!E54</f>
        <v>3.5</v>
      </c>
    </row>
    <row r="45" spans="1:14" ht="4.5" customHeight="1">
      <c r="H45" s="27"/>
      <c r="N45" s="10" t="s">
        <v>131</v>
      </c>
    </row>
    <row r="46" spans="1:14" ht="15" customHeight="1">
      <c r="A46" s="11" t="s">
        <v>605</v>
      </c>
      <c r="B46" s="221" t="s">
        <v>603</v>
      </c>
      <c r="C46" s="210"/>
      <c r="D46" s="210"/>
      <c r="E46" s="210"/>
      <c r="F46" s="210"/>
      <c r="G46" s="226">
        <f>MonthlyRecord!H49</f>
        <v>1.75</v>
      </c>
      <c r="H46" s="27"/>
    </row>
    <row r="47" spans="1:14" ht="6" customHeight="1">
      <c r="B47" s="210"/>
      <c r="C47" s="210"/>
      <c r="D47" s="210"/>
      <c r="E47" s="210"/>
      <c r="F47" s="210"/>
      <c r="G47" s="210"/>
      <c r="H47" s="27"/>
    </row>
    <row r="48" spans="1:14" ht="34.5" customHeight="1">
      <c r="A48" s="133" t="s">
        <v>613</v>
      </c>
      <c r="B48" s="298" t="s">
        <v>615</v>
      </c>
      <c r="C48" s="298"/>
      <c r="D48" s="298"/>
      <c r="E48" s="298"/>
      <c r="F48" s="298"/>
      <c r="G48" s="298"/>
      <c r="H48" s="27"/>
    </row>
    <row r="49" spans="1:8" ht="16.5" customHeight="1">
      <c r="B49" s="298" t="s">
        <v>616</v>
      </c>
      <c r="C49" s="298"/>
      <c r="D49" s="298"/>
      <c r="E49" s="298"/>
      <c r="F49" s="298"/>
      <c r="G49" s="298"/>
      <c r="H49" s="27"/>
    </row>
    <row r="50" spans="1:8" ht="34.5" customHeight="1">
      <c r="B50" s="300" t="s">
        <v>617</v>
      </c>
      <c r="C50" s="300"/>
      <c r="D50" s="300"/>
      <c r="E50" s="300"/>
      <c r="F50" s="300"/>
      <c r="G50" s="300"/>
    </row>
    <row r="51" spans="1:8" ht="15" customHeight="1">
      <c r="A51" s="299"/>
      <c r="B51" s="299"/>
      <c r="C51" s="299"/>
      <c r="D51" s="298"/>
      <c r="E51" s="298"/>
      <c r="F51" s="298"/>
      <c r="G51" s="298"/>
    </row>
    <row r="52" spans="1:8" ht="29.25" customHeight="1">
      <c r="A52" s="299"/>
      <c r="B52" s="299"/>
      <c r="C52" s="299"/>
      <c r="D52" s="298"/>
      <c r="E52" s="298"/>
      <c r="F52" s="298"/>
      <c r="G52" s="298"/>
    </row>
  </sheetData>
  <sheetProtection algorithmName="SHA-512" hashValue="Dq/1OWoDEMFTef6j8yBiAwqPhSgJnZnLFn/McQoO3cDtA4beVt12g7zGUNCq7aSIAunB8BQs2LWGGNeYzTLDGg==" saltValue="iAnnFX7b5/urI6yK+EqAOQ==" spinCount="100000" sheet="1" selectLockedCells="1"/>
  <mergeCells count="6">
    <mergeCell ref="B48:G48"/>
    <mergeCell ref="B49:G49"/>
    <mergeCell ref="A51:C52"/>
    <mergeCell ref="D52:G52"/>
    <mergeCell ref="D51:G51"/>
    <mergeCell ref="B50:G50"/>
  </mergeCells>
  <phoneticPr fontId="1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H57"/>
  <sheetViews>
    <sheetView showGridLines="0" topLeftCell="A10" zoomScale="120" zoomScaleNormal="120" zoomScaleSheetLayoutView="90" workbookViewId="0">
      <selection activeCell="D16" sqref="D16"/>
    </sheetView>
  </sheetViews>
  <sheetFormatPr defaultColWidth="9" defaultRowHeight="14.4"/>
  <cols>
    <col min="2" max="2" width="10" customWidth="1"/>
    <col min="5" max="5" width="10.44140625" customWidth="1"/>
    <col min="6" max="6" width="9.44140625" customWidth="1"/>
    <col min="7" max="7" width="10.6640625" style="146" customWidth="1"/>
    <col min="8" max="8" width="9.33203125" customWidth="1"/>
  </cols>
  <sheetData>
    <row r="1" spans="1:8" ht="24" customHeight="1">
      <c r="A1" s="303" t="s">
        <v>29</v>
      </c>
      <c r="B1" s="303"/>
      <c r="C1" s="303"/>
      <c r="D1" s="303"/>
      <c r="E1" s="303"/>
      <c r="F1" s="303"/>
      <c r="G1" s="303"/>
      <c r="H1" s="303"/>
    </row>
    <row r="2" spans="1:8">
      <c r="E2" s="7" t="s">
        <v>0</v>
      </c>
      <c r="F2" s="140" t="str">
        <f>IF(Management!H5=1,"January",IF(Management!H5=2,"February",IF(Management!H5=3,"March",IF(Management!H5=4,"April",IF(Management!H5=5,"May",IF(Management!H5=6,"June",IF(Management!H5=7,"July",IF(Management!H5=8,"August",IF(Management!H5=9,"September",IF(Management!H5=10,"October",IF(Management!H5=11,"November",IF(Management!H5=12,"December","Error"))))))))))))</f>
        <v>January</v>
      </c>
      <c r="G2" s="141" t="s">
        <v>14</v>
      </c>
      <c r="H2" s="140" t="str">
        <f>YearMaster</f>
        <v>2024</v>
      </c>
    </row>
    <row r="3" spans="1:8">
      <c r="A3" s="2"/>
      <c r="B3" s="1"/>
      <c r="D3" s="2"/>
      <c r="E3" s="2"/>
      <c r="F3" s="45"/>
      <c r="G3" s="142"/>
      <c r="H3" s="45"/>
    </row>
    <row r="4" spans="1:8">
      <c r="A4" s="2"/>
      <c r="B4" s="12" t="s">
        <v>1</v>
      </c>
      <c r="E4" s="2"/>
      <c r="F4" s="46"/>
      <c r="G4" s="142"/>
      <c r="H4" s="47">
        <f>DATE(H2,F3,0)</f>
        <v>45260</v>
      </c>
    </row>
    <row r="5" spans="1:8" ht="18" customHeight="1">
      <c r="A5" s="2"/>
      <c r="B5" s="2" t="s">
        <v>590</v>
      </c>
      <c r="E5" s="2"/>
      <c r="F5" s="121" t="str">
        <f>IF(Management!H8&lt;&gt;"",Management!H8,"")</f>
        <v>Misamis Occidental</v>
      </c>
      <c r="G5" s="143"/>
      <c r="H5" s="9"/>
    </row>
    <row r="6" spans="1:8" ht="18" customHeight="1">
      <c r="A6" s="2"/>
      <c r="B6" s="2" t="s">
        <v>2</v>
      </c>
      <c r="E6" s="2"/>
      <c r="F6" s="121" t="str">
        <f>IF(Management!H9&lt;&gt;"",Management!H9,"")</f>
        <v>PANAON</v>
      </c>
      <c r="G6" s="144"/>
      <c r="H6" s="9"/>
    </row>
    <row r="7" spans="1:8" ht="18" customHeight="1">
      <c r="A7" s="2"/>
      <c r="B7" s="2" t="s">
        <v>592</v>
      </c>
      <c r="E7" s="2"/>
      <c r="F7" s="139" t="str">
        <f>Management!H10</f>
        <v>NAY MORENA</v>
      </c>
      <c r="G7" s="145"/>
      <c r="H7" s="9"/>
    </row>
    <row r="8" spans="1:8" ht="18" customHeight="1">
      <c r="A8" s="2"/>
      <c r="B8" s="2" t="s">
        <v>543</v>
      </c>
      <c r="E8" s="2"/>
      <c r="F8" s="124" t="str">
        <f>NumberOfRooms</f>
        <v>5</v>
      </c>
      <c r="H8" s="42"/>
    </row>
    <row r="9" spans="1:8" ht="18" customHeight="1">
      <c r="A9" s="2"/>
      <c r="B9" s="2" t="s">
        <v>544</v>
      </c>
      <c r="C9" s="3"/>
      <c r="D9" s="2"/>
      <c r="E9" s="2"/>
      <c r="F9" s="102" t="str">
        <f>AEType</f>
        <v>Resort</v>
      </c>
      <c r="G9" s="147"/>
      <c r="H9" s="9"/>
    </row>
    <row r="10" spans="1:8" ht="24.75" customHeight="1">
      <c r="A10" s="304" t="s">
        <v>519</v>
      </c>
      <c r="B10" s="304"/>
      <c r="C10" s="304"/>
      <c r="D10" s="304"/>
      <c r="E10" s="122" t="str">
        <f>Management!H11</f>
        <v>15</v>
      </c>
      <c r="F10" s="4"/>
      <c r="G10" s="305"/>
      <c r="H10" s="305"/>
    </row>
    <row r="11" spans="1:8">
      <c r="C11" s="5"/>
      <c r="D11" s="5"/>
      <c r="E11" s="6"/>
      <c r="F11" s="5"/>
      <c r="G11" s="148"/>
    </row>
    <row r="12" spans="1:8">
      <c r="A12" s="306"/>
      <c r="B12" s="306"/>
      <c r="C12" s="306" t="s">
        <v>3</v>
      </c>
      <c r="D12" s="306"/>
      <c r="E12" s="307" t="s">
        <v>413</v>
      </c>
      <c r="F12" s="307" t="s">
        <v>4</v>
      </c>
      <c r="G12" s="308" t="s">
        <v>5</v>
      </c>
      <c r="H12" s="307" t="s">
        <v>6</v>
      </c>
    </row>
    <row r="13" spans="1:8">
      <c r="A13" s="306"/>
      <c r="B13" s="306"/>
      <c r="C13" s="306"/>
      <c r="D13" s="306"/>
      <c r="E13" s="307"/>
      <c r="F13" s="307"/>
      <c r="G13" s="308"/>
      <c r="H13" s="307"/>
    </row>
    <row r="14" spans="1:8">
      <c r="A14" s="44" t="s">
        <v>7</v>
      </c>
      <c r="B14" s="44" t="s">
        <v>15</v>
      </c>
      <c r="C14" s="44" t="s">
        <v>8</v>
      </c>
      <c r="D14" s="44" t="s">
        <v>9</v>
      </c>
      <c r="E14" s="307"/>
      <c r="F14" s="307"/>
      <c r="G14" s="308"/>
      <c r="H14" s="307"/>
    </row>
    <row r="15" spans="1:8">
      <c r="A15" s="36">
        <v>1</v>
      </c>
      <c r="B15" s="50">
        <f>IF(A15="","",DATE($H$2,$F$3,A15))</f>
        <v>45261</v>
      </c>
      <c r="C15" s="36">
        <v>0</v>
      </c>
      <c r="D15" s="36"/>
      <c r="E15" s="36">
        <v>3</v>
      </c>
      <c r="F15" s="36">
        <v>2</v>
      </c>
      <c r="G15" s="149">
        <f t="shared" ref="G15:G45" si="0">F15/NumberOfRooms</f>
        <v>0.4</v>
      </c>
      <c r="H15" s="49">
        <f t="shared" ref="H15:H41" si="1">IF(F15&lt;&gt;0,E15/F15,0)</f>
        <v>1.5</v>
      </c>
    </row>
    <row r="16" spans="1:8">
      <c r="A16" s="36">
        <v>2</v>
      </c>
      <c r="B16" s="50">
        <f t="shared" ref="B16:B45" si="2">IF(A16="","",DATE($H$2,$F$3,A16))</f>
        <v>45262</v>
      </c>
      <c r="C16" s="36">
        <v>0</v>
      </c>
      <c r="D16" s="36">
        <v>3</v>
      </c>
      <c r="E16" s="36">
        <v>0</v>
      </c>
      <c r="F16" s="36">
        <v>0</v>
      </c>
      <c r="G16" s="149">
        <f t="shared" si="0"/>
        <v>0</v>
      </c>
      <c r="H16" s="49">
        <f t="shared" si="1"/>
        <v>0</v>
      </c>
    </row>
    <row r="17" spans="1:8">
      <c r="A17" s="36">
        <v>3</v>
      </c>
      <c r="B17" s="50">
        <f t="shared" si="2"/>
        <v>45263</v>
      </c>
      <c r="C17" s="36">
        <v>0</v>
      </c>
      <c r="D17" s="36">
        <v>0</v>
      </c>
      <c r="E17" s="36">
        <v>0</v>
      </c>
      <c r="F17" s="36">
        <v>0</v>
      </c>
      <c r="G17" s="149">
        <f t="shared" si="0"/>
        <v>0</v>
      </c>
      <c r="H17" s="49">
        <f t="shared" si="1"/>
        <v>0</v>
      </c>
    </row>
    <row r="18" spans="1:8">
      <c r="A18" s="36">
        <v>4</v>
      </c>
      <c r="B18" s="50">
        <f t="shared" si="2"/>
        <v>45264</v>
      </c>
      <c r="C18" s="36">
        <v>0</v>
      </c>
      <c r="D18" s="36">
        <v>0</v>
      </c>
      <c r="E18" s="36">
        <v>0</v>
      </c>
      <c r="F18" s="36">
        <v>0</v>
      </c>
      <c r="G18" s="149">
        <f t="shared" si="0"/>
        <v>0</v>
      </c>
      <c r="H18" s="49">
        <f t="shared" si="1"/>
        <v>0</v>
      </c>
    </row>
    <row r="19" spans="1:8">
      <c r="A19" s="36">
        <v>5</v>
      </c>
      <c r="B19" s="50">
        <f t="shared" si="2"/>
        <v>45265</v>
      </c>
      <c r="C19" s="36">
        <v>0</v>
      </c>
      <c r="D19" s="36">
        <v>0</v>
      </c>
      <c r="E19" s="36">
        <v>0</v>
      </c>
      <c r="F19" s="36">
        <v>0</v>
      </c>
      <c r="G19" s="149">
        <f t="shared" si="0"/>
        <v>0</v>
      </c>
      <c r="H19" s="49">
        <f t="shared" si="1"/>
        <v>0</v>
      </c>
    </row>
    <row r="20" spans="1:8">
      <c r="A20" s="36">
        <v>6</v>
      </c>
      <c r="B20" s="50">
        <f t="shared" si="2"/>
        <v>45266</v>
      </c>
      <c r="C20" s="36">
        <v>0</v>
      </c>
      <c r="D20" s="36">
        <v>0</v>
      </c>
      <c r="E20" s="36">
        <v>0</v>
      </c>
      <c r="F20" s="36">
        <v>0</v>
      </c>
      <c r="G20" s="149">
        <f t="shared" si="0"/>
        <v>0</v>
      </c>
      <c r="H20" s="49">
        <f t="shared" si="1"/>
        <v>0</v>
      </c>
    </row>
    <row r="21" spans="1:8">
      <c r="A21" s="36">
        <v>7</v>
      </c>
      <c r="B21" s="50">
        <f t="shared" si="2"/>
        <v>45267</v>
      </c>
      <c r="C21" s="36">
        <v>0</v>
      </c>
      <c r="D21" s="36">
        <v>0</v>
      </c>
      <c r="E21" s="36">
        <v>0</v>
      </c>
      <c r="F21" s="36">
        <v>0</v>
      </c>
      <c r="G21" s="149">
        <f t="shared" si="0"/>
        <v>0</v>
      </c>
      <c r="H21" s="49">
        <f t="shared" si="1"/>
        <v>0</v>
      </c>
    </row>
    <row r="22" spans="1:8">
      <c r="A22" s="36">
        <v>8</v>
      </c>
      <c r="B22" s="50">
        <f t="shared" si="2"/>
        <v>45268</v>
      </c>
      <c r="C22" s="36">
        <v>0</v>
      </c>
      <c r="D22" s="36">
        <v>0</v>
      </c>
      <c r="E22" s="36">
        <v>0</v>
      </c>
      <c r="F22" s="36">
        <v>0</v>
      </c>
      <c r="G22" s="149">
        <f t="shared" si="0"/>
        <v>0</v>
      </c>
      <c r="H22" s="49">
        <f t="shared" si="1"/>
        <v>0</v>
      </c>
    </row>
    <row r="23" spans="1:8">
      <c r="A23" s="36">
        <v>9</v>
      </c>
      <c r="B23" s="50">
        <f t="shared" si="2"/>
        <v>45269</v>
      </c>
      <c r="C23" s="36">
        <v>0</v>
      </c>
      <c r="D23" s="36">
        <v>0</v>
      </c>
      <c r="E23" s="36">
        <v>0</v>
      </c>
      <c r="F23" s="36">
        <v>0</v>
      </c>
      <c r="G23" s="149">
        <f t="shared" si="0"/>
        <v>0</v>
      </c>
      <c r="H23" s="49">
        <f t="shared" si="1"/>
        <v>0</v>
      </c>
    </row>
    <row r="24" spans="1:8">
      <c r="A24" s="36">
        <v>10</v>
      </c>
      <c r="B24" s="50">
        <f t="shared" si="2"/>
        <v>45270</v>
      </c>
      <c r="C24" s="36">
        <v>0</v>
      </c>
      <c r="D24" s="36">
        <v>0</v>
      </c>
      <c r="E24" s="36">
        <v>0</v>
      </c>
      <c r="F24" s="36">
        <v>0</v>
      </c>
      <c r="G24" s="149">
        <f t="shared" si="0"/>
        <v>0</v>
      </c>
      <c r="H24" s="49">
        <f t="shared" si="1"/>
        <v>0</v>
      </c>
    </row>
    <row r="25" spans="1:8">
      <c r="A25" s="36">
        <v>11</v>
      </c>
      <c r="B25" s="50">
        <f t="shared" si="2"/>
        <v>45271</v>
      </c>
      <c r="C25" s="36">
        <v>2</v>
      </c>
      <c r="D25" s="36">
        <v>0</v>
      </c>
      <c r="E25" s="36">
        <v>2</v>
      </c>
      <c r="F25" s="36">
        <v>1</v>
      </c>
      <c r="G25" s="149">
        <f t="shared" si="0"/>
        <v>0.2</v>
      </c>
      <c r="H25" s="49">
        <f t="shared" si="1"/>
        <v>2</v>
      </c>
    </row>
    <row r="26" spans="1:8">
      <c r="A26" s="36">
        <v>12</v>
      </c>
      <c r="B26" s="50">
        <f t="shared" si="2"/>
        <v>45272</v>
      </c>
      <c r="C26" s="36">
        <v>0</v>
      </c>
      <c r="D26" s="36">
        <v>2</v>
      </c>
      <c r="E26" s="36">
        <v>0</v>
      </c>
      <c r="F26" s="36">
        <v>0</v>
      </c>
      <c r="G26" s="149">
        <f t="shared" si="0"/>
        <v>0</v>
      </c>
      <c r="H26" s="49">
        <f t="shared" si="1"/>
        <v>0</v>
      </c>
    </row>
    <row r="27" spans="1:8">
      <c r="A27" s="36">
        <v>13</v>
      </c>
      <c r="B27" s="50">
        <f t="shared" si="2"/>
        <v>45273</v>
      </c>
      <c r="C27" s="36">
        <v>0</v>
      </c>
      <c r="D27" s="36">
        <v>0</v>
      </c>
      <c r="E27" s="36">
        <v>0</v>
      </c>
      <c r="F27" s="36">
        <v>0</v>
      </c>
      <c r="G27" s="149">
        <f t="shared" si="0"/>
        <v>0</v>
      </c>
      <c r="H27" s="49">
        <f t="shared" si="1"/>
        <v>0</v>
      </c>
    </row>
    <row r="28" spans="1:8">
      <c r="A28" s="36">
        <v>14</v>
      </c>
      <c r="B28" s="50">
        <f t="shared" si="2"/>
        <v>45274</v>
      </c>
      <c r="C28" s="36">
        <v>0</v>
      </c>
      <c r="D28" s="36">
        <v>0</v>
      </c>
      <c r="E28" s="36">
        <v>0</v>
      </c>
      <c r="F28" s="36">
        <v>0</v>
      </c>
      <c r="G28" s="149">
        <f t="shared" si="0"/>
        <v>0</v>
      </c>
      <c r="H28" s="49">
        <f t="shared" si="1"/>
        <v>0</v>
      </c>
    </row>
    <row r="29" spans="1:8">
      <c r="A29" s="36">
        <v>15</v>
      </c>
      <c r="B29" s="50">
        <f t="shared" si="2"/>
        <v>45275</v>
      </c>
      <c r="C29" s="36">
        <v>0</v>
      </c>
      <c r="D29" s="36">
        <v>-2</v>
      </c>
      <c r="E29" s="36">
        <v>2</v>
      </c>
      <c r="F29" s="36">
        <v>1</v>
      </c>
      <c r="G29" s="149">
        <f t="shared" si="0"/>
        <v>0.2</v>
      </c>
      <c r="H29" s="49">
        <f t="shared" si="1"/>
        <v>2</v>
      </c>
    </row>
    <row r="30" spans="1:8">
      <c r="A30" s="36">
        <v>16</v>
      </c>
      <c r="B30" s="50">
        <f t="shared" si="2"/>
        <v>45276</v>
      </c>
      <c r="C30" s="36">
        <v>0</v>
      </c>
      <c r="D30" s="36">
        <v>2</v>
      </c>
      <c r="E30" s="36">
        <v>0</v>
      </c>
      <c r="F30" s="36">
        <v>0</v>
      </c>
      <c r="G30" s="149">
        <f t="shared" si="0"/>
        <v>0</v>
      </c>
      <c r="H30" s="49">
        <f t="shared" si="1"/>
        <v>0</v>
      </c>
    </row>
    <row r="31" spans="1:8">
      <c r="A31" s="36">
        <v>17</v>
      </c>
      <c r="B31" s="50">
        <f t="shared" si="2"/>
        <v>45277</v>
      </c>
      <c r="C31" s="36">
        <v>0</v>
      </c>
      <c r="D31" s="36">
        <v>0</v>
      </c>
      <c r="E31" s="36">
        <v>0</v>
      </c>
      <c r="F31" s="36">
        <v>0</v>
      </c>
      <c r="G31" s="149">
        <f t="shared" si="0"/>
        <v>0</v>
      </c>
      <c r="H31" s="49">
        <f t="shared" si="1"/>
        <v>0</v>
      </c>
    </row>
    <row r="32" spans="1:8">
      <c r="A32" s="36">
        <v>18</v>
      </c>
      <c r="B32" s="50">
        <f t="shared" si="2"/>
        <v>45278</v>
      </c>
      <c r="C32" s="36">
        <v>0</v>
      </c>
      <c r="D32" s="36">
        <v>0</v>
      </c>
      <c r="E32" s="36">
        <v>0</v>
      </c>
      <c r="F32" s="36">
        <v>0</v>
      </c>
      <c r="G32" s="149">
        <f t="shared" si="0"/>
        <v>0</v>
      </c>
      <c r="H32" s="49">
        <f t="shared" si="1"/>
        <v>0</v>
      </c>
    </row>
    <row r="33" spans="1:8">
      <c r="A33" s="36">
        <v>19</v>
      </c>
      <c r="B33" s="50">
        <f t="shared" si="2"/>
        <v>45279</v>
      </c>
      <c r="C33" s="36">
        <v>0</v>
      </c>
      <c r="D33" s="36">
        <v>0</v>
      </c>
      <c r="E33" s="36">
        <v>0</v>
      </c>
      <c r="F33" s="36">
        <v>0</v>
      </c>
      <c r="G33" s="149">
        <f t="shared" si="0"/>
        <v>0</v>
      </c>
      <c r="H33" s="49">
        <f t="shared" si="1"/>
        <v>0</v>
      </c>
    </row>
    <row r="34" spans="1:8">
      <c r="A34" s="36">
        <v>20</v>
      </c>
      <c r="B34" s="50">
        <f t="shared" si="2"/>
        <v>45280</v>
      </c>
      <c r="C34" s="36">
        <v>0</v>
      </c>
      <c r="D34" s="36">
        <v>0</v>
      </c>
      <c r="E34" s="36">
        <v>0</v>
      </c>
      <c r="F34" s="36">
        <v>0</v>
      </c>
      <c r="G34" s="149">
        <f t="shared" si="0"/>
        <v>0</v>
      </c>
      <c r="H34" s="49">
        <f t="shared" si="1"/>
        <v>0</v>
      </c>
    </row>
    <row r="35" spans="1:8">
      <c r="A35" s="36">
        <v>21</v>
      </c>
      <c r="B35" s="50">
        <f t="shared" si="2"/>
        <v>45281</v>
      </c>
      <c r="C35" s="36">
        <v>0</v>
      </c>
      <c r="D35" s="36">
        <v>0</v>
      </c>
      <c r="E35" s="36">
        <v>0</v>
      </c>
      <c r="F35" s="36">
        <v>0</v>
      </c>
      <c r="G35" s="149">
        <f t="shared" si="0"/>
        <v>0</v>
      </c>
      <c r="H35" s="49">
        <f t="shared" si="1"/>
        <v>0</v>
      </c>
    </row>
    <row r="36" spans="1:8">
      <c r="A36" s="36">
        <v>22</v>
      </c>
      <c r="B36" s="50">
        <f t="shared" si="2"/>
        <v>45282</v>
      </c>
      <c r="C36" s="36">
        <v>0</v>
      </c>
      <c r="D36" s="36">
        <v>0</v>
      </c>
      <c r="E36" s="36">
        <v>0</v>
      </c>
      <c r="F36" s="36">
        <v>0</v>
      </c>
      <c r="G36" s="149">
        <f t="shared" si="0"/>
        <v>0</v>
      </c>
      <c r="H36" s="49">
        <f t="shared" si="1"/>
        <v>0</v>
      </c>
    </row>
    <row r="37" spans="1:8">
      <c r="A37" s="36">
        <v>23</v>
      </c>
      <c r="B37" s="50">
        <f t="shared" si="2"/>
        <v>45283</v>
      </c>
      <c r="C37" s="36">
        <v>0</v>
      </c>
      <c r="D37" s="36">
        <v>0</v>
      </c>
      <c r="E37" s="36">
        <v>0</v>
      </c>
      <c r="F37" s="36">
        <v>0</v>
      </c>
      <c r="G37" s="149">
        <f t="shared" si="0"/>
        <v>0</v>
      </c>
      <c r="H37" s="49">
        <f t="shared" si="1"/>
        <v>0</v>
      </c>
    </row>
    <row r="38" spans="1:8">
      <c r="A38" s="36">
        <v>24</v>
      </c>
      <c r="B38" s="50">
        <f t="shared" si="2"/>
        <v>45284</v>
      </c>
      <c r="C38" s="36">
        <v>0</v>
      </c>
      <c r="D38" s="36">
        <v>0</v>
      </c>
      <c r="E38" s="36">
        <v>0</v>
      </c>
      <c r="F38" s="36">
        <v>0</v>
      </c>
      <c r="G38" s="149">
        <f t="shared" si="0"/>
        <v>0</v>
      </c>
      <c r="H38" s="49">
        <f t="shared" si="1"/>
        <v>0</v>
      </c>
    </row>
    <row r="39" spans="1:8">
      <c r="A39" s="36">
        <v>25</v>
      </c>
      <c r="B39" s="50">
        <f t="shared" si="2"/>
        <v>45285</v>
      </c>
      <c r="C39" s="36">
        <v>0</v>
      </c>
      <c r="D39" s="36">
        <v>0</v>
      </c>
      <c r="E39" s="36">
        <v>0</v>
      </c>
      <c r="F39" s="36">
        <v>0</v>
      </c>
      <c r="G39" s="149">
        <f t="shared" si="0"/>
        <v>0</v>
      </c>
      <c r="H39" s="49">
        <f t="shared" si="1"/>
        <v>0</v>
      </c>
    </row>
    <row r="40" spans="1:8">
      <c r="A40" s="36">
        <v>26</v>
      </c>
      <c r="B40" s="50">
        <f t="shared" si="2"/>
        <v>45286</v>
      </c>
      <c r="C40" s="36">
        <v>0</v>
      </c>
      <c r="D40" s="36">
        <v>0</v>
      </c>
      <c r="E40" s="36">
        <v>0</v>
      </c>
      <c r="F40" s="36">
        <v>0</v>
      </c>
      <c r="G40" s="149">
        <f t="shared" si="0"/>
        <v>0</v>
      </c>
      <c r="H40" s="49">
        <f t="shared" si="1"/>
        <v>0</v>
      </c>
    </row>
    <row r="41" spans="1:8">
      <c r="A41" s="36">
        <v>27</v>
      </c>
      <c r="B41" s="50">
        <f t="shared" si="2"/>
        <v>45287</v>
      </c>
      <c r="C41" s="36">
        <v>0</v>
      </c>
      <c r="D41" s="36">
        <v>0</v>
      </c>
      <c r="E41" s="36">
        <v>0</v>
      </c>
      <c r="F41" s="36">
        <v>0</v>
      </c>
      <c r="G41" s="149">
        <f t="shared" si="0"/>
        <v>0</v>
      </c>
      <c r="H41" s="49">
        <f t="shared" si="1"/>
        <v>0</v>
      </c>
    </row>
    <row r="42" spans="1:8">
      <c r="A42" s="36">
        <v>28</v>
      </c>
      <c r="B42" s="50">
        <f t="shared" si="2"/>
        <v>45288</v>
      </c>
      <c r="C42" s="36">
        <v>0</v>
      </c>
      <c r="D42" s="36">
        <v>0</v>
      </c>
      <c r="E42" s="36">
        <v>0</v>
      </c>
      <c r="F42" s="36">
        <v>0</v>
      </c>
      <c r="G42" s="149">
        <f t="shared" si="0"/>
        <v>0</v>
      </c>
      <c r="H42" s="49">
        <f>IF(F42&lt;&gt;0,E42/F42,0)</f>
        <v>0</v>
      </c>
    </row>
    <row r="43" spans="1:8">
      <c r="A43" s="36">
        <v>29</v>
      </c>
      <c r="B43" s="50">
        <f t="shared" si="2"/>
        <v>45289</v>
      </c>
      <c r="C43" s="36">
        <v>0</v>
      </c>
      <c r="D43" s="36">
        <v>0</v>
      </c>
      <c r="E43" s="36">
        <v>0</v>
      </c>
      <c r="F43" s="36">
        <v>0</v>
      </c>
      <c r="G43" s="149">
        <f t="shared" si="0"/>
        <v>0</v>
      </c>
      <c r="H43" s="49">
        <f>IF(F43&lt;&gt;0,E43/F43,0)</f>
        <v>0</v>
      </c>
    </row>
    <row r="44" spans="1:8">
      <c r="A44" s="36">
        <v>30</v>
      </c>
      <c r="B44" s="50">
        <f t="shared" si="2"/>
        <v>45290</v>
      </c>
      <c r="C44" s="36">
        <v>0</v>
      </c>
      <c r="D44" s="36">
        <v>0</v>
      </c>
      <c r="E44" s="36">
        <v>0</v>
      </c>
      <c r="F44" s="36">
        <v>0</v>
      </c>
      <c r="G44" s="149">
        <f t="shared" si="0"/>
        <v>0</v>
      </c>
      <c r="H44" s="49">
        <f>IF(F44&lt;&gt;0,E44/F44,0)</f>
        <v>0</v>
      </c>
    </row>
    <row r="45" spans="1:8">
      <c r="A45" s="36">
        <v>31</v>
      </c>
      <c r="B45" s="50">
        <f t="shared" si="2"/>
        <v>45291</v>
      </c>
      <c r="C45" s="36">
        <v>0</v>
      </c>
      <c r="D45" s="36">
        <v>0</v>
      </c>
      <c r="E45" s="36">
        <v>0</v>
      </c>
      <c r="F45" s="36">
        <v>0</v>
      </c>
      <c r="G45" s="149">
        <f t="shared" si="0"/>
        <v>0</v>
      </c>
      <c r="H45" s="49">
        <f>IF(F45&lt;&gt;0,E45/F45,0)</f>
        <v>0</v>
      </c>
    </row>
    <row r="46" spans="1:8">
      <c r="A46" s="37"/>
      <c r="B46" s="37"/>
      <c r="C46" s="38"/>
      <c r="D46" s="38"/>
      <c r="E46" s="39"/>
      <c r="F46" s="40"/>
      <c r="G46" s="150"/>
      <c r="H46" s="41"/>
    </row>
    <row r="47" spans="1:8">
      <c r="A47" s="37"/>
      <c r="B47" s="37"/>
      <c r="C47" s="38"/>
      <c r="D47" s="38"/>
      <c r="E47" s="39"/>
      <c r="F47" s="38"/>
      <c r="G47" s="150"/>
      <c r="H47" s="41"/>
    </row>
    <row r="48" spans="1:8" ht="34.200000000000003">
      <c r="A48" s="309"/>
      <c r="B48" s="310"/>
      <c r="C48" s="127" t="s">
        <v>28</v>
      </c>
      <c r="D48" s="127" t="s">
        <v>27</v>
      </c>
      <c r="E48" s="127" t="s">
        <v>10</v>
      </c>
      <c r="F48" s="128" t="s">
        <v>531</v>
      </c>
      <c r="G48" s="151" t="s">
        <v>11</v>
      </c>
      <c r="H48" s="173" t="s">
        <v>532</v>
      </c>
    </row>
    <row r="49" spans="1:8">
      <c r="A49" s="301" t="s">
        <v>12</v>
      </c>
      <c r="B49" s="302"/>
      <c r="C49" s="126">
        <f>SUM(C15:C48)</f>
        <v>2</v>
      </c>
      <c r="D49" s="130">
        <f>SUM(D15:D48)</f>
        <v>5</v>
      </c>
      <c r="E49" s="126">
        <f>SUM(E15:E48)</f>
        <v>7</v>
      </c>
      <c r="F49" s="130">
        <f>SUM(F15:F48)</f>
        <v>4</v>
      </c>
      <c r="G49" s="152">
        <f>F49/(F8*DAE2_Auto!G9)</f>
        <v>2.5806451612903226E-2</v>
      </c>
      <c r="H49" s="131">
        <f t="shared" ref="H49" si="3">E49/F49</f>
        <v>1.75</v>
      </c>
    </row>
    <row r="50" spans="1:8">
      <c r="A50" s="301" t="s">
        <v>73</v>
      </c>
      <c r="B50" s="302"/>
      <c r="C50" s="138">
        <v>0</v>
      </c>
      <c r="D50" s="129"/>
      <c r="E50" s="137">
        <v>0</v>
      </c>
      <c r="F50" s="129"/>
      <c r="G50" s="153"/>
      <c r="H50" s="129"/>
    </row>
    <row r="51" spans="1:8">
      <c r="A51" s="301" t="s">
        <v>133</v>
      </c>
      <c r="B51" s="302"/>
      <c r="C51" s="285">
        <f>C49-C50-C53-C52</f>
        <v>2</v>
      </c>
      <c r="D51" s="132"/>
      <c r="E51" s="137">
        <f>E49-E50-E53-E52</f>
        <v>7</v>
      </c>
      <c r="F51" s="129"/>
      <c r="G51" s="153"/>
      <c r="H51" s="129"/>
    </row>
    <row r="52" spans="1:8">
      <c r="A52" s="301" t="s">
        <v>331</v>
      </c>
      <c r="B52" s="302"/>
      <c r="C52" s="137">
        <v>0</v>
      </c>
      <c r="D52" s="132"/>
      <c r="E52" s="137">
        <v>0</v>
      </c>
      <c r="F52" s="129"/>
      <c r="G52" s="153"/>
      <c r="H52" s="129"/>
    </row>
    <row r="53" spans="1:8">
      <c r="A53" s="301" t="s">
        <v>162</v>
      </c>
      <c r="B53" s="302"/>
      <c r="C53" s="125">
        <v>0</v>
      </c>
      <c r="D53" s="132"/>
      <c r="E53" s="129">
        <v>0</v>
      </c>
      <c r="F53" s="129"/>
      <c r="G53" s="153"/>
      <c r="H53" s="129"/>
    </row>
    <row r="54" spans="1:8">
      <c r="C54" s="40"/>
      <c r="D54" s="174" t="s">
        <v>533</v>
      </c>
      <c r="E54" s="155">
        <f>IF(C49&lt;&gt;0,E49/C49,0)</f>
        <v>3.5</v>
      </c>
      <c r="F54" s="125" t="s">
        <v>13</v>
      </c>
      <c r="G54" s="154"/>
      <c r="H54" s="40"/>
    </row>
    <row r="55" spans="1:8">
      <c r="A55" s="40"/>
      <c r="B55" s="40"/>
      <c r="C55" s="40"/>
      <c r="D55" s="174" t="s">
        <v>542</v>
      </c>
      <c r="E55" s="155">
        <f>IF(E54&gt;0,E54+1,"-")</f>
        <v>4.5</v>
      </c>
      <c r="F55" s="125" t="s">
        <v>71</v>
      </c>
      <c r="G55" s="154"/>
      <c r="H55" s="40"/>
    </row>
    <row r="56" spans="1:8">
      <c r="A56" s="172" t="s">
        <v>520</v>
      </c>
    </row>
    <row r="57" spans="1:8">
      <c r="A57" s="171" t="s">
        <v>521</v>
      </c>
      <c r="C57">
        <f>SUM('AE DAE-1B by Country (Sum) '!C34,'AE DAE-1B by Country (Sum) '!C42,'AE DAE-1B by Country (Sum) '!C51,'AE DAE-1B by Country (Sum) '!C61,'AE DAE-1B by Country (Sum) '!C69,'AE DAE-1B by Country (Sum) '!C77,'AE DAE-1B by Country (Sum) '!C88,'AE DAE-1B by Country (Sum) '!C97,'AE DAE-1B by Country (Sum) '!C105,'AE DAE-1B by Country (Sum) '!C111,'AE DAE-1B by Country (Sum) '!C119,'AE DAE-1B by Country (Sum) '!C126)</f>
        <v>0</v>
      </c>
      <c r="D57">
        <f>SUM('AE DAE-1B by Country (Sum) '!D34,'AE DAE-1B by Country (Sum) '!D42,'AE DAE-1B by Country (Sum) '!D51,'AE DAE-1B by Country (Sum) '!D61,'AE DAE-1B by Country (Sum) '!D69,'AE DAE-1B by Country (Sum) '!D77,'AE DAE-1B by Country (Sum) '!D88,'AE DAE-1B by Country (Sum) '!D97,'AE DAE-1B by Country (Sum) '!D105,'AE DAE-1B by Country (Sum) '!D111,'AE DAE-1B by Country (Sum) '!D119,'AE DAE-1B by Country (Sum) '!D126)</f>
        <v>2</v>
      </c>
      <c r="E57" t="e">
        <f>SUM('AE DAE-1B by Country (Sum) '!E34,'AE DAE-1B by Country (Sum) '!E42,'AE DAE-1B by Country (Sum) '!E51,'AE DAE-1B by Country (Sum) '!E61,'AE DAE-1B by Country (Sum) '!E69,'AE DAE-1B by Country (Sum) '!E77,'AE DAE-1B by Country (Sum) '!E88,'AE DAE-1B by Country (Sum) '!E97,'AE DAE-1B by Country (Sum) '!E105,'AE DAE-1B by Country (Sum) '!E111,'AE DAE-1B by Country (Sum) '!E119,'AE DAE-1B by Country (Sum) '!E126)</f>
        <v>#DIV/0!</v>
      </c>
    </row>
  </sheetData>
  <sheetProtection algorithmName="SHA-512" hashValue="CfISFbGq1N1BDVaGBBHlWze8QyxR/6xjZ3Y5QKOQMOUHFOFT1x9bmXUouDth3YOWeODRqU5e5eywCP7yPOhm9A==" saltValue="ls4tbkGtrtGZpqbRqPovTw==" spinCount="100000" sheet="1" objects="1" scenarios="1" selectLockedCells="1"/>
  <mergeCells count="15">
    <mergeCell ref="A53:B53"/>
    <mergeCell ref="A1:H1"/>
    <mergeCell ref="A10:D10"/>
    <mergeCell ref="G10:H10"/>
    <mergeCell ref="A12:B13"/>
    <mergeCell ref="C12:D13"/>
    <mergeCell ref="E12:E14"/>
    <mergeCell ref="F12:F14"/>
    <mergeCell ref="G12:G14"/>
    <mergeCell ref="H12:H14"/>
    <mergeCell ref="A48:B48"/>
    <mergeCell ref="A49:B49"/>
    <mergeCell ref="A50:B50"/>
    <mergeCell ref="A51:B51"/>
    <mergeCell ref="A52:B52"/>
  </mergeCells>
  <phoneticPr fontId="18"/>
  <pageMargins left="0.7" right="0.7" top="0.75" bottom="0.75" header="0.3" footer="0.3"/>
  <pageSetup paperSize="9" scale="88" orientation="portrait" r:id="rId1"/>
  <drawing r:id="rId2"/>
  <legacyDrawing r:id="rId3"/>
  <controls>
    <mc:AlternateContent xmlns:mc="http://schemas.openxmlformats.org/markup-compatibility/2006">
      <mc:Choice Requires="x14">
        <control shapeId="14338" r:id="rId4" name="cmdGenerateDailyReport">
          <controlPr locked="0" defaultSize="0" disabled="1" autoLine="0" r:id="rId5">
            <anchor moveWithCells="1">
              <from>
                <xdr:col>5</xdr:col>
                <xdr:colOff>365760</xdr:colOff>
                <xdr:row>9</xdr:row>
                <xdr:rowOff>38100</xdr:rowOff>
              </from>
              <to>
                <xdr:col>7</xdr:col>
                <xdr:colOff>480060</xdr:colOff>
                <xdr:row>10</xdr:row>
                <xdr:rowOff>0</xdr:rowOff>
              </to>
            </anchor>
          </controlPr>
        </control>
      </mc:Choice>
      <mc:Fallback>
        <control shapeId="14338" r:id="rId4" name="cmdGenerateDailyRepo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K166"/>
  <sheetViews>
    <sheetView view="pageBreakPreview" topLeftCell="A4" zoomScale="130" zoomScaleNormal="100" zoomScaleSheetLayoutView="130" workbookViewId="0">
      <selection activeCell="C13" sqref="C13"/>
    </sheetView>
  </sheetViews>
  <sheetFormatPr defaultColWidth="9.109375" defaultRowHeight="13.2"/>
  <cols>
    <col min="1" max="1" width="34.109375" style="158" customWidth="1"/>
    <col min="2" max="2" width="25.6640625" style="158" customWidth="1"/>
    <col min="3" max="3" width="11.33203125" style="158" customWidth="1"/>
    <col min="4" max="4" width="15" style="158" customWidth="1"/>
    <col min="5" max="7" width="9.109375" style="158"/>
    <col min="8" max="8" width="35.109375" style="158" customWidth="1"/>
    <col min="9" max="16384" width="9.109375" style="158"/>
  </cols>
  <sheetData>
    <row r="1" spans="1:11" ht="13.8">
      <c r="A1" s="233" t="s">
        <v>540</v>
      </c>
      <c r="B1" s="234"/>
      <c r="C1" s="235"/>
      <c r="D1" s="236"/>
      <c r="E1" s="236"/>
    </row>
    <row r="2" spans="1:11">
      <c r="A2" s="237"/>
      <c r="B2" s="237"/>
      <c r="C2" s="235"/>
      <c r="D2" s="236"/>
      <c r="E2" s="236"/>
    </row>
    <row r="3" spans="1:11" ht="15.6">
      <c r="A3" s="311" t="s">
        <v>418</v>
      </c>
      <c r="B3" s="311"/>
      <c r="C3" s="311"/>
      <c r="D3" s="311"/>
      <c r="E3" s="311"/>
    </row>
    <row r="4" spans="1:11" ht="6" customHeight="1">
      <c r="A4" s="238"/>
      <c r="B4" s="238"/>
      <c r="C4" s="238"/>
      <c r="D4" s="236"/>
      <c r="E4" s="236"/>
    </row>
    <row r="5" spans="1:11">
      <c r="A5" s="239" t="str">
        <f>DAE2_Auto!$B$9</f>
        <v>January</v>
      </c>
      <c r="B5" s="240" t="str">
        <f>DAE2_Auto!$E$9</f>
        <v>2024</v>
      </c>
      <c r="C5" s="241"/>
      <c r="D5" s="236"/>
      <c r="E5" s="236"/>
    </row>
    <row r="6" spans="1:11">
      <c r="A6" s="242" t="s">
        <v>535</v>
      </c>
      <c r="B6" s="243" t="s">
        <v>534</v>
      </c>
      <c r="C6" s="236"/>
      <c r="D6" s="236"/>
      <c r="E6" s="236"/>
    </row>
    <row r="7" spans="1:11" ht="12" customHeight="1">
      <c r="A7" s="234"/>
      <c r="B7" s="234"/>
      <c r="C7" s="235"/>
      <c r="D7" s="236"/>
      <c r="E7" s="236"/>
    </row>
    <row r="8" spans="1:11" ht="13.8">
      <c r="A8" s="244" t="s">
        <v>539</v>
      </c>
      <c r="B8" s="245" t="str">
        <f>Management!H10</f>
        <v>NAY MORENA</v>
      </c>
      <c r="C8" s="235"/>
      <c r="D8" s="236"/>
      <c r="E8" s="236"/>
    </row>
    <row r="9" spans="1:11" ht="13.8">
      <c r="A9" s="244" t="s">
        <v>538</v>
      </c>
      <c r="B9" s="245" t="str">
        <f>AEType</f>
        <v>Resort</v>
      </c>
      <c r="C9" s="235"/>
      <c r="D9" s="236"/>
      <c r="E9" s="236"/>
    </row>
    <row r="10" spans="1:11" ht="15" customHeight="1">
      <c r="A10" s="234"/>
      <c r="B10" s="234"/>
      <c r="C10" s="246"/>
      <c r="D10" s="236"/>
      <c r="E10" s="236"/>
    </row>
    <row r="11" spans="1:11" ht="13.8">
      <c r="A11" s="244" t="s">
        <v>536</v>
      </c>
      <c r="B11" s="245" t="str">
        <f>Management!H9</f>
        <v>PANAON</v>
      </c>
      <c r="C11" s="235"/>
      <c r="D11" s="236"/>
      <c r="E11" s="236"/>
    </row>
    <row r="12" spans="1:11" ht="13.8">
      <c r="A12" s="244" t="s">
        <v>589</v>
      </c>
      <c r="B12" s="245" t="str">
        <f>Management!H8</f>
        <v>Misamis Occidental</v>
      </c>
      <c r="C12" s="235"/>
      <c r="D12" s="236"/>
      <c r="E12" s="236"/>
    </row>
    <row r="13" spans="1:11">
      <c r="A13" s="235"/>
      <c r="B13" s="235"/>
      <c r="C13" s="235"/>
      <c r="D13" s="236"/>
      <c r="E13" s="236"/>
      <c r="F13" s="312" t="s">
        <v>639</v>
      </c>
      <c r="G13" s="312"/>
    </row>
    <row r="14" spans="1:11" s="160" customFormat="1" ht="27" customHeight="1">
      <c r="A14" s="247" t="s">
        <v>419</v>
      </c>
      <c r="B14" s="191"/>
      <c r="C14" s="230" t="s">
        <v>618</v>
      </c>
      <c r="D14" s="230" t="s">
        <v>619</v>
      </c>
      <c r="E14" s="230" t="s">
        <v>620</v>
      </c>
      <c r="F14" s="252" t="s">
        <v>643</v>
      </c>
      <c r="G14" s="252" t="s">
        <v>644</v>
      </c>
      <c r="H14" s="281" t="s">
        <v>647</v>
      </c>
      <c r="I14" s="279"/>
      <c r="J14" s="279"/>
      <c r="K14" s="279"/>
    </row>
    <row r="15" spans="1:11" s="161" customFormat="1">
      <c r="A15" s="179"/>
      <c r="B15" s="192"/>
      <c r="C15" s="165"/>
      <c r="D15" s="228"/>
      <c r="E15" s="228"/>
    </row>
    <row r="16" spans="1:11" s="163" customFormat="1">
      <c r="A16" s="180" t="s">
        <v>420</v>
      </c>
      <c r="B16" s="193"/>
      <c r="C16" s="162"/>
      <c r="D16" s="229"/>
      <c r="E16" s="229"/>
    </row>
    <row r="17" spans="1:8">
      <c r="A17" s="181" t="s">
        <v>421</v>
      </c>
      <c r="B17" s="194"/>
      <c r="C17" s="249">
        <f>SUMIFS(DailyRecord!$E$15:$E$10000,DailyRecord!$D$15:$D$10000,"Philippines (Filipino)",DailyRecord!$F$15:$F$10000,"Yes",DailyRecord!$O$15:$O$10000,YearMaster,DailyRecord!$P$15:$P$10000,MonthMaster)</f>
        <v>0</v>
      </c>
      <c r="D17" s="249">
        <f>SUMIFS(DailyRecord!$E$15:$E$10000,DailyRecord!$D$15:$D$10000,"Philippines (Filipino)",DailyRecord!$O$15:$O$10000,YearMaster,DailyRecord!$P$15:$P$10000,MonthMaster)</f>
        <v>0</v>
      </c>
      <c r="E17" s="231" t="str">
        <f t="shared" ref="E17" si="0">IF(D17&gt;0, D17/C17, "-")</f>
        <v>-</v>
      </c>
      <c r="F17" s="249">
        <f>SUMIFS(DailyRecord!$R$15:$R$10000,DailyRecord!$D$15:$D$10000,"Philippines (Filipino)",DailyRecord!$F$15:$F$10000,"Yes",DailyRecord!$O$15:$O$10000,YearMaster,DailyRecord!$P$15:$P$10000,MonthMaster)</f>
        <v>0</v>
      </c>
      <c r="G17" s="249">
        <f>SUMIFS(DailyRecord!$S$15:$S$10000,DailyRecord!$D$15:$D$10000,"Philippines (Filipino)",DailyRecord!$F$15:$F$10000,"Yes",DailyRecord!$O$15:$O$10000,YearMaster,DailyRecord!$P$15:$P$10000,MonthMaster)</f>
        <v>0</v>
      </c>
      <c r="H17" s="280" t="str">
        <f>IF(SUM(F17:G17)=C17,"ok","!!!")</f>
        <v>ok</v>
      </c>
    </row>
    <row r="18" spans="1:8">
      <c r="A18" s="181" t="s">
        <v>422</v>
      </c>
      <c r="B18" s="194"/>
      <c r="C18" s="249">
        <f>SUMIFS(DailyRecord!$E$15:$E$10000,DailyRecord!$D$15:$D$10000,"Philippines (Foreign Nationality)",DailyRecord!$F$15:$F$10000,"Yes",DailyRecord!$O$15:$O$10000,YearMaster,DailyRecord!$P$15:$P$10000,MonthMaster)</f>
        <v>0</v>
      </c>
      <c r="D18" s="249">
        <f>SUMIFS(DailyRecord!$E$15:$E$10000,DailyRecord!$D$15:$D$10000,"Philippines (Foreign Nationality)",DailyRecord!$O$15:$O$10000,YearMaster,DailyRecord!$P$15:$P$10000,MonthMaster)</f>
        <v>0</v>
      </c>
      <c r="E18" s="231" t="str">
        <f>IF(D18&gt;0, D18/C18, "-")</f>
        <v>-</v>
      </c>
      <c r="F18" s="249">
        <f>SUMIFS(DailyRecord!$R$15:$R$10000,DailyRecord!$D$15:$D$10000,"Philippines (Foreign Nationality)",DailyRecord!$F$15:$F$10000,"Yes",DailyRecord!$O$15:$O$10000,YearMaster,DailyRecord!$P$15:$P$10000,MonthMaster)</f>
        <v>0</v>
      </c>
      <c r="G18" s="249">
        <f>SUMIFS(DailyRecord!$S$15:$S$10000,DailyRecord!$D$15:$D$10000,"Philippines (Foreign Nationality)",DailyRecord!$F$15:$F$10000,"Yes",DailyRecord!$O$15:$O$10000,YearMaster,DailyRecord!$P$15:$P$10000,MonthMaster)</f>
        <v>0</v>
      </c>
      <c r="H18" s="280" t="str">
        <f t="shared" ref="H18:H19" si="1">IF(SUM(F18:G18)=C18,"ok","!!!")</f>
        <v>ok</v>
      </c>
    </row>
    <row r="19" spans="1:8" s="164" customFormat="1">
      <c r="A19" s="182" t="s">
        <v>423</v>
      </c>
      <c r="B19" s="195"/>
      <c r="C19" s="249">
        <f>SUM(C17:C18)</f>
        <v>0</v>
      </c>
      <c r="D19" s="249">
        <f>SUM(D17:D18)</f>
        <v>0</v>
      </c>
      <c r="E19" s="231" t="str">
        <f t="shared" ref="E19" si="2">IF(D19&gt;0, D19/C19, "-")</f>
        <v>-</v>
      </c>
      <c r="F19" s="249">
        <f>SUM(F17:F18)</f>
        <v>0</v>
      </c>
      <c r="G19" s="249">
        <f>SUM(G17:G18)</f>
        <v>0</v>
      </c>
      <c r="H19" s="280" t="str">
        <f t="shared" si="1"/>
        <v>ok</v>
      </c>
    </row>
    <row r="20" spans="1:8" s="161" customFormat="1">
      <c r="A20" s="183"/>
      <c r="B20" s="192"/>
      <c r="C20" s="165"/>
      <c r="D20" s="165"/>
      <c r="E20" s="228"/>
      <c r="F20" s="165"/>
      <c r="G20" s="165"/>
    </row>
    <row r="21" spans="1:8" s="163" customFormat="1">
      <c r="A21" s="180" t="s">
        <v>424</v>
      </c>
      <c r="B21" s="193"/>
      <c r="C21" s="162"/>
      <c r="D21" s="162"/>
      <c r="E21" s="229"/>
      <c r="F21" s="162"/>
      <c r="G21" s="162"/>
    </row>
    <row r="22" spans="1:8" s="161" customFormat="1">
      <c r="A22" s="183"/>
      <c r="B22" s="192"/>
      <c r="C22" s="165"/>
      <c r="D22" s="165"/>
      <c r="E22" s="228"/>
      <c r="F22" s="165"/>
      <c r="G22" s="165"/>
    </row>
    <row r="23" spans="1:8" s="163" customFormat="1">
      <c r="A23" s="180" t="s">
        <v>425</v>
      </c>
      <c r="B23" s="193"/>
      <c r="C23" s="162"/>
      <c r="D23" s="162"/>
      <c r="E23" s="229"/>
      <c r="F23" s="162"/>
      <c r="G23" s="162"/>
    </row>
    <row r="24" spans="1:8" s="163" customFormat="1">
      <c r="A24" s="184" t="s">
        <v>426</v>
      </c>
      <c r="B24" s="196"/>
      <c r="C24" s="162"/>
      <c r="D24" s="162"/>
      <c r="E24" s="229"/>
      <c r="F24" s="162"/>
      <c r="G24" s="162"/>
    </row>
    <row r="25" spans="1:8">
      <c r="A25" s="181" t="s">
        <v>427</v>
      </c>
      <c r="B25" s="194"/>
      <c r="C25" s="249">
        <f>SUMIFS(DailyRecord!$E$15:$E$10000,DailyRecord!$D$15:$D$10000,"Brunei",DailyRecord!$F$15:$F$10000,"Yes",DailyRecord!$O$15:$O$10000,YearMaster,DailyRecord!$P$15:$P$10000,MonthMaster)</f>
        <v>0</v>
      </c>
      <c r="D25" s="249">
        <f>SUMIFS(DailyRecord!$E$15:$E$10000,DailyRecord!$D$15:$D$10000,"Brunei",DailyRecord!$O$15:$O$10000,YearMaster,DailyRecord!$P$15:$P$10000,MonthMaster)</f>
        <v>0</v>
      </c>
      <c r="E25" s="231" t="str">
        <f t="shared" ref="E25:E34" si="3">IF(D25&gt;0, D25/C25, "-")</f>
        <v>-</v>
      </c>
      <c r="F25" s="249">
        <f>SUMIFS(DailyRecord!$R$15:$R$10000,DailyRecord!$D$15:$D$10000,"Brunei",DailyRecord!$F$15:$F$10000,"Yes",DailyRecord!$O$15:$O$10000,YearMaster,DailyRecord!$P$15:$P$10000,MonthMaster)</f>
        <v>0</v>
      </c>
      <c r="G25" s="249">
        <f>SUMIFS(DailyRecord!$S$15:$S$10000,DailyRecord!$D$15:$D$10000,"Brunei",DailyRecord!$F$15:$F$10000,"Yes",DailyRecord!$O$15:$O$10000,YearMaster,DailyRecord!$P$15:$P$10000,MonthMaster)</f>
        <v>0</v>
      </c>
      <c r="H25" s="280" t="str">
        <f>IF(SUM(F25:G25)=C25,"ok","!!!")</f>
        <v>ok</v>
      </c>
    </row>
    <row r="26" spans="1:8">
      <c r="A26" s="181" t="s">
        <v>428</v>
      </c>
      <c r="B26" s="194"/>
      <c r="C26" s="249">
        <f>SUMIFS(DailyRecord!$E$15:$E$10000,DailyRecord!$D$15:$D$10000,"Cambodia",DailyRecord!$F$15:$F$10000,"Yes",DailyRecord!$O$15:$O$10000,YearMaster,DailyRecord!$P$15:$P$10000,MonthMaster)</f>
        <v>0</v>
      </c>
      <c r="D26" s="249">
        <f>SUMIFS(DailyRecord!$E$15:$E$10000,DailyRecord!$D$15:$D$10000,"Cambodia",DailyRecord!$O$15:$O$10000,YearMaster,DailyRecord!$P$15:$P$10000,MonthMaster)</f>
        <v>0</v>
      </c>
      <c r="E26" s="231" t="str">
        <f t="shared" si="3"/>
        <v>-</v>
      </c>
      <c r="F26" s="249">
        <f>SUMIFS(DailyRecord!$R$15:$R$10000,DailyRecord!$D$15:$D$10000,"Cambodia",DailyRecord!$F$15:$F$10000,"Yes",DailyRecord!$O$15:$O$10000,YearMaster,DailyRecord!$P$15:$P$10000,MonthMaster)</f>
        <v>0</v>
      </c>
      <c r="G26" s="249">
        <f>SUMIFS(DailyRecord!$S$15:$S$10000,DailyRecord!$D$15:$D$10000,"Cambodia",DailyRecord!$F$15:$F$10000,"Yes",DailyRecord!$O$15:$O$10000,YearMaster,DailyRecord!$P$15:$P$10000,MonthMaster)</f>
        <v>0</v>
      </c>
      <c r="H26" s="280" t="str">
        <f>IF(SUM(F26:G26)=C26,"ok","!!!")</f>
        <v>ok</v>
      </c>
    </row>
    <row r="27" spans="1:8">
      <c r="A27" s="181" t="s">
        <v>429</v>
      </c>
      <c r="B27" s="194"/>
      <c r="C27" s="249">
        <f>SUMIFS(DailyRecord!$E$15:$E$10000,DailyRecord!$D$15:$D$10000,"Indonesia",DailyRecord!$F$15:$F$10000,"Yes",DailyRecord!$O$15:$O$10000,YearMaster,DailyRecord!$P$15:$P$10000,MonthMaster)</f>
        <v>0</v>
      </c>
      <c r="D27" s="249">
        <f>SUMIFS(DailyRecord!$E$15:$E$10000,DailyRecord!$D$15:$D$10000,"Indonesia",DailyRecord!$O$15:$O$10000,YearMaster,DailyRecord!$P$15:$P$10000,MonthMaster)</f>
        <v>0</v>
      </c>
      <c r="E27" s="231" t="str">
        <f t="shared" si="3"/>
        <v>-</v>
      </c>
      <c r="F27" s="249">
        <f>SUMIFS(DailyRecord!$R$15:$R$10000,DailyRecord!$D$15:$D$10000,"Indonesia",DailyRecord!$F$15:$F$10000,"Yes",DailyRecord!$O$15:$O$10000,YearMaster,DailyRecord!$P$15:$P$10000,MonthMaster)</f>
        <v>0</v>
      </c>
      <c r="G27" s="249">
        <f>SUMIFS(DailyRecord!$S$15:$S$10000,DailyRecord!$D$15:$D$10000,"Indonesia",DailyRecord!$F$15:$F$10000,"Yes",DailyRecord!$O$15:$O$10000,YearMaster,DailyRecord!$P$15:$P$10000,MonthMaster)</f>
        <v>0</v>
      </c>
      <c r="H27" s="280" t="str">
        <f t="shared" ref="H27:H34" si="4">IF(SUM(F27:G27)=C27,"ok","!!!")</f>
        <v>ok</v>
      </c>
    </row>
    <row r="28" spans="1:8">
      <c r="A28" s="181" t="s">
        <v>430</v>
      </c>
      <c r="B28" s="194"/>
      <c r="C28" s="249">
        <f>SUMIFS(DailyRecord!$E$15:$E$10000,DailyRecord!$D$15:$D$10000,"Laos",DailyRecord!$F$15:$F$10000,"Yes",DailyRecord!$O$15:$O$10000,YearMaster,DailyRecord!$P$15:$P$10000,MonthMaster)</f>
        <v>0</v>
      </c>
      <c r="D28" s="249">
        <f>SUMIFS(DailyRecord!$E$15:$E$10000,DailyRecord!$D$15:$D$10000,"Laos",DailyRecord!$O$15:$O$10000,YearMaster,DailyRecord!$P$15:$P$10000,MonthMaster)</f>
        <v>0</v>
      </c>
      <c r="E28" s="231" t="str">
        <f t="shared" si="3"/>
        <v>-</v>
      </c>
      <c r="F28" s="249">
        <f>SUMIFS(DailyRecord!$R$15:$R$10000,DailyRecord!$D$15:$D$10000,"Laos",DailyRecord!$F$15:$F$10000,"Yes",DailyRecord!$O$15:$O$10000,YearMaster,DailyRecord!$P$15:$P$10000,MonthMaster)</f>
        <v>0</v>
      </c>
      <c r="G28" s="249">
        <f>SUMIFS(DailyRecord!$S$15:$S$10000,DailyRecord!$D$15:$D$10000,"Laos",DailyRecord!$F$15:$F$10000,"Yes",DailyRecord!$O$15:$O$10000,YearMaster,DailyRecord!$P$15:$P$10000,MonthMaster)</f>
        <v>0</v>
      </c>
      <c r="H28" s="280" t="str">
        <f t="shared" si="4"/>
        <v>ok</v>
      </c>
    </row>
    <row r="29" spans="1:8">
      <c r="A29" s="181" t="s">
        <v>431</v>
      </c>
      <c r="B29" s="194"/>
      <c r="C29" s="249">
        <f>SUMIFS(DailyRecord!$E$15:$E$10000,DailyRecord!$D$15:$D$10000,"Malaysia",DailyRecord!$F$15:$F$10000,"Yes",DailyRecord!$O$15:$O$10000,YearMaster,DailyRecord!$P$15:$P$10000,MonthMaster)</f>
        <v>0</v>
      </c>
      <c r="D29" s="249">
        <f>SUMIFS(DailyRecord!$E$15:$E$10000,DailyRecord!$D$15:$D$10000,"Malaysia",DailyRecord!$O$15:$O$10000,YearMaster,DailyRecord!$P$15:$P$10000,MonthMaster)</f>
        <v>0</v>
      </c>
      <c r="E29" s="231" t="str">
        <f t="shared" si="3"/>
        <v>-</v>
      </c>
      <c r="F29" s="249">
        <f>SUMIFS(DailyRecord!$R$15:$R$10000,DailyRecord!$D$15:$D$10000,"Malaysia",DailyRecord!$F$15:$F$10000,"Yes",DailyRecord!$O$15:$O$10000,YearMaster,DailyRecord!$P$15:$P$10000,MonthMaster)</f>
        <v>0</v>
      </c>
      <c r="G29" s="249">
        <f>SUMIFS(DailyRecord!$S$15:$S$10000,DailyRecord!$D$15:$D$10000,"Malaysia",DailyRecord!$F$15:$F$10000,"Yes",DailyRecord!$O$15:$O$10000,YearMaster,DailyRecord!$P$15:$P$10000,MonthMaster)</f>
        <v>0</v>
      </c>
      <c r="H29" s="280" t="str">
        <f t="shared" si="4"/>
        <v>ok</v>
      </c>
    </row>
    <row r="30" spans="1:8">
      <c r="A30" s="181" t="s">
        <v>432</v>
      </c>
      <c r="B30" s="194"/>
      <c r="C30" s="249">
        <f>SUMIFS(DailyRecord!$E$15:$E$10000,DailyRecord!$D$15:$D$10000,"Myanmar",DailyRecord!$F$15:$F$10000,"Yes",DailyRecord!$O$15:$O$10000,YearMaster,DailyRecord!$P$15:$P$10000,MonthMaster)</f>
        <v>0</v>
      </c>
      <c r="D30" s="249">
        <f>SUMIFS(DailyRecord!$E$15:$E$10000,DailyRecord!$D$15:$D$10000,"Myanmar",DailyRecord!$O$15:$O$10000,YearMaster,DailyRecord!$P$15:$P$10000,MonthMaster)</f>
        <v>0</v>
      </c>
      <c r="E30" s="231" t="str">
        <f t="shared" si="3"/>
        <v>-</v>
      </c>
      <c r="F30" s="249">
        <f>SUMIFS(DailyRecord!$R$15:$R$10000,DailyRecord!$D$15:$D$10000,"Myanmar",DailyRecord!$F$15:$F$10000,"Yes",DailyRecord!$O$15:$O$10000,YearMaster,DailyRecord!$P$15:$P$10000,MonthMaster)</f>
        <v>0</v>
      </c>
      <c r="G30" s="249">
        <f>SUMIFS(DailyRecord!$S$15:$S$10000,DailyRecord!$D$15:$D$10000,"Myanmar",DailyRecord!$F$15:$F$10000,"Yes",DailyRecord!$O$15:$O$10000,YearMaster,DailyRecord!$P$15:$P$10000,MonthMaster)</f>
        <v>0</v>
      </c>
      <c r="H30" s="280" t="str">
        <f t="shared" si="4"/>
        <v>ok</v>
      </c>
    </row>
    <row r="31" spans="1:8">
      <c r="A31" s="181" t="s">
        <v>433</v>
      </c>
      <c r="B31" s="194"/>
      <c r="C31" s="249">
        <f>SUMIFS(DailyRecord!$E$15:$E$10000,DailyRecord!$D$15:$D$10000,"Singapore",DailyRecord!$F$15:$F$10000,"Yes",DailyRecord!$O$15:$O$10000,YearMaster,DailyRecord!$P$15:$P$10000,MonthMaster)</f>
        <v>0</v>
      </c>
      <c r="D31" s="249">
        <f>SUMIFS(DailyRecord!$E$15:$E$10000,DailyRecord!$D$15:$D$10000,"Singapore",DailyRecord!$O$15:$O$10000,YearMaster,DailyRecord!$P$15:$P$10000,MonthMaster)</f>
        <v>0</v>
      </c>
      <c r="E31" s="231" t="str">
        <f t="shared" si="3"/>
        <v>-</v>
      </c>
      <c r="F31" s="249">
        <f>SUMIFS(DailyRecord!$R$15:$R$10000,DailyRecord!$D$15:$D$10000,"Singapore",DailyRecord!$F$15:$F$10000,"Yes",DailyRecord!$O$15:$O$10000,YearMaster,DailyRecord!$P$15:$P$10000,MonthMaster)</f>
        <v>0</v>
      </c>
      <c r="G31" s="249">
        <f>SUMIFS(DailyRecord!$S$15:$S$10000,DailyRecord!$D$15:$D$10000,"Singapore",DailyRecord!$F$15:$F$10000,"Yes",DailyRecord!$O$15:$O$10000,YearMaster,DailyRecord!$P$15:$P$10000,MonthMaster)</f>
        <v>0</v>
      </c>
      <c r="H31" s="280" t="str">
        <f t="shared" si="4"/>
        <v>ok</v>
      </c>
    </row>
    <row r="32" spans="1:8">
      <c r="A32" s="181" t="s">
        <v>434</v>
      </c>
      <c r="B32" s="194"/>
      <c r="C32" s="249">
        <f>SUMIFS(DailyRecord!$E$15:$E$10000,DailyRecord!$D$15:$D$10000,"Thailand",DailyRecord!$F$15:$F$10000,"Yes",DailyRecord!$O$15:$O$10000,YearMaster,DailyRecord!$P$15:$P$10000,MonthMaster)</f>
        <v>0</v>
      </c>
      <c r="D32" s="249">
        <f>SUMIFS(DailyRecord!$E$15:$E$10000,DailyRecord!$D$15:$D$10000,"Thailand",DailyRecord!$O$15:$O$10000,YearMaster,DailyRecord!$P$15:$P$10000,MonthMaster)</f>
        <v>0</v>
      </c>
      <c r="E32" s="231" t="str">
        <f t="shared" si="3"/>
        <v>-</v>
      </c>
      <c r="F32" s="249">
        <f>SUMIFS(DailyRecord!$R$15:$R$10000,DailyRecord!$D$15:$D$10000,"Thailand",DailyRecord!$F$15:$F$10000,"Yes",DailyRecord!$O$15:$O$10000,YearMaster,DailyRecord!$P$15:$P$10000,MonthMaster)</f>
        <v>0</v>
      </c>
      <c r="G32" s="249">
        <f>SUMIFS(DailyRecord!$S$15:$S$10000,DailyRecord!$D$15:$D$10000,"Thailand",DailyRecord!$F$15:$F$10000,"Yes",DailyRecord!$O$15:$O$10000,YearMaster,DailyRecord!$P$15:$P$10000,MonthMaster)</f>
        <v>0</v>
      </c>
      <c r="H32" s="280" t="str">
        <f t="shared" si="4"/>
        <v>ok</v>
      </c>
    </row>
    <row r="33" spans="1:8">
      <c r="A33" s="181" t="s">
        <v>435</v>
      </c>
      <c r="B33" s="194"/>
      <c r="C33" s="249">
        <f>SUMIFS(DailyRecord!$E$15:$E$10000,DailyRecord!$D$15:$D$10000,"Vietnam",DailyRecord!$F$15:$F$10000,"Yes",DailyRecord!$O$15:$O$10000,YearMaster,DailyRecord!$P$15:$P$10000,MonthMaster)</f>
        <v>0</v>
      </c>
      <c r="D33" s="249">
        <f>SUMIFS(DailyRecord!$E$15:$E$10000,DailyRecord!$D$15:$D$10000,"Vietnam",DailyRecord!$O$15:$O$10000,YearMaster,DailyRecord!$P$15:$P$10000,MonthMaster)</f>
        <v>0</v>
      </c>
      <c r="E33" s="231" t="str">
        <f t="shared" si="3"/>
        <v>-</v>
      </c>
      <c r="F33" s="249">
        <f>SUMIFS(DailyRecord!$R$15:$R$10000,DailyRecord!$D$15:$D$10000,"Vietnam",DailyRecord!$F$15:$F$10000,"Yes",DailyRecord!$O$15:$O$10000,YearMaster,DailyRecord!$P$15:$P$10000,MonthMaster)</f>
        <v>0</v>
      </c>
      <c r="G33" s="249">
        <f>SUMIFS(DailyRecord!$S$15:$S$10000,DailyRecord!$D$15:$D$10000,"Vietnam",DailyRecord!$F$15:$F$10000,"Yes",DailyRecord!$O$15:$O$10000,YearMaster,DailyRecord!$P$15:$P$10000,MonthMaster)</f>
        <v>0</v>
      </c>
      <c r="H33" s="280" t="str">
        <f t="shared" si="4"/>
        <v>ok</v>
      </c>
    </row>
    <row r="34" spans="1:8" s="166" customFormat="1">
      <c r="A34" s="185" t="s">
        <v>436</v>
      </c>
      <c r="B34" s="197"/>
      <c r="C34" s="249">
        <f>SUM(C25:C33)</f>
        <v>0</v>
      </c>
      <c r="D34" s="249">
        <f>SUM(D25:D33)</f>
        <v>0</v>
      </c>
      <c r="E34" s="231" t="str">
        <f t="shared" si="3"/>
        <v>-</v>
      </c>
      <c r="F34" s="249">
        <f>SUM(F25:F33)</f>
        <v>0</v>
      </c>
      <c r="G34" s="249">
        <f>SUM(G25:G33)</f>
        <v>0</v>
      </c>
      <c r="H34" s="280" t="str">
        <f t="shared" si="4"/>
        <v>ok</v>
      </c>
    </row>
    <row r="35" spans="1:8" s="161" customFormat="1">
      <c r="A35" s="186"/>
      <c r="B35" s="198"/>
      <c r="C35" s="250"/>
      <c r="D35" s="250"/>
      <c r="E35" s="228"/>
      <c r="F35" s="250"/>
      <c r="G35" s="250"/>
    </row>
    <row r="36" spans="1:8" s="167" customFormat="1">
      <c r="A36" s="184" t="s">
        <v>437</v>
      </c>
      <c r="B36" s="196"/>
      <c r="C36" s="251"/>
      <c r="D36" s="251"/>
      <c r="E36" s="229"/>
      <c r="F36" s="251"/>
      <c r="G36" s="251"/>
    </row>
    <row r="37" spans="1:8">
      <c r="A37" s="181" t="s">
        <v>438</v>
      </c>
      <c r="B37" s="194"/>
      <c r="C37" s="249">
        <f>SUMIFS(DailyRecord!$E$15:$E$10000,DailyRecord!$D$15:$D$10000,"China",DailyRecord!$F$15:$F$10000,"Yes",DailyRecord!$O$15:$O$10000,YearMaster,DailyRecord!$P$15:$P$10000,MonthMaster)</f>
        <v>0</v>
      </c>
      <c r="D37" s="249">
        <f>SUMIFS(DailyRecord!$E$15:$E$10000,DailyRecord!$D$15:$D$10000,"China",DailyRecord!$O$15:$O$10000,YearMaster,DailyRecord!$P$15:$P$10000,MonthMaster)</f>
        <v>0</v>
      </c>
      <c r="E37" s="231" t="str">
        <f t="shared" ref="E37:E42" si="5">IF(D37&gt;0, D37/C37, "-")</f>
        <v>-</v>
      </c>
      <c r="F37" s="249">
        <f>SUMIFS(DailyRecord!$R$15:$R$10000,DailyRecord!$D$15:$D$10000,"China",DailyRecord!$F$15:$F$10000,"Yes",DailyRecord!$O$15:$O$10000,YearMaster,DailyRecord!$P$15:$P$10000,MonthMaster)</f>
        <v>0</v>
      </c>
      <c r="G37" s="249">
        <f>SUMIFS(DailyRecord!$S$15:$S$10000,DailyRecord!$D$15:$D$10000,"China",DailyRecord!$F$15:$F$10000,"Yes",DailyRecord!$O$15:$O$10000,YearMaster,DailyRecord!$P$15:$P$10000,MonthMaster)</f>
        <v>0</v>
      </c>
      <c r="H37" s="280" t="str">
        <f t="shared" ref="H37:H42" si="6">IF(SUM(F37:G37)=C37,"ok","!!!")</f>
        <v>ok</v>
      </c>
    </row>
    <row r="38" spans="1:8">
      <c r="A38" s="181" t="s">
        <v>439</v>
      </c>
      <c r="B38" s="194"/>
      <c r="C38" s="249">
        <f>SUMIFS(DailyRecord!$E$15:$E$10000,DailyRecord!$D$15:$D$10000,"Hongkong",DailyRecord!$F$15:$F$10000,"Yes",DailyRecord!$O$15:$O$10000,YearMaster,DailyRecord!$P$15:$P$10000,MonthMaster)</f>
        <v>0</v>
      </c>
      <c r="D38" s="249">
        <f>SUMIFS(DailyRecord!$E$15:$E$10000,DailyRecord!$D$15:$D$10000,"Hongkong",DailyRecord!$O$15:$O$10000,YearMaster,DailyRecord!$P$15:$P$10000,MonthMaster)</f>
        <v>0</v>
      </c>
      <c r="E38" s="231" t="str">
        <f t="shared" si="5"/>
        <v>-</v>
      </c>
      <c r="F38" s="249">
        <f>SUMIFS(DailyRecord!$R$15:$R$10000,DailyRecord!$D$15:$D$10000,"Hongkong",DailyRecord!$F$15:$F$10000,"Yes",DailyRecord!$O$15:$O$10000,YearMaster,DailyRecord!$P$15:$P$10000,MonthMaster)</f>
        <v>0</v>
      </c>
      <c r="G38" s="249">
        <f>SUMIFS(DailyRecord!$S$15:$S$10000,DailyRecord!$D$15:$D$10000,"Hongkong",DailyRecord!$F$15:$F$10000,"Yes",DailyRecord!$O$15:$O$10000,YearMaster,DailyRecord!$P$15:$P$10000,MonthMaster)</f>
        <v>0</v>
      </c>
      <c r="H38" s="280" t="str">
        <f t="shared" si="6"/>
        <v>ok</v>
      </c>
    </row>
    <row r="39" spans="1:8">
      <c r="A39" s="181" t="s">
        <v>440</v>
      </c>
      <c r="B39" s="194"/>
      <c r="C39" s="249">
        <f>SUMIFS(DailyRecord!$E$15:$E$10000,DailyRecord!$D$15:$D$10000,"Japan",DailyRecord!$F$15:$F$10000,"Yes",DailyRecord!$O$15:$O$10000,YearMaster,DailyRecord!$P$15:$P$10000,MonthMaster)</f>
        <v>0</v>
      </c>
      <c r="D39" s="249">
        <f>SUMIFS(DailyRecord!$E$15:$E$10000,DailyRecord!$D$15:$D$10000,"Japan",DailyRecord!$O$15:$O$10000,YearMaster,DailyRecord!$P$15:$P$10000,MonthMaster)</f>
        <v>0</v>
      </c>
      <c r="E39" s="231" t="str">
        <f t="shared" si="5"/>
        <v>-</v>
      </c>
      <c r="F39" s="249">
        <f>SUMIFS(DailyRecord!$R$15:$R$10000,DailyRecord!$D$15:$D$10000,"Japan",DailyRecord!$F$15:$F$10000,"Yes",DailyRecord!$O$15:$O$10000,YearMaster,DailyRecord!$P$15:$P$10000,MonthMaster)</f>
        <v>0</v>
      </c>
      <c r="G39" s="249">
        <f>SUMIFS(DailyRecord!$S$15:$S$10000,DailyRecord!$D$15:$D$10000,"Japan",DailyRecord!$F$15:$F$10000,"Yes",DailyRecord!$O$15:$O$10000,YearMaster,DailyRecord!$P$15:$P$10000,MonthMaster)</f>
        <v>0</v>
      </c>
      <c r="H39" s="280" t="str">
        <f t="shared" si="6"/>
        <v>ok</v>
      </c>
    </row>
    <row r="40" spans="1:8">
      <c r="A40" s="181" t="s">
        <v>441</v>
      </c>
      <c r="B40" s="194"/>
      <c r="C40" s="249">
        <f>SUMIFS(DailyRecord!$E$15:$E$10000,DailyRecord!$D$15:$D$10000,"Korea (South)",DailyRecord!$F$15:$F$10000,"Yes",DailyRecord!$O$15:$O$10000,YearMaster,DailyRecord!$P$15:$P$10000,MonthMaster)+SUMIFS(DailyRecord!$E$15:$E$10000,DailyRecord!$D$15:$D$10000,"Korea (North)",DailyRecord!$F$15:$F$10000,"Yes",DailyRecord!$O$15:$O$10000,YearMaster,DailyRecord!$P$15:$P$10000,MonthMaster)</f>
        <v>0</v>
      </c>
      <c r="D40" s="249">
        <f>SUMIFS(DailyRecord!$E$15:$E$10000,DailyRecord!$D$15:$D$10000,"Korea (South)",DailyRecord!$O$15:$O$10000,YearMaster,DailyRecord!$P$15:$P$10000,MonthMaster)+SUMIFS(DailyRecord!$E$15:$E$10000,DailyRecord!$D$15:$D$10000,"Korea (North)",DailyRecord!$O$15:$O$10000,YearMaster,DailyRecord!$P$15:$P$10000,MonthMaster)</f>
        <v>0</v>
      </c>
      <c r="E40" s="231" t="str">
        <f t="shared" si="5"/>
        <v>-</v>
      </c>
      <c r="F40" s="249">
        <f>SUMIFS(DailyRecord!$R$15:$R$10000,DailyRecord!$D$15:$D$10000,"Korea (South)",DailyRecord!$F$15:$F$10000,"Yes",DailyRecord!$O$15:$O$10000,YearMaster,DailyRecord!$P$15:$P$10000,MonthMaster)+SUMIFS(DailyRecord!$R$15:$R$10000,DailyRecord!$D$15:$D$10000,"Korea (North)",DailyRecord!$F$15:$F$10000,"Yes",DailyRecord!$O$15:$O$10000,YearMaster,DailyRecord!$P$15:$P$10000,MonthMaster)</f>
        <v>0</v>
      </c>
      <c r="G40" s="249">
        <f>SUMIFS(DailyRecord!$S$15:$S$10000,DailyRecord!$D$15:$D$10000,"Korea (South)",DailyRecord!$F$15:$F$10000,"Yes",DailyRecord!$O$15:$O$10000,YearMaster,DailyRecord!$P$15:$P$10000,MonthMaster)+SUMIFS(DailyRecord!$S$15:$S$10000,DailyRecord!$D$15:$D$10000,"Korea (North)",DailyRecord!$F$15:$F$10000,"Yes",DailyRecord!$O$15:$O$10000,YearMaster,DailyRecord!$P$15:$P$10000,MonthMaster)</f>
        <v>0</v>
      </c>
      <c r="H40" s="280" t="str">
        <f t="shared" si="6"/>
        <v>ok</v>
      </c>
    </row>
    <row r="41" spans="1:8">
      <c r="A41" s="181" t="s">
        <v>442</v>
      </c>
      <c r="B41" s="194"/>
      <c r="C41" s="249">
        <f>SUMIFS(DailyRecord!$E$15:$E$10000,DailyRecord!$D$15:$D$10000,"Taiwan",DailyRecord!$F$15:$F$10000,"Yes",DailyRecord!$O$15:$O$10000,YearMaster,DailyRecord!$P$15:$P$10000,MonthMaster)</f>
        <v>0</v>
      </c>
      <c r="D41" s="249">
        <f>SUMIFS(DailyRecord!$E$15:$E$10000,DailyRecord!$D$15:$D$10000,"Taiwan",DailyRecord!$O$15:$O$10000,YearMaster,DailyRecord!$P$15:$P$10000,MonthMaster)</f>
        <v>0</v>
      </c>
      <c r="E41" s="231" t="str">
        <f t="shared" si="5"/>
        <v>-</v>
      </c>
      <c r="F41" s="249">
        <f>SUMIFS(DailyRecord!$R$15:$R$10000,DailyRecord!$D$15:$D$10000,"Taiwan",DailyRecord!$F$15:$F$10000,"Yes",DailyRecord!$O$15:$O$10000,YearMaster,DailyRecord!$P$15:$P$10000,MonthMaster)</f>
        <v>0</v>
      </c>
      <c r="G41" s="249">
        <f>SUMIFS(DailyRecord!$S$15:$S$10000,DailyRecord!$D$15:$D$10000,"Taiwan",DailyRecord!$F$15:$F$10000,"Yes",DailyRecord!$O$15:$O$10000,YearMaster,DailyRecord!$P$15:$P$10000,MonthMaster)</f>
        <v>0</v>
      </c>
      <c r="H41" s="280" t="str">
        <f t="shared" si="6"/>
        <v>ok</v>
      </c>
    </row>
    <row r="42" spans="1:8" s="166" customFormat="1">
      <c r="A42" s="185" t="s">
        <v>443</v>
      </c>
      <c r="B42" s="197"/>
      <c r="C42" s="249">
        <f>SUM(C37:C41)</f>
        <v>0</v>
      </c>
      <c r="D42" s="249">
        <f>SUM(D37:D41)</f>
        <v>0</v>
      </c>
      <c r="E42" s="231" t="str">
        <f t="shared" si="5"/>
        <v>-</v>
      </c>
      <c r="F42" s="249">
        <f>SUM(F37:F41)</f>
        <v>0</v>
      </c>
      <c r="G42" s="249">
        <f>SUM(G37:G41)</f>
        <v>0</v>
      </c>
      <c r="H42" s="280" t="str">
        <f t="shared" si="6"/>
        <v>ok</v>
      </c>
    </row>
    <row r="43" spans="1:8" s="161" customFormat="1">
      <c r="A43" s="186"/>
      <c r="B43" s="198"/>
      <c r="C43" s="250"/>
      <c r="D43" s="250"/>
      <c r="E43" s="228"/>
      <c r="F43" s="250"/>
      <c r="G43" s="250"/>
    </row>
    <row r="44" spans="1:8" s="163" customFormat="1">
      <c r="A44" s="184" t="s">
        <v>444</v>
      </c>
      <c r="B44" s="196"/>
      <c r="C44" s="251"/>
      <c r="D44" s="251"/>
      <c r="E44" s="229"/>
      <c r="F44" s="251"/>
      <c r="G44" s="251"/>
    </row>
    <row r="45" spans="1:8">
      <c r="A45" s="181" t="s">
        <v>445</v>
      </c>
      <c r="B45" s="194"/>
      <c r="C45" s="249">
        <f>SUMIFS(DailyRecord!$E$15:$E$10000,DailyRecord!$D$15:$D$10000,"Bangladesh",DailyRecord!$F$15:$F$10000,"Yes",DailyRecord!$O$15:$O$10000,YearMaster,DailyRecord!$P$15:$P$10000,MonthMaster)</f>
        <v>0</v>
      </c>
      <c r="D45" s="249">
        <f>SUMIFS(DailyRecord!$E$15:$E$10000,DailyRecord!$D$15:$D$10000,"Bangladesh",DailyRecord!$O$15:$O$10000,YearMaster,DailyRecord!$P$15:$P$10000,MonthMaster)</f>
        <v>0</v>
      </c>
      <c r="E45" s="231" t="str">
        <f t="shared" ref="E45:E51" si="7">IF(D45&gt;0, D45/C45, "-")</f>
        <v>-</v>
      </c>
      <c r="F45" s="249">
        <f>SUMIFS(DailyRecord!$R$15:$R$10000,DailyRecord!$D$15:$D$10000,"Bangladesh",DailyRecord!$F$15:$F$10000,"Yes",DailyRecord!$O$15:$O$10000,YearMaster,DailyRecord!$P$15:$P$10000,MonthMaster)</f>
        <v>0</v>
      </c>
      <c r="G45" s="249">
        <f>SUMIFS(DailyRecord!$S$15:$S$10000,DailyRecord!$D$15:$D$10000,"Bangladesh",DailyRecord!$F$15:$F$10000,"Yes",DailyRecord!$O$15:$O$10000,YearMaster,DailyRecord!$P$15:$P$10000,MonthMaster)</f>
        <v>0</v>
      </c>
      <c r="H45" s="280" t="str">
        <f t="shared" ref="H45:H51" si="8">IF(SUM(F45:G45)=C45,"ok","!!!")</f>
        <v>ok</v>
      </c>
    </row>
    <row r="46" spans="1:8">
      <c r="A46" s="181" t="s">
        <v>446</v>
      </c>
      <c r="B46" s="194"/>
      <c r="C46" s="249">
        <f>SUMIFS(DailyRecord!$E$15:$E$10000,DailyRecord!$D$15:$D$10000,"India",DailyRecord!$F$15:$F$10000,"Yes",DailyRecord!$O$15:$O$10000,YearMaster,DailyRecord!$P$15:$P$10000,MonthMaster)</f>
        <v>0</v>
      </c>
      <c r="D46" s="249">
        <f>SUMIFS(DailyRecord!$E$15:$E$10000,DailyRecord!$D$15:$D$10000,"India",DailyRecord!$O$15:$O$10000,YearMaster,DailyRecord!$P$15:$P$10000,MonthMaster)</f>
        <v>0</v>
      </c>
      <c r="E46" s="231" t="str">
        <f t="shared" si="7"/>
        <v>-</v>
      </c>
      <c r="F46" s="249">
        <f>SUMIFS(DailyRecord!$R$15:$R$10000,DailyRecord!$D$15:$D$10000,"India",DailyRecord!$F$15:$F$10000,"Yes",DailyRecord!$O$15:$O$10000,YearMaster,DailyRecord!$P$15:$P$10000,MonthMaster)</f>
        <v>0</v>
      </c>
      <c r="G46" s="249">
        <f>SUMIFS(DailyRecord!$S$15:$S$10000,DailyRecord!$D$15:$D$10000,"India",DailyRecord!$F$15:$F$10000,"Yes",DailyRecord!$O$15:$O$10000,YearMaster,DailyRecord!$P$15:$P$10000,MonthMaster)</f>
        <v>0</v>
      </c>
      <c r="H46" s="280" t="str">
        <f t="shared" si="8"/>
        <v>ok</v>
      </c>
    </row>
    <row r="47" spans="1:8">
      <c r="A47" s="181" t="s">
        <v>447</v>
      </c>
      <c r="B47" s="194"/>
      <c r="C47" s="249">
        <f>SUMIFS(DailyRecord!$E$15:$E$10000,DailyRecord!$D$15:$D$10000,"Iran",DailyRecord!$F$15:$F$10000,"Yes",DailyRecord!$O$15:$O$10000,YearMaster,DailyRecord!$P$15:$P$10000,MonthMaster)</f>
        <v>0</v>
      </c>
      <c r="D47" s="249">
        <f>SUMIFS(DailyRecord!$E$15:$E$10000,DailyRecord!$D$15:$D$10000,"Iran",DailyRecord!$O$15:$O$10000,YearMaster,DailyRecord!$P$15:$P$10000,MonthMaster)</f>
        <v>0</v>
      </c>
      <c r="E47" s="231" t="str">
        <f t="shared" si="7"/>
        <v>-</v>
      </c>
      <c r="F47" s="249">
        <f>SUMIFS(DailyRecord!$R$15:$R$10000,DailyRecord!$D$15:$D$10000,"Iran",DailyRecord!$F$15:$F$10000,"Yes",DailyRecord!$O$15:$O$10000,YearMaster,DailyRecord!$P$15:$P$10000,MonthMaster)</f>
        <v>0</v>
      </c>
      <c r="G47" s="249">
        <f>SUMIFS(DailyRecord!$S$15:$S$10000,DailyRecord!$D$15:$D$10000,"Iran",DailyRecord!$F$15:$F$10000,"Yes",DailyRecord!$O$15:$O$10000,YearMaster,DailyRecord!$P$15:$P$10000,MonthMaster)</f>
        <v>0</v>
      </c>
      <c r="H47" s="280" t="str">
        <f t="shared" si="8"/>
        <v>ok</v>
      </c>
    </row>
    <row r="48" spans="1:8">
      <c r="A48" s="181" t="s">
        <v>448</v>
      </c>
      <c r="B48" s="194"/>
      <c r="C48" s="249">
        <f>SUMIFS(DailyRecord!$E$15:$E$10000,DailyRecord!$D$15:$D$10000,"Nepal",DailyRecord!$F$15:$F$10000,"Yes",DailyRecord!$O$15:$O$10000,YearMaster,DailyRecord!$P$15:$P$10000,MonthMaster)</f>
        <v>0</v>
      </c>
      <c r="D48" s="249">
        <f>SUMIFS(DailyRecord!$E$15:$E$10000,DailyRecord!$D$15:$D$10000,"Nepal",DailyRecord!$O$15:$O$10000,YearMaster,DailyRecord!$P$15:$P$10000,MonthMaster)</f>
        <v>0</v>
      </c>
      <c r="E48" s="231" t="str">
        <f t="shared" si="7"/>
        <v>-</v>
      </c>
      <c r="F48" s="249">
        <f>SUMIFS(DailyRecord!$R$15:$R$10000,DailyRecord!$D$15:$D$10000,"Nepal",DailyRecord!$F$15:$F$10000,"Yes",DailyRecord!$O$15:$O$10000,YearMaster,DailyRecord!$P$15:$P$10000,MonthMaster)</f>
        <v>0</v>
      </c>
      <c r="G48" s="249">
        <f>SUMIFS(DailyRecord!$S$15:$S$10000,DailyRecord!$D$15:$D$10000,"Nepal",DailyRecord!$F$15:$F$10000,"Yes",DailyRecord!$O$15:$O$10000,YearMaster,DailyRecord!$P$15:$P$10000,MonthMaster)</f>
        <v>0</v>
      </c>
      <c r="H48" s="280" t="str">
        <f t="shared" si="8"/>
        <v>ok</v>
      </c>
    </row>
    <row r="49" spans="1:8">
      <c r="A49" s="181" t="s">
        <v>449</v>
      </c>
      <c r="B49" s="194"/>
      <c r="C49" s="249">
        <f>SUMIFS(DailyRecord!$E$15:$E$10000,DailyRecord!$D$15:$D$10000,"Pakistan",DailyRecord!$F$15:$F$10000,"Yes",DailyRecord!$O$15:$O$10000,YearMaster,DailyRecord!$P$15:$P$10000,MonthMaster)</f>
        <v>0</v>
      </c>
      <c r="D49" s="249">
        <f>SUMIFS(DailyRecord!$E$15:$E$10000,DailyRecord!$D$15:$D$10000,"Pakistan",DailyRecord!$O$15:$O$10000,YearMaster,DailyRecord!$P$15:$P$10000,MonthMaster)</f>
        <v>0</v>
      </c>
      <c r="E49" s="231" t="str">
        <f t="shared" si="7"/>
        <v>-</v>
      </c>
      <c r="F49" s="249">
        <f>SUMIFS(DailyRecord!$R$15:$R$10000,DailyRecord!$D$15:$D$10000,"Pakistan",DailyRecord!$F$15:$F$10000,"Yes",DailyRecord!$O$15:$O$10000,YearMaster,DailyRecord!$P$15:$P$10000,MonthMaster)</f>
        <v>0</v>
      </c>
      <c r="G49" s="249">
        <f>SUMIFS(DailyRecord!$S$15:$S$10000,DailyRecord!$D$15:$D$10000,"Pakistan",DailyRecord!$F$15:$F$10000,"Yes",DailyRecord!$O$15:$O$10000,YearMaster,DailyRecord!$P$15:$P$10000,MonthMaster)</f>
        <v>0</v>
      </c>
      <c r="H49" s="280" t="str">
        <f t="shared" si="8"/>
        <v>ok</v>
      </c>
    </row>
    <row r="50" spans="1:8">
      <c r="A50" s="181" t="s">
        <v>450</v>
      </c>
      <c r="B50" s="194"/>
      <c r="C50" s="249">
        <f>SUMIFS(DailyRecord!$E$15:$E$10000,DailyRecord!$D$15:$D$10000,"Sri Lanka",DailyRecord!$F$15:$F$10000,"Yes",DailyRecord!$O$15:$O$10000,YearMaster,DailyRecord!$P$15:$P$10000,MonthMaster)</f>
        <v>0</v>
      </c>
      <c r="D50" s="249">
        <f>SUMIFS(DailyRecord!$E$15:$E$10000,DailyRecord!$D$15:$D$10000,"Sri Lanka",DailyRecord!$O$15:$O$10000,YearMaster,DailyRecord!$P$15:$P$10000,MonthMaster)</f>
        <v>0</v>
      </c>
      <c r="E50" s="231" t="str">
        <f t="shared" si="7"/>
        <v>-</v>
      </c>
      <c r="F50" s="249">
        <f>SUMIFS(DailyRecord!$R$15:$R$10000,DailyRecord!$D$15:$D$10000,"Sri Lanka",DailyRecord!$F$15:$F$10000,"Yes",DailyRecord!$O$15:$O$10000,YearMaster,DailyRecord!$P$15:$P$10000,MonthMaster)</f>
        <v>0</v>
      </c>
      <c r="G50" s="249">
        <f>SUMIFS(DailyRecord!$S$15:$S$10000,DailyRecord!$D$15:$D$10000,"Sri Lanka",DailyRecord!$F$15:$F$10000,"Yes",DailyRecord!$O$15:$O$10000,YearMaster,DailyRecord!$P$15:$P$10000,MonthMaster)</f>
        <v>0</v>
      </c>
      <c r="H50" s="280" t="str">
        <f t="shared" si="8"/>
        <v>ok</v>
      </c>
    </row>
    <row r="51" spans="1:8" s="166" customFormat="1">
      <c r="A51" s="185" t="s">
        <v>436</v>
      </c>
      <c r="B51" s="197"/>
      <c r="C51" s="249">
        <f>SUM(C45:C50)</f>
        <v>0</v>
      </c>
      <c r="D51" s="249">
        <f>SUM(D45:D50)</f>
        <v>0</v>
      </c>
      <c r="E51" s="231" t="str">
        <f t="shared" si="7"/>
        <v>-</v>
      </c>
      <c r="F51" s="249">
        <f>SUM(F45:F50)</f>
        <v>0</v>
      </c>
      <c r="G51" s="249">
        <f>SUM(G45:G50)</f>
        <v>0</v>
      </c>
      <c r="H51" s="280" t="str">
        <f t="shared" si="8"/>
        <v>ok</v>
      </c>
    </row>
    <row r="52" spans="1:8" s="161" customFormat="1">
      <c r="A52" s="186"/>
      <c r="B52" s="198"/>
      <c r="C52" s="250"/>
      <c r="D52" s="250"/>
      <c r="E52" s="228"/>
      <c r="F52" s="250"/>
      <c r="G52" s="250"/>
    </row>
    <row r="53" spans="1:8" s="163" customFormat="1">
      <c r="A53" s="184" t="s">
        <v>451</v>
      </c>
      <c r="B53" s="196"/>
      <c r="C53" s="251"/>
      <c r="D53" s="251"/>
      <c r="E53" s="229"/>
      <c r="F53" s="251"/>
      <c r="G53" s="251"/>
    </row>
    <row r="54" spans="1:8">
      <c r="A54" s="181" t="s">
        <v>452</v>
      </c>
      <c r="B54" s="194"/>
      <c r="C54" s="249">
        <f>SUMIFS(DailyRecord!$E$15:$E$10000,DailyRecord!$D$15:$D$10000,"Bahrain",DailyRecord!$F$15:$F$10000,"Yes",DailyRecord!$O$15:$O$10000,YearMaster,DailyRecord!$P$15:$P$10000,MonthMaster)</f>
        <v>0</v>
      </c>
      <c r="D54" s="249">
        <f>SUMIFS(DailyRecord!$E$15:$E$10000,DailyRecord!$D$15:$D$10000,"Bahrain",DailyRecord!$O$15:$O$10000,YearMaster,DailyRecord!$P$15:$P$10000,MonthMaster)</f>
        <v>0</v>
      </c>
      <c r="E54" s="231" t="str">
        <f t="shared" ref="E54:E61" si="9">IF(D54&gt;0, D54/C54, "-")</f>
        <v>-</v>
      </c>
      <c r="F54" s="249">
        <f>SUMIFS(DailyRecord!$R$15:$R$10000,DailyRecord!$D$15:$D$10000,"Bahrain",DailyRecord!$F$15:$F$10000,"Yes",DailyRecord!$O$15:$O$10000,YearMaster,DailyRecord!$P$15:$P$10000,MonthMaster)</f>
        <v>0</v>
      </c>
      <c r="G54" s="249">
        <f>SUMIFS(DailyRecord!$S$15:$S$10000,DailyRecord!$D$15:$D$10000,"Bahrain",DailyRecord!$F$15:$F$10000,"Yes",DailyRecord!$O$15:$O$10000,YearMaster,DailyRecord!$P$15:$P$10000,MonthMaster)</f>
        <v>0</v>
      </c>
      <c r="H54" s="280" t="str">
        <f t="shared" ref="H54:H61" si="10">IF(SUM(F54:G54)=C54,"ok","!!!")</f>
        <v>ok</v>
      </c>
    </row>
    <row r="55" spans="1:8">
      <c r="A55" s="181" t="s">
        <v>453</v>
      </c>
      <c r="B55" s="194"/>
      <c r="C55" s="249">
        <f>SUMIFS(DailyRecord!$E$15:$E$10000,DailyRecord!$D$15:$D$10000,"Egypt",DailyRecord!$F$15:$F$10000,"Yes",DailyRecord!$O$15:$O$10000,YearMaster,DailyRecord!$P$15:$P$10000,MonthMaster)</f>
        <v>0</v>
      </c>
      <c r="D55" s="249">
        <f>SUMIFS(DailyRecord!$E$15:$E$10000,DailyRecord!$D$15:$D$10000,"Egypt",DailyRecord!$O$15:$O$10000,YearMaster,DailyRecord!$P$15:$P$10000,MonthMaster)</f>
        <v>0</v>
      </c>
      <c r="E55" s="231" t="str">
        <f t="shared" si="9"/>
        <v>-</v>
      </c>
      <c r="F55" s="249">
        <f>SUMIFS(DailyRecord!$R$15:$R$10000,DailyRecord!$D$15:$D$10000,"Egypt",DailyRecord!$F$15:$F$10000,"Yes",DailyRecord!$O$15:$O$10000,YearMaster,DailyRecord!$P$15:$P$10000,MonthMaster)</f>
        <v>0</v>
      </c>
      <c r="G55" s="249">
        <f>SUMIFS(DailyRecord!$S$15:$S$10000,DailyRecord!$D$15:$D$10000,"Egypt",DailyRecord!$F$15:$F$10000,"Yes",DailyRecord!$O$15:$O$10000,YearMaster,DailyRecord!$P$15:$P$10000,MonthMaster)</f>
        <v>0</v>
      </c>
      <c r="H55" s="280" t="str">
        <f t="shared" si="10"/>
        <v>ok</v>
      </c>
    </row>
    <row r="56" spans="1:8">
      <c r="A56" s="181" t="s">
        <v>454</v>
      </c>
      <c r="B56" s="194"/>
      <c r="C56" s="249">
        <f>SUMIFS(DailyRecord!$E$15:$E$10000,DailyRecord!$D$15:$D$10000,"Israel",DailyRecord!$F$15:$F$10000,"Yes",DailyRecord!$O$15:$O$10000,YearMaster,DailyRecord!$P$15:$P$10000,MonthMaster)</f>
        <v>0</v>
      </c>
      <c r="D56" s="249">
        <f>SUMIFS(DailyRecord!$E$15:$E$10000,DailyRecord!$D$15:$D$10000,"Israel",DailyRecord!$O$15:$O$10000,YearMaster,DailyRecord!$P$15:$P$10000,MonthMaster)</f>
        <v>0</v>
      </c>
      <c r="E56" s="231" t="str">
        <f t="shared" si="9"/>
        <v>-</v>
      </c>
      <c r="F56" s="249">
        <f>SUMIFS(DailyRecord!$R$15:$R$10000,DailyRecord!$D$15:$D$10000,"Israel",DailyRecord!$F$15:$F$10000,"Yes",DailyRecord!$O$15:$O$10000,YearMaster,DailyRecord!$P$15:$P$10000,MonthMaster)</f>
        <v>0</v>
      </c>
      <c r="G56" s="249">
        <f>SUMIFS(DailyRecord!$S$15:$S$10000,DailyRecord!$D$15:$D$10000,"Israel",DailyRecord!$F$15:$F$10000,"Yes",DailyRecord!$O$15:$O$10000,YearMaster,DailyRecord!$P$15:$P$10000,MonthMaster)</f>
        <v>0</v>
      </c>
      <c r="H56" s="280" t="str">
        <f t="shared" si="10"/>
        <v>ok</v>
      </c>
    </row>
    <row r="57" spans="1:8">
      <c r="A57" s="181" t="s">
        <v>455</v>
      </c>
      <c r="B57" s="194"/>
      <c r="C57" s="249">
        <f>SUMIFS(DailyRecord!$E$15:$E$10000,DailyRecord!$D$15:$D$10000,"Jordan",DailyRecord!$F$15:$F$10000,"Yes",DailyRecord!$O$15:$O$10000,YearMaster,DailyRecord!$P$15:$P$10000,MonthMaster)</f>
        <v>0</v>
      </c>
      <c r="D57" s="249">
        <f>SUMIFS(DailyRecord!$E$15:$E$10000,DailyRecord!$D$15:$D$10000,"Jordan",DailyRecord!$O$15:$O$10000,YearMaster,DailyRecord!$P$15:$P$10000,MonthMaster)</f>
        <v>0</v>
      </c>
      <c r="E57" s="231" t="str">
        <f t="shared" si="9"/>
        <v>-</v>
      </c>
      <c r="F57" s="249">
        <f>SUMIFS(DailyRecord!$R$15:$R$10000,DailyRecord!$D$15:$D$10000,"Jordan",DailyRecord!$F$15:$F$10000,"Yes",DailyRecord!$O$15:$O$10000,YearMaster,DailyRecord!$P$15:$P$10000,MonthMaster)</f>
        <v>0</v>
      </c>
      <c r="G57" s="249">
        <f>SUMIFS(DailyRecord!$S$15:$S$10000,DailyRecord!$D$15:$D$10000,"Jordan",DailyRecord!$F$15:$F$10000,"Yes",DailyRecord!$O$15:$O$10000,YearMaster,DailyRecord!$P$15:$P$10000,MonthMaster)</f>
        <v>0</v>
      </c>
      <c r="H57" s="280" t="str">
        <f t="shared" si="10"/>
        <v>ok</v>
      </c>
    </row>
    <row r="58" spans="1:8">
      <c r="A58" s="181" t="s">
        <v>456</v>
      </c>
      <c r="B58" s="194"/>
      <c r="C58" s="249">
        <f>SUMIFS(DailyRecord!$E$15:$E$10000,DailyRecord!$D$15:$D$10000,"Kuwait",DailyRecord!$F$15:$F$10000,"Yes",DailyRecord!$O$15:$O$10000,YearMaster,DailyRecord!$P$15:$P$10000,MonthMaster)</f>
        <v>0</v>
      </c>
      <c r="D58" s="249">
        <f>SUMIFS(DailyRecord!$E$15:$E$10000,DailyRecord!$D$15:$D$10000,"Kuwait",DailyRecord!$O$15:$O$10000,YearMaster,DailyRecord!$P$15:$P$10000,MonthMaster)</f>
        <v>0</v>
      </c>
      <c r="E58" s="231" t="str">
        <f t="shared" si="9"/>
        <v>-</v>
      </c>
      <c r="F58" s="249">
        <f>SUMIFS(DailyRecord!$R$15:$R$10000,DailyRecord!$D$15:$D$10000,"Kuwait",DailyRecord!$F$15:$F$10000,"Yes",DailyRecord!$O$15:$O$10000,YearMaster,DailyRecord!$P$15:$P$10000,MonthMaster)</f>
        <v>0</v>
      </c>
      <c r="G58" s="249">
        <f>SUMIFS(DailyRecord!$S$15:$S$10000,DailyRecord!$D$15:$D$10000,"Kuwait",DailyRecord!$F$15:$F$10000,"Yes",DailyRecord!$O$15:$O$10000,YearMaster,DailyRecord!$P$15:$P$10000,MonthMaster)</f>
        <v>0</v>
      </c>
      <c r="H58" s="280" t="str">
        <f t="shared" si="10"/>
        <v>ok</v>
      </c>
    </row>
    <row r="59" spans="1:8">
      <c r="A59" s="181" t="s">
        <v>457</v>
      </c>
      <c r="B59" s="194"/>
      <c r="C59" s="249">
        <f>SUMIFS(DailyRecord!$E$15:$E$10000,DailyRecord!$D$15:$D$10000,"Saudi Arabia",DailyRecord!$F$15:$F$10000,"Yes",DailyRecord!$O$15:$O$10000,YearMaster,DailyRecord!$P$15:$P$10000,MonthMaster)</f>
        <v>0</v>
      </c>
      <c r="D59" s="249">
        <f>SUMIFS(DailyRecord!$E$15:$E$10000,DailyRecord!$D$15:$D$10000,"Saudi Arabia",DailyRecord!$O$15:$O$10000,YearMaster,DailyRecord!$P$15:$P$10000,MonthMaster)</f>
        <v>0</v>
      </c>
      <c r="E59" s="231" t="str">
        <f t="shared" si="9"/>
        <v>-</v>
      </c>
      <c r="F59" s="249">
        <f>SUMIFS(DailyRecord!$R$15:$R$10000,DailyRecord!$D$15:$D$10000,"Saudi Arabia",DailyRecord!$F$15:$F$10000,"Yes",DailyRecord!$O$15:$O$10000,YearMaster,DailyRecord!$P$15:$P$10000,MonthMaster)</f>
        <v>0</v>
      </c>
      <c r="G59" s="249">
        <f>SUMIFS(DailyRecord!$S$15:$S$10000,DailyRecord!$D$15:$D$10000,"Saudi Arabia",DailyRecord!$F$15:$F$10000,"Yes",DailyRecord!$O$15:$O$10000,YearMaster,DailyRecord!$P$15:$P$10000,MonthMaster)</f>
        <v>0</v>
      </c>
      <c r="H59" s="280" t="str">
        <f t="shared" si="10"/>
        <v>ok</v>
      </c>
    </row>
    <row r="60" spans="1:8">
      <c r="A60" s="181" t="s">
        <v>458</v>
      </c>
      <c r="B60" s="194"/>
      <c r="C60" s="249">
        <f>SUMIFS(DailyRecord!$E$15:$E$10000,DailyRecord!$D$15:$D$10000,"United Arab Emirates",DailyRecord!$F$15:$F$10000,"Yes",DailyRecord!$O$15:$O$10000,YearMaster,DailyRecord!$P$15:$P$10000,MonthMaster)</f>
        <v>0</v>
      </c>
      <c r="D60" s="249">
        <f>SUMIFS(DailyRecord!$E$15:$E$10000,DailyRecord!$D$15:$D$10000,"United Arab Emirates",DailyRecord!$O$15:$O$10000,YearMaster,DailyRecord!$P$15:$P$10000,MonthMaster)</f>
        <v>0</v>
      </c>
      <c r="E60" s="231" t="str">
        <f t="shared" si="9"/>
        <v>-</v>
      </c>
      <c r="F60" s="249">
        <f>SUMIFS(DailyRecord!$R$15:$R$10000,DailyRecord!$D$15:$D$10000,"United Arab Emirates",DailyRecord!$F$15:$F$10000,"Yes",DailyRecord!$O$15:$O$10000,YearMaster,DailyRecord!$P$15:$P$10000,MonthMaster)</f>
        <v>0</v>
      </c>
      <c r="G60" s="249">
        <f>SUMIFS(DailyRecord!$S$15:$S$10000,DailyRecord!$D$15:$D$10000,"United Arab Emirates",DailyRecord!$F$15:$F$10000,"Yes",DailyRecord!$O$15:$O$10000,YearMaster,DailyRecord!$P$15:$P$10000,MonthMaster)</f>
        <v>0</v>
      </c>
      <c r="H60" s="280" t="str">
        <f t="shared" si="10"/>
        <v>ok</v>
      </c>
    </row>
    <row r="61" spans="1:8" s="166" customFormat="1">
      <c r="A61" s="185" t="s">
        <v>436</v>
      </c>
      <c r="B61" s="197"/>
      <c r="C61" s="249">
        <f>SUM(C54:C60)</f>
        <v>0</v>
      </c>
      <c r="D61" s="249">
        <f>SUM(D54:D60)</f>
        <v>0</v>
      </c>
      <c r="E61" s="231" t="str">
        <f t="shared" si="9"/>
        <v>-</v>
      </c>
      <c r="F61" s="249">
        <f>SUM(F54:F60)</f>
        <v>0</v>
      </c>
      <c r="G61" s="249">
        <f>SUM(G54:G60)</f>
        <v>0</v>
      </c>
      <c r="H61" s="280" t="str">
        <f t="shared" si="10"/>
        <v>ok</v>
      </c>
    </row>
    <row r="62" spans="1:8" s="161" customFormat="1">
      <c r="A62" s="187"/>
      <c r="B62" s="199"/>
      <c r="C62" s="250"/>
      <c r="D62" s="250"/>
      <c r="E62" s="228"/>
      <c r="F62" s="250"/>
      <c r="G62" s="250"/>
    </row>
    <row r="63" spans="1:8" s="160" customFormat="1" ht="20.399999999999999">
      <c r="A63" s="247" t="s">
        <v>419</v>
      </c>
      <c r="B63" s="191"/>
      <c r="C63" s="252" t="s">
        <v>618</v>
      </c>
      <c r="D63" s="252" t="s">
        <v>619</v>
      </c>
      <c r="E63" s="230" t="s">
        <v>620</v>
      </c>
      <c r="F63" s="252" t="s">
        <v>643</v>
      </c>
      <c r="G63" s="252" t="s">
        <v>644</v>
      </c>
    </row>
    <row r="64" spans="1:8" s="163" customFormat="1">
      <c r="A64" s="180" t="s">
        <v>459</v>
      </c>
      <c r="B64" s="193"/>
      <c r="C64" s="251"/>
      <c r="D64" s="251"/>
      <c r="E64" s="229"/>
      <c r="F64" s="251"/>
      <c r="G64" s="251"/>
    </row>
    <row r="65" spans="1:8" s="163" customFormat="1">
      <c r="A65" s="184" t="s">
        <v>460</v>
      </c>
      <c r="B65" s="196"/>
      <c r="C65" s="251"/>
      <c r="D65" s="251"/>
      <c r="E65" s="229"/>
      <c r="F65" s="251"/>
      <c r="G65" s="251"/>
    </row>
    <row r="66" spans="1:8">
      <c r="A66" s="181" t="s">
        <v>461</v>
      </c>
      <c r="B66" s="194"/>
      <c r="C66" s="249">
        <f>SUMIFS(DailyRecord!$E$15:$E$10000,DailyRecord!$D$15:$D$10000,"Canada",DailyRecord!$F$15:$F$10000,"Yes",DailyRecord!$O$15:$O$10000,YearMaster,DailyRecord!$P$15:$P$10000,MonthMaster)</f>
        <v>0</v>
      </c>
      <c r="D66" s="249">
        <f>SUMIFS(DailyRecord!$E$15:$E$10000,DailyRecord!$D$15:$D$10000,"Canada",DailyRecord!$O$15:$O$10000,YearMaster,DailyRecord!$P$15:$P$10000,MonthMaster)</f>
        <v>0</v>
      </c>
      <c r="E66" s="231" t="str">
        <f t="shared" ref="E66:E69" si="11">IF(D66&gt;0, D66/C66, "-")</f>
        <v>-</v>
      </c>
      <c r="F66" s="249">
        <f>SUMIFS(DailyRecord!$R$15:$R$10000,DailyRecord!$D$15:$D$10000,"Canada",DailyRecord!$F$15:$F$10000,"Yes",DailyRecord!$O$15:$O$10000,YearMaster,DailyRecord!$P$15:$P$10000,MonthMaster)</f>
        <v>0</v>
      </c>
      <c r="G66" s="249">
        <f>SUMIFS(DailyRecord!$S$15:$S$10000,DailyRecord!$D$15:$D$10000,"Canada",DailyRecord!$F$15:$F$10000,"Yes",DailyRecord!$O$15:$O$10000,YearMaster,DailyRecord!$P$15:$P$10000,MonthMaster)</f>
        <v>0</v>
      </c>
      <c r="H66" s="280" t="str">
        <f t="shared" ref="H66:H69" si="12">IF(SUM(F66:G66)=C66,"ok","!!!")</f>
        <v>ok</v>
      </c>
    </row>
    <row r="67" spans="1:8">
      <c r="A67" s="181" t="s">
        <v>462</v>
      </c>
      <c r="B67" s="194"/>
      <c r="C67" s="249">
        <f>SUMIFS(DailyRecord!$E$15:$E$10000,DailyRecord!$D$15:$D$10000,"Mexico",DailyRecord!$F$15:$F$10000,"Yes",DailyRecord!$O$15:$O$10000,YearMaster,DailyRecord!$P$15:$P$10000,MonthMaster)</f>
        <v>0</v>
      </c>
      <c r="D67" s="249">
        <f>SUMIFS(DailyRecord!$E$15:$E$10000,DailyRecord!$D$15:$D$10000,"Mexico",DailyRecord!$O$15:$O$10000,YearMaster,DailyRecord!$P$15:$P$10000,MonthMaster)</f>
        <v>0</v>
      </c>
      <c r="E67" s="231" t="str">
        <f t="shared" si="11"/>
        <v>-</v>
      </c>
      <c r="F67" s="249">
        <f>SUMIFS(DailyRecord!$R$15:$R$10000,DailyRecord!$D$15:$D$10000,"Mexico",DailyRecord!$F$15:$F$10000,"Yes",DailyRecord!$O$15:$O$10000,YearMaster,DailyRecord!$P$15:$P$10000,MonthMaster)</f>
        <v>0</v>
      </c>
      <c r="G67" s="249">
        <f>SUMIFS(DailyRecord!$S$15:$S$10000,DailyRecord!$D$15:$D$10000,"Mexico",DailyRecord!$F$15:$F$10000,"Yes",DailyRecord!$O$15:$O$10000,YearMaster,DailyRecord!$P$15:$P$10000,MonthMaster)</f>
        <v>0</v>
      </c>
      <c r="H67" s="280" t="str">
        <f t="shared" si="12"/>
        <v>ok</v>
      </c>
    </row>
    <row r="68" spans="1:8">
      <c r="A68" s="181" t="s">
        <v>463</v>
      </c>
      <c r="B68" s="194"/>
      <c r="C68" s="249">
        <f>SUMIFS(DailyRecord!$E$15:$E$10000,DailyRecord!$D$15:$D$10000,"U.S.A.",DailyRecord!$F$15:$F$10000,"Yes",DailyRecord!$O$15:$O$10000,YearMaster,DailyRecord!$P$15:$P$10000,MonthMaster)</f>
        <v>0</v>
      </c>
      <c r="D68" s="249">
        <f>SUMIFS(DailyRecord!$E$15:$E$10000,DailyRecord!$D$15:$D$10000,"U.S.A.",DailyRecord!$O$15:$O$10000,YearMaster,DailyRecord!$P$15:$P$10000,MonthMaster)</f>
        <v>0</v>
      </c>
      <c r="E68" s="231" t="str">
        <f t="shared" si="11"/>
        <v>-</v>
      </c>
      <c r="F68" s="249">
        <f>SUMIFS(DailyRecord!$R$15:$R$10000,DailyRecord!$D$15:$D$10000,"U.S.A.",DailyRecord!$F$15:$F$10000,"Yes",DailyRecord!$O$15:$O$10000,YearMaster,DailyRecord!$P$15:$P$10000,MonthMaster)</f>
        <v>0</v>
      </c>
      <c r="G68" s="249">
        <f>SUMIFS(DailyRecord!$S$15:$S$10000,DailyRecord!$D$15:$D$10000,"U.S.A.",DailyRecord!$F$15:$F$10000,"Yes",DailyRecord!$O$15:$O$10000,YearMaster,DailyRecord!$P$15:$P$10000,MonthMaster)</f>
        <v>0</v>
      </c>
      <c r="H68" s="280" t="str">
        <f t="shared" si="12"/>
        <v>ok</v>
      </c>
    </row>
    <row r="69" spans="1:8" s="166" customFormat="1">
      <c r="A69" s="185" t="s">
        <v>436</v>
      </c>
      <c r="B69" s="197"/>
      <c r="C69" s="249">
        <f>SUM(C66:C68)</f>
        <v>0</v>
      </c>
      <c r="D69" s="249">
        <f>SUM(D66:D68)</f>
        <v>0</v>
      </c>
      <c r="E69" s="231" t="str">
        <f t="shared" si="11"/>
        <v>-</v>
      </c>
      <c r="F69" s="249">
        <f>SUM(F66:F68)</f>
        <v>0</v>
      </c>
      <c r="G69" s="249">
        <f>SUM(G66:G68)</f>
        <v>0</v>
      </c>
      <c r="H69" s="280" t="str">
        <f t="shared" si="12"/>
        <v>ok</v>
      </c>
    </row>
    <row r="70" spans="1:8" s="161" customFormat="1">
      <c r="A70" s="186"/>
      <c r="B70" s="198"/>
      <c r="C70" s="250"/>
      <c r="D70" s="250"/>
      <c r="E70" s="228"/>
      <c r="F70" s="250"/>
      <c r="G70" s="250"/>
    </row>
    <row r="71" spans="1:8" s="163" customFormat="1">
      <c r="A71" s="184" t="s">
        <v>464</v>
      </c>
      <c r="B71" s="196"/>
      <c r="C71" s="251"/>
      <c r="D71" s="251"/>
      <c r="E71" s="229"/>
      <c r="F71" s="251"/>
      <c r="G71" s="251"/>
    </row>
    <row r="72" spans="1:8">
      <c r="A72" s="181" t="s">
        <v>465</v>
      </c>
      <c r="B72" s="194"/>
      <c r="C72" s="249">
        <f>SUMIFS(DailyRecord!$E$15:$E$10000,DailyRecord!$D$15:$D$10000,"Argentina",DailyRecord!$F$15:$F$10000,"Yes",DailyRecord!$O$15:$O$10000,YearMaster,DailyRecord!$P$15:$P$10000,MonthMaster)</f>
        <v>0</v>
      </c>
      <c r="D72" s="249">
        <f>SUMIFS(DailyRecord!$E$15:$E$10000,DailyRecord!$D$15:$D$10000,"Argentina",DailyRecord!$O$15:$O$10000,YearMaster,DailyRecord!$P$15:$P$10000,MonthMaster)</f>
        <v>0</v>
      </c>
      <c r="E72" s="231" t="str">
        <f t="shared" ref="E72:E77" si="13">IF(D72&gt;0, D72/C72, "-")</f>
        <v>-</v>
      </c>
      <c r="F72" s="249">
        <f>SUMIFS(DailyRecord!$R$15:$R$10000,DailyRecord!$D$15:$D$10000,"Argentina",DailyRecord!$F$15:$F$10000,"Yes",DailyRecord!$O$15:$O$10000,YearMaster,DailyRecord!$P$15:$P$10000,MonthMaster)</f>
        <v>0</v>
      </c>
      <c r="G72" s="249">
        <f>SUMIFS(DailyRecord!$S$15:$S$10000,DailyRecord!$D$15:$D$10000,"Argentina",DailyRecord!$F$15:$F$10000,"Yes",DailyRecord!$O$15:$O$10000,YearMaster,DailyRecord!$P$15:$P$10000,MonthMaster)</f>
        <v>0</v>
      </c>
      <c r="H72" s="280" t="str">
        <f t="shared" ref="H72:H77" si="14">IF(SUM(F72:G72)=C72,"ok","!!!")</f>
        <v>ok</v>
      </c>
    </row>
    <row r="73" spans="1:8">
      <c r="A73" s="181" t="s">
        <v>466</v>
      </c>
      <c r="B73" s="194"/>
      <c r="C73" s="249">
        <f>SUMIFS(DailyRecord!$E$15:$E$10000,DailyRecord!$D$15:$D$10000,"Brazil",DailyRecord!$F$15:$F$10000,"Yes",DailyRecord!$O$15:$O$10000,YearMaster,DailyRecord!$P$15:$P$10000,MonthMaster)</f>
        <v>0</v>
      </c>
      <c r="D73" s="249">
        <f>SUMIFS(DailyRecord!$E$15:$E$10000,DailyRecord!$D$15:$D$10000,"Brazil",DailyRecord!$O$15:$O$10000,YearMaster,DailyRecord!$P$15:$P$10000,MonthMaster)</f>
        <v>0</v>
      </c>
      <c r="E73" s="231" t="str">
        <f t="shared" si="13"/>
        <v>-</v>
      </c>
      <c r="F73" s="249">
        <f>SUMIFS(DailyRecord!$R$15:$R$10000,DailyRecord!$D$15:$D$10000,"Brazil",DailyRecord!$F$15:$F$10000,"Yes",DailyRecord!$O$15:$O$10000,YearMaster,DailyRecord!$P$15:$P$10000,MonthMaster)</f>
        <v>0</v>
      </c>
      <c r="G73" s="249">
        <f>SUMIFS(DailyRecord!$S$15:$S$10000,DailyRecord!$D$15:$D$10000,"Brazil",DailyRecord!$F$15:$F$10000,"Yes",DailyRecord!$O$15:$O$10000,YearMaster,DailyRecord!$P$15:$P$10000,MonthMaster)</f>
        <v>0</v>
      </c>
      <c r="H73" s="280" t="str">
        <f t="shared" si="14"/>
        <v>ok</v>
      </c>
    </row>
    <row r="74" spans="1:8">
      <c r="A74" s="181" t="s">
        <v>467</v>
      </c>
      <c r="B74" s="194"/>
      <c r="C74" s="249">
        <f>SUMIFS(DailyRecord!$E$15:$E$10000,DailyRecord!$D$15:$D$10000,"Colombia",DailyRecord!$F$15:$F$10000,"Yes",DailyRecord!$O$15:$O$10000,YearMaster,DailyRecord!$P$15:$P$10000,MonthMaster)</f>
        <v>0</v>
      </c>
      <c r="D74" s="249">
        <f>SUMIFS(DailyRecord!$E$15:$E$10000,DailyRecord!$D$15:$D$10000,"Colombia",DailyRecord!$O$15:$O$10000,YearMaster,DailyRecord!$P$15:$P$10000,MonthMaster)</f>
        <v>0</v>
      </c>
      <c r="E74" s="231" t="str">
        <f t="shared" si="13"/>
        <v>-</v>
      </c>
      <c r="F74" s="249">
        <f>SUMIFS(DailyRecord!$R$15:$R$10000,DailyRecord!$D$15:$D$10000,"Colombia",DailyRecord!$F$15:$F$10000,"Yes",DailyRecord!$O$15:$O$10000,YearMaster,DailyRecord!$P$15:$P$10000,MonthMaster)</f>
        <v>0</v>
      </c>
      <c r="G74" s="249">
        <f>SUMIFS(DailyRecord!$S$15:$S$10000,DailyRecord!$D$15:$D$10000,"Colombia",DailyRecord!$F$15:$F$10000,"Yes",DailyRecord!$O$15:$O$10000,YearMaster,DailyRecord!$P$15:$P$10000,MonthMaster)</f>
        <v>0</v>
      </c>
      <c r="H74" s="280" t="str">
        <f t="shared" si="14"/>
        <v>ok</v>
      </c>
    </row>
    <row r="75" spans="1:8">
      <c r="A75" s="181" t="s">
        <v>468</v>
      </c>
      <c r="B75" s="194"/>
      <c r="C75" s="249">
        <f>SUMIFS(DailyRecord!$E$15:$E$10000,DailyRecord!$D$15:$D$10000,"Peru",DailyRecord!$F$15:$F$10000,"Yes",DailyRecord!$O$15:$O$10000,YearMaster,DailyRecord!$P$15:$P$10000,MonthMaster)</f>
        <v>0</v>
      </c>
      <c r="D75" s="249">
        <f>SUMIFS(DailyRecord!$E$15:$E$10000,DailyRecord!$D$15:$D$10000,"Peru",DailyRecord!$O$15:$O$10000,YearMaster,DailyRecord!$P$15:$P$10000,MonthMaster)</f>
        <v>0</v>
      </c>
      <c r="E75" s="231" t="str">
        <f t="shared" si="13"/>
        <v>-</v>
      </c>
      <c r="F75" s="249">
        <f>SUMIFS(DailyRecord!$R$15:$R$10000,DailyRecord!$D$15:$D$10000,"Peru",DailyRecord!$F$15:$F$10000,"Yes",DailyRecord!$O$15:$O$10000,YearMaster,DailyRecord!$P$15:$P$10000,MonthMaster)</f>
        <v>0</v>
      </c>
      <c r="G75" s="249">
        <f>SUMIFS(DailyRecord!$S$15:$S$10000,DailyRecord!$D$15:$D$10000,"Peru",DailyRecord!$F$15:$F$10000,"Yes",DailyRecord!$O$15:$O$10000,YearMaster,DailyRecord!$P$15:$P$10000,MonthMaster)</f>
        <v>0</v>
      </c>
      <c r="H75" s="280" t="str">
        <f t="shared" si="14"/>
        <v>ok</v>
      </c>
    </row>
    <row r="76" spans="1:8">
      <c r="A76" s="181" t="s">
        <v>469</v>
      </c>
      <c r="B76" s="194"/>
      <c r="C76" s="249">
        <f>SUMIFS(DailyRecord!$E$15:$E$10000,DailyRecord!$D$15:$D$10000,"Venezuela",DailyRecord!$F$15:$F$10000,"Yes",DailyRecord!$O$15:$O$10000,YearMaster,DailyRecord!$P$15:$P$10000,MonthMaster)</f>
        <v>0</v>
      </c>
      <c r="D76" s="249">
        <f>SUMIFS(DailyRecord!$E$15:$E$10000,DailyRecord!$D$15:$D$10000,"Venezuela",DailyRecord!$O$15:$O$10000,YearMaster,DailyRecord!$P$15:$P$10000,MonthMaster)</f>
        <v>0</v>
      </c>
      <c r="E76" s="231" t="str">
        <f t="shared" si="13"/>
        <v>-</v>
      </c>
      <c r="F76" s="249">
        <f>SUMIFS(DailyRecord!$R$15:$R$10000,DailyRecord!$D$15:$D$10000,"Venezuela",DailyRecord!$F$15:$F$10000,"Yes",DailyRecord!$O$15:$O$10000,YearMaster,DailyRecord!$P$15:$P$10000,MonthMaster)</f>
        <v>0</v>
      </c>
      <c r="G76" s="249">
        <f>SUMIFS(DailyRecord!$S$15:$S$10000,DailyRecord!$D$15:$D$10000,"Venezuela",DailyRecord!$F$15:$F$10000,"Yes",DailyRecord!$O$15:$O$10000,YearMaster,DailyRecord!$P$15:$P$10000,MonthMaster)</f>
        <v>0</v>
      </c>
      <c r="H76" s="280" t="str">
        <f t="shared" si="14"/>
        <v>ok</v>
      </c>
    </row>
    <row r="77" spans="1:8" s="166" customFormat="1">
      <c r="A77" s="185" t="s">
        <v>443</v>
      </c>
      <c r="B77" s="197"/>
      <c r="C77" s="249">
        <f>SUM(C72:C76)</f>
        <v>0</v>
      </c>
      <c r="D77" s="249">
        <f>SUM(D72:D76)</f>
        <v>0</v>
      </c>
      <c r="E77" s="231" t="str">
        <f t="shared" si="13"/>
        <v>-</v>
      </c>
      <c r="F77" s="249">
        <f>SUM(F72:F76)</f>
        <v>0</v>
      </c>
      <c r="G77" s="249">
        <f>SUM(G72:G76)</f>
        <v>0</v>
      </c>
      <c r="H77" s="280" t="str">
        <f t="shared" si="14"/>
        <v>ok</v>
      </c>
    </row>
    <row r="78" spans="1:8" s="161" customFormat="1">
      <c r="A78" s="188"/>
      <c r="B78" s="200"/>
      <c r="C78" s="250"/>
      <c r="D78" s="250"/>
      <c r="E78" s="228"/>
      <c r="F78" s="250"/>
      <c r="G78" s="250"/>
    </row>
    <row r="79" spans="1:8" s="163" customFormat="1">
      <c r="A79" s="180" t="s">
        <v>470</v>
      </c>
      <c r="B79" s="193"/>
      <c r="C79" s="251"/>
      <c r="D79" s="251"/>
      <c r="E79" s="229"/>
      <c r="F79" s="251"/>
      <c r="G79" s="251"/>
    </row>
    <row r="80" spans="1:8" s="163" customFormat="1">
      <c r="A80" s="184" t="s">
        <v>471</v>
      </c>
      <c r="B80" s="196"/>
      <c r="C80" s="251"/>
      <c r="D80" s="251"/>
      <c r="E80" s="229"/>
      <c r="F80" s="251"/>
      <c r="G80" s="251"/>
    </row>
    <row r="81" spans="1:8">
      <c r="A81" s="181" t="s">
        <v>472</v>
      </c>
      <c r="B81" s="194"/>
      <c r="C81" s="249">
        <f>SUMIFS(DailyRecord!$E$15:$E$10000,DailyRecord!$D$15:$D$10000,"Austria",DailyRecord!$F$15:$F$10000,"Yes",DailyRecord!$O$15:$O$10000,YearMaster,DailyRecord!$P$15:$P$10000,MonthMaster)</f>
        <v>0</v>
      </c>
      <c r="D81" s="249">
        <f>SUMIFS(DailyRecord!$E$15:$E$10000,DailyRecord!$D$15:$D$10000,"Austria",DailyRecord!$O$15:$O$10000,YearMaster,DailyRecord!$P$15:$P$10000,MonthMaster)</f>
        <v>0</v>
      </c>
      <c r="E81" s="231" t="str">
        <f t="shared" ref="E81:E88" si="15">IF(D81&gt;0, D81/C81, "-")</f>
        <v>-</v>
      </c>
      <c r="F81" s="249">
        <f>SUMIFS(DailyRecord!$R$15:$R$10000,DailyRecord!$D$15:$D$10000,"Austria",DailyRecord!$F$15:$F$10000,"Yes",DailyRecord!$O$15:$O$10000,YearMaster,DailyRecord!$P$15:$P$10000,MonthMaster)</f>
        <v>0</v>
      </c>
      <c r="G81" s="249">
        <f>SUMIFS(DailyRecord!$S$15:$S$10000,DailyRecord!$D$15:$D$10000,"Austria",DailyRecord!$F$15:$F$10000,"Yes",DailyRecord!$O$15:$O$10000,YearMaster,DailyRecord!$P$15:$P$10000,MonthMaster)</f>
        <v>0</v>
      </c>
      <c r="H81" s="280" t="str">
        <f t="shared" ref="H81:H88" si="16">IF(SUM(F81:G81)=C81,"ok","!!!")</f>
        <v>ok</v>
      </c>
    </row>
    <row r="82" spans="1:8">
      <c r="A82" s="181" t="s">
        <v>473</v>
      </c>
      <c r="B82" s="194"/>
      <c r="C82" s="249">
        <f>SUMIFS(DailyRecord!$E$15:$E$10000,DailyRecord!$D$15:$D$10000,"Belgium",DailyRecord!$F$15:$F$10000,"Yes",DailyRecord!$O$15:$O$10000,YearMaster,DailyRecord!$P$15:$P$10000,MonthMaster)</f>
        <v>0</v>
      </c>
      <c r="D82" s="249">
        <f>SUMIFS(DailyRecord!$E$15:$E$10000,DailyRecord!$D$15:$D$10000,"Belgium",DailyRecord!$O$15:$O$10000,YearMaster,DailyRecord!$P$15:$P$10000,MonthMaster)</f>
        <v>0</v>
      </c>
      <c r="E82" s="231" t="str">
        <f t="shared" si="15"/>
        <v>-</v>
      </c>
      <c r="F82" s="249">
        <f>SUMIFS(DailyRecord!$R$15:$R$10000,DailyRecord!$D$15:$D$10000,"Belgium",DailyRecord!$F$15:$F$10000,"Yes",DailyRecord!$O$15:$O$10000,YearMaster,DailyRecord!$P$15:$P$10000,MonthMaster)</f>
        <v>0</v>
      </c>
      <c r="G82" s="249">
        <f>SUMIFS(DailyRecord!$S$15:$S$10000,DailyRecord!$D$15:$D$10000,"Belgium",DailyRecord!$F$15:$F$10000,"Yes",DailyRecord!$O$15:$O$10000,YearMaster,DailyRecord!$P$15:$P$10000,MonthMaster)</f>
        <v>0</v>
      </c>
      <c r="H82" s="280" t="str">
        <f t="shared" si="16"/>
        <v>ok</v>
      </c>
    </row>
    <row r="83" spans="1:8">
      <c r="A83" s="181" t="s">
        <v>474</v>
      </c>
      <c r="B83" s="194"/>
      <c r="C83" s="249">
        <f>SUMIFS(DailyRecord!$E$15:$E$10000,DailyRecord!$D$15:$D$10000,"France",DailyRecord!$F$15:$F$10000,"Yes",DailyRecord!$O$15:$O$10000,YearMaster,DailyRecord!$P$15:$P$10000,MonthMaster)</f>
        <v>0</v>
      </c>
      <c r="D83" s="249">
        <f>SUMIFS(DailyRecord!$E$15:$E$10000,DailyRecord!$D$15:$D$10000,"France",DailyRecord!$O$15:$O$10000,YearMaster,DailyRecord!$P$15:$P$10000,MonthMaster)</f>
        <v>0</v>
      </c>
      <c r="E83" s="231" t="str">
        <f t="shared" si="15"/>
        <v>-</v>
      </c>
      <c r="F83" s="249">
        <f>SUMIFS(DailyRecord!$R$15:$R$10000,DailyRecord!$D$15:$D$10000,"France",DailyRecord!$F$15:$F$10000,"Yes",DailyRecord!$O$15:$O$10000,YearMaster,DailyRecord!$P$15:$P$10000,MonthMaster)</f>
        <v>0</v>
      </c>
      <c r="G83" s="249">
        <f>SUMIFS(DailyRecord!$S$15:$S$10000,DailyRecord!$D$15:$D$10000,"France",DailyRecord!$F$15:$F$10000,"Yes",DailyRecord!$O$15:$O$10000,YearMaster,DailyRecord!$P$15:$P$10000,MonthMaster)</f>
        <v>0</v>
      </c>
      <c r="H83" s="280" t="str">
        <f t="shared" si="16"/>
        <v>ok</v>
      </c>
    </row>
    <row r="84" spans="1:8">
      <c r="A84" s="181" t="s">
        <v>475</v>
      </c>
      <c r="B84" s="194"/>
      <c r="C84" s="249">
        <f>SUMIFS(DailyRecord!$E$15:$E$10000,DailyRecord!$D$15:$D$10000,"Germany",DailyRecord!$F$15:$F$10000,"Yes",DailyRecord!$O$15:$O$10000,YearMaster,DailyRecord!$P$15:$P$10000,MonthMaster)</f>
        <v>0</v>
      </c>
      <c r="D84" s="249">
        <f>SUMIFS(DailyRecord!$E$15:$E$10000,DailyRecord!$D$15:$D$10000,"Germany",DailyRecord!$O$15:$O$10000,YearMaster,DailyRecord!$P$15:$P$10000,MonthMaster)</f>
        <v>0</v>
      </c>
      <c r="E84" s="231" t="str">
        <f t="shared" si="15"/>
        <v>-</v>
      </c>
      <c r="F84" s="249">
        <f>SUMIFS(DailyRecord!$R$15:$R$10000,DailyRecord!$D$15:$D$10000,"Germany",DailyRecord!$F$15:$F$10000,"Yes",DailyRecord!$O$15:$O$10000,YearMaster,DailyRecord!$P$15:$P$10000,MonthMaster)</f>
        <v>0</v>
      </c>
      <c r="G84" s="249">
        <f>SUMIFS(DailyRecord!$S$15:$S$10000,DailyRecord!$D$15:$D$10000,"Germany",DailyRecord!$F$15:$F$10000,"Yes",DailyRecord!$O$15:$O$10000,YearMaster,DailyRecord!$P$15:$P$10000,MonthMaster)</f>
        <v>0</v>
      </c>
      <c r="H84" s="280" t="str">
        <f t="shared" si="16"/>
        <v>ok</v>
      </c>
    </row>
    <row r="85" spans="1:8">
      <c r="A85" s="181" t="s">
        <v>476</v>
      </c>
      <c r="B85" s="194"/>
      <c r="C85" s="249">
        <f>SUMIFS(DailyRecord!$E$15:$E$10000,DailyRecord!$D$15:$D$10000,"Luxembourg",DailyRecord!$F$15:$F$10000,"Yes",DailyRecord!$O$15:$O$10000,YearMaster,DailyRecord!$P$15:$P$10000,MonthMaster)</f>
        <v>0</v>
      </c>
      <c r="D85" s="249">
        <f>SUMIFS(DailyRecord!$E$15:$E$10000,DailyRecord!$D$15:$D$10000,"Luxembourg",DailyRecord!$O$15:$O$10000,YearMaster,DailyRecord!$P$15:$P$10000,MonthMaster)</f>
        <v>0</v>
      </c>
      <c r="E85" s="231" t="str">
        <f t="shared" si="15"/>
        <v>-</v>
      </c>
      <c r="F85" s="249">
        <f>SUMIFS(DailyRecord!$R$15:$R$10000,DailyRecord!$D$15:$D$10000,"Luxembourg",DailyRecord!$F$15:$F$10000,"Yes",DailyRecord!$O$15:$O$10000,YearMaster,DailyRecord!$P$15:$P$10000,MonthMaster)</f>
        <v>0</v>
      </c>
      <c r="G85" s="249">
        <f>SUMIFS(DailyRecord!$S$15:$S$10000,DailyRecord!$D$15:$D$10000,"Luxembourg",DailyRecord!$F$15:$F$10000,"Yes",DailyRecord!$O$15:$O$10000,YearMaster,DailyRecord!$P$15:$P$10000,MonthMaster)</f>
        <v>0</v>
      </c>
      <c r="H85" s="280" t="str">
        <f t="shared" si="16"/>
        <v>ok</v>
      </c>
    </row>
    <row r="86" spans="1:8">
      <c r="A86" s="181" t="s">
        <v>477</v>
      </c>
      <c r="B86" s="194"/>
      <c r="C86" s="249">
        <f>SUMIFS(DailyRecord!$E$15:$E$10000,DailyRecord!$D$15:$D$10000,"Netherlands",DailyRecord!$F$15:$F$10000,"Yes",DailyRecord!$O$15:$O$10000,YearMaster,DailyRecord!$P$15:$P$10000,MonthMaster)</f>
        <v>0</v>
      </c>
      <c r="D86" s="249">
        <f>SUMIFS(DailyRecord!$E$15:$E$10000,DailyRecord!$D$15:$D$10000,"Netherlands",DailyRecord!$O$15:$O$10000,YearMaster,DailyRecord!$P$15:$P$10000,MonthMaster)</f>
        <v>0</v>
      </c>
      <c r="E86" s="231" t="str">
        <f t="shared" si="15"/>
        <v>-</v>
      </c>
      <c r="F86" s="249">
        <f>SUMIFS(DailyRecord!$R$15:$R$10000,DailyRecord!$D$15:$D$10000,"Netherlands",DailyRecord!$F$15:$F$10000,"Yes",DailyRecord!$O$15:$O$10000,YearMaster,DailyRecord!$P$15:$P$10000,MonthMaster)</f>
        <v>0</v>
      </c>
      <c r="G86" s="249">
        <f>SUMIFS(DailyRecord!$S$15:$S$10000,DailyRecord!$D$15:$D$10000,"Netherlands",DailyRecord!$F$15:$F$10000,"Yes",DailyRecord!$O$15:$O$10000,YearMaster,DailyRecord!$P$15:$P$10000,MonthMaster)</f>
        <v>0</v>
      </c>
      <c r="H86" s="280" t="str">
        <f t="shared" si="16"/>
        <v>ok</v>
      </c>
    </row>
    <row r="87" spans="1:8">
      <c r="A87" s="181" t="s">
        <v>478</v>
      </c>
      <c r="B87" s="194"/>
      <c r="C87" s="249">
        <f>SUMIFS(DailyRecord!$E$15:$E$10000,DailyRecord!$D$15:$D$10000,"Switzerland",DailyRecord!$F$15:$F$10000,"Yes",DailyRecord!$O$15:$O$10000,YearMaster,DailyRecord!$P$15:$P$10000,MonthMaster)</f>
        <v>0</v>
      </c>
      <c r="D87" s="249">
        <f>SUMIFS(DailyRecord!$E$15:$E$10000,DailyRecord!$D$15:$D$10000,"Switzerland",DailyRecord!$O$15:$O$10000,YearMaster,DailyRecord!$P$15:$P$10000,MonthMaster)</f>
        <v>0</v>
      </c>
      <c r="E87" s="231" t="str">
        <f t="shared" si="15"/>
        <v>-</v>
      </c>
      <c r="F87" s="249">
        <f>SUMIFS(DailyRecord!$R$15:$R$10000,DailyRecord!$D$15:$D$10000,"Switzerland",DailyRecord!$F$15:$F$10000,"Yes",DailyRecord!$O$15:$O$10000,YearMaster,DailyRecord!$P$15:$P$10000,MonthMaster)</f>
        <v>0</v>
      </c>
      <c r="G87" s="249">
        <f>SUMIFS(DailyRecord!$S$15:$S$10000,DailyRecord!$D$15:$D$10000,"Switzerland",DailyRecord!$F$15:$F$10000,"Yes",DailyRecord!$O$15:$O$10000,YearMaster,DailyRecord!$P$15:$P$10000,MonthMaster)</f>
        <v>0</v>
      </c>
      <c r="H87" s="280" t="str">
        <f t="shared" si="16"/>
        <v>ok</v>
      </c>
    </row>
    <row r="88" spans="1:8" s="166" customFormat="1">
      <c r="A88" s="185" t="s">
        <v>436</v>
      </c>
      <c r="B88" s="197"/>
      <c r="C88" s="249">
        <f>SUM(C81:C87)</f>
        <v>0</v>
      </c>
      <c r="D88" s="249">
        <f>SUM(D81:D87)</f>
        <v>0</v>
      </c>
      <c r="E88" s="231" t="str">
        <f t="shared" si="15"/>
        <v>-</v>
      </c>
      <c r="F88" s="249">
        <f>SUM(F81:F87)</f>
        <v>0</v>
      </c>
      <c r="G88" s="249">
        <f>SUM(G81:G87)</f>
        <v>0</v>
      </c>
      <c r="H88" s="280" t="str">
        <f t="shared" si="16"/>
        <v>ok</v>
      </c>
    </row>
    <row r="89" spans="1:8" s="161" customFormat="1">
      <c r="A89" s="186"/>
      <c r="B89" s="198"/>
      <c r="C89" s="250"/>
      <c r="D89" s="250"/>
      <c r="E89" s="228"/>
      <c r="F89" s="250"/>
      <c r="G89" s="250"/>
    </row>
    <row r="90" spans="1:8" s="163" customFormat="1">
      <c r="A90" s="184" t="s">
        <v>479</v>
      </c>
      <c r="B90" s="196"/>
      <c r="C90" s="251"/>
      <c r="D90" s="251"/>
      <c r="E90" s="229"/>
      <c r="F90" s="251"/>
      <c r="G90" s="251"/>
    </row>
    <row r="91" spans="1:8">
      <c r="A91" s="181" t="s">
        <v>480</v>
      </c>
      <c r="B91" s="194"/>
      <c r="C91" s="249">
        <f>SUMIFS(DailyRecord!$E$15:$E$10000,DailyRecord!$D$15:$D$10000,"Denmark",DailyRecord!$F$15:$F$10000,"Yes",DailyRecord!$O$15:$O$10000,YearMaster,DailyRecord!$P$15:$P$10000,MonthMaster)</f>
        <v>0</v>
      </c>
      <c r="D91" s="249">
        <f>SUMIFS(DailyRecord!$E$15:$E$10000,DailyRecord!$D$15:$D$10000,"Denmark",DailyRecord!$O$15:$O$10000,YearMaster,DailyRecord!$P$15:$P$10000,MonthMaster)</f>
        <v>0</v>
      </c>
      <c r="E91" s="231" t="str">
        <f t="shared" ref="E91:E97" si="17">IF(D91&gt;0, D91/C91, "-")</f>
        <v>-</v>
      </c>
      <c r="F91" s="249">
        <f>SUMIFS(DailyRecord!$R$15:$R$10000,DailyRecord!$D$15:$D$10000,"Denmark",DailyRecord!$F$15:$F$10000,"Yes",DailyRecord!$O$15:$O$10000,YearMaster,DailyRecord!$P$15:$P$10000,MonthMaster)</f>
        <v>0</v>
      </c>
      <c r="G91" s="249">
        <f>SUMIFS(DailyRecord!$S$15:$S$10000,DailyRecord!$D$15:$D$10000,"Denmark",DailyRecord!$F$15:$F$10000,"Yes",DailyRecord!$O$15:$O$10000,YearMaster,DailyRecord!$P$15:$P$10000,MonthMaster)</f>
        <v>0</v>
      </c>
      <c r="H91" s="280" t="str">
        <f t="shared" ref="H91:H97" si="18">IF(SUM(F91:G91)=C91,"ok","!!!")</f>
        <v>ok</v>
      </c>
    </row>
    <row r="92" spans="1:8">
      <c r="A92" s="181" t="s">
        <v>481</v>
      </c>
      <c r="B92" s="194"/>
      <c r="C92" s="249">
        <f>SUMIFS(DailyRecord!$E$15:$E$10000,DailyRecord!$D$15:$D$10000,"Finland",DailyRecord!$F$15:$F$10000,"Yes",DailyRecord!$O$15:$O$10000,YearMaster,DailyRecord!$P$15:$P$10000,MonthMaster)</f>
        <v>0</v>
      </c>
      <c r="D92" s="249">
        <f>SUMIFS(DailyRecord!$E$15:$E$10000,DailyRecord!$D$15:$D$10000,"Finland",DailyRecord!$O$15:$O$10000,YearMaster,DailyRecord!$P$15:$P$10000,MonthMaster)</f>
        <v>0</v>
      </c>
      <c r="E92" s="231" t="str">
        <f t="shared" si="17"/>
        <v>-</v>
      </c>
      <c r="F92" s="249">
        <f>SUMIFS(DailyRecord!$R$15:$R$10000,DailyRecord!$D$15:$D$10000,"Finland",DailyRecord!$F$15:$F$10000,"Yes",DailyRecord!$O$15:$O$10000,YearMaster,DailyRecord!$P$15:$P$10000,MonthMaster)</f>
        <v>0</v>
      </c>
      <c r="G92" s="249">
        <f>SUMIFS(DailyRecord!$S$15:$S$10000,DailyRecord!$D$15:$D$10000,"Finland",DailyRecord!$F$15:$F$10000,"Yes",DailyRecord!$O$15:$O$10000,YearMaster,DailyRecord!$P$15:$P$10000,MonthMaster)</f>
        <v>0</v>
      </c>
      <c r="H92" s="280" t="str">
        <f t="shared" si="18"/>
        <v>ok</v>
      </c>
    </row>
    <row r="93" spans="1:8">
      <c r="A93" s="181" t="s">
        <v>482</v>
      </c>
      <c r="B93" s="194"/>
      <c r="C93" s="249">
        <f>SUMIFS(DailyRecord!$E$15:$E$10000,DailyRecord!$D$15:$D$10000,"Ireland, Republic of",DailyRecord!$F$15:$F$10000,"Yes",DailyRecord!$O$15:$O$10000,YearMaster,DailyRecord!$P$15:$P$10000,MonthMaster)</f>
        <v>0</v>
      </c>
      <c r="D93" s="249">
        <f>SUMIFS(DailyRecord!$E$15:$E$10000,DailyRecord!$D$15:$D$10000,"Ireland, Republic of",DailyRecord!$O$15:$O$10000,YearMaster,DailyRecord!$P$15:$P$10000,MonthMaster)</f>
        <v>0</v>
      </c>
      <c r="E93" s="231" t="str">
        <f t="shared" si="17"/>
        <v>-</v>
      </c>
      <c r="F93" s="249">
        <f>SUMIFS(DailyRecord!$R$15:$R$10000,DailyRecord!$D$15:$D$10000,"Ireland, Republic of",DailyRecord!$F$15:$F$10000,"Yes",DailyRecord!$O$15:$O$10000,YearMaster,DailyRecord!$P$15:$P$10000,MonthMaster)</f>
        <v>0</v>
      </c>
      <c r="G93" s="249">
        <f>SUMIFS(DailyRecord!$S$15:$S$10000,DailyRecord!$D$15:$D$10000,"Ireland, Republic of",DailyRecord!$F$15:$F$10000,"Yes",DailyRecord!$O$15:$O$10000,YearMaster,DailyRecord!$P$15:$P$10000,MonthMaster)</f>
        <v>0</v>
      </c>
      <c r="H93" s="280" t="str">
        <f t="shared" si="18"/>
        <v>ok</v>
      </c>
    </row>
    <row r="94" spans="1:8">
      <c r="A94" s="181" t="s">
        <v>483</v>
      </c>
      <c r="B94" s="194"/>
      <c r="C94" s="249">
        <f>SUMIFS(DailyRecord!$E$15:$E$10000,DailyRecord!$D$15:$D$10000,"Norway",DailyRecord!$F$15:$F$10000,"Yes",DailyRecord!$O$15:$O$10000,YearMaster,DailyRecord!$P$15:$P$10000,MonthMaster)</f>
        <v>0</v>
      </c>
      <c r="D94" s="249">
        <f>SUMIFS(DailyRecord!$E$15:$E$10000,DailyRecord!$D$15:$D$10000,"Norway",DailyRecord!$O$15:$O$10000,YearMaster,DailyRecord!$P$15:$P$10000,MonthMaster)</f>
        <v>0</v>
      </c>
      <c r="E94" s="231" t="str">
        <f t="shared" si="17"/>
        <v>-</v>
      </c>
      <c r="F94" s="249">
        <f>SUMIFS(DailyRecord!$R$15:$R$10000,DailyRecord!$D$15:$D$10000,"Norway",DailyRecord!$F$15:$F$10000,"Yes",DailyRecord!$O$15:$O$10000,YearMaster,DailyRecord!$P$15:$P$10000,MonthMaster)</f>
        <v>0</v>
      </c>
      <c r="G94" s="249">
        <f>SUMIFS(DailyRecord!$S$15:$S$10000,DailyRecord!$D$15:$D$10000,"Norway",DailyRecord!$F$15:$F$10000,"Yes",DailyRecord!$O$15:$O$10000,YearMaster,DailyRecord!$P$15:$P$10000,MonthMaster)</f>
        <v>0</v>
      </c>
      <c r="H94" s="280" t="str">
        <f t="shared" si="18"/>
        <v>ok</v>
      </c>
    </row>
    <row r="95" spans="1:8">
      <c r="A95" s="181" t="s">
        <v>484</v>
      </c>
      <c r="B95" s="194"/>
      <c r="C95" s="249">
        <f>SUMIFS(DailyRecord!$E$15:$E$10000,DailyRecord!$D$15:$D$10000,"Sweden",DailyRecord!$F$15:$F$10000,"Yes",DailyRecord!$O$15:$O$10000,YearMaster,DailyRecord!$P$15:$P$10000,MonthMaster)</f>
        <v>0</v>
      </c>
      <c r="D95" s="249">
        <f>SUMIFS(DailyRecord!$E$15:$E$10000,DailyRecord!$D$15:$D$10000,"Sweden",DailyRecord!$O$15:$O$10000,YearMaster,DailyRecord!$P$15:$P$10000,MonthMaster)</f>
        <v>0</v>
      </c>
      <c r="E95" s="231" t="str">
        <f t="shared" si="17"/>
        <v>-</v>
      </c>
      <c r="F95" s="249">
        <f>SUMIFS(DailyRecord!$R$15:$R$10000,DailyRecord!$D$15:$D$10000,"Sweden",DailyRecord!$F$15:$F$10000,"Yes",DailyRecord!$O$15:$O$10000,YearMaster,DailyRecord!$P$15:$P$10000,MonthMaster)</f>
        <v>0</v>
      </c>
      <c r="G95" s="249">
        <f>SUMIFS(DailyRecord!$S$15:$S$10000,DailyRecord!$D$15:$D$10000,"Sweden",DailyRecord!$F$15:$F$10000,"Yes",DailyRecord!$O$15:$O$10000,YearMaster,DailyRecord!$P$15:$P$10000,MonthMaster)</f>
        <v>0</v>
      </c>
      <c r="H95" s="280" t="str">
        <f t="shared" si="18"/>
        <v>ok</v>
      </c>
    </row>
    <row r="96" spans="1:8">
      <c r="A96" s="181" t="s">
        <v>485</v>
      </c>
      <c r="B96" s="194"/>
      <c r="C96" s="249">
        <f>SUMIFS(DailyRecord!$E$15:$E$10000,DailyRecord!$D$15:$D$10000,"United Kingdom",DailyRecord!$F$15:$F$10000,"Yes",DailyRecord!$O$15:$O$10000,YearMaster,DailyRecord!$P$15:$P$10000,MonthMaster)</f>
        <v>0</v>
      </c>
      <c r="D96" s="249">
        <f>SUMIFS(DailyRecord!$E$15:$E$10000,DailyRecord!$D$15:$D$10000,"United Kingdom",DailyRecord!$O$15:$O$10000,YearMaster,DailyRecord!$P$15:$P$10000,MonthMaster)</f>
        <v>2</v>
      </c>
      <c r="E96" s="231" t="e">
        <f t="shared" si="17"/>
        <v>#DIV/0!</v>
      </c>
      <c r="F96" s="249">
        <f>SUMIFS(DailyRecord!$R$15:$R$10000,DailyRecord!$D$15:$D$10000,"United Kingdom",DailyRecord!$F$15:$F$10000,"Yes",DailyRecord!$O$15:$O$10000,YearMaster,DailyRecord!$P$15:$P$10000,MonthMaster)</f>
        <v>0</v>
      </c>
      <c r="G96" s="249">
        <f>SUMIFS(DailyRecord!$S$15:$S$10000,DailyRecord!$D$15:$D$10000,"United Kingdom",DailyRecord!$F$15:$F$10000,"Yes",DailyRecord!$O$15:$O$10000,YearMaster,DailyRecord!$P$15:$P$10000,MonthMaster)</f>
        <v>0</v>
      </c>
      <c r="H96" s="280" t="str">
        <f t="shared" si="18"/>
        <v>ok</v>
      </c>
    </row>
    <row r="97" spans="1:8" s="166" customFormat="1">
      <c r="A97" s="185" t="s">
        <v>436</v>
      </c>
      <c r="B97" s="197"/>
      <c r="C97" s="249">
        <f>SUM(C91:C96)</f>
        <v>0</v>
      </c>
      <c r="D97" s="249">
        <f>SUM(D91:D96)</f>
        <v>2</v>
      </c>
      <c r="E97" s="231" t="e">
        <f t="shared" si="17"/>
        <v>#DIV/0!</v>
      </c>
      <c r="F97" s="249">
        <f>SUM(F91:F96)</f>
        <v>0</v>
      </c>
      <c r="G97" s="249">
        <f>SUM(G91:G96)</f>
        <v>0</v>
      </c>
      <c r="H97" s="280" t="str">
        <f t="shared" si="18"/>
        <v>ok</v>
      </c>
    </row>
    <row r="98" spans="1:8" s="161" customFormat="1">
      <c r="A98" s="186"/>
      <c r="B98" s="198"/>
      <c r="C98" s="250"/>
      <c r="D98" s="250"/>
      <c r="E98" s="228"/>
      <c r="F98" s="250"/>
      <c r="G98" s="250"/>
    </row>
    <row r="99" spans="1:8" s="163" customFormat="1">
      <c r="A99" s="184" t="s">
        <v>486</v>
      </c>
      <c r="B99" s="196"/>
      <c r="C99" s="251"/>
      <c r="D99" s="251"/>
      <c r="E99" s="229"/>
      <c r="F99" s="251"/>
      <c r="G99" s="251"/>
    </row>
    <row r="100" spans="1:8">
      <c r="A100" s="181" t="s">
        <v>487</v>
      </c>
      <c r="B100" s="194"/>
      <c r="C100" s="249">
        <f>SUMIFS(DailyRecord!$E$15:$E$10000,DailyRecord!$D$15:$D$10000,"Greece",DailyRecord!$F$15:$F$10000,"Yes",DailyRecord!$O$15:$O$10000,YearMaster,DailyRecord!$P$15:$P$10000,MonthMaster)</f>
        <v>0</v>
      </c>
      <c r="D100" s="249">
        <f>SUMIFS(DailyRecord!$E$15:$E$10000,DailyRecord!$D$15:$D$10000,"Greece",DailyRecord!$O$15:$O$10000,YearMaster,DailyRecord!$P$15:$P$10000,MonthMaster)</f>
        <v>0</v>
      </c>
      <c r="E100" s="231" t="str">
        <f t="shared" ref="E100:E105" si="19">IF(D100&gt;0, D100/C100, "-")</f>
        <v>-</v>
      </c>
      <c r="F100" s="249">
        <f>SUMIFS(DailyRecord!$R$15:$R$10000,DailyRecord!$D$15:$D$10000,"Greece",DailyRecord!$F$15:$F$10000,"Yes",DailyRecord!$O$15:$O$10000,YearMaster,DailyRecord!$P$15:$P$10000,MonthMaster)</f>
        <v>0</v>
      </c>
      <c r="G100" s="249">
        <f>SUMIFS(DailyRecord!$S$15:$S$10000,DailyRecord!$D$15:$D$10000,"Greece",DailyRecord!$F$15:$F$10000,"Yes",DailyRecord!$O$15:$O$10000,YearMaster,DailyRecord!$P$15:$P$10000,MonthMaster)</f>
        <v>0</v>
      </c>
      <c r="H100" s="280" t="str">
        <f t="shared" ref="H100:H105" si="20">IF(SUM(F100:G100)=C100,"ok","!!!")</f>
        <v>ok</v>
      </c>
    </row>
    <row r="101" spans="1:8">
      <c r="A101" s="181" t="s">
        <v>488</v>
      </c>
      <c r="B101" s="194"/>
      <c r="C101" s="249">
        <f>SUMIFS(DailyRecord!$E$15:$E$10000,DailyRecord!$D$15:$D$10000,"Italy",DailyRecord!$F$15:$F$10000,"Yes",DailyRecord!$O$15:$O$10000,YearMaster,DailyRecord!$P$15:$P$10000,MonthMaster)</f>
        <v>0</v>
      </c>
      <c r="D101" s="249">
        <f>SUMIFS(DailyRecord!$E$15:$E$10000,DailyRecord!$D$15:$D$10000,"Italy",DailyRecord!$O$15:$O$10000,YearMaster,DailyRecord!$P$15:$P$10000,MonthMaster)</f>
        <v>0</v>
      </c>
      <c r="E101" s="231" t="str">
        <f t="shared" si="19"/>
        <v>-</v>
      </c>
      <c r="F101" s="249">
        <f>SUMIFS(DailyRecord!$R$15:$R$10000,DailyRecord!$D$15:$D$10000,"Italy",DailyRecord!$F$15:$F$10000,"Yes",DailyRecord!$O$15:$O$10000,YearMaster,DailyRecord!$P$15:$P$10000,MonthMaster)</f>
        <v>0</v>
      </c>
      <c r="G101" s="249">
        <f>SUMIFS(DailyRecord!$S$15:$S$10000,DailyRecord!$D$15:$D$10000,"Italy",DailyRecord!$F$15:$F$10000,"Yes",DailyRecord!$O$15:$O$10000,YearMaster,DailyRecord!$P$15:$P$10000,MonthMaster)</f>
        <v>0</v>
      </c>
      <c r="H101" s="280" t="str">
        <f t="shared" si="20"/>
        <v>ok</v>
      </c>
    </row>
    <row r="102" spans="1:8">
      <c r="A102" s="181" t="s">
        <v>489</v>
      </c>
      <c r="B102" s="194"/>
      <c r="C102" s="249">
        <f>SUMIFS(DailyRecord!$E$15:$E$10000,DailyRecord!$D$15:$D$10000,"Portugal",DailyRecord!$F$15:$F$10000,"Yes",DailyRecord!$O$15:$O$10000,YearMaster,DailyRecord!$P$15:$P$10000,MonthMaster)</f>
        <v>0</v>
      </c>
      <c r="D102" s="249">
        <f>SUMIFS(DailyRecord!$E$15:$E$10000,DailyRecord!$D$15:$D$10000,"Portugal",DailyRecord!$O$15:$O$10000,YearMaster,DailyRecord!$P$15:$P$10000,MonthMaster)</f>
        <v>0</v>
      </c>
      <c r="E102" s="231" t="str">
        <f t="shared" si="19"/>
        <v>-</v>
      </c>
      <c r="F102" s="249">
        <f>SUMIFS(DailyRecord!$R$15:$R$10000,DailyRecord!$D$15:$D$10000,"Portugal",DailyRecord!$F$15:$F$10000,"Yes",DailyRecord!$O$15:$O$10000,YearMaster,DailyRecord!$P$15:$P$10000,MonthMaster)</f>
        <v>0</v>
      </c>
      <c r="G102" s="249">
        <f>SUMIFS(DailyRecord!$S$15:$S$10000,DailyRecord!$D$15:$D$10000,"Portugal",DailyRecord!$F$15:$F$10000,"Yes",DailyRecord!$O$15:$O$10000,YearMaster,DailyRecord!$P$15:$P$10000,MonthMaster)</f>
        <v>0</v>
      </c>
      <c r="H102" s="280" t="str">
        <f t="shared" si="20"/>
        <v>ok</v>
      </c>
    </row>
    <row r="103" spans="1:8">
      <c r="A103" s="181" t="s">
        <v>490</v>
      </c>
      <c r="B103" s="194"/>
      <c r="C103" s="249">
        <f>SUMIFS(DailyRecord!$E$15:$E$10000,DailyRecord!$D$15:$D$10000,"Spain",DailyRecord!$F$15:$F$10000,"Yes",DailyRecord!$O$15:$O$10000,YearMaster,DailyRecord!$P$15:$P$10000,MonthMaster)</f>
        <v>0</v>
      </c>
      <c r="D103" s="249">
        <f>SUMIFS(DailyRecord!$E$15:$E$10000,DailyRecord!$D$15:$D$10000,"Spain",DailyRecord!$O$15:$O$10000,YearMaster,DailyRecord!$P$15:$P$10000,MonthMaster)</f>
        <v>0</v>
      </c>
      <c r="E103" s="231" t="str">
        <f t="shared" si="19"/>
        <v>-</v>
      </c>
      <c r="F103" s="249">
        <f>SUMIFS(DailyRecord!$R$15:$R$10000,DailyRecord!$D$15:$D$10000,"Spain",DailyRecord!$F$15:$F$10000,"Yes",DailyRecord!$O$15:$O$10000,YearMaster,DailyRecord!$P$15:$P$10000,MonthMaster)</f>
        <v>0</v>
      </c>
      <c r="G103" s="249">
        <f>SUMIFS(DailyRecord!$S$15:$S$10000,DailyRecord!$D$15:$D$10000,"Spain",DailyRecord!$F$15:$F$10000,"Yes",DailyRecord!$O$15:$O$10000,YearMaster,DailyRecord!$P$15:$P$10000,MonthMaster)</f>
        <v>0</v>
      </c>
      <c r="H103" s="280" t="str">
        <f t="shared" si="20"/>
        <v>ok</v>
      </c>
    </row>
    <row r="104" spans="1:8">
      <c r="A104" s="181" t="s">
        <v>491</v>
      </c>
      <c r="B104" s="194"/>
      <c r="C104" s="249">
        <f>SUMIFS(DailyRecord!$E$15:$E$10000,DailyRecord!$D$15:$D$10000,"Montenegro, Rep",DailyRecord!$F$15:$F$10000,"Yes",DailyRecord!$O$15:$O$10000,YearMaster,DailyRecord!$P$15:$P$10000,MonthMaster)+SUMIFS(DailyRecord!$E$15:$E$10000,DailyRecord!$D$15:$D$10000,"Serbia, Rep",DailyRecord!$F$15:$F$10000,"Yes",DailyRecord!$O$15:$O$10000,YearMaster,DailyRecord!$P$15:$P$10000,MonthMaster)</f>
        <v>0</v>
      </c>
      <c r="D104" s="249">
        <f>SUMIFS(DailyRecord!$E$15:$E$10000,DailyRecord!$D$15:$D$10000,"Montenegro, Rep",DailyRecord!$O$15:$O$10000,YearMaster,DailyRecord!$P$15:$P$10000,MonthMaster)+SUMIFS(DailyRecord!$E$15:$E$10000,DailyRecord!$D$15:$D$10000,"Serbia, Rep",DailyRecord!$O$15:$O$10000,YearMaster,DailyRecord!$P$15:$P$10000,MonthMaster)</f>
        <v>0</v>
      </c>
      <c r="E104" s="231" t="str">
        <f t="shared" si="19"/>
        <v>-</v>
      </c>
      <c r="F104" s="249">
        <f>SUMIFS(DailyRecord!$R$15:$R$10000,DailyRecord!$D$15:$D$10000,"Montenegro, Rep",DailyRecord!$F$15:$F$10000,"Yes",DailyRecord!$O$15:$O$10000,YearMaster,DailyRecord!$P$15:$P$10000,MonthMaster)+SUMIFS(DailyRecord!$R$15:$R$10000,DailyRecord!$D$15:$D$10000,"Serbia, Rep",DailyRecord!$F$15:$F$10000,"Yes",DailyRecord!$O$15:$O$10000,YearMaster,DailyRecord!$P$15:$P$10000,MonthMaster)</f>
        <v>0</v>
      </c>
      <c r="G104" s="249">
        <f>SUMIFS(DailyRecord!$S$15:$S$10000,DailyRecord!$D$15:$D$10000,"Montenegro, Rep",DailyRecord!$F$15:$F$10000,"Yes",DailyRecord!$O$15:$O$10000,YearMaster,DailyRecord!$P$15:$P$10000,MonthMaster)+SUMIFS(DailyRecord!$S$15:$S$10000,DailyRecord!$D$15:$D$10000,"Serbia, Rep",DailyRecord!$F$15:$F$10000,"Yes",DailyRecord!$O$15:$O$10000,YearMaster,DailyRecord!$P$15:$P$10000,MonthMaster)</f>
        <v>0</v>
      </c>
      <c r="H104" s="280" t="str">
        <f t="shared" si="20"/>
        <v>ok</v>
      </c>
    </row>
    <row r="105" spans="1:8" s="166" customFormat="1">
      <c r="A105" s="185" t="s">
        <v>436</v>
      </c>
      <c r="B105" s="197"/>
      <c r="C105" s="249">
        <f>SUM(C100:C104)</f>
        <v>0</v>
      </c>
      <c r="D105" s="249">
        <f>SUM(D100:D104)</f>
        <v>0</v>
      </c>
      <c r="E105" s="231" t="str">
        <f t="shared" si="19"/>
        <v>-</v>
      </c>
      <c r="F105" s="249">
        <f>SUM(F100:F104)</f>
        <v>0</v>
      </c>
      <c r="G105" s="249">
        <f>SUM(G100:G104)</f>
        <v>0</v>
      </c>
      <c r="H105" s="280" t="str">
        <f t="shared" si="20"/>
        <v>ok</v>
      </c>
    </row>
    <row r="106" spans="1:8" s="161" customFormat="1">
      <c r="A106" s="186"/>
      <c r="B106" s="198"/>
      <c r="C106" s="250"/>
      <c r="D106" s="250"/>
      <c r="E106" s="228"/>
      <c r="F106" s="250"/>
      <c r="G106" s="250"/>
    </row>
    <row r="107" spans="1:8" s="163" customFormat="1">
      <c r="A107" s="184" t="s">
        <v>492</v>
      </c>
      <c r="B107" s="196"/>
      <c r="C107" s="251"/>
      <c r="D107" s="251"/>
      <c r="E107" s="229"/>
      <c r="F107" s="251"/>
      <c r="G107" s="251"/>
    </row>
    <row r="108" spans="1:8">
      <c r="A108" s="181" t="s">
        <v>493</v>
      </c>
      <c r="B108" s="194"/>
      <c r="C108" s="249">
        <f>SUMIFS(DailyRecord!$E$15:$E$10000,DailyRecord!$D$15:$D$10000,"Commonwealth of I. S.",DailyRecord!$F$15:$F$10000,"Yes",DailyRecord!$O$15:$O$10000,YearMaster,DailyRecord!$P$15:$P$10000,MonthMaster)+SUMIFS(DailyRecord!$E$15:$E$10000,DailyRecord!$D$15:$D$10000,"Armenia",DailyRecord!$F$15:$F$10000,"Yes",DailyRecord!$O$15:$O$10000,YearMaster,DailyRecord!$P$15:$P$10000,MonthMaster)+SUMIFS(DailyRecord!$E$15:$E$10000,DailyRecord!$D$15:$D$10000,"Azerbaijan",DailyRecord!$F$15:$F$10000,"Yes",DailyRecord!$O$15:$O$10000,YearMaster,DailyRecord!$P$15:$P$10000,MonthMaster)+SUMIFS(DailyRecord!$E$15:$E$10000,DailyRecord!$D$15:$D$10000,"Belarus",DailyRecord!$F$15:$F$10000,"Yes",DailyRecord!$O$15:$O$10000,YearMaster,DailyRecord!$P$15:$P$10000,MonthMaster)+SUMIFS(DailyRecord!$E$15:$E$10000,DailyRecord!$D$15:$D$10000,"Estonia",DailyRecord!$F$15:$F$10000,"Yes",DailyRecord!$O$15:$O$10000,YearMaster,DailyRecord!$P$15:$P$10000,MonthMaster)+SUMIFS(DailyRecord!$E$15:$E$10000,DailyRecord!$D$15:$D$10000,"Ukraine",DailyRecord!$F$15:$F$10000,"Yes",DailyRecord!$O$15:$O$10000,YearMaster,DailyRecord!$P$15:$P$10000,MonthMaster)+SUMIFS(DailyRecord!$E$15:$E$10000,DailyRecord!$D$15:$D$10000,"Uzbekistan",DailyRecord!$F$15:$F$10000,"Yes",DailyRecord!$O$15:$O$10000,YearMaster,DailyRecord!$P$15:$P$10000,MonthMaster)+SUMIFS(DailyRecord!$E$15:$E$10000,DailyRecord!$D$15:$D$10000,"Georgia",DailyRecord!$F$15:$F$10000,"Yes",DailyRecord!$O$15:$O$10000,YearMaster,DailyRecord!$P$15:$P$10000,MonthMaster)+SUMIFS(DailyRecord!$E$15:$E$10000,DailyRecord!$D$15:$D$10000,"Kazakhstan",DailyRecord!$F$15:$F$10000,"Yes",DailyRecord!$O$15:$O$10000,YearMaster,DailyRecord!$P$15:$P$10000,MonthMaster)+SUMIFS(DailyRecord!$E$15:$E$10000,DailyRecord!$D$15:$D$10000,"Kyrgystan",DailyRecord!$F$15:$F$10000,"Yes",DailyRecord!$O$15:$O$10000,YearMaster,DailyRecord!$P$15:$P$10000,MonthMaster)+SUMIFS(DailyRecord!$E$15:$E$10000,DailyRecord!$D$15:$D$10000,"Latvia",DailyRecord!$F$15:$F$10000,"Yes",DailyRecord!$O$15:$O$10000,YearMaster,DailyRecord!$P$15:$P$10000,MonthMaster)+SUMIFS(DailyRecord!$E$15:$E$10000,DailyRecord!$D$15:$D$10000,"Moldova",DailyRecord!$F$15:$F$10000,"Yes",DailyRecord!$O$15:$O$10000,YearMaster,DailyRecord!$P$15:$P$10000,MonthMaster)+SUMIFS(DailyRecord!$E$15:$E$10000,DailyRecord!$D$15:$D$10000,"Tajikistan",DailyRecord!$F$15:$F$10000,"Yes",DailyRecord!$O$15:$O$10000,YearMaster,DailyRecord!$P$15:$P$10000,MonthMaster)+SUMIFS(DailyRecord!$E$15:$E$10000,DailyRecord!$D$15:$D$10000,"Turkmenistan",DailyRecord!$F$15:$F$10000,"Yes",DailyRecord!$O$15:$O$10000,YearMaster,DailyRecord!$P$15:$P$10000,MonthMaster)</f>
        <v>0</v>
      </c>
      <c r="D108" s="284">
        <f>SUMIFS(DailyRecord!$E$15:$E$10000,DailyRecord!$D$15:$D$10000,"Commonwealth of I. S.",DailyRecord!$O$15:$O$10000,YearMaster,DailyRecord!$P$15:$P$10000,MonthMaster)+SUMIFS(DailyRecord!$E$15:$E$10000,DailyRecord!$D$15:$D$10000,"Armenia",DailyRecord!$O$15:$O$10000,YearMaster,DailyRecord!$P$15:$P$10000,MonthMaster)+SUMIFS(DailyRecord!$E$15:$E$10000,DailyRecord!$D$15:$D$10000,"Azerbaijan",DailyRecord!$O$15:$O$10000,YearMaster,DailyRecord!$P$15:$P$10000,MonthMaster)+SUMIFS(DailyRecord!$E$15:$E$10000,DailyRecord!$D$15:$D$10000,"Belarus",DailyRecord!$O$15:$O$10000,YearMaster,DailyRecord!$P$15:$P$10000,MonthMaster)+SUMIFS(DailyRecord!$E$15:$E$10000,DailyRecord!$D$15:$D$10000,"Estonia",DailyRecord!$O$15:$O$10000,YearMaster,DailyRecord!$P$15:$P$10000,MonthMaster)+SUMIFS(DailyRecord!$E$15:$E$10000,DailyRecord!$D$15:$D$10000,"Ukraine",DailyRecord!$O$15:$O$10000,YearMaster,DailyRecord!$P$15:$P$10000,MonthMaster)+SUMIFS(DailyRecord!$E$15:$E$10000,DailyRecord!$D$15:$D$10000,"Uzbekistan",DailyRecord!$O$15:$O$10000,YearMaster,DailyRecord!$P$15:$P$10000,MonthMaster)+SUMIFS(DailyRecord!$E$15:$E$10000,DailyRecord!$D$15:$D$10000,"Georgia",DailyRecord!$O$15:$O$10000,YearMaster,DailyRecord!$P$15:$P$10000,MonthMaster)+SUMIFS(DailyRecord!$E$15:$E$10000,DailyRecord!$D$15:$D$10000,"Kazakhstan",DailyRecord!$O$15:$O$10000,YearMaster,DailyRecord!$P$15:$P$10000,MonthMaster)+SUMIFS(DailyRecord!$E$15:$E$10000,DailyRecord!$D$15:$D$10000,"Kyrgystan",DailyRecord!$O$15:$O$10000,YearMaster,DailyRecord!$P$15:$P$10000,MonthMaster)+SUMIFS(DailyRecord!$E$15:$E$10000,DailyRecord!$D$15:$D$10000,"Latvia",DailyRecord!$O$15:$O$10000,YearMaster,DailyRecord!$P$15:$P$10000,MonthMaster)+SUMIFS(DailyRecord!$E$15:$E$10000,DailyRecord!$D$15:$D$10000,"Moldova",DailyRecord!$O$15:$O$10000,YearMaster,DailyRecord!$P$15:$P$10000,MonthMaster)+SUMIFS(DailyRecord!$E$15:$E$10000,DailyRecord!$D$15:$D$10000,"Tajikistan",DailyRecord!$O$15:$O$10000,YearMaster,DailyRecord!$P$15:$P$10000,MonthMaster)+SUMIFS(DailyRecord!$E$15:$E$10000,DailyRecord!$D$15:$D$10000,"Turkmenistan",DailyRecord!$O$15:$O$10000,YearMaster,DailyRecord!$P$15:$P$10000,MonthMaster)</f>
        <v>0</v>
      </c>
      <c r="E108" s="231" t="str">
        <f t="shared" ref="E108:E111" si="21">IF(D108&gt;0, D108/C108, "-")</f>
        <v>-</v>
      </c>
      <c r="F108" s="249">
        <f>SUMIFS(DailyRecord!$R$15:$R$10000,DailyRecord!$D$15:$D$10000,"Commonwealth of I. S.",DailyRecord!$F$15:$F$10000,"Yes",DailyRecord!$O$15:$O$10000,YearMaster,DailyRecord!$P$15:$P$10000,MonthMaster)+SUMIFS(DailyRecord!$R$15:$R$10000,DailyRecord!$D$15:$D$10000,"Armenia",DailyRecord!$F$15:$F$10000,"Yes",DailyRecord!$O$15:$O$10000,YearMaster,DailyRecord!$P$15:$P$10000,MonthMaster)+SUMIFS(DailyRecord!$R$15:$R$10000,DailyRecord!$D$15:$D$10000,"Azerbaijan",DailyRecord!$F$15:$F$10000,"Yes",DailyRecord!$O$15:$O$10000,YearMaster,DailyRecord!$P$15:$P$10000,MonthMaster)+SUMIFS(DailyRecord!$R$15:$R$10000,DailyRecord!$D$15:$D$10000,"Belarus",DailyRecord!$F$15:$F$10000,"Yes",DailyRecord!$O$15:$O$10000,YearMaster,DailyRecord!$P$15:$P$10000,MonthMaster)+SUMIFS(DailyRecord!$R$15:$R$10000,DailyRecord!$D$15:$D$10000,"Estonia",DailyRecord!$F$15:$F$10000,"Yes",DailyRecord!$O$15:$O$10000,YearMaster,DailyRecord!$P$15:$P$10000,MonthMaster)+SUMIFS(DailyRecord!$R$15:$R$10000,DailyRecord!$D$15:$D$10000,"Ukraine",DailyRecord!$F$15:$F$10000,"Yes",DailyRecord!$O$15:$O$10000,YearMaster,DailyRecord!$P$15:$P$10000,MonthMaster)+SUMIFS(DailyRecord!$R$15:$R$10000,DailyRecord!$D$15:$D$10000,"Uzbekistan",DailyRecord!$F$15:$F$10000,"Yes",DailyRecord!$O$15:$O$10000,YearMaster,DailyRecord!$P$15:$P$10000,MonthMaster)+SUMIFS(DailyRecord!$R$15:$R$10000,DailyRecord!$D$15:$D$10000,"Georgia",DailyRecord!$F$15:$F$10000,"Yes",DailyRecord!$O$15:$O$10000,YearMaster,DailyRecord!$P$15:$P$10000,MonthMaster)+SUMIFS(DailyRecord!$R$15:$R$10000,DailyRecord!$D$15:$D$10000,"Kazakhstan",DailyRecord!$F$15:$F$10000,"Yes",DailyRecord!$O$15:$O$10000,YearMaster,DailyRecord!$P$15:$P$10000,MonthMaster)+SUMIFS(DailyRecord!$R$15:$R$10000,DailyRecord!$D$15:$D$10000,"Kyrgystan",DailyRecord!$F$15:$F$10000,"Yes",DailyRecord!$O$15:$O$10000,YearMaster,DailyRecord!$P$15:$P$10000,MonthMaster)+SUMIFS(DailyRecord!$R$15:$R$10000,DailyRecord!$D$15:$D$10000,"Latvia",DailyRecord!$F$15:$F$10000,"Yes",DailyRecord!$O$15:$O$10000,YearMaster,DailyRecord!$P$15:$P$10000,MonthMaster)+SUMIFS(DailyRecord!$R$15:$R$10000,DailyRecord!$D$15:$D$10000,"Moldova",DailyRecord!$F$15:$F$10000,"Yes",DailyRecord!$O$15:$O$10000,YearMaster,DailyRecord!$P$15:$P$10000,MonthMaster)+SUMIFS(DailyRecord!$R$15:$R$10000,DailyRecord!$D$15:$D$10000,"Tajikistan",DailyRecord!$F$15:$F$10000,"Yes",DailyRecord!$O$15:$O$10000,YearMaster,DailyRecord!$P$15:$P$10000,MonthMaster)+SUMIFS(DailyRecord!$R$15:$R$10000,DailyRecord!$D$15:$D$10000,"Turkmenistan",DailyRecord!$F$15:$F$10000,"Yes",DailyRecord!$O$15:$O$10000,YearMaster,DailyRecord!$P$15:$P$10000,MonthMaster)</f>
        <v>0</v>
      </c>
      <c r="G108" s="249">
        <f>SUMIFS(DailyRecord!$S$15:$S$10000,DailyRecord!$D$15:$D$10000,"Commonwealth of I. S.",DailyRecord!$F$15:$F$10000,"Yes",DailyRecord!$O$15:$O$10000,YearMaster,DailyRecord!$P$15:$P$10000,MonthMaster)+SUMIFS(DailyRecord!$S$15:$S$10000,DailyRecord!$D$15:$D$10000,"Armenia",DailyRecord!$F$15:$F$10000,"Yes",DailyRecord!$O$15:$O$10000,YearMaster,DailyRecord!$P$15:$P$10000,MonthMaster)+SUMIFS(DailyRecord!$S$15:$S$10000,DailyRecord!$D$15:$D$10000,"Azerbaijan",DailyRecord!$F$15:$F$10000,"Yes",DailyRecord!$O$15:$O$10000,YearMaster,DailyRecord!$P$15:$P$10000,MonthMaster)+SUMIFS(DailyRecord!$S$15:$S$10000,DailyRecord!$D$15:$D$10000,"Belarus",DailyRecord!$F$15:$F$10000,"Yes",DailyRecord!$O$15:$O$10000,YearMaster,DailyRecord!$P$15:$P$10000,MonthMaster)+SUMIFS(DailyRecord!$S$15:$S$10000,DailyRecord!$D$15:$D$10000,"Estonia",DailyRecord!$F$15:$F$10000,"Yes",DailyRecord!$O$15:$O$10000,YearMaster,DailyRecord!$P$15:$P$10000,MonthMaster)+SUMIFS(DailyRecord!$S$15:$S$10000,DailyRecord!$D$15:$D$10000,"Ukraine",DailyRecord!$F$15:$F$10000,"Yes",DailyRecord!$O$15:$O$10000,YearMaster,DailyRecord!$P$15:$P$10000,MonthMaster)+SUMIFS(DailyRecord!$S$15:$S$10000,DailyRecord!$D$15:$D$10000,"Uzbekistan",DailyRecord!$F$15:$F$10000,"Yes",DailyRecord!$O$15:$O$10000,YearMaster,DailyRecord!$P$15:$P$10000,MonthMaster)+SUMIFS(DailyRecord!$S$15:$S$10000,DailyRecord!$D$15:$D$10000,"Georgia",DailyRecord!$F$15:$F$10000,"Yes",DailyRecord!$O$15:$O$10000,YearMaster,DailyRecord!$P$15:$P$10000,MonthMaster)+SUMIFS(DailyRecord!$S$15:$S$10000,DailyRecord!$D$15:$D$10000,"Kazakhstan",DailyRecord!$F$15:$F$10000,"Yes",DailyRecord!$O$15:$O$10000,YearMaster,DailyRecord!$P$15:$P$10000,MonthMaster)+SUMIFS(DailyRecord!$S$15:$S$10000,DailyRecord!$D$15:$D$10000,"Kyrgystan",DailyRecord!$F$15:$F$10000,"Yes",DailyRecord!$O$15:$O$10000,YearMaster,DailyRecord!$P$15:$P$10000,MonthMaster)+SUMIFS(DailyRecord!$S$15:$S$10000,DailyRecord!$D$15:$D$10000,"Latvia",DailyRecord!$F$15:$F$10000,"Yes",DailyRecord!$O$15:$O$10000,YearMaster,DailyRecord!$P$15:$P$10000,MonthMaster)+SUMIFS(DailyRecord!$S$15:$S$10000,DailyRecord!$D$15:$D$10000,"Moldova",DailyRecord!$F$15:$F$10000,"Yes",DailyRecord!$O$15:$O$10000,YearMaster,DailyRecord!$P$15:$P$10000,MonthMaster)+SUMIFS(DailyRecord!$S$15:$S$10000,DailyRecord!$D$15:$D$10000,"Tajikistan",DailyRecord!$F$15:$F$10000,"Yes",DailyRecord!$O$15:$O$10000,YearMaster,DailyRecord!$P$15:$P$10000,MonthMaster)+SUMIFS(DailyRecord!$S$15:$S$10000,DailyRecord!$D$15:$D$10000,"Turkmenistan",DailyRecord!$F$15:$F$10000,"Yes",DailyRecord!$O$15:$O$10000,YearMaster,DailyRecord!$P$15:$P$10000,MonthMaster)</f>
        <v>0</v>
      </c>
      <c r="H108" s="280" t="str">
        <f t="shared" ref="H108:H111" si="22">IF(SUM(F108:G108)=C108,"ok","!!!")</f>
        <v>ok</v>
      </c>
    </row>
    <row r="109" spans="1:8">
      <c r="A109" s="181" t="s">
        <v>494</v>
      </c>
      <c r="B109" s="194"/>
      <c r="C109" s="249">
        <f>SUMIFS(DailyRecord!$E$15:$E$10000,DailyRecord!$D$15:$D$10000,"Poland",DailyRecord!$F$15:$F$10000,"Yes",DailyRecord!$O$15:$O$10000,YearMaster,DailyRecord!$P$15:$P$10000,MonthMaster)</f>
        <v>0</v>
      </c>
      <c r="D109" s="249">
        <f>SUMIFS(DailyRecord!$E$15:$E$10000,DailyRecord!$D$15:$D$10000,"Poland",DailyRecord!$O$15:$O$10000,YearMaster,DailyRecord!$P$15:$P$10000,MonthMaster)</f>
        <v>0</v>
      </c>
      <c r="E109" s="231" t="str">
        <f t="shared" si="21"/>
        <v>-</v>
      </c>
      <c r="F109" s="249">
        <f>SUMIFS(DailyRecord!$R$15:$R$10000,DailyRecord!$D$15:$D$10000,"Poland",DailyRecord!$F$15:$F$10000,"Yes",DailyRecord!$O$15:$O$10000,YearMaster,DailyRecord!$P$15:$P$10000,MonthMaster)</f>
        <v>0</v>
      </c>
      <c r="G109" s="249">
        <f>SUMIFS(DailyRecord!$S$15:$S$10000,DailyRecord!$D$15:$D$10000,"Poland",DailyRecord!$F$15:$F$10000,"Yes",DailyRecord!$O$15:$O$10000,YearMaster,DailyRecord!$P$15:$P$10000,MonthMaster)</f>
        <v>0</v>
      </c>
      <c r="H109" s="280" t="str">
        <f t="shared" si="22"/>
        <v>ok</v>
      </c>
    </row>
    <row r="110" spans="1:8">
      <c r="A110" s="181" t="s">
        <v>495</v>
      </c>
      <c r="B110" s="194"/>
      <c r="C110" s="249">
        <f>SUMIFS(DailyRecord!$E$15:$E$10000,DailyRecord!$D$15:$D$10000,"Russian Federation",DailyRecord!$F$15:$F$10000,"Yes",DailyRecord!$O$15:$O$10000,YearMaster,DailyRecord!$P$15:$P$10000,MonthMaster)</f>
        <v>0</v>
      </c>
      <c r="D110" s="249">
        <f>SUMIFS(DailyRecord!$E$15:$E$10000,DailyRecord!$D$15:$D$10000,"Russian Federation",DailyRecord!$O$15:$O$10000,YearMaster,DailyRecord!$P$15:$P$10000,MonthMaster)</f>
        <v>0</v>
      </c>
      <c r="E110" s="231" t="str">
        <f t="shared" si="21"/>
        <v>-</v>
      </c>
      <c r="F110" s="249">
        <f>SUMIFS(DailyRecord!$R$15:$R$10000,DailyRecord!$D$15:$D$10000,"Russian Federation",DailyRecord!$F$15:$F$10000,"Yes",DailyRecord!$O$15:$O$10000,YearMaster,DailyRecord!$P$15:$P$10000,MonthMaster)</f>
        <v>0</v>
      </c>
      <c r="G110" s="249">
        <f>SUMIFS(DailyRecord!$S$15:$S$10000,DailyRecord!$D$15:$D$10000,"Russian Federation",DailyRecord!$F$15:$F$10000,"Yes",DailyRecord!$O$15:$O$10000,YearMaster,DailyRecord!$P$15:$P$10000,MonthMaster)</f>
        <v>0</v>
      </c>
      <c r="H110" s="280" t="str">
        <f t="shared" si="22"/>
        <v>ok</v>
      </c>
    </row>
    <row r="111" spans="1:8" s="166" customFormat="1">
      <c r="A111" s="185" t="s">
        <v>436</v>
      </c>
      <c r="B111" s="197"/>
      <c r="C111" s="249">
        <f>SUM(C108:C110)</f>
        <v>0</v>
      </c>
      <c r="D111" s="249">
        <f>SUM(D108:D110)</f>
        <v>0</v>
      </c>
      <c r="E111" s="231" t="str">
        <f t="shared" si="21"/>
        <v>-</v>
      </c>
      <c r="F111" s="249">
        <f>SUM(F108:F110)</f>
        <v>0</v>
      </c>
      <c r="G111" s="249">
        <f>SUM(G108:G110)</f>
        <v>0</v>
      </c>
      <c r="H111" s="280" t="str">
        <f t="shared" si="22"/>
        <v>ok</v>
      </c>
    </row>
    <row r="112" spans="1:8" s="161" customFormat="1">
      <c r="A112" s="186"/>
      <c r="B112" s="198"/>
      <c r="C112" s="250"/>
      <c r="D112" s="250"/>
      <c r="E112" s="228"/>
      <c r="F112" s="250"/>
      <c r="G112" s="250"/>
    </row>
    <row r="113" spans="1:8" s="163" customFormat="1">
      <c r="A113" s="180" t="s">
        <v>496</v>
      </c>
      <c r="B113" s="193"/>
      <c r="C113" s="251"/>
      <c r="D113" s="251"/>
      <c r="E113" s="229"/>
      <c r="F113" s="251"/>
      <c r="G113" s="251"/>
    </row>
    <row r="114" spans="1:8">
      <c r="A114" s="181" t="s">
        <v>497</v>
      </c>
      <c r="B114" s="194"/>
      <c r="C114" s="249">
        <f>SUMIFS(DailyRecord!$E$15:$E$10000,DailyRecord!$D$15:$D$10000,"Australia",DailyRecord!$F$15:$F$10000,"Yes",DailyRecord!$O$15:$O$10000,YearMaster,DailyRecord!$P$15:$P$10000,MonthMaster)</f>
        <v>0</v>
      </c>
      <c r="D114" s="249">
        <f>SUMIFS(DailyRecord!$E$15:$E$10000,DailyRecord!$D$15:$D$10000,"Australia",DailyRecord!$O$15:$O$10000,YearMaster,DailyRecord!$P$15:$P$10000,MonthMaster)</f>
        <v>0</v>
      </c>
      <c r="E114" s="231" t="str">
        <f t="shared" ref="E114:E119" si="23">IF(D114&gt;0, D114/C114, "-")</f>
        <v>-</v>
      </c>
      <c r="F114" s="249">
        <f>SUMIFS(DailyRecord!$R$15:$R$10000,DailyRecord!$D$15:$D$10000,"Australia",DailyRecord!$F$15:$F$10000,"Yes",DailyRecord!$O$15:$O$10000,YearMaster,DailyRecord!$P$15:$P$10000,MonthMaster)</f>
        <v>0</v>
      </c>
      <c r="G114" s="249">
        <f>SUMIFS(DailyRecord!$S$15:$S$10000,DailyRecord!$D$15:$D$10000,"Australia",DailyRecord!$F$15:$F$10000,"Yes",DailyRecord!$O$15:$O$10000,YearMaster,DailyRecord!$P$15:$P$10000,MonthMaster)</f>
        <v>0</v>
      </c>
      <c r="H114" s="280" t="str">
        <f t="shared" ref="H114:H119" si="24">IF(SUM(F114:G114)=C114,"ok","!!!")</f>
        <v>ok</v>
      </c>
    </row>
    <row r="115" spans="1:8">
      <c r="A115" s="181" t="s">
        <v>498</v>
      </c>
      <c r="B115" s="194"/>
      <c r="C115" s="249">
        <f>SUMIFS(DailyRecord!$E$15:$E$10000,DailyRecord!$D$15:$D$10000,"Guam",DailyRecord!$F$15:$F$10000,"Yes",DailyRecord!$O$15:$O$10000,YearMaster,DailyRecord!$P$15:$P$10000,MonthMaster)</f>
        <v>0</v>
      </c>
      <c r="D115" s="249">
        <f>SUMIFS(DailyRecord!$E$15:$E$10000,DailyRecord!$D$15:$D$10000,"Guam",DailyRecord!$O$15:$O$10000,YearMaster,DailyRecord!$P$15:$P$10000,MonthMaster)</f>
        <v>0</v>
      </c>
      <c r="E115" s="231" t="str">
        <f t="shared" si="23"/>
        <v>-</v>
      </c>
      <c r="F115" s="249">
        <f>SUMIFS(DailyRecord!$R$15:$R$10000,DailyRecord!$D$15:$D$10000,"Guam",DailyRecord!$F$15:$F$10000,"Yes",DailyRecord!$O$15:$O$10000,YearMaster,DailyRecord!$P$15:$P$10000,MonthMaster)</f>
        <v>0</v>
      </c>
      <c r="G115" s="249">
        <f>SUMIFS(DailyRecord!$S$15:$S$10000,DailyRecord!$D$15:$D$10000,"Guam",DailyRecord!$F$15:$F$10000,"Yes",DailyRecord!$O$15:$O$10000,YearMaster,DailyRecord!$P$15:$P$10000,MonthMaster)</f>
        <v>0</v>
      </c>
      <c r="H115" s="280" t="str">
        <f t="shared" si="24"/>
        <v>ok</v>
      </c>
    </row>
    <row r="116" spans="1:8">
      <c r="A116" s="181" t="s">
        <v>499</v>
      </c>
      <c r="B116" s="194"/>
      <c r="C116" s="249">
        <f>SUMIFS(DailyRecord!$E$15:$E$10000,DailyRecord!$D$15:$D$10000,"Nauru",DailyRecord!$F$15:$F$10000,"Yes",DailyRecord!$O$15:$O$10000,YearMaster,DailyRecord!$P$15:$P$10000,MonthMaster)</f>
        <v>0</v>
      </c>
      <c r="D116" s="249">
        <f>SUMIFS(DailyRecord!$E$15:$E$10000,DailyRecord!$D$15:$D$10000,"Nauru",DailyRecord!$O$15:$O$10000,YearMaster,DailyRecord!$P$15:$P$10000,MonthMaster)</f>
        <v>0</v>
      </c>
      <c r="E116" s="231" t="str">
        <f t="shared" si="23"/>
        <v>-</v>
      </c>
      <c r="F116" s="249">
        <f>SUMIFS(DailyRecord!$R$15:$R$10000,DailyRecord!$D$15:$D$10000,"Nauru",DailyRecord!$F$15:$F$10000,"Yes",DailyRecord!$O$15:$O$10000,YearMaster,DailyRecord!$P$15:$P$10000,MonthMaster)</f>
        <v>0</v>
      </c>
      <c r="G116" s="249">
        <f>SUMIFS(DailyRecord!$S$15:$S$10000,DailyRecord!$D$15:$D$10000,"Nauru",DailyRecord!$F$15:$F$10000,"Yes",DailyRecord!$O$15:$O$10000,YearMaster,DailyRecord!$P$15:$P$10000,MonthMaster)</f>
        <v>0</v>
      </c>
      <c r="H116" s="280" t="str">
        <f t="shared" si="24"/>
        <v>ok</v>
      </c>
    </row>
    <row r="117" spans="1:8">
      <c r="A117" s="181" t="s">
        <v>500</v>
      </c>
      <c r="B117" s="194"/>
      <c r="C117" s="249">
        <f>SUMIFS(DailyRecord!$E$15:$E$10000,DailyRecord!$D$15:$D$10000,"New Zealand",DailyRecord!$F$15:$F$10000,"Yes",DailyRecord!$O$15:$O$10000,YearMaster,DailyRecord!$P$15:$P$10000,MonthMaster)</f>
        <v>0</v>
      </c>
      <c r="D117" s="249">
        <f>SUMIFS(DailyRecord!$E$15:$E$10000,DailyRecord!$D$15:$D$10000,"New Zealand",DailyRecord!$O$15:$O$10000,YearMaster,DailyRecord!$P$15:$P$10000,MonthMaster)</f>
        <v>0</v>
      </c>
      <c r="E117" s="231" t="str">
        <f t="shared" si="23"/>
        <v>-</v>
      </c>
      <c r="F117" s="249">
        <f>SUMIFS(DailyRecord!$R$15:$R$10000,DailyRecord!$D$15:$D$10000,"New Zealand",DailyRecord!$F$15:$F$10000,"Yes",DailyRecord!$O$15:$O$10000,YearMaster,DailyRecord!$P$15:$P$10000,MonthMaster)</f>
        <v>0</v>
      </c>
      <c r="G117" s="249">
        <f>SUMIFS(DailyRecord!$S$15:$S$10000,DailyRecord!$D$15:$D$10000,"New Zealand",DailyRecord!$F$15:$F$10000,"Yes",DailyRecord!$O$15:$O$10000,YearMaster,DailyRecord!$P$15:$P$10000,MonthMaster)</f>
        <v>0</v>
      </c>
      <c r="H117" s="280" t="str">
        <f t="shared" si="24"/>
        <v>ok</v>
      </c>
    </row>
    <row r="118" spans="1:8">
      <c r="A118" s="181" t="s">
        <v>501</v>
      </c>
      <c r="B118" s="194"/>
      <c r="C118" s="249">
        <f>SUMIFS(DailyRecord!$E$15:$E$10000,DailyRecord!$D$15:$D$10000,"Papua New Guinea",DailyRecord!$F$15:$F$10000,"Yes",DailyRecord!$O$15:$O$10000,YearMaster,DailyRecord!$P$15:$P$10000,MonthMaster)</f>
        <v>0</v>
      </c>
      <c r="D118" s="249">
        <f>SUMIFS(DailyRecord!$E$15:$E$10000,DailyRecord!$D$15:$D$10000,"Papua New Guinea",DailyRecord!$O$15:$O$10000,YearMaster,DailyRecord!$P$15:$P$10000,MonthMaster)</f>
        <v>0</v>
      </c>
      <c r="E118" s="231" t="str">
        <f t="shared" si="23"/>
        <v>-</v>
      </c>
      <c r="F118" s="249">
        <f>SUMIFS(DailyRecord!$R$15:$R$10000,DailyRecord!$D$15:$D$10000,"Papua New Guinea",DailyRecord!$F$15:$F$10000,"Yes",DailyRecord!$O$15:$O$10000,YearMaster,DailyRecord!$P$15:$P$10000,MonthMaster)</f>
        <v>0</v>
      </c>
      <c r="G118" s="249">
        <f>SUMIFS(DailyRecord!$S$15:$S$10000,DailyRecord!$D$15:$D$10000,"Papua New Guinea",DailyRecord!$F$15:$F$10000,"Yes",DailyRecord!$O$15:$O$10000,YearMaster,DailyRecord!$P$15:$P$10000,MonthMaster)</f>
        <v>0</v>
      </c>
      <c r="H118" s="280" t="str">
        <f t="shared" si="24"/>
        <v>ok</v>
      </c>
    </row>
    <row r="119" spans="1:8" s="166" customFormat="1">
      <c r="A119" s="185" t="s">
        <v>436</v>
      </c>
      <c r="B119" s="197"/>
      <c r="C119" s="249">
        <f>SUM(C114:C118)</f>
        <v>0</v>
      </c>
      <c r="D119" s="249">
        <f>SUM(D114:D118)</f>
        <v>0</v>
      </c>
      <c r="E119" s="231" t="str">
        <f t="shared" si="23"/>
        <v>-</v>
      </c>
      <c r="F119" s="249">
        <f>SUM(F114:F118)</f>
        <v>0</v>
      </c>
      <c r="G119" s="249">
        <f>SUM(G114:G118)</f>
        <v>0</v>
      </c>
      <c r="H119" s="280" t="str">
        <f t="shared" si="24"/>
        <v>ok</v>
      </c>
    </row>
    <row r="120" spans="1:8" s="161" customFormat="1">
      <c r="A120" s="187"/>
      <c r="B120" s="199"/>
      <c r="C120" s="250"/>
      <c r="D120" s="250"/>
      <c r="E120" s="228"/>
      <c r="F120" s="250"/>
      <c r="G120" s="250"/>
    </row>
    <row r="121" spans="1:8" s="160" customFormat="1" ht="20.399999999999999">
      <c r="A121" s="247" t="s">
        <v>419</v>
      </c>
      <c r="B121" s="191"/>
      <c r="C121" s="252" t="s">
        <v>618</v>
      </c>
      <c r="D121" s="252" t="s">
        <v>619</v>
      </c>
      <c r="E121" s="230" t="s">
        <v>620</v>
      </c>
      <c r="F121" s="252" t="s">
        <v>643</v>
      </c>
      <c r="G121" s="252" t="s">
        <v>644</v>
      </c>
    </row>
    <row r="122" spans="1:8" s="161" customFormat="1">
      <c r="A122" s="183"/>
      <c r="B122" s="192"/>
      <c r="C122" s="250"/>
      <c r="D122" s="250"/>
      <c r="E122" s="228"/>
      <c r="F122" s="250"/>
      <c r="G122" s="250"/>
    </row>
    <row r="123" spans="1:8" s="163" customFormat="1">
      <c r="A123" s="180" t="s">
        <v>502</v>
      </c>
      <c r="B123" s="193"/>
      <c r="C123" s="251"/>
      <c r="D123" s="251"/>
      <c r="E123" s="229"/>
      <c r="F123" s="251"/>
      <c r="G123" s="251"/>
    </row>
    <row r="124" spans="1:8">
      <c r="A124" s="181" t="s">
        <v>503</v>
      </c>
      <c r="B124" s="194"/>
      <c r="C124" s="249">
        <f>SUMIFS(DailyRecord!$E$15:$E$10000,DailyRecord!$D$15:$D$10000,"Nigeria",DailyRecord!$F$15:$F$10000,"Yes",DailyRecord!$O$15:$O$10000,YearMaster,DailyRecord!$P$15:$P$10000,MonthMaster)</f>
        <v>0</v>
      </c>
      <c r="D124" s="249">
        <f>SUMIFS(DailyRecord!$E$15:$E$10000,DailyRecord!$D$15:$D$10000,"Nigeria",DailyRecord!$O$15:$O$10000,YearMaster,DailyRecord!$P$15:$P$10000,MonthMaster)</f>
        <v>0</v>
      </c>
      <c r="E124" s="231" t="str">
        <f t="shared" ref="E124:E126" si="25">IF(D124&gt;0, D124/C124, "-")</f>
        <v>-</v>
      </c>
      <c r="F124" s="249">
        <f>SUMIFS(DailyRecord!$R$15:$R$10000,DailyRecord!$D$15:$D$10000,"Nigeria",DailyRecord!$F$15:$F$10000,"Yes",DailyRecord!$O$15:$O$10000,YearMaster,DailyRecord!$P$15:$P$10000,MonthMaster)</f>
        <v>0</v>
      </c>
      <c r="G124" s="249">
        <f>SUMIFS(DailyRecord!$S$15:$S$10000,DailyRecord!$D$15:$D$10000,"Nigeria",DailyRecord!$F$15:$F$10000,"Yes",DailyRecord!$O$15:$O$10000,YearMaster,DailyRecord!$P$15:$P$10000,MonthMaster)</f>
        <v>0</v>
      </c>
      <c r="H124" s="280" t="str">
        <f t="shared" ref="H124:H126" si="26">IF(SUM(F124:G124)=C124,"ok","!!!")</f>
        <v>ok</v>
      </c>
    </row>
    <row r="125" spans="1:8">
      <c r="A125" s="181" t="s">
        <v>504</v>
      </c>
      <c r="B125" s="194"/>
      <c r="C125" s="249">
        <f>SUMIFS(DailyRecord!$E$15:$E$10000,DailyRecord!$D$15:$D$10000,"South Africa",DailyRecord!$F$15:$F$10000,"Yes",DailyRecord!$O$15:$O$10000,YearMaster,DailyRecord!$P$15:$P$10000,MonthMaster)</f>
        <v>0</v>
      </c>
      <c r="D125" s="249">
        <f>SUMIFS(DailyRecord!$E$15:$E$10000,DailyRecord!$D$15:$D$10000,"South Africa",DailyRecord!$O$15:$O$10000,YearMaster,DailyRecord!$P$15:$P$10000,MonthMaster)</f>
        <v>0</v>
      </c>
      <c r="E125" s="231" t="str">
        <f t="shared" si="25"/>
        <v>-</v>
      </c>
      <c r="F125" s="249">
        <f>SUMIFS(DailyRecord!$R$15:$R$10000,DailyRecord!$D$15:$D$10000,"South Africa",DailyRecord!$F$15:$F$10000,"Yes",DailyRecord!$O$15:$O$10000,YearMaster,DailyRecord!$P$15:$P$10000,MonthMaster)</f>
        <v>0</v>
      </c>
      <c r="G125" s="249">
        <f>SUMIFS(DailyRecord!$S$15:$S$10000,DailyRecord!$D$15:$D$10000,"South Africa",DailyRecord!$F$15:$F$10000,"Yes",DailyRecord!$O$15:$O$10000,YearMaster,DailyRecord!$P$15:$P$10000,MonthMaster)</f>
        <v>0</v>
      </c>
      <c r="H125" s="280" t="str">
        <f t="shared" si="26"/>
        <v>ok</v>
      </c>
    </row>
    <row r="126" spans="1:8" s="166" customFormat="1">
      <c r="A126" s="185" t="s">
        <v>436</v>
      </c>
      <c r="B126" s="197"/>
      <c r="C126" s="249">
        <f>SUM(C124:C125)</f>
        <v>0</v>
      </c>
      <c r="D126" s="249">
        <f>SUM(D124:D125)</f>
        <v>0</v>
      </c>
      <c r="E126" s="231" t="str">
        <f t="shared" si="25"/>
        <v>-</v>
      </c>
      <c r="F126" s="249">
        <f>SUM(F124:F125)</f>
        <v>0</v>
      </c>
      <c r="G126" s="249">
        <f>SUM(G124:G125)</f>
        <v>0</v>
      </c>
      <c r="H126" s="280" t="str">
        <f t="shared" si="26"/>
        <v>ok</v>
      </c>
    </row>
    <row r="127" spans="1:8" s="161" customFormat="1">
      <c r="A127" s="188"/>
      <c r="B127" s="200"/>
      <c r="C127" s="250"/>
      <c r="D127" s="250"/>
      <c r="E127" s="228"/>
      <c r="F127" s="250"/>
      <c r="G127" s="250"/>
    </row>
    <row r="128" spans="1:8" s="163" customFormat="1">
      <c r="A128" s="184" t="s">
        <v>505</v>
      </c>
      <c r="B128" s="196"/>
      <c r="C128" s="251"/>
      <c r="D128" s="251"/>
      <c r="E128" s="229"/>
      <c r="F128" s="251"/>
      <c r="G128" s="251"/>
    </row>
    <row r="129" spans="1:8">
      <c r="A129" s="184" t="s">
        <v>529</v>
      </c>
      <c r="B129" s="196"/>
      <c r="C129" s="249">
        <f>SUMIFS(DailyRecord!$E$15:$E$10000,DailyRecord!$F$15:$F$10000,"Yes",DailyRecord!$O$15:$O$10000,YearMaster,DailyRecord!$P$15:$P$10000,MonthMaster)-SUM(C136,C138,C139,C126,C119,C111,C105,C97,C88,C77,C69,C61,C51,C42,C34)</f>
        <v>2</v>
      </c>
      <c r="D129" s="249">
        <f>SUMIFS(DailyRecord!$E$15:$E$10000,DailyRecord!$O$15:$O$10000,YearMaster,DailyRecord!$P$15:$P$10000,MonthMaster)-SUM(D136,D138,D139,D126,D119,D111,D105,D97,D88,D77,D69,D61,D51,D42,D34)</f>
        <v>5</v>
      </c>
      <c r="E129" s="231">
        <f>IF(D129&gt;0, D129/C129, "-")</f>
        <v>2.5</v>
      </c>
      <c r="F129" s="249">
        <f>SUMIFS(DailyRecord!$R$15:$R$10000,DailyRecord!$F$15:$F$10000,"Yes",DailyRecord!$O$15:$O$10000,YearMaster,DailyRecord!$P$15:$P$10000,MonthMaster)-SUM(F136,F138,F139,F126,F119,F111,F105,F97,F88,F77,F69,F61,F51,F42,F34)</f>
        <v>1</v>
      </c>
      <c r="G129" s="249">
        <f>SUMIFS(DailyRecord!$S$15:$S$10000,DailyRecord!$F$15:$F$10000,"Yes",DailyRecord!$O$15:$O$10000,YearMaster,DailyRecord!$P$15:$P$10000,MonthMaster)-SUM(G136,G138,G139,G126,G119,G111,G105,G97,G88,G77,G69,G61,G51,G42,G34)</f>
        <v>1</v>
      </c>
      <c r="H129" s="280" t="str">
        <f>IF(SUM(F129:G129)=C129,"ok","!!!")</f>
        <v>ok</v>
      </c>
    </row>
    <row r="130" spans="1:8" s="161" customFormat="1">
      <c r="A130" s="183"/>
      <c r="B130" s="192"/>
      <c r="C130" s="250"/>
      <c r="D130" s="250"/>
      <c r="E130" s="228"/>
      <c r="F130" s="250"/>
      <c r="G130" s="250"/>
    </row>
    <row r="131" spans="1:8" s="164" customFormat="1">
      <c r="A131" s="182" t="s">
        <v>506</v>
      </c>
      <c r="B131" s="195"/>
      <c r="C131" s="253">
        <f>SUM(C129,C126,C119,C111,C105,C97,C88,C77,C69,C61,C51,C42,C34)</f>
        <v>2</v>
      </c>
      <c r="D131" s="253">
        <f>SUM(D129,D126,D119,D111,D105,D97,D88,D77,D69,D61,D51,D42,D34)</f>
        <v>7</v>
      </c>
      <c r="E131" s="231">
        <f>IF(D131&gt;0, D131/C131, "-")</f>
        <v>3.5</v>
      </c>
      <c r="F131" s="253">
        <f>SUM(F129,F126,F119,F111,F105,F97,F88,F77,F69,F61,F51,F42,F34)</f>
        <v>1</v>
      </c>
      <c r="G131" s="253">
        <f>SUM(G129,G126,G119,G111,G105,G97,G88,G77,G69,G61,G51,G42,G34)</f>
        <v>1</v>
      </c>
      <c r="H131" s="280" t="str">
        <f>IF(SUM(F131:G131)=C131,"ok","!!!")</f>
        <v>ok</v>
      </c>
    </row>
    <row r="132" spans="1:8">
      <c r="A132" s="188"/>
      <c r="B132" s="200"/>
      <c r="C132" s="250"/>
      <c r="D132" s="250"/>
      <c r="E132" s="232"/>
      <c r="F132" s="250"/>
      <c r="G132" s="250"/>
    </row>
    <row r="133" spans="1:8">
      <c r="A133" s="184" t="s">
        <v>507</v>
      </c>
      <c r="B133" s="196"/>
      <c r="C133" s="249">
        <f>SUMIFS(DailyRecord!$E$15:$E$10000,DailyRecord!$D$15:$D$10000,"Overseas Filipinos",DailyRecord!$F$15:$F$10000,"Yes",DailyRecord!$O$15:$O$10000,YearMaster,DailyRecord!$P$15:$P$10000,MonthMaster)</f>
        <v>0</v>
      </c>
      <c r="D133" s="249">
        <f>SUMIFS(DailyRecord!$E$15:$E$10000,DailyRecord!$D$15:$D$10000,"Overseas Filipinos",DailyRecord!$O$15:$O$10000,YearMaster,DailyRecord!$P$15:$P$10000,MonthMaster)</f>
        <v>0</v>
      </c>
      <c r="E133" s="231" t="str">
        <f>IF(D133&gt;0, D133/C133, "-")</f>
        <v>-</v>
      </c>
      <c r="F133" s="249">
        <f>SUMIFS(DailyRecord!$R$15:$R$10000,DailyRecord!$D$15:$D$10000,"Overseas Filipinos",DailyRecord!$F$15:$F$10000,"Yes",DailyRecord!$O$15:$O$10000,YearMaster,DailyRecord!$P$15:$P$10000,MonthMaster)</f>
        <v>0</v>
      </c>
      <c r="G133" s="249">
        <f>SUMIFS(DailyRecord!$S$15:$S$10000,DailyRecord!$D$15:$D$10000,"Overseas Filipinos",DailyRecord!$F$15:$F$10000,"Yes",DailyRecord!$O$15:$O$10000,YearMaster,DailyRecord!$P$15:$P$10000,MonthMaster)</f>
        <v>0</v>
      </c>
      <c r="H133" s="280" t="str">
        <f>IF(SUM(F133:G133)=C133,"ok","!!!")</f>
        <v>ok</v>
      </c>
    </row>
    <row r="134" spans="1:8" s="161" customFormat="1">
      <c r="A134" s="183"/>
      <c r="B134" s="192"/>
      <c r="C134" s="250"/>
      <c r="D134" s="250"/>
      <c r="E134" s="228"/>
      <c r="F134" s="250"/>
      <c r="G134" s="250"/>
    </row>
    <row r="135" spans="1:8">
      <c r="A135" s="189" t="s">
        <v>508</v>
      </c>
      <c r="B135" s="201"/>
      <c r="C135" s="254">
        <f>SUM(C136:C139)</f>
        <v>2</v>
      </c>
      <c r="D135" s="254">
        <f>SUM(D136:D139)</f>
        <v>7</v>
      </c>
      <c r="E135" s="248">
        <f>IF(D135&gt;0, D135/C135, "-")</f>
        <v>3.5</v>
      </c>
      <c r="F135" s="254">
        <f>SUM(F136:F139)</f>
        <v>1</v>
      </c>
      <c r="G135" s="254">
        <f>SUM(G136:G139)</f>
        <v>1</v>
      </c>
      <c r="H135" s="280" t="str">
        <f>IF(SUM(F135:G135)=C135,"ok","!!!")</f>
        <v>ok</v>
      </c>
    </row>
    <row r="136" spans="1:8">
      <c r="A136" s="190" t="s">
        <v>509</v>
      </c>
      <c r="B136" s="202"/>
      <c r="C136" s="249">
        <f>C19</f>
        <v>0</v>
      </c>
      <c r="D136" s="249">
        <f>D19</f>
        <v>0</v>
      </c>
      <c r="E136" s="231" t="str">
        <f>IF(D136&gt;0, D136/C136, "-")</f>
        <v>-</v>
      </c>
      <c r="F136" s="249">
        <f>F19</f>
        <v>0</v>
      </c>
      <c r="G136" s="249">
        <f>G19</f>
        <v>0</v>
      </c>
      <c r="H136" s="280" t="str">
        <f t="shared" ref="H136:H139" si="27">IF(SUM(F136:G136)=C136,"ok","!!!")</f>
        <v>ok</v>
      </c>
    </row>
    <row r="137" spans="1:8">
      <c r="A137" s="190" t="s">
        <v>510</v>
      </c>
      <c r="B137" s="202"/>
      <c r="C137" s="249">
        <f>C131</f>
        <v>2</v>
      </c>
      <c r="D137" s="249">
        <f>D131</f>
        <v>7</v>
      </c>
      <c r="E137" s="231">
        <f>IF(D137&gt;0, D137/C137, "-")</f>
        <v>3.5</v>
      </c>
      <c r="F137" s="249">
        <f>F131</f>
        <v>1</v>
      </c>
      <c r="G137" s="249">
        <f>G131</f>
        <v>1</v>
      </c>
      <c r="H137" s="280" t="str">
        <f t="shared" si="27"/>
        <v>ok</v>
      </c>
    </row>
    <row r="138" spans="1:8">
      <c r="A138" s="190" t="s">
        <v>511</v>
      </c>
      <c r="B138" s="202"/>
      <c r="C138" s="249">
        <f>C133</f>
        <v>0</v>
      </c>
      <c r="D138" s="249">
        <f>D133</f>
        <v>0</v>
      </c>
      <c r="E138" s="231" t="str">
        <f>IF(D138&gt;0, D138/C138, "-")</f>
        <v>-</v>
      </c>
      <c r="F138" s="249">
        <f>F133</f>
        <v>0</v>
      </c>
      <c r="G138" s="249">
        <f>G133</f>
        <v>0</v>
      </c>
      <c r="H138" s="280" t="str">
        <f t="shared" si="27"/>
        <v>ok</v>
      </c>
    </row>
    <row r="139" spans="1:8">
      <c r="A139" s="168" t="s">
        <v>530</v>
      </c>
      <c r="B139" s="168"/>
      <c r="C139" s="249">
        <f>SUMIFS(DailyRecord!$E$15:$E$10000,DailyRecord!$D$15:$D$10000,"",DailyRecord!$F$15:$F$10000,"Yes",DailyRecord!$O$15:$O$10000,YearMaster,DailyRecord!$P$15:$P$10000,MonthMaster)+SUMIFS(DailyRecord!$E$15:$E$10000,DailyRecord!$D$15:$D$10000,"Others/Unspecified Guest",DailyRecord!$F$15:$F$10000,"Yes",DailyRecord!$O$15:$O$10000,YearMaster,DailyRecord!$P$15:$P$10000,MonthMaster)</f>
        <v>0</v>
      </c>
      <c r="D139" s="249">
        <f>SUMIFS(DailyRecord!$E$15:$E$10000,DailyRecord!$D$15:$D$10000,"",DailyRecord!$O$15:$O$10000,YearMaster,DailyRecord!$P$15:$P$10000,MonthMaster)+SUMIFS(DailyRecord!$E$15:$E$10000,DailyRecord!$D$15:$D$10000,"Others/Unspecified Guest",DailyRecord!$O$15:$O$10000,YearMaster,DailyRecord!$P$15:$P$10000,MonthMaster)</f>
        <v>0</v>
      </c>
      <c r="E139" s="231" t="str">
        <f>IF(D139&gt;0, D139/C139, "-")</f>
        <v>-</v>
      </c>
      <c r="F139" s="249">
        <f>SUMIFS(DailyRecord!$R$15:$R$10000,DailyRecord!$D$15:$D$10000,"",DailyRecord!$F$15:$F$10000,"Yes",DailyRecord!$O$15:$O$10000,YearMaster,DailyRecord!$P$15:$P$10000,MonthMaster)+SUMIFS(DailyRecord!$R$15:$R$10000,DailyRecord!$D$15:$D$10000,"Others/Unspecified Guest",DailyRecord!$F$15:$F$10000,"Yes",DailyRecord!$O$15:$O$10000,YearMaster,DailyRecord!$P$15:$P$10000,MonthMaster)</f>
        <v>0</v>
      </c>
      <c r="G139" s="249">
        <f>SUMIFS(DailyRecord!$S$15:$S$10000,DailyRecord!$D$15:$D$10000,"",DailyRecord!$F$15:$F$10000,"Yes",DailyRecord!$O$15:$O$10000,YearMaster,DailyRecord!$P$15:$P$10000,MonthMaster)+SUMIFS(DailyRecord!$S$15:$S$10000,DailyRecord!$D$15:$D$10000,"Others/Unspecified Guest",DailyRecord!$F$15:$F$10000,"Yes",DailyRecord!$O$15:$O$10000,YearMaster,DailyRecord!$P$15:$P$10000,MonthMaster)</f>
        <v>0</v>
      </c>
      <c r="H139" s="280" t="str">
        <f t="shared" si="27"/>
        <v>ok</v>
      </c>
    </row>
    <row r="140" spans="1:8">
      <c r="A140" s="169" t="s">
        <v>512</v>
      </c>
      <c r="B140" s="169"/>
      <c r="C140" s="157"/>
    </row>
    <row r="141" spans="1:8">
      <c r="A141" s="170"/>
      <c r="B141" s="170"/>
      <c r="C141" s="157"/>
    </row>
    <row r="142" spans="1:8">
      <c r="A142" s="157"/>
      <c r="B142" s="157"/>
      <c r="C142" s="157"/>
    </row>
    <row r="143" spans="1:8">
      <c r="A143" s="159"/>
      <c r="B143" s="159"/>
      <c r="C143" s="159"/>
    </row>
    <row r="144" spans="1:8">
      <c r="A144" s="159"/>
      <c r="B144" s="159"/>
      <c r="C144" s="159"/>
    </row>
    <row r="145" spans="1:3">
      <c r="A145" s="159"/>
      <c r="B145" s="159"/>
      <c r="C145" s="159"/>
    </row>
    <row r="146" spans="1:3">
      <c r="A146" s="314" t="s">
        <v>513</v>
      </c>
      <c r="B146" s="314"/>
      <c r="C146" s="315"/>
    </row>
    <row r="147" spans="1:3">
      <c r="A147" s="316" t="s">
        <v>514</v>
      </c>
      <c r="B147" s="316"/>
      <c r="C147" s="315"/>
    </row>
    <row r="148" spans="1:3">
      <c r="A148" s="159"/>
      <c r="B148" s="159"/>
      <c r="C148" s="159"/>
    </row>
    <row r="149" spans="1:3">
      <c r="A149" s="156" t="s">
        <v>515</v>
      </c>
      <c r="B149" s="156"/>
      <c r="C149" s="159"/>
    </row>
    <row r="150" spans="1:3">
      <c r="A150" s="156" t="s">
        <v>516</v>
      </c>
      <c r="B150" s="156"/>
      <c r="C150" s="159"/>
    </row>
    <row r="151" spans="1:3">
      <c r="A151" s="313"/>
      <c r="B151" s="178"/>
      <c r="C151" s="159"/>
    </row>
    <row r="152" spans="1:3">
      <c r="A152" s="313"/>
      <c r="B152" s="178"/>
      <c r="C152" s="159"/>
    </row>
    <row r="153" spans="1:3">
      <c r="A153" s="159"/>
      <c r="B153" s="159"/>
      <c r="C153" s="159"/>
    </row>
    <row r="154" spans="1:3">
      <c r="A154" s="159"/>
      <c r="B154" s="159"/>
      <c r="C154" s="159"/>
    </row>
    <row r="155" spans="1:3">
      <c r="A155" s="313"/>
      <c r="B155" s="178"/>
      <c r="C155" s="159"/>
    </row>
    <row r="156" spans="1:3">
      <c r="A156" s="313"/>
      <c r="B156" s="178"/>
      <c r="C156" s="159"/>
    </row>
    <row r="157" spans="1:3">
      <c r="A157" s="159"/>
      <c r="B157" s="159"/>
      <c r="C157" s="159"/>
    </row>
    <row r="158" spans="1:3">
      <c r="A158" s="159"/>
      <c r="B158" s="159"/>
      <c r="C158" s="159"/>
    </row>
    <row r="159" spans="1:3">
      <c r="C159" s="159"/>
    </row>
    <row r="160" spans="1:3">
      <c r="A160" s="159"/>
      <c r="B160" s="159"/>
      <c r="C160" s="159"/>
    </row>
    <row r="161" spans="1:3">
      <c r="A161" s="159"/>
      <c r="B161" s="159"/>
      <c r="C161" s="159"/>
    </row>
    <row r="162" spans="1:3">
      <c r="A162" s="159"/>
      <c r="B162" s="159"/>
      <c r="C162" s="159"/>
    </row>
    <row r="163" spans="1:3">
      <c r="A163" s="159"/>
      <c r="B163" s="159"/>
      <c r="C163" s="159"/>
    </row>
    <row r="164" spans="1:3">
      <c r="A164" s="159"/>
      <c r="B164" s="159"/>
      <c r="C164" s="159"/>
    </row>
    <row r="165" spans="1:3">
      <c r="A165" s="159"/>
      <c r="B165" s="159"/>
      <c r="C165" s="159"/>
    </row>
    <row r="166" spans="1:3">
      <c r="A166" s="159"/>
      <c r="B166" s="159"/>
      <c r="C166" s="159"/>
    </row>
  </sheetData>
  <sheetProtection algorithmName="SHA-512" hashValue="WpCK9FF9TED9RrQVn1eLKpLXBehYnNZ8lJSYgxxVqEsya4iK/5kpCBmknkGchLVUhG+KHsHuNKsK1H1NEwueUg==" saltValue="tr9PeYTdtDUsCr+IzObsQQ==" spinCount="100000" sheet="1" selectLockedCells="1"/>
  <mergeCells count="6">
    <mergeCell ref="A3:E3"/>
    <mergeCell ref="F13:G13"/>
    <mergeCell ref="A151:A152"/>
    <mergeCell ref="A155:A156"/>
    <mergeCell ref="A146:C146"/>
    <mergeCell ref="A147:C147"/>
  </mergeCells>
  <phoneticPr fontId="18"/>
  <printOptions horizontalCentered="1"/>
  <pageMargins left="0.25" right="0.25" top="0.25" bottom="0.25" header="0.25" footer="0.5"/>
  <pageSetup paperSize="9" scale="87" orientation="portrait" r:id="rId1"/>
  <headerFooter alignWithMargins="0">
    <oddFooter>&amp;RPage &amp;P of &amp;N
&amp;D, &amp;T</oddFooter>
  </headerFooter>
  <rowBreaks count="2" manualBreakCount="2">
    <brk id="62" max="6" man="1"/>
    <brk id="120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Q230"/>
  <sheetViews>
    <sheetView zoomScale="80" zoomScaleNormal="80" workbookViewId="0">
      <selection activeCell="J61" sqref="J61"/>
    </sheetView>
  </sheetViews>
  <sheetFormatPr defaultRowHeight="14.4"/>
  <cols>
    <col min="1" max="1" width="35" bestFit="1" customWidth="1"/>
    <col min="3" max="3" width="11.44140625" customWidth="1"/>
    <col min="7" max="7" width="28" customWidth="1"/>
    <col min="8" max="8" width="24.33203125" customWidth="1"/>
    <col min="10" max="10" width="22.44140625" bestFit="1" customWidth="1"/>
    <col min="11" max="11" width="42" customWidth="1"/>
    <col min="13" max="13" width="35.33203125" customWidth="1"/>
    <col min="16" max="16" width="58.44140625" customWidth="1"/>
  </cols>
  <sheetData>
    <row r="1" spans="1:17">
      <c r="A1" s="133" t="s">
        <v>163</v>
      </c>
      <c r="B1" s="10">
        <v>2009</v>
      </c>
      <c r="C1" s="10" t="s">
        <v>17</v>
      </c>
      <c r="D1" s="10">
        <v>1</v>
      </c>
      <c r="E1" s="10">
        <v>1</v>
      </c>
      <c r="F1" t="s">
        <v>136</v>
      </c>
      <c r="J1" s="203" t="s">
        <v>333</v>
      </c>
      <c r="M1" s="133"/>
      <c r="N1" t="s">
        <v>654</v>
      </c>
      <c r="P1" s="133" t="s">
        <v>163</v>
      </c>
      <c r="Q1" t="s">
        <v>654</v>
      </c>
    </row>
    <row r="2" spans="1:17">
      <c r="A2" s="133" t="s">
        <v>164</v>
      </c>
      <c r="B2" s="10">
        <v>2010</v>
      </c>
      <c r="C2" s="10" t="s">
        <v>18</v>
      </c>
      <c r="D2" s="10">
        <v>2</v>
      </c>
      <c r="E2" s="10">
        <v>2</v>
      </c>
      <c r="F2" t="s">
        <v>137</v>
      </c>
      <c r="J2" s="206" t="s">
        <v>334</v>
      </c>
      <c r="M2" s="133"/>
      <c r="N2" t="s">
        <v>654</v>
      </c>
      <c r="P2" s="133" t="s">
        <v>164</v>
      </c>
    </row>
    <row r="3" spans="1:17" ht="15.6">
      <c r="A3" s="133" t="s">
        <v>165</v>
      </c>
      <c r="B3" s="10">
        <v>2011</v>
      </c>
      <c r="C3" s="10" t="s">
        <v>19</v>
      </c>
      <c r="D3" s="10">
        <v>3</v>
      </c>
      <c r="E3" s="10">
        <v>3</v>
      </c>
      <c r="G3" s="31" t="s">
        <v>144</v>
      </c>
      <c r="J3" s="206" t="s">
        <v>335</v>
      </c>
      <c r="M3" s="133"/>
      <c r="N3" t="s">
        <v>654</v>
      </c>
      <c r="P3" s="133" t="s">
        <v>165</v>
      </c>
    </row>
    <row r="4" spans="1:17">
      <c r="A4" s="133" t="s">
        <v>166</v>
      </c>
      <c r="B4" s="10">
        <v>2012</v>
      </c>
      <c r="C4" s="10" t="s">
        <v>20</v>
      </c>
      <c r="D4" s="10">
        <v>4</v>
      </c>
      <c r="E4" s="10">
        <v>4</v>
      </c>
      <c r="G4" s="123" t="s">
        <v>140</v>
      </c>
      <c r="H4" s="123" t="s">
        <v>661</v>
      </c>
      <c r="J4" s="206" t="s">
        <v>336</v>
      </c>
      <c r="M4" s="133"/>
      <c r="N4" t="s">
        <v>654</v>
      </c>
      <c r="P4" s="133" t="s">
        <v>166</v>
      </c>
    </row>
    <row r="5" spans="1:17">
      <c r="A5" s="133" t="s">
        <v>167</v>
      </c>
      <c r="B5" s="10">
        <v>2013</v>
      </c>
      <c r="C5" s="10" t="s">
        <v>67</v>
      </c>
      <c r="D5" s="10">
        <v>5</v>
      </c>
      <c r="E5" s="10">
        <v>5</v>
      </c>
      <c r="G5" s="123" t="s">
        <v>141</v>
      </c>
      <c r="H5" s="123">
        <v>1</v>
      </c>
      <c r="J5" s="206" t="s">
        <v>337</v>
      </c>
      <c r="M5" s="133"/>
      <c r="N5" t="s">
        <v>654</v>
      </c>
      <c r="P5" s="133" t="s">
        <v>167</v>
      </c>
    </row>
    <row r="6" spans="1:17">
      <c r="A6" s="133" t="s">
        <v>168</v>
      </c>
      <c r="B6" s="10">
        <v>2014</v>
      </c>
      <c r="C6" s="10" t="s">
        <v>21</v>
      </c>
      <c r="D6" s="10">
        <v>6</v>
      </c>
      <c r="E6" s="10">
        <v>6</v>
      </c>
      <c r="G6" s="123" t="s">
        <v>143</v>
      </c>
      <c r="H6" s="123" t="s">
        <v>60</v>
      </c>
      <c r="J6" s="206" t="s">
        <v>338</v>
      </c>
      <c r="M6" s="133"/>
      <c r="N6" t="s">
        <v>654</v>
      </c>
      <c r="P6" s="133" t="s">
        <v>168</v>
      </c>
    </row>
    <row r="7" spans="1:17">
      <c r="A7" s="133" t="s">
        <v>169</v>
      </c>
      <c r="B7" s="10">
        <v>2015</v>
      </c>
      <c r="C7" s="10" t="s">
        <v>16</v>
      </c>
      <c r="D7" s="10">
        <v>7</v>
      </c>
      <c r="E7" s="10">
        <v>7</v>
      </c>
      <c r="G7" s="123" t="s">
        <v>145</v>
      </c>
      <c r="H7" s="123" t="s">
        <v>664</v>
      </c>
      <c r="J7" s="207" t="s">
        <v>548</v>
      </c>
      <c r="M7" s="133"/>
      <c r="N7" t="s">
        <v>654</v>
      </c>
      <c r="P7" s="133" t="s">
        <v>169</v>
      </c>
    </row>
    <row r="8" spans="1:17">
      <c r="A8" s="203" t="s">
        <v>76</v>
      </c>
      <c r="B8" s="10">
        <v>2016</v>
      </c>
      <c r="C8" s="10" t="s">
        <v>22</v>
      </c>
      <c r="D8" s="10">
        <v>8</v>
      </c>
      <c r="E8" s="10">
        <v>8</v>
      </c>
      <c r="G8" s="123" t="s">
        <v>147</v>
      </c>
      <c r="H8" s="123" t="s">
        <v>379</v>
      </c>
      <c r="J8" s="207" t="s">
        <v>549</v>
      </c>
      <c r="M8" s="203"/>
      <c r="N8" s="203" t="s">
        <v>76</v>
      </c>
      <c r="P8" s="203" t="s">
        <v>76</v>
      </c>
    </row>
    <row r="9" spans="1:17">
      <c r="A9" s="203" t="s">
        <v>170</v>
      </c>
      <c r="B9" s="10">
        <v>2017</v>
      </c>
      <c r="C9" s="10" t="s">
        <v>23</v>
      </c>
      <c r="D9" s="10">
        <v>9</v>
      </c>
      <c r="E9" s="10">
        <v>9</v>
      </c>
      <c r="G9" s="123" t="s">
        <v>148</v>
      </c>
      <c r="H9" s="123" t="s">
        <v>662</v>
      </c>
      <c r="J9" s="206" t="s">
        <v>339</v>
      </c>
      <c r="M9" s="203"/>
      <c r="N9" s="203" t="s">
        <v>170</v>
      </c>
      <c r="P9" s="203" t="s">
        <v>170</v>
      </c>
    </row>
    <row r="10" spans="1:17">
      <c r="A10" s="133" t="s">
        <v>171</v>
      </c>
      <c r="B10" s="10">
        <v>2018</v>
      </c>
      <c r="C10" s="10" t="s">
        <v>24</v>
      </c>
      <c r="D10" s="10">
        <v>10</v>
      </c>
      <c r="E10" s="10">
        <v>10</v>
      </c>
      <c r="G10" s="123" t="s">
        <v>149</v>
      </c>
      <c r="H10" s="123" t="s">
        <v>663</v>
      </c>
      <c r="J10" s="206" t="s">
        <v>340</v>
      </c>
      <c r="M10" s="133"/>
      <c r="N10" t="s">
        <v>654</v>
      </c>
      <c r="P10" s="133" t="s">
        <v>171</v>
      </c>
    </row>
    <row r="11" spans="1:17">
      <c r="A11" s="203" t="s">
        <v>77</v>
      </c>
      <c r="B11" s="10">
        <v>2019</v>
      </c>
      <c r="C11" s="10" t="s">
        <v>25</v>
      </c>
      <c r="D11" s="10">
        <v>11</v>
      </c>
      <c r="E11" s="10">
        <v>11</v>
      </c>
      <c r="G11" s="123" t="s">
        <v>156</v>
      </c>
      <c r="H11" s="123" t="s">
        <v>666</v>
      </c>
      <c r="J11" s="206" t="s">
        <v>341</v>
      </c>
      <c r="M11" s="203"/>
      <c r="N11" s="203" t="s">
        <v>77</v>
      </c>
      <c r="P11" s="203" t="s">
        <v>77</v>
      </c>
    </row>
    <row r="12" spans="1:17">
      <c r="A12" s="203" t="s">
        <v>78</v>
      </c>
      <c r="B12" s="10">
        <v>2020</v>
      </c>
      <c r="C12" s="10" t="s">
        <v>26</v>
      </c>
      <c r="D12" s="10">
        <v>12</v>
      </c>
      <c r="E12" s="10">
        <v>12</v>
      </c>
      <c r="J12" s="207" t="s">
        <v>550</v>
      </c>
      <c r="M12" s="203"/>
      <c r="N12" s="203" t="s">
        <v>78</v>
      </c>
      <c r="P12" s="203" t="s">
        <v>78</v>
      </c>
    </row>
    <row r="13" spans="1:17">
      <c r="A13" s="203" t="s">
        <v>172</v>
      </c>
      <c r="B13" s="10">
        <v>2021</v>
      </c>
      <c r="C13" s="10"/>
      <c r="D13" s="10">
        <v>13</v>
      </c>
      <c r="E13" s="10">
        <v>13</v>
      </c>
      <c r="J13" s="207" t="s">
        <v>551</v>
      </c>
      <c r="M13" s="203"/>
      <c r="N13" s="203" t="s">
        <v>172</v>
      </c>
      <c r="P13" s="203" t="s">
        <v>172</v>
      </c>
    </row>
    <row r="14" spans="1:17">
      <c r="A14" s="133" t="s">
        <v>173</v>
      </c>
      <c r="B14" s="10">
        <v>2022</v>
      </c>
      <c r="C14" s="10"/>
      <c r="D14" s="10">
        <v>14</v>
      </c>
      <c r="E14" s="10">
        <v>14</v>
      </c>
      <c r="J14" s="206" t="s">
        <v>342</v>
      </c>
      <c r="M14" s="133"/>
      <c r="N14" t="s">
        <v>654</v>
      </c>
      <c r="P14" s="133" t="s">
        <v>173</v>
      </c>
    </row>
    <row r="15" spans="1:17">
      <c r="A15" s="203" t="s">
        <v>79</v>
      </c>
      <c r="B15" s="10">
        <v>2023</v>
      </c>
      <c r="C15" s="10"/>
      <c r="D15" s="10">
        <v>15</v>
      </c>
      <c r="E15" s="10">
        <v>15</v>
      </c>
      <c r="J15" s="206" t="s">
        <v>343</v>
      </c>
      <c r="M15" s="203"/>
      <c r="N15" s="203" t="s">
        <v>79</v>
      </c>
      <c r="P15" s="203" t="s">
        <v>79</v>
      </c>
    </row>
    <row r="16" spans="1:17">
      <c r="A16" s="203" t="s">
        <v>80</v>
      </c>
      <c r="B16" s="10">
        <v>2024</v>
      </c>
      <c r="C16" s="10"/>
      <c r="D16" s="10">
        <v>16</v>
      </c>
      <c r="E16" s="10">
        <v>16</v>
      </c>
      <c r="J16" s="206" t="s">
        <v>344</v>
      </c>
      <c r="M16" s="203"/>
      <c r="N16" s="203" t="s">
        <v>80</v>
      </c>
      <c r="P16" s="203" t="s">
        <v>80</v>
      </c>
    </row>
    <row r="17" spans="1:16">
      <c r="A17" s="133" t="s">
        <v>174</v>
      </c>
      <c r="B17" s="10">
        <v>2025</v>
      </c>
      <c r="C17" s="10"/>
      <c r="D17" s="10">
        <v>17</v>
      </c>
      <c r="E17" s="10">
        <v>17</v>
      </c>
      <c r="J17" s="206" t="s">
        <v>345</v>
      </c>
      <c r="M17" s="133"/>
      <c r="N17" t="s">
        <v>654</v>
      </c>
      <c r="P17" s="133" t="s">
        <v>174</v>
      </c>
    </row>
    <row r="18" spans="1:16">
      <c r="A18" s="203" t="s">
        <v>175</v>
      </c>
      <c r="B18" s="10">
        <v>2026</v>
      </c>
      <c r="C18" s="10"/>
      <c r="D18" s="10">
        <v>18</v>
      </c>
      <c r="E18" s="10">
        <v>18</v>
      </c>
      <c r="J18" s="206" t="s">
        <v>346</v>
      </c>
      <c r="M18" s="203"/>
      <c r="N18" s="203" t="s">
        <v>175</v>
      </c>
      <c r="P18" s="203" t="s">
        <v>175</v>
      </c>
    </row>
    <row r="19" spans="1:16">
      <c r="A19" s="203" t="s">
        <v>81</v>
      </c>
      <c r="B19" s="10">
        <v>2027</v>
      </c>
      <c r="C19" s="10"/>
      <c r="D19" s="10">
        <v>19</v>
      </c>
      <c r="E19" s="10">
        <v>19</v>
      </c>
      <c r="J19" s="206" t="s">
        <v>347</v>
      </c>
      <c r="M19" s="203"/>
      <c r="N19" s="203" t="s">
        <v>81</v>
      </c>
      <c r="P19" s="203" t="s">
        <v>81</v>
      </c>
    </row>
    <row r="20" spans="1:16">
      <c r="A20" s="133" t="s">
        <v>176</v>
      </c>
      <c r="B20" s="10">
        <v>2028</v>
      </c>
      <c r="C20" s="10"/>
      <c r="D20" s="10">
        <v>20</v>
      </c>
      <c r="E20" s="10">
        <v>20</v>
      </c>
      <c r="J20" s="206" t="s">
        <v>348</v>
      </c>
      <c r="M20" s="133"/>
      <c r="N20" t="s">
        <v>654</v>
      </c>
      <c r="P20" s="133" t="s">
        <v>176</v>
      </c>
    </row>
    <row r="21" spans="1:16">
      <c r="A21" s="133" t="s">
        <v>177</v>
      </c>
      <c r="B21" s="10"/>
      <c r="C21" s="10"/>
      <c r="D21" s="10">
        <v>21</v>
      </c>
      <c r="E21" s="10">
        <v>21</v>
      </c>
      <c r="J21" s="206" t="s">
        <v>349</v>
      </c>
      <c r="M21" s="133"/>
      <c r="N21" t="s">
        <v>654</v>
      </c>
      <c r="P21" s="133" t="s">
        <v>177</v>
      </c>
    </row>
    <row r="22" spans="1:16">
      <c r="A22" s="133" t="s">
        <v>178</v>
      </c>
      <c r="B22" s="10"/>
      <c r="C22" s="10"/>
      <c r="D22" s="10">
        <v>22</v>
      </c>
      <c r="E22" s="10">
        <v>22</v>
      </c>
      <c r="J22" s="206" t="s">
        <v>350</v>
      </c>
      <c r="M22" s="133"/>
      <c r="N22" t="s">
        <v>654</v>
      </c>
      <c r="P22" s="133" t="s">
        <v>178</v>
      </c>
    </row>
    <row r="23" spans="1:16">
      <c r="A23" s="133" t="s">
        <v>179</v>
      </c>
      <c r="B23" s="10"/>
      <c r="C23" s="10"/>
      <c r="D23" s="10">
        <v>23</v>
      </c>
      <c r="E23" s="10">
        <v>23</v>
      </c>
      <c r="J23" s="207" t="s">
        <v>552</v>
      </c>
      <c r="M23" s="133"/>
      <c r="N23" t="s">
        <v>654</v>
      </c>
      <c r="P23" s="133" t="s">
        <v>179</v>
      </c>
    </row>
    <row r="24" spans="1:16">
      <c r="A24" s="133" t="s">
        <v>180</v>
      </c>
      <c r="B24" s="10"/>
      <c r="C24" s="10"/>
      <c r="D24" s="10">
        <v>24</v>
      </c>
      <c r="E24" s="10">
        <v>24</v>
      </c>
      <c r="J24" s="206" t="s">
        <v>351</v>
      </c>
      <c r="M24" s="133"/>
      <c r="N24" t="s">
        <v>654</v>
      </c>
      <c r="P24" s="133" t="s">
        <v>180</v>
      </c>
    </row>
    <row r="25" spans="1:16">
      <c r="A25" s="133" t="s">
        <v>181</v>
      </c>
      <c r="B25" s="10"/>
      <c r="C25" s="10"/>
      <c r="D25" s="10">
        <v>25</v>
      </c>
      <c r="E25" s="10">
        <v>25</v>
      </c>
      <c r="J25" s="207" t="s">
        <v>553</v>
      </c>
      <c r="M25" s="133"/>
      <c r="N25" t="s">
        <v>654</v>
      </c>
      <c r="P25" s="133" t="s">
        <v>181</v>
      </c>
    </row>
    <row r="26" spans="1:16">
      <c r="A26" s="133" t="s">
        <v>182</v>
      </c>
      <c r="B26" s="10"/>
      <c r="C26" s="10"/>
      <c r="D26" s="10">
        <v>26</v>
      </c>
      <c r="J26" s="207" t="s">
        <v>554</v>
      </c>
      <c r="M26" s="133"/>
      <c r="N26" t="s">
        <v>654</v>
      </c>
      <c r="P26" s="133" t="s">
        <v>182</v>
      </c>
    </row>
    <row r="27" spans="1:16">
      <c r="A27" s="133" t="s">
        <v>183</v>
      </c>
      <c r="B27" s="10"/>
      <c r="C27" s="10"/>
      <c r="D27" s="10">
        <v>27</v>
      </c>
      <c r="J27" s="206" t="s">
        <v>352</v>
      </c>
      <c r="M27" s="133"/>
      <c r="N27" t="s">
        <v>654</v>
      </c>
      <c r="P27" s="133" t="s">
        <v>183</v>
      </c>
    </row>
    <row r="28" spans="1:16">
      <c r="A28" s="203" t="s">
        <v>82</v>
      </c>
      <c r="B28" s="10"/>
      <c r="C28" s="10"/>
      <c r="D28" s="10">
        <v>28</v>
      </c>
      <c r="J28" s="206" t="s">
        <v>353</v>
      </c>
      <c r="M28" s="203"/>
      <c r="N28" s="203" t="s">
        <v>82</v>
      </c>
      <c r="P28" s="203" t="s">
        <v>82</v>
      </c>
    </row>
    <row r="29" spans="1:16">
      <c r="A29" s="203" t="s">
        <v>184</v>
      </c>
      <c r="B29" s="10"/>
      <c r="C29" s="10"/>
      <c r="D29" s="10">
        <v>29</v>
      </c>
      <c r="J29" s="206" t="s">
        <v>354</v>
      </c>
      <c r="M29" s="203"/>
      <c r="N29" s="203" t="s">
        <v>184</v>
      </c>
      <c r="P29" s="203" t="s">
        <v>184</v>
      </c>
    </row>
    <row r="30" spans="1:16">
      <c r="A30" s="133" t="s">
        <v>185</v>
      </c>
      <c r="B30" s="10"/>
      <c r="C30" s="10"/>
      <c r="D30" s="10">
        <v>30</v>
      </c>
      <c r="J30" s="206" t="s">
        <v>355</v>
      </c>
      <c r="M30" s="133"/>
      <c r="N30" t="s">
        <v>654</v>
      </c>
      <c r="P30" s="133" t="s">
        <v>185</v>
      </c>
    </row>
    <row r="31" spans="1:16">
      <c r="A31" s="133" t="s">
        <v>186</v>
      </c>
      <c r="B31" s="10"/>
      <c r="C31" s="10"/>
      <c r="D31" s="10">
        <v>31</v>
      </c>
      <c r="J31" s="206" t="s">
        <v>356</v>
      </c>
      <c r="M31" s="133"/>
      <c r="N31" t="s">
        <v>654</v>
      </c>
      <c r="P31" s="133" t="s">
        <v>186</v>
      </c>
    </row>
    <row r="32" spans="1:16">
      <c r="A32" s="133" t="s">
        <v>187</v>
      </c>
      <c r="B32" s="10"/>
      <c r="C32" s="10"/>
      <c r="D32" s="10"/>
      <c r="J32" s="206" t="s">
        <v>357</v>
      </c>
      <c r="M32" s="133"/>
      <c r="N32" t="s">
        <v>654</v>
      </c>
      <c r="P32" s="133" t="s">
        <v>187</v>
      </c>
    </row>
    <row r="33" spans="1:17">
      <c r="A33" s="203" t="s">
        <v>83</v>
      </c>
      <c r="B33" s="10"/>
      <c r="C33" s="10"/>
      <c r="D33" s="10"/>
      <c r="J33" s="206" t="s">
        <v>358</v>
      </c>
      <c r="M33" s="203"/>
      <c r="N33" s="203" t="s">
        <v>83</v>
      </c>
      <c r="P33" s="203" t="s">
        <v>83</v>
      </c>
    </row>
    <row r="34" spans="1:17">
      <c r="A34" s="133" t="s">
        <v>188</v>
      </c>
      <c r="B34" s="10"/>
      <c r="C34" s="10"/>
      <c r="D34" s="10"/>
      <c r="J34" s="207" t="s">
        <v>555</v>
      </c>
      <c r="M34" s="133"/>
      <c r="N34" t="s">
        <v>654</v>
      </c>
      <c r="P34" s="133" t="s">
        <v>188</v>
      </c>
    </row>
    <row r="35" spans="1:17">
      <c r="A35" s="203" t="s">
        <v>84</v>
      </c>
      <c r="B35" s="10"/>
      <c r="C35" s="10"/>
      <c r="D35" s="10"/>
      <c r="J35" s="206" t="s">
        <v>359</v>
      </c>
      <c r="M35" s="203"/>
      <c r="N35" s="203" t="s">
        <v>84</v>
      </c>
      <c r="P35" s="203" t="s">
        <v>84</v>
      </c>
      <c r="Q35" s="282" t="s">
        <v>657</v>
      </c>
    </row>
    <row r="36" spans="1:17">
      <c r="A36" s="133" t="s">
        <v>189</v>
      </c>
      <c r="B36" s="10"/>
      <c r="C36" s="10"/>
      <c r="D36" s="10"/>
      <c r="J36" s="207" t="s">
        <v>556</v>
      </c>
      <c r="M36" s="133"/>
      <c r="N36" t="s">
        <v>654</v>
      </c>
      <c r="P36" s="133" t="s">
        <v>189</v>
      </c>
    </row>
    <row r="37" spans="1:17">
      <c r="A37" s="133" t="s">
        <v>190</v>
      </c>
      <c r="B37" s="10"/>
      <c r="C37" s="10"/>
      <c r="D37" s="10"/>
      <c r="J37" s="207" t="s">
        <v>557</v>
      </c>
      <c r="M37" s="133"/>
      <c r="N37" t="s">
        <v>654</v>
      </c>
      <c r="P37" s="133" t="s">
        <v>190</v>
      </c>
      <c r="Q37" s="282" t="s">
        <v>655</v>
      </c>
    </row>
    <row r="38" spans="1:17">
      <c r="A38" s="133" t="s">
        <v>191</v>
      </c>
      <c r="B38" s="10"/>
      <c r="C38" s="10"/>
      <c r="D38" s="10"/>
      <c r="J38" s="207" t="s">
        <v>558</v>
      </c>
      <c r="M38" s="133"/>
      <c r="N38" t="s">
        <v>654</v>
      </c>
      <c r="P38" s="133" t="s">
        <v>191</v>
      </c>
    </row>
    <row r="39" spans="1:17">
      <c r="A39" s="133" t="s">
        <v>192</v>
      </c>
      <c r="B39" s="10"/>
      <c r="C39" s="10"/>
      <c r="D39" s="10"/>
      <c r="J39" s="206" t="s">
        <v>360</v>
      </c>
      <c r="M39" s="133"/>
      <c r="N39" t="s">
        <v>654</v>
      </c>
      <c r="P39" s="133" t="s">
        <v>192</v>
      </c>
      <c r="Q39" s="282" t="s">
        <v>658</v>
      </c>
    </row>
    <row r="40" spans="1:17">
      <c r="A40" s="133" t="s">
        <v>85</v>
      </c>
      <c r="B40" s="10"/>
      <c r="C40" s="10"/>
      <c r="D40" s="10"/>
      <c r="J40" s="206" t="s">
        <v>361</v>
      </c>
      <c r="M40" s="133"/>
      <c r="N40" t="s">
        <v>654</v>
      </c>
      <c r="P40" s="133" t="s">
        <v>85</v>
      </c>
    </row>
    <row r="41" spans="1:17">
      <c r="A41" s="203" t="s">
        <v>193</v>
      </c>
      <c r="B41" s="10"/>
      <c r="C41" s="10"/>
      <c r="D41" s="10"/>
      <c r="J41" s="206" t="s">
        <v>638</v>
      </c>
      <c r="M41" s="203"/>
      <c r="N41" s="203" t="s">
        <v>193</v>
      </c>
      <c r="P41" s="203" t="s">
        <v>193</v>
      </c>
    </row>
    <row r="42" spans="1:17">
      <c r="A42" s="203" t="s">
        <v>528</v>
      </c>
      <c r="B42" s="10"/>
      <c r="C42" s="10"/>
      <c r="D42" s="10"/>
      <c r="J42" s="208" t="s">
        <v>362</v>
      </c>
      <c r="M42" s="203"/>
      <c r="N42" s="203" t="s">
        <v>528</v>
      </c>
      <c r="P42" s="203" t="s">
        <v>528</v>
      </c>
    </row>
    <row r="43" spans="1:17">
      <c r="A43" s="203" t="s">
        <v>86</v>
      </c>
      <c r="B43" s="10"/>
      <c r="C43" s="10"/>
      <c r="D43" s="10"/>
      <c r="J43" s="208" t="s">
        <v>545</v>
      </c>
      <c r="M43" s="203"/>
      <c r="N43" s="203" t="s">
        <v>86</v>
      </c>
      <c r="P43" s="203" t="s">
        <v>86</v>
      </c>
    </row>
    <row r="44" spans="1:17">
      <c r="A44" s="133" t="s">
        <v>194</v>
      </c>
      <c r="B44" s="10"/>
      <c r="C44" s="10"/>
      <c r="D44" s="10"/>
      <c r="J44" s="206" t="s">
        <v>363</v>
      </c>
      <c r="M44" s="133"/>
      <c r="N44" t="s">
        <v>654</v>
      </c>
      <c r="P44" s="133" t="s">
        <v>194</v>
      </c>
    </row>
    <row r="45" spans="1:17">
      <c r="A45" s="133" t="s">
        <v>195</v>
      </c>
      <c r="B45" s="10"/>
      <c r="C45" s="10"/>
      <c r="D45" s="10"/>
      <c r="J45" s="207" t="s">
        <v>559</v>
      </c>
      <c r="M45" s="133"/>
      <c r="N45" t="s">
        <v>654</v>
      </c>
      <c r="P45" s="133" t="s">
        <v>195</v>
      </c>
    </row>
    <row r="46" spans="1:17">
      <c r="A46" s="133" t="s">
        <v>196</v>
      </c>
      <c r="B46" s="10"/>
      <c r="C46" s="10"/>
      <c r="D46" s="10"/>
      <c r="J46" s="206" t="s">
        <v>364</v>
      </c>
      <c r="M46" s="133"/>
      <c r="N46" t="s">
        <v>654</v>
      </c>
      <c r="P46" s="133" t="s">
        <v>196</v>
      </c>
    </row>
    <row r="47" spans="1:17">
      <c r="A47" s="133" t="s">
        <v>197</v>
      </c>
      <c r="B47" s="10"/>
      <c r="C47" s="10"/>
      <c r="D47" s="10"/>
      <c r="J47" s="206" t="s">
        <v>365</v>
      </c>
      <c r="M47" s="133"/>
      <c r="N47" t="s">
        <v>654</v>
      </c>
      <c r="P47" s="133" t="s">
        <v>197</v>
      </c>
    </row>
    <row r="48" spans="1:17">
      <c r="A48" s="133" t="s">
        <v>198</v>
      </c>
      <c r="B48" s="10"/>
      <c r="C48" s="10"/>
      <c r="D48" s="10"/>
      <c r="J48" s="207" t="s">
        <v>560</v>
      </c>
      <c r="M48" s="133"/>
      <c r="N48" t="s">
        <v>654</v>
      </c>
      <c r="P48" s="133" t="s">
        <v>198</v>
      </c>
    </row>
    <row r="49" spans="1:16">
      <c r="A49" s="133" t="s">
        <v>199</v>
      </c>
      <c r="B49" s="10"/>
      <c r="C49" s="10"/>
      <c r="D49" s="10"/>
      <c r="J49" s="206" t="s">
        <v>366</v>
      </c>
      <c r="M49" s="133"/>
      <c r="N49" t="s">
        <v>654</v>
      </c>
      <c r="P49" s="133" t="s">
        <v>199</v>
      </c>
    </row>
    <row r="50" spans="1:16">
      <c r="A50" s="133" t="s">
        <v>200</v>
      </c>
      <c r="B50" s="10"/>
      <c r="C50" s="10"/>
      <c r="D50" s="10"/>
      <c r="J50" s="206" t="s">
        <v>367</v>
      </c>
      <c r="M50" s="133"/>
      <c r="N50" t="s">
        <v>654</v>
      </c>
      <c r="P50" s="133" t="s">
        <v>200</v>
      </c>
    </row>
    <row r="51" spans="1:16">
      <c r="A51" s="133" t="s">
        <v>201</v>
      </c>
      <c r="B51" s="10"/>
      <c r="C51" s="10"/>
      <c r="D51" s="10"/>
      <c r="J51" s="206" t="s">
        <v>368</v>
      </c>
      <c r="M51" s="133"/>
      <c r="N51" t="s">
        <v>654</v>
      </c>
      <c r="P51" s="133" t="s">
        <v>201</v>
      </c>
    </row>
    <row r="52" spans="1:16">
      <c r="A52" s="133" t="s">
        <v>202</v>
      </c>
      <c r="B52" s="10"/>
      <c r="C52" s="10"/>
      <c r="D52" s="10"/>
      <c r="J52" s="207" t="s">
        <v>561</v>
      </c>
      <c r="M52" s="133"/>
      <c r="N52" t="s">
        <v>654</v>
      </c>
      <c r="P52" s="133" t="s">
        <v>202</v>
      </c>
    </row>
    <row r="53" spans="1:16">
      <c r="A53" s="133" t="s">
        <v>203</v>
      </c>
      <c r="B53" s="10"/>
      <c r="C53" s="10"/>
      <c r="D53" s="10"/>
      <c r="J53" s="206" t="s">
        <v>369</v>
      </c>
      <c r="M53" s="133"/>
      <c r="N53" t="s">
        <v>654</v>
      </c>
      <c r="P53" s="133" t="s">
        <v>203</v>
      </c>
    </row>
    <row r="54" spans="1:16">
      <c r="A54" s="203" t="s">
        <v>87</v>
      </c>
      <c r="B54" s="10"/>
      <c r="C54" s="10"/>
      <c r="D54" s="10"/>
      <c r="J54" s="207" t="s">
        <v>562</v>
      </c>
      <c r="M54" s="203"/>
      <c r="N54" s="203" t="s">
        <v>87</v>
      </c>
      <c r="P54" s="203" t="s">
        <v>87</v>
      </c>
    </row>
    <row r="55" spans="1:16">
      <c r="A55" s="133" t="s">
        <v>204</v>
      </c>
      <c r="B55" s="10"/>
      <c r="C55" s="10"/>
      <c r="D55" s="10"/>
      <c r="J55" s="206" t="s">
        <v>370</v>
      </c>
      <c r="M55" s="133"/>
      <c r="N55" t="s">
        <v>654</v>
      </c>
      <c r="P55" s="133" t="s">
        <v>204</v>
      </c>
    </row>
    <row r="56" spans="1:16">
      <c r="A56" s="133" t="s">
        <v>205</v>
      </c>
      <c r="B56" s="10"/>
      <c r="C56" s="10"/>
      <c r="D56" s="10"/>
      <c r="J56" s="206" t="s">
        <v>371</v>
      </c>
      <c r="M56" s="133"/>
      <c r="N56" t="s">
        <v>654</v>
      </c>
      <c r="P56" s="133" t="s">
        <v>205</v>
      </c>
    </row>
    <row r="57" spans="1:16">
      <c r="A57" s="133" t="s">
        <v>206</v>
      </c>
      <c r="B57" s="10"/>
      <c r="C57" s="10"/>
      <c r="D57" s="10"/>
      <c r="J57" s="206" t="s">
        <v>372</v>
      </c>
      <c r="M57" s="133"/>
      <c r="N57" t="s">
        <v>654</v>
      </c>
      <c r="P57" s="133" t="s">
        <v>206</v>
      </c>
    </row>
    <row r="58" spans="1:16">
      <c r="A58" s="133" t="s">
        <v>207</v>
      </c>
      <c r="B58" s="10"/>
      <c r="C58" s="10"/>
      <c r="D58" s="10"/>
      <c r="J58" s="206" t="s">
        <v>373</v>
      </c>
      <c r="M58" s="133"/>
      <c r="N58" t="s">
        <v>654</v>
      </c>
      <c r="P58" s="133" t="s">
        <v>207</v>
      </c>
    </row>
    <row r="59" spans="1:16">
      <c r="A59" s="133" t="s">
        <v>208</v>
      </c>
      <c r="B59" s="10"/>
      <c r="C59" s="10"/>
      <c r="D59" s="10"/>
      <c r="J59" s="206" t="s">
        <v>374</v>
      </c>
      <c r="M59" s="133"/>
      <c r="N59" t="s">
        <v>654</v>
      </c>
      <c r="P59" s="133" t="s">
        <v>208</v>
      </c>
    </row>
    <row r="60" spans="1:16">
      <c r="A60" s="203" t="s">
        <v>88</v>
      </c>
      <c r="B60" s="10"/>
      <c r="C60" s="10"/>
      <c r="D60" s="10"/>
      <c r="J60" s="207" t="s">
        <v>563</v>
      </c>
      <c r="M60" s="203"/>
      <c r="N60" s="203" t="s">
        <v>88</v>
      </c>
      <c r="P60" s="203" t="s">
        <v>88</v>
      </c>
    </row>
    <row r="61" spans="1:16">
      <c r="A61" s="133" t="s">
        <v>209</v>
      </c>
      <c r="B61" s="10"/>
      <c r="C61" s="10"/>
      <c r="D61" s="10"/>
      <c r="J61" s="207" t="s">
        <v>564</v>
      </c>
      <c r="M61" s="133"/>
      <c r="N61" t="s">
        <v>654</v>
      </c>
      <c r="P61" s="133" t="s">
        <v>209</v>
      </c>
    </row>
    <row r="62" spans="1:16">
      <c r="A62" s="133" t="s">
        <v>210</v>
      </c>
      <c r="B62" s="10"/>
      <c r="C62" s="10"/>
      <c r="D62" s="10"/>
      <c r="J62" s="206" t="s">
        <v>375</v>
      </c>
      <c r="M62" s="133"/>
      <c r="N62" t="s">
        <v>654</v>
      </c>
      <c r="P62" s="133" t="s">
        <v>210</v>
      </c>
    </row>
    <row r="63" spans="1:16">
      <c r="A63" s="133" t="s">
        <v>211</v>
      </c>
      <c r="B63" s="10"/>
      <c r="C63" s="10"/>
      <c r="D63" s="10"/>
      <c r="J63" s="207" t="s">
        <v>565</v>
      </c>
      <c r="M63" s="133"/>
      <c r="N63" t="s">
        <v>654</v>
      </c>
      <c r="P63" s="133" t="s">
        <v>211</v>
      </c>
    </row>
    <row r="64" spans="1:16">
      <c r="A64" s="203" t="s">
        <v>212</v>
      </c>
      <c r="B64" s="10"/>
      <c r="C64" s="10"/>
      <c r="D64" s="10"/>
      <c r="J64" s="206" t="s">
        <v>659</v>
      </c>
      <c r="M64" s="203"/>
      <c r="N64" s="203" t="s">
        <v>212</v>
      </c>
      <c r="P64" s="203" t="s">
        <v>212</v>
      </c>
    </row>
    <row r="65" spans="1:16">
      <c r="A65" s="133" t="s">
        <v>213</v>
      </c>
      <c r="B65" s="10"/>
      <c r="C65" s="10"/>
      <c r="D65" s="10"/>
      <c r="J65" s="206" t="s">
        <v>660</v>
      </c>
      <c r="M65" s="133"/>
      <c r="N65" t="s">
        <v>654</v>
      </c>
      <c r="P65" s="133" t="s">
        <v>213</v>
      </c>
    </row>
    <row r="66" spans="1:16">
      <c r="A66" s="133" t="s">
        <v>214</v>
      </c>
      <c r="B66" s="10"/>
      <c r="C66" s="10"/>
      <c r="D66" s="10"/>
      <c r="J66" s="207" t="s">
        <v>566</v>
      </c>
      <c r="M66" s="133"/>
      <c r="N66" t="s">
        <v>654</v>
      </c>
      <c r="P66" s="133" t="s">
        <v>214</v>
      </c>
    </row>
    <row r="67" spans="1:16">
      <c r="A67" s="203" t="s">
        <v>89</v>
      </c>
      <c r="B67" s="10"/>
      <c r="C67" s="10"/>
      <c r="D67" s="10"/>
      <c r="J67" s="207" t="s">
        <v>567</v>
      </c>
      <c r="M67" s="203"/>
      <c r="N67" s="203" t="s">
        <v>89</v>
      </c>
      <c r="P67" s="203" t="s">
        <v>89</v>
      </c>
    </row>
    <row r="68" spans="1:16">
      <c r="A68" s="203" t="s">
        <v>90</v>
      </c>
      <c r="B68" s="10"/>
      <c r="C68" s="10"/>
      <c r="D68" s="10"/>
      <c r="J68" s="207" t="s">
        <v>568</v>
      </c>
      <c r="M68" s="203"/>
      <c r="N68" s="203" t="s">
        <v>90</v>
      </c>
      <c r="P68" s="203" t="s">
        <v>90</v>
      </c>
    </row>
    <row r="69" spans="1:16">
      <c r="A69" s="133" t="s">
        <v>215</v>
      </c>
      <c r="B69" s="10"/>
      <c r="C69" s="10"/>
      <c r="D69" s="10"/>
      <c r="J69" s="207" t="s">
        <v>569</v>
      </c>
      <c r="M69" s="133"/>
      <c r="N69" t="s">
        <v>654</v>
      </c>
      <c r="P69" s="133" t="s">
        <v>215</v>
      </c>
    </row>
    <row r="70" spans="1:16">
      <c r="A70" s="133" t="s">
        <v>216</v>
      </c>
      <c r="B70" s="10"/>
      <c r="C70" s="10"/>
      <c r="D70" s="10"/>
      <c r="J70" s="207" t="s">
        <v>570</v>
      </c>
      <c r="M70" s="133"/>
      <c r="N70" t="s">
        <v>654</v>
      </c>
      <c r="P70" s="133" t="s">
        <v>216</v>
      </c>
    </row>
    <row r="71" spans="1:16">
      <c r="A71" s="133" t="s">
        <v>217</v>
      </c>
      <c r="B71" s="10"/>
      <c r="C71" s="10"/>
      <c r="D71" s="10"/>
      <c r="J71" s="207" t="s">
        <v>571</v>
      </c>
      <c r="M71" s="133"/>
      <c r="N71" t="s">
        <v>654</v>
      </c>
      <c r="P71" s="133" t="s">
        <v>217</v>
      </c>
    </row>
    <row r="72" spans="1:16">
      <c r="A72" s="203" t="s">
        <v>218</v>
      </c>
      <c r="B72" s="10"/>
      <c r="C72" s="10"/>
      <c r="D72" s="10"/>
      <c r="J72" s="206" t="s">
        <v>376</v>
      </c>
      <c r="M72" s="203"/>
      <c r="N72" s="203" t="s">
        <v>218</v>
      </c>
      <c r="P72" s="203" t="s">
        <v>218</v>
      </c>
    </row>
    <row r="73" spans="1:16">
      <c r="A73" s="203" t="s">
        <v>91</v>
      </c>
      <c r="B73" s="10"/>
      <c r="C73" s="10"/>
      <c r="D73" s="10"/>
      <c r="J73" s="206" t="s">
        <v>377</v>
      </c>
      <c r="M73" s="203"/>
      <c r="N73" s="203" t="s">
        <v>91</v>
      </c>
      <c r="P73" s="203" t="s">
        <v>91</v>
      </c>
    </row>
    <row r="74" spans="1:16">
      <c r="A74" s="133" t="s">
        <v>219</v>
      </c>
      <c r="B74" s="10"/>
      <c r="C74" s="10"/>
      <c r="D74" s="10"/>
      <c r="J74" s="206" t="s">
        <v>378</v>
      </c>
      <c r="M74" s="133"/>
      <c r="N74" t="s">
        <v>654</v>
      </c>
      <c r="P74" s="133" t="s">
        <v>219</v>
      </c>
    </row>
    <row r="75" spans="1:16">
      <c r="A75" s="133" t="s">
        <v>220</v>
      </c>
      <c r="B75" s="10"/>
      <c r="C75" s="10"/>
      <c r="D75" s="10"/>
      <c r="J75" s="206" t="s">
        <v>379</v>
      </c>
      <c r="M75" s="133"/>
      <c r="N75" t="s">
        <v>654</v>
      </c>
      <c r="P75" s="133" t="s">
        <v>220</v>
      </c>
    </row>
    <row r="76" spans="1:16">
      <c r="A76" s="203" t="s">
        <v>92</v>
      </c>
      <c r="B76" s="10"/>
      <c r="C76" s="10"/>
      <c r="D76" s="10"/>
      <c r="J76" s="206" t="s">
        <v>380</v>
      </c>
      <c r="M76" s="203"/>
      <c r="N76" s="203" t="s">
        <v>92</v>
      </c>
      <c r="P76" s="203" t="s">
        <v>92</v>
      </c>
    </row>
    <row r="77" spans="1:16">
      <c r="A77" s="133" t="s">
        <v>221</v>
      </c>
      <c r="B77" s="10"/>
      <c r="C77" s="10"/>
      <c r="D77" s="10"/>
      <c r="J77" s="206" t="s">
        <v>381</v>
      </c>
      <c r="M77" s="133"/>
      <c r="N77" s="133" t="s">
        <v>221</v>
      </c>
      <c r="P77" s="133" t="s">
        <v>221</v>
      </c>
    </row>
    <row r="78" spans="1:16">
      <c r="A78" s="133" t="s">
        <v>222</v>
      </c>
      <c r="B78" s="10"/>
      <c r="C78" s="10"/>
      <c r="D78" s="10"/>
      <c r="J78" s="207" t="s">
        <v>572</v>
      </c>
      <c r="M78" s="133"/>
      <c r="N78" t="s">
        <v>654</v>
      </c>
      <c r="P78" s="133" t="s">
        <v>222</v>
      </c>
    </row>
    <row r="79" spans="1:16">
      <c r="A79" s="133" t="s">
        <v>223</v>
      </c>
      <c r="B79" s="10"/>
      <c r="C79" s="10"/>
      <c r="D79" s="10"/>
      <c r="J79" s="207" t="s">
        <v>573</v>
      </c>
      <c r="M79" s="133"/>
      <c r="N79" t="s">
        <v>654</v>
      </c>
      <c r="P79" s="133" t="s">
        <v>223</v>
      </c>
    </row>
    <row r="80" spans="1:16">
      <c r="A80" s="203" t="s">
        <v>93</v>
      </c>
      <c r="B80" s="10"/>
      <c r="C80" s="10"/>
      <c r="D80" s="10"/>
      <c r="J80" s="207" t="s">
        <v>593</v>
      </c>
      <c r="M80" s="203"/>
      <c r="N80" s="203" t="s">
        <v>93</v>
      </c>
      <c r="P80" s="203" t="s">
        <v>93</v>
      </c>
    </row>
    <row r="81" spans="1:16">
      <c r="A81" s="133" t="s">
        <v>224</v>
      </c>
      <c r="B81" s="10"/>
      <c r="C81" s="10"/>
      <c r="D81" s="10"/>
      <c r="J81" s="206" t="s">
        <v>382</v>
      </c>
      <c r="M81" s="133"/>
      <c r="N81" t="s">
        <v>654</v>
      </c>
      <c r="P81" s="133" t="s">
        <v>224</v>
      </c>
    </row>
    <row r="82" spans="1:16">
      <c r="A82" s="133" t="s">
        <v>225</v>
      </c>
      <c r="B82" s="10"/>
      <c r="C82" s="10"/>
      <c r="D82" s="10"/>
      <c r="J82" s="206" t="s">
        <v>383</v>
      </c>
      <c r="M82" s="133"/>
      <c r="N82" t="s">
        <v>654</v>
      </c>
      <c r="P82" s="133" t="s">
        <v>225</v>
      </c>
    </row>
    <row r="83" spans="1:16">
      <c r="A83" s="133" t="s">
        <v>226</v>
      </c>
      <c r="B83" s="10"/>
      <c r="C83" s="10"/>
      <c r="D83" s="10"/>
      <c r="J83" s="206" t="s">
        <v>384</v>
      </c>
      <c r="M83" s="133"/>
      <c r="N83" t="s">
        <v>654</v>
      </c>
      <c r="P83" s="133" t="s">
        <v>226</v>
      </c>
    </row>
    <row r="84" spans="1:16">
      <c r="A84" s="133" t="s">
        <v>227</v>
      </c>
      <c r="B84" s="10"/>
      <c r="C84" s="10"/>
      <c r="D84" s="10"/>
      <c r="J84" s="206" t="s">
        <v>385</v>
      </c>
      <c r="M84" s="133"/>
      <c r="N84" t="s">
        <v>654</v>
      </c>
      <c r="P84" s="133" t="s">
        <v>227</v>
      </c>
    </row>
    <row r="85" spans="1:16">
      <c r="A85" s="133" t="s">
        <v>228</v>
      </c>
      <c r="B85" s="10"/>
      <c r="C85" s="10"/>
      <c r="D85" s="10"/>
      <c r="J85" s="206" t="s">
        <v>386</v>
      </c>
      <c r="M85" s="133"/>
      <c r="N85" t="s">
        <v>654</v>
      </c>
      <c r="P85" s="133" t="s">
        <v>228</v>
      </c>
    </row>
    <row r="86" spans="1:16">
      <c r="A86" s="133" t="s">
        <v>229</v>
      </c>
      <c r="B86" s="10"/>
      <c r="C86" s="10"/>
      <c r="D86" s="10"/>
      <c r="J86" s="206" t="s">
        <v>387</v>
      </c>
      <c r="M86" s="133"/>
      <c r="N86" t="s">
        <v>654</v>
      </c>
      <c r="P86" s="133" t="s">
        <v>229</v>
      </c>
    </row>
    <row r="87" spans="1:16">
      <c r="A87" s="203" t="s">
        <v>94</v>
      </c>
      <c r="B87" s="10"/>
      <c r="C87" s="10"/>
      <c r="D87" s="10"/>
      <c r="J87" s="206" t="s">
        <v>388</v>
      </c>
      <c r="M87" s="203"/>
      <c r="N87" s="203" t="s">
        <v>94</v>
      </c>
      <c r="P87" s="203" t="s">
        <v>94</v>
      </c>
    </row>
    <row r="88" spans="1:16">
      <c r="A88" s="133" t="s">
        <v>230</v>
      </c>
      <c r="B88" s="10"/>
      <c r="C88" s="10"/>
      <c r="D88" s="10"/>
      <c r="J88" s="207" t="s">
        <v>574</v>
      </c>
      <c r="M88" s="133"/>
      <c r="N88" t="s">
        <v>654</v>
      </c>
      <c r="P88" s="133" t="s">
        <v>230</v>
      </c>
    </row>
    <row r="89" spans="1:16">
      <c r="A89" s="133" t="s">
        <v>231</v>
      </c>
      <c r="B89" s="10"/>
      <c r="C89" s="10"/>
      <c r="D89" s="10"/>
      <c r="J89" s="206" t="s">
        <v>389</v>
      </c>
      <c r="M89" s="133"/>
      <c r="N89" t="s">
        <v>654</v>
      </c>
      <c r="P89" s="133" t="s">
        <v>231</v>
      </c>
    </row>
    <row r="90" spans="1:16">
      <c r="A90" s="203" t="s">
        <v>95</v>
      </c>
      <c r="B90" s="10"/>
      <c r="C90" s="10"/>
      <c r="D90" s="10"/>
      <c r="J90" s="207" t="s">
        <v>575</v>
      </c>
      <c r="M90" s="203"/>
      <c r="N90" s="203" t="s">
        <v>95</v>
      </c>
      <c r="P90" s="203" t="s">
        <v>95</v>
      </c>
    </row>
    <row r="91" spans="1:16">
      <c r="A91" s="203" t="s">
        <v>96</v>
      </c>
      <c r="B91" s="10"/>
      <c r="C91" s="10"/>
      <c r="D91" s="10"/>
      <c r="J91" s="206" t="s">
        <v>390</v>
      </c>
      <c r="M91" s="203"/>
      <c r="N91" s="203" t="s">
        <v>96</v>
      </c>
      <c r="P91" s="203" t="s">
        <v>96</v>
      </c>
    </row>
    <row r="92" spans="1:16">
      <c r="A92" s="203" t="s">
        <v>97</v>
      </c>
      <c r="B92" s="10"/>
      <c r="C92" s="10"/>
      <c r="D92" s="10"/>
      <c r="J92" s="206" t="s">
        <v>391</v>
      </c>
      <c r="M92" s="203"/>
      <c r="N92" s="203" t="s">
        <v>97</v>
      </c>
      <c r="P92" s="203" t="s">
        <v>97</v>
      </c>
    </row>
    <row r="93" spans="1:16">
      <c r="A93" s="133" t="s">
        <v>232</v>
      </c>
      <c r="B93" s="10"/>
      <c r="C93" s="10"/>
      <c r="D93" s="10"/>
      <c r="J93" s="206" t="s">
        <v>392</v>
      </c>
      <c r="M93" s="133"/>
      <c r="N93" t="s">
        <v>654</v>
      </c>
      <c r="P93" s="133" t="s">
        <v>232</v>
      </c>
    </row>
    <row r="94" spans="1:16">
      <c r="A94" s="203" t="s">
        <v>233</v>
      </c>
      <c r="B94" s="10"/>
      <c r="C94" s="10"/>
      <c r="D94" s="10"/>
      <c r="J94" s="207" t="s">
        <v>576</v>
      </c>
      <c r="M94" s="203"/>
      <c r="N94" s="203" t="s">
        <v>233</v>
      </c>
      <c r="P94" s="203" t="s">
        <v>233</v>
      </c>
    </row>
    <row r="95" spans="1:16">
      <c r="A95" s="203" t="s">
        <v>98</v>
      </c>
      <c r="B95" s="10"/>
      <c r="C95" s="10"/>
      <c r="D95" s="10"/>
      <c r="J95" s="209" t="s">
        <v>577</v>
      </c>
      <c r="M95" s="203"/>
      <c r="N95" s="203" t="s">
        <v>98</v>
      </c>
      <c r="P95" s="203" t="s">
        <v>98</v>
      </c>
    </row>
    <row r="96" spans="1:16">
      <c r="A96" s="203" t="s">
        <v>99</v>
      </c>
      <c r="B96" s="10"/>
      <c r="C96" s="10"/>
      <c r="D96" s="10"/>
      <c r="J96" s="207" t="s">
        <v>578</v>
      </c>
      <c r="M96" s="203"/>
      <c r="N96" s="203" t="s">
        <v>99</v>
      </c>
      <c r="P96" s="203" t="s">
        <v>99</v>
      </c>
    </row>
    <row r="97" spans="1:16">
      <c r="A97" s="133" t="s">
        <v>234</v>
      </c>
      <c r="B97" s="10"/>
      <c r="C97" s="10"/>
      <c r="D97" s="10"/>
      <c r="J97" s="207" t="s">
        <v>579</v>
      </c>
      <c r="M97" s="133"/>
      <c r="N97" t="s">
        <v>654</v>
      </c>
      <c r="P97" s="133" t="s">
        <v>234</v>
      </c>
    </row>
    <row r="98" spans="1:16">
      <c r="A98" s="203" t="s">
        <v>100</v>
      </c>
      <c r="B98" s="10"/>
      <c r="C98" s="10"/>
      <c r="D98" s="10"/>
      <c r="J98" s="207" t="s">
        <v>580</v>
      </c>
      <c r="M98" s="203"/>
      <c r="N98" s="203" t="s">
        <v>100</v>
      </c>
      <c r="P98" s="203" t="s">
        <v>100</v>
      </c>
    </row>
    <row r="99" spans="1:16">
      <c r="A99" s="203" t="s">
        <v>101</v>
      </c>
      <c r="B99" s="10"/>
      <c r="C99" s="10"/>
      <c r="D99" s="10"/>
      <c r="J99" s="206" t="s">
        <v>393</v>
      </c>
      <c r="M99" s="203"/>
      <c r="N99" s="203" t="s">
        <v>101</v>
      </c>
      <c r="P99" s="203" t="s">
        <v>101</v>
      </c>
    </row>
    <row r="100" spans="1:16">
      <c r="A100" s="133" t="s">
        <v>235</v>
      </c>
      <c r="B100" s="10"/>
      <c r="C100" s="10"/>
      <c r="D100" s="10"/>
      <c r="J100" s="207" t="s">
        <v>581</v>
      </c>
      <c r="M100" s="133"/>
      <c r="N100" t="s">
        <v>654</v>
      </c>
      <c r="P100" s="133" t="s">
        <v>235</v>
      </c>
    </row>
    <row r="101" spans="1:16">
      <c r="A101" s="133" t="s">
        <v>236</v>
      </c>
      <c r="B101" s="10"/>
      <c r="C101" s="10"/>
      <c r="D101" s="10"/>
      <c r="J101" s="206" t="s">
        <v>394</v>
      </c>
      <c r="M101" s="133"/>
      <c r="N101" t="s">
        <v>654</v>
      </c>
      <c r="P101" s="133" t="s">
        <v>236</v>
      </c>
    </row>
    <row r="102" spans="1:16">
      <c r="A102" s="133" t="s">
        <v>237</v>
      </c>
      <c r="B102" s="10"/>
      <c r="C102" s="10"/>
      <c r="D102" s="10"/>
      <c r="J102" s="206" t="s">
        <v>395</v>
      </c>
      <c r="M102" s="133"/>
      <c r="N102" t="s">
        <v>654</v>
      </c>
      <c r="P102" s="133" t="s">
        <v>237</v>
      </c>
    </row>
    <row r="103" spans="1:16">
      <c r="A103" s="203" t="s">
        <v>238</v>
      </c>
      <c r="B103" s="10"/>
      <c r="C103" s="10"/>
      <c r="D103" s="10"/>
      <c r="J103" s="206" t="s">
        <v>396</v>
      </c>
      <c r="M103" s="203"/>
      <c r="N103" s="203" t="s">
        <v>238</v>
      </c>
      <c r="P103" s="203" t="s">
        <v>238</v>
      </c>
    </row>
    <row r="104" spans="1:16">
      <c r="A104" s="203" t="s">
        <v>239</v>
      </c>
      <c r="B104" s="10"/>
      <c r="C104" s="10"/>
      <c r="D104" s="10"/>
      <c r="J104" s="206" t="s">
        <v>397</v>
      </c>
      <c r="M104" s="203"/>
      <c r="N104" s="203" t="s">
        <v>239</v>
      </c>
      <c r="P104" s="203" t="s">
        <v>239</v>
      </c>
    </row>
    <row r="105" spans="1:16">
      <c r="A105" s="203" t="s">
        <v>102</v>
      </c>
      <c r="B105" s="10"/>
      <c r="C105" s="10"/>
      <c r="D105" s="10"/>
      <c r="J105" s="207" t="s">
        <v>582</v>
      </c>
      <c r="M105" s="203"/>
      <c r="N105" s="203" t="s">
        <v>102</v>
      </c>
      <c r="P105" s="203" t="s">
        <v>102</v>
      </c>
    </row>
    <row r="106" spans="1:16">
      <c r="A106" s="133" t="s">
        <v>240</v>
      </c>
      <c r="B106" s="10"/>
      <c r="C106" s="10"/>
      <c r="D106" s="10"/>
      <c r="J106" s="207" t="s">
        <v>583</v>
      </c>
      <c r="M106" s="133"/>
      <c r="N106" t="s">
        <v>654</v>
      </c>
      <c r="P106" s="133" t="s">
        <v>240</v>
      </c>
    </row>
    <row r="107" spans="1:16">
      <c r="A107" s="203" t="s">
        <v>241</v>
      </c>
      <c r="B107" s="10"/>
      <c r="C107" s="10"/>
      <c r="D107" s="10"/>
      <c r="J107" s="206" t="s">
        <v>398</v>
      </c>
      <c r="M107" s="203"/>
      <c r="N107" s="203" t="s">
        <v>241</v>
      </c>
      <c r="P107" s="203" t="s">
        <v>241</v>
      </c>
    </row>
    <row r="108" spans="1:16">
      <c r="A108" s="133" t="s">
        <v>242</v>
      </c>
      <c r="B108" s="10"/>
      <c r="C108" s="10"/>
      <c r="D108" s="10"/>
      <c r="J108" s="206" t="s">
        <v>399</v>
      </c>
      <c r="M108" s="133"/>
      <c r="N108" t="s">
        <v>654</v>
      </c>
      <c r="P108" s="133" t="s">
        <v>242</v>
      </c>
    </row>
    <row r="109" spans="1:16">
      <c r="A109" s="133" t="s">
        <v>243</v>
      </c>
      <c r="B109" s="10"/>
      <c r="C109" s="10"/>
      <c r="D109" s="10"/>
      <c r="J109" s="206" t="s">
        <v>400</v>
      </c>
      <c r="M109" s="133"/>
      <c r="N109" t="s">
        <v>654</v>
      </c>
      <c r="P109" s="133" t="s">
        <v>243</v>
      </c>
    </row>
    <row r="110" spans="1:16">
      <c r="A110" s="133" t="s">
        <v>244</v>
      </c>
      <c r="B110" s="10"/>
      <c r="C110" s="10"/>
      <c r="D110" s="10"/>
      <c r="J110" s="206" t="s">
        <v>401</v>
      </c>
      <c r="M110" s="133"/>
      <c r="N110" t="s">
        <v>654</v>
      </c>
      <c r="P110" s="133" t="s">
        <v>244</v>
      </c>
    </row>
    <row r="111" spans="1:16">
      <c r="A111" s="133" t="s">
        <v>245</v>
      </c>
      <c r="B111" s="10"/>
      <c r="C111" s="10"/>
      <c r="D111" s="10"/>
      <c r="J111" s="206" t="s">
        <v>402</v>
      </c>
      <c r="M111" s="133"/>
      <c r="N111" t="s">
        <v>654</v>
      </c>
      <c r="P111" s="133" t="s">
        <v>245</v>
      </c>
    </row>
    <row r="112" spans="1:16">
      <c r="A112" s="133" t="s">
        <v>246</v>
      </c>
      <c r="B112" s="10"/>
      <c r="C112" s="10"/>
      <c r="D112" s="10"/>
      <c r="J112" s="206" t="s">
        <v>403</v>
      </c>
      <c r="M112" s="133"/>
      <c r="N112" t="s">
        <v>654</v>
      </c>
      <c r="P112" s="133" t="s">
        <v>246</v>
      </c>
    </row>
    <row r="113" spans="1:16">
      <c r="A113" s="133" t="s">
        <v>247</v>
      </c>
      <c r="B113" s="10"/>
      <c r="C113" s="10"/>
      <c r="D113" s="10"/>
      <c r="J113" s="206" t="s">
        <v>404</v>
      </c>
      <c r="M113" s="133"/>
      <c r="N113" t="s">
        <v>654</v>
      </c>
      <c r="P113" s="133" t="s">
        <v>247</v>
      </c>
    </row>
    <row r="114" spans="1:16">
      <c r="A114" s="133" t="s">
        <v>248</v>
      </c>
      <c r="B114" s="10"/>
      <c r="C114" s="10"/>
      <c r="D114" s="10"/>
      <c r="J114" s="206" t="s">
        <v>405</v>
      </c>
      <c r="M114" s="133"/>
      <c r="N114" t="s">
        <v>654</v>
      </c>
      <c r="P114" s="133" t="s">
        <v>248</v>
      </c>
    </row>
    <row r="115" spans="1:16">
      <c r="A115" s="203" t="s">
        <v>103</v>
      </c>
      <c r="B115" s="10"/>
      <c r="C115" s="10"/>
      <c r="D115" s="10"/>
      <c r="J115" s="206" t="s">
        <v>406</v>
      </c>
      <c r="M115" s="203"/>
      <c r="N115" s="203" t="s">
        <v>103</v>
      </c>
      <c r="P115" s="203" t="s">
        <v>103</v>
      </c>
    </row>
    <row r="116" spans="1:16">
      <c r="A116" s="133" t="s">
        <v>249</v>
      </c>
      <c r="B116" s="10"/>
      <c r="C116" s="10"/>
      <c r="D116" s="10"/>
      <c r="J116" s="207" t="s">
        <v>584</v>
      </c>
      <c r="M116" s="133"/>
      <c r="N116" t="s">
        <v>654</v>
      </c>
      <c r="P116" s="133" t="s">
        <v>249</v>
      </c>
    </row>
    <row r="117" spans="1:16">
      <c r="A117" s="133" t="s">
        <v>250</v>
      </c>
      <c r="B117" s="10"/>
      <c r="C117" s="10"/>
      <c r="D117" s="10"/>
      <c r="J117" s="209" t="s">
        <v>585</v>
      </c>
      <c r="M117" s="133"/>
      <c r="N117" t="s">
        <v>654</v>
      </c>
      <c r="P117" s="133" t="s">
        <v>250</v>
      </c>
    </row>
    <row r="118" spans="1:16">
      <c r="A118" s="133" t="s">
        <v>251</v>
      </c>
      <c r="B118" s="10"/>
      <c r="C118" s="10"/>
      <c r="D118" s="10"/>
      <c r="J118" s="206" t="s">
        <v>407</v>
      </c>
      <c r="M118" s="133"/>
      <c r="N118" t="s">
        <v>654</v>
      </c>
      <c r="P118" s="133" t="s">
        <v>251</v>
      </c>
    </row>
    <row r="119" spans="1:16">
      <c r="A119" s="133" t="s">
        <v>252</v>
      </c>
      <c r="B119" s="10"/>
      <c r="C119" s="10"/>
      <c r="D119" s="10"/>
      <c r="J119" s="206" t="s">
        <v>408</v>
      </c>
      <c r="M119" s="133"/>
      <c r="N119" t="s">
        <v>654</v>
      </c>
      <c r="P119" s="133" t="s">
        <v>252</v>
      </c>
    </row>
    <row r="120" spans="1:16">
      <c r="A120" s="203" t="s">
        <v>104</v>
      </c>
      <c r="B120" s="10"/>
      <c r="C120" s="10"/>
      <c r="D120" s="10"/>
      <c r="J120" s="207" t="s">
        <v>586</v>
      </c>
      <c r="M120" s="203"/>
      <c r="N120" s="203" t="s">
        <v>104</v>
      </c>
      <c r="P120" s="203" t="s">
        <v>104</v>
      </c>
    </row>
    <row r="121" spans="1:16">
      <c r="A121" s="133" t="s">
        <v>253</v>
      </c>
      <c r="B121" s="10"/>
      <c r="C121" s="10"/>
      <c r="D121" s="10"/>
      <c r="J121" s="206" t="s">
        <v>409</v>
      </c>
      <c r="M121" s="133"/>
      <c r="N121" t="s">
        <v>654</v>
      </c>
      <c r="P121" s="133" t="s">
        <v>253</v>
      </c>
    </row>
    <row r="122" spans="1:16">
      <c r="A122" s="133" t="s">
        <v>254</v>
      </c>
      <c r="B122" s="10"/>
      <c r="C122" s="10"/>
      <c r="D122" s="10"/>
      <c r="J122" s="207" t="s">
        <v>587</v>
      </c>
      <c r="M122" s="133"/>
      <c r="N122" t="s">
        <v>654</v>
      </c>
      <c r="P122" s="133" t="s">
        <v>254</v>
      </c>
    </row>
    <row r="123" spans="1:16">
      <c r="A123" s="133" t="s">
        <v>255</v>
      </c>
      <c r="B123" s="10"/>
      <c r="C123" s="10"/>
      <c r="D123" s="10"/>
      <c r="J123" s="206" t="s">
        <v>410</v>
      </c>
      <c r="M123" s="133"/>
      <c r="N123" t="s">
        <v>654</v>
      </c>
      <c r="P123" s="133" t="s">
        <v>255</v>
      </c>
    </row>
    <row r="124" spans="1:16">
      <c r="A124" s="133" t="s">
        <v>256</v>
      </c>
      <c r="B124" s="10"/>
      <c r="C124" s="10"/>
      <c r="D124" s="10"/>
      <c r="J124" s="206" t="s">
        <v>411</v>
      </c>
      <c r="K124" s="207" t="s">
        <v>621</v>
      </c>
      <c r="M124" s="133"/>
      <c r="N124" t="s">
        <v>654</v>
      </c>
      <c r="P124" s="133" t="s">
        <v>256</v>
      </c>
    </row>
    <row r="125" spans="1:16">
      <c r="A125" s="133" t="s">
        <v>257</v>
      </c>
      <c r="B125" s="10"/>
      <c r="C125" s="10"/>
      <c r="D125" s="10"/>
      <c r="J125" s="206" t="s">
        <v>412</v>
      </c>
      <c r="K125" s="207" t="s">
        <v>622</v>
      </c>
      <c r="M125" s="133"/>
      <c r="N125" t="s">
        <v>654</v>
      </c>
      <c r="P125" s="133" t="s">
        <v>257</v>
      </c>
    </row>
    <row r="126" spans="1:16">
      <c r="A126" s="133" t="s">
        <v>258</v>
      </c>
      <c r="B126" s="10"/>
      <c r="C126" s="10"/>
      <c r="D126" s="10"/>
      <c r="K126" s="207" t="s">
        <v>623</v>
      </c>
      <c r="M126" s="133"/>
      <c r="N126" t="s">
        <v>654</v>
      </c>
      <c r="P126" s="133" t="s">
        <v>258</v>
      </c>
    </row>
    <row r="127" spans="1:16">
      <c r="A127" s="133" t="s">
        <v>259</v>
      </c>
      <c r="B127" s="10"/>
      <c r="C127" s="10"/>
      <c r="D127" s="10"/>
      <c r="K127" s="207" t="s">
        <v>624</v>
      </c>
      <c r="M127" s="133"/>
      <c r="N127" t="s">
        <v>654</v>
      </c>
      <c r="P127" s="133" t="s">
        <v>259</v>
      </c>
    </row>
    <row r="128" spans="1:16">
      <c r="A128" s="203" t="s">
        <v>105</v>
      </c>
      <c r="B128" s="10"/>
      <c r="C128" s="10"/>
      <c r="D128" s="10"/>
      <c r="K128" s="207" t="s">
        <v>625</v>
      </c>
      <c r="M128" s="203"/>
      <c r="N128" s="203" t="s">
        <v>105</v>
      </c>
      <c r="P128" s="203" t="s">
        <v>105</v>
      </c>
    </row>
    <row r="129" spans="1:16">
      <c r="A129" s="133" t="s">
        <v>260</v>
      </c>
      <c r="B129" s="10"/>
      <c r="C129" s="10"/>
      <c r="D129" s="10"/>
      <c r="K129" s="207" t="s">
        <v>626</v>
      </c>
      <c r="M129" s="133"/>
      <c r="N129" t="s">
        <v>654</v>
      </c>
      <c r="P129" s="133" t="s">
        <v>260</v>
      </c>
    </row>
    <row r="130" spans="1:16">
      <c r="A130" s="203" t="s">
        <v>261</v>
      </c>
      <c r="B130" s="10"/>
      <c r="C130" s="10"/>
      <c r="D130" s="10"/>
      <c r="K130" s="207" t="s">
        <v>627</v>
      </c>
      <c r="M130" s="203"/>
      <c r="N130" s="203" t="s">
        <v>261</v>
      </c>
      <c r="P130" s="203" t="s">
        <v>261</v>
      </c>
    </row>
    <row r="131" spans="1:16">
      <c r="A131" s="133" t="s">
        <v>262</v>
      </c>
      <c r="B131" s="10"/>
      <c r="C131" s="10"/>
      <c r="D131" s="10"/>
      <c r="K131" s="207" t="s">
        <v>628</v>
      </c>
      <c r="M131" s="133"/>
      <c r="N131" t="s">
        <v>654</v>
      </c>
      <c r="P131" s="133" t="s">
        <v>262</v>
      </c>
    </row>
    <row r="132" spans="1:16">
      <c r="A132" s="133" t="s">
        <v>263</v>
      </c>
      <c r="B132" s="10"/>
      <c r="C132" s="10"/>
      <c r="D132" s="10"/>
      <c r="K132" s="207" t="s">
        <v>629</v>
      </c>
      <c r="M132" s="133"/>
      <c r="N132" t="s">
        <v>654</v>
      </c>
      <c r="P132" s="133" t="s">
        <v>263</v>
      </c>
    </row>
    <row r="133" spans="1:16">
      <c r="A133" s="203" t="s">
        <v>264</v>
      </c>
      <c r="B133" s="10"/>
      <c r="C133" s="10"/>
      <c r="D133" s="10"/>
      <c r="K133" s="207" t="s">
        <v>630</v>
      </c>
      <c r="M133" s="203"/>
      <c r="N133" s="203" t="s">
        <v>264</v>
      </c>
      <c r="P133" s="203" t="s">
        <v>264</v>
      </c>
    </row>
    <row r="134" spans="1:16">
      <c r="A134" s="133" t="s">
        <v>265</v>
      </c>
      <c r="B134" s="10"/>
      <c r="C134" s="10"/>
      <c r="D134" s="10"/>
      <c r="K134" s="207" t="s">
        <v>631</v>
      </c>
      <c r="M134" s="133"/>
      <c r="N134" t="s">
        <v>654</v>
      </c>
      <c r="P134" s="133" t="s">
        <v>265</v>
      </c>
    </row>
    <row r="135" spans="1:16">
      <c r="A135" s="133" t="s">
        <v>266</v>
      </c>
      <c r="B135" s="10"/>
      <c r="C135" s="10"/>
      <c r="D135" s="10"/>
      <c r="K135" s="207" t="s">
        <v>632</v>
      </c>
      <c r="M135" s="133"/>
      <c r="N135" t="s">
        <v>654</v>
      </c>
      <c r="P135" s="133" t="s">
        <v>266</v>
      </c>
    </row>
    <row r="136" spans="1:16">
      <c r="A136" s="133" t="s">
        <v>267</v>
      </c>
      <c r="B136" s="10"/>
      <c r="C136" s="10"/>
      <c r="D136" s="10"/>
      <c r="K136" s="207" t="s">
        <v>633</v>
      </c>
      <c r="M136" s="133"/>
      <c r="N136" t="s">
        <v>654</v>
      </c>
      <c r="P136" s="133" t="s">
        <v>267</v>
      </c>
    </row>
    <row r="137" spans="1:16">
      <c r="A137" s="203" t="s">
        <v>106</v>
      </c>
      <c r="B137" s="10"/>
      <c r="C137" s="10"/>
      <c r="D137" s="10"/>
      <c r="K137" s="207" t="s">
        <v>634</v>
      </c>
      <c r="M137" s="203"/>
      <c r="N137" s="203" t="s">
        <v>106</v>
      </c>
      <c r="P137" s="203" t="s">
        <v>106</v>
      </c>
    </row>
    <row r="138" spans="1:16">
      <c r="A138" s="133" t="s">
        <v>268</v>
      </c>
      <c r="B138" s="10"/>
      <c r="C138" s="10"/>
      <c r="D138" s="10"/>
      <c r="K138" s="209" t="s">
        <v>635</v>
      </c>
      <c r="M138" s="133"/>
      <c r="N138" t="s">
        <v>654</v>
      </c>
      <c r="P138" s="133" t="s">
        <v>268</v>
      </c>
    </row>
    <row r="139" spans="1:16">
      <c r="A139" s="203" t="s">
        <v>107</v>
      </c>
      <c r="B139" s="10"/>
      <c r="C139" s="10"/>
      <c r="D139" s="10"/>
      <c r="K139" s="209" t="s">
        <v>636</v>
      </c>
      <c r="M139" s="203"/>
      <c r="N139" s="203" t="s">
        <v>107</v>
      </c>
      <c r="P139" s="203" t="s">
        <v>107</v>
      </c>
    </row>
    <row r="140" spans="1:16">
      <c r="A140" s="203" t="s">
        <v>108</v>
      </c>
      <c r="B140" s="10"/>
      <c r="C140" s="10"/>
      <c r="D140" s="10"/>
      <c r="K140" s="209" t="s">
        <v>637</v>
      </c>
      <c r="M140" s="203"/>
      <c r="N140" s="203" t="s">
        <v>108</v>
      </c>
      <c r="P140" s="203" t="s">
        <v>108</v>
      </c>
    </row>
    <row r="141" spans="1:16">
      <c r="A141" s="203" t="s">
        <v>109</v>
      </c>
      <c r="B141" s="10"/>
      <c r="C141" s="10"/>
      <c r="D141" s="10"/>
      <c r="M141" s="203"/>
      <c r="N141" s="203" t="s">
        <v>109</v>
      </c>
      <c r="P141" s="203" t="s">
        <v>109</v>
      </c>
    </row>
    <row r="142" spans="1:16">
      <c r="A142" s="133" t="s">
        <v>269</v>
      </c>
      <c r="B142" s="10"/>
      <c r="C142" s="10"/>
      <c r="D142" s="10"/>
      <c r="M142" s="133"/>
      <c r="N142" t="s">
        <v>654</v>
      </c>
      <c r="P142" s="133" t="s">
        <v>269</v>
      </c>
    </row>
    <row r="143" spans="1:16">
      <c r="A143" s="203" t="s">
        <v>110</v>
      </c>
      <c r="B143" s="10"/>
      <c r="C143" s="10"/>
      <c r="D143" s="10"/>
      <c r="M143" s="203"/>
      <c r="N143" s="203" t="s">
        <v>110</v>
      </c>
      <c r="P143" s="203" t="s">
        <v>110</v>
      </c>
    </row>
    <row r="144" spans="1:16">
      <c r="A144" s="133" t="s">
        <v>270</v>
      </c>
      <c r="B144" s="10"/>
      <c r="C144" s="10"/>
      <c r="D144" s="10"/>
      <c r="M144" s="133"/>
      <c r="N144" t="s">
        <v>654</v>
      </c>
      <c r="P144" s="133" t="s">
        <v>270</v>
      </c>
    </row>
    <row r="145" spans="1:16">
      <c r="A145" s="133" t="s">
        <v>271</v>
      </c>
      <c r="B145" s="10"/>
      <c r="C145" s="10"/>
      <c r="D145" s="10"/>
      <c r="M145" s="133"/>
      <c r="N145" t="s">
        <v>654</v>
      </c>
      <c r="P145" s="133" t="s">
        <v>271</v>
      </c>
    </row>
    <row r="146" spans="1:16">
      <c r="A146" s="133" t="s">
        <v>272</v>
      </c>
      <c r="B146" s="10"/>
      <c r="C146" s="10"/>
      <c r="D146" s="10"/>
      <c r="M146" s="133"/>
      <c r="N146" t="s">
        <v>654</v>
      </c>
      <c r="P146" s="133" t="s">
        <v>272</v>
      </c>
    </row>
    <row r="147" spans="1:16">
      <c r="A147" s="203" t="s">
        <v>111</v>
      </c>
      <c r="B147" s="10"/>
      <c r="C147" s="10"/>
      <c r="D147" s="10"/>
      <c r="M147" s="203"/>
      <c r="N147" s="203" t="s">
        <v>111</v>
      </c>
      <c r="P147" s="203" t="s">
        <v>111</v>
      </c>
    </row>
    <row r="148" spans="1:16">
      <c r="A148" s="133" t="s">
        <v>273</v>
      </c>
      <c r="B148" s="10"/>
      <c r="C148" s="10"/>
      <c r="D148" s="10"/>
      <c r="M148" s="133"/>
      <c r="N148" t="s">
        <v>654</v>
      </c>
      <c r="P148" s="133" t="s">
        <v>273</v>
      </c>
    </row>
    <row r="149" spans="1:16">
      <c r="A149" s="203" t="s">
        <v>112</v>
      </c>
      <c r="B149" s="10"/>
      <c r="C149" s="10"/>
      <c r="D149" s="10"/>
      <c r="M149" s="203"/>
      <c r="N149" s="203" t="s">
        <v>112</v>
      </c>
      <c r="P149" s="203" t="s">
        <v>112</v>
      </c>
    </row>
    <row r="150" spans="1:16">
      <c r="A150" s="133" t="s">
        <v>274</v>
      </c>
      <c r="B150" s="10"/>
      <c r="C150" s="10"/>
      <c r="D150" s="10"/>
      <c r="M150" s="133"/>
      <c r="N150" t="s">
        <v>654</v>
      </c>
      <c r="P150" s="133" t="s">
        <v>274</v>
      </c>
    </row>
    <row r="151" spans="1:16">
      <c r="A151" s="133" t="s">
        <v>645</v>
      </c>
      <c r="B151" s="10"/>
      <c r="C151" s="10"/>
      <c r="D151" s="10"/>
      <c r="M151" s="133"/>
      <c r="N151" t="s">
        <v>654</v>
      </c>
      <c r="P151" s="133" t="s">
        <v>645</v>
      </c>
    </row>
    <row r="152" spans="1:16">
      <c r="A152" s="133" t="s">
        <v>646</v>
      </c>
      <c r="B152" s="10"/>
      <c r="C152" s="10"/>
      <c r="D152" s="10"/>
      <c r="M152" s="133"/>
      <c r="N152" t="s">
        <v>654</v>
      </c>
      <c r="P152" s="133" t="s">
        <v>646</v>
      </c>
    </row>
    <row r="153" spans="1:16">
      <c r="A153" s="203" t="s">
        <v>331</v>
      </c>
      <c r="B153" s="10"/>
      <c r="C153" s="10"/>
      <c r="D153" s="10"/>
      <c r="M153" s="203"/>
      <c r="N153" s="203" t="s">
        <v>331</v>
      </c>
      <c r="P153" s="203" t="s">
        <v>331</v>
      </c>
    </row>
    <row r="154" spans="1:16">
      <c r="A154" s="203" t="s">
        <v>113</v>
      </c>
      <c r="B154" s="10"/>
      <c r="C154" s="10"/>
      <c r="D154" s="10"/>
      <c r="M154" s="203"/>
      <c r="N154" s="203" t="s">
        <v>113</v>
      </c>
      <c r="P154" s="203" t="s">
        <v>113</v>
      </c>
    </row>
    <row r="155" spans="1:16">
      <c r="A155" s="133" t="s">
        <v>275</v>
      </c>
      <c r="B155" s="10"/>
      <c r="C155" s="10"/>
      <c r="D155" s="10"/>
      <c r="M155" s="133"/>
      <c r="N155" t="s">
        <v>654</v>
      </c>
      <c r="P155" s="133" t="s">
        <v>275</v>
      </c>
    </row>
    <row r="156" spans="1:16">
      <c r="A156" s="133" t="s">
        <v>276</v>
      </c>
      <c r="B156" s="10"/>
      <c r="C156" s="10"/>
      <c r="D156" s="10"/>
      <c r="M156" s="133"/>
      <c r="N156" t="s">
        <v>654</v>
      </c>
      <c r="P156" s="133" t="s">
        <v>276</v>
      </c>
    </row>
    <row r="157" spans="1:16">
      <c r="A157" s="203" t="s">
        <v>114</v>
      </c>
      <c r="B157" s="10"/>
      <c r="C157" s="10"/>
      <c r="D157" s="10"/>
      <c r="M157" s="203"/>
      <c r="N157" s="203" t="s">
        <v>114</v>
      </c>
      <c r="P157" s="203" t="s">
        <v>114</v>
      </c>
    </row>
    <row r="158" spans="1:16">
      <c r="A158" s="133" t="s">
        <v>277</v>
      </c>
      <c r="B158" s="10"/>
      <c r="C158" s="10"/>
      <c r="D158" s="10"/>
      <c r="M158" s="133"/>
      <c r="N158" t="s">
        <v>654</v>
      </c>
      <c r="P158" s="133" t="s">
        <v>277</v>
      </c>
    </row>
    <row r="159" spans="1:16">
      <c r="A159" s="203" t="s">
        <v>115</v>
      </c>
      <c r="B159" s="10"/>
      <c r="C159" s="10"/>
      <c r="D159" s="10"/>
      <c r="M159" s="203"/>
      <c r="N159" s="203" t="s">
        <v>115</v>
      </c>
      <c r="P159" s="203" t="s">
        <v>115</v>
      </c>
    </row>
    <row r="160" spans="1:16">
      <c r="A160" s="203" t="s">
        <v>517</v>
      </c>
      <c r="B160" s="10"/>
      <c r="C160" s="10"/>
      <c r="D160" s="10"/>
      <c r="M160" s="203"/>
      <c r="N160" s="203" t="s">
        <v>517</v>
      </c>
      <c r="P160" s="203" t="s">
        <v>517</v>
      </c>
    </row>
    <row r="161" spans="1:16">
      <c r="A161" s="203" t="s">
        <v>518</v>
      </c>
      <c r="B161" s="10"/>
      <c r="C161" s="10"/>
      <c r="D161" s="10"/>
      <c r="M161" s="203"/>
      <c r="N161" s="203" t="s">
        <v>518</v>
      </c>
      <c r="P161" s="203" t="s">
        <v>518</v>
      </c>
    </row>
    <row r="162" spans="1:16">
      <c r="A162" s="133" t="s">
        <v>278</v>
      </c>
      <c r="B162" s="10"/>
      <c r="C162" s="10"/>
      <c r="D162" s="10"/>
      <c r="M162" s="133"/>
      <c r="N162" t="s">
        <v>654</v>
      </c>
      <c r="P162" s="133" t="s">
        <v>278</v>
      </c>
    </row>
    <row r="163" spans="1:16">
      <c r="A163" s="203" t="s">
        <v>116</v>
      </c>
      <c r="B163" s="10"/>
      <c r="C163" s="10"/>
      <c r="D163" s="10"/>
      <c r="M163" s="203"/>
      <c r="N163" s="203" t="s">
        <v>116</v>
      </c>
      <c r="P163" s="203" t="s">
        <v>116</v>
      </c>
    </row>
    <row r="164" spans="1:16">
      <c r="A164" s="203" t="s">
        <v>117</v>
      </c>
      <c r="B164" s="10"/>
      <c r="C164" s="10"/>
      <c r="D164" s="10"/>
      <c r="M164" s="203"/>
      <c r="N164" s="203" t="s">
        <v>117</v>
      </c>
      <c r="P164" s="203" t="s">
        <v>117</v>
      </c>
    </row>
    <row r="165" spans="1:16">
      <c r="A165" s="133" t="s">
        <v>279</v>
      </c>
      <c r="B165" s="10"/>
      <c r="C165" s="10"/>
      <c r="D165" s="10"/>
      <c r="M165" s="133"/>
      <c r="N165" t="s">
        <v>654</v>
      </c>
      <c r="P165" s="133" t="s">
        <v>279</v>
      </c>
    </row>
    <row r="166" spans="1:16">
      <c r="A166" s="133" t="s">
        <v>280</v>
      </c>
      <c r="B166" s="10"/>
      <c r="C166" s="10"/>
      <c r="D166" s="10"/>
      <c r="M166" s="133"/>
      <c r="N166" t="s">
        <v>654</v>
      </c>
      <c r="P166" s="133" t="s">
        <v>280</v>
      </c>
    </row>
    <row r="167" spans="1:16">
      <c r="A167" s="133" t="s">
        <v>281</v>
      </c>
      <c r="B167" s="10"/>
      <c r="C167" s="10"/>
      <c r="D167" s="10"/>
      <c r="M167" s="133"/>
      <c r="N167" t="s">
        <v>654</v>
      </c>
      <c r="P167" s="133" t="s">
        <v>281</v>
      </c>
    </row>
    <row r="168" spans="1:16">
      <c r="A168" s="133" t="s">
        <v>282</v>
      </c>
      <c r="B168" s="10"/>
      <c r="C168" s="10"/>
      <c r="D168" s="10"/>
      <c r="M168" s="133"/>
      <c r="N168" t="s">
        <v>654</v>
      </c>
      <c r="P168" s="133" t="s">
        <v>282</v>
      </c>
    </row>
    <row r="169" spans="1:16">
      <c r="A169" s="203" t="s">
        <v>283</v>
      </c>
      <c r="B169" s="10"/>
      <c r="C169" s="10"/>
      <c r="D169" s="10"/>
      <c r="M169" s="203"/>
      <c r="N169" s="203" t="s">
        <v>283</v>
      </c>
      <c r="P169" s="203" t="s">
        <v>283</v>
      </c>
    </row>
    <row r="170" spans="1:16">
      <c r="A170" s="133" t="s">
        <v>284</v>
      </c>
      <c r="B170" s="10"/>
      <c r="C170" s="10"/>
      <c r="D170" s="10"/>
      <c r="M170" s="133"/>
      <c r="N170" t="s">
        <v>654</v>
      </c>
      <c r="P170" s="133" t="s">
        <v>284</v>
      </c>
    </row>
    <row r="171" spans="1:16">
      <c r="A171" s="133" t="s">
        <v>285</v>
      </c>
      <c r="B171" s="10"/>
      <c r="C171" s="10"/>
      <c r="D171" s="10"/>
      <c r="M171" s="133"/>
      <c r="N171" t="s">
        <v>654</v>
      </c>
      <c r="P171" s="133" t="s">
        <v>285</v>
      </c>
    </row>
    <row r="172" spans="1:16">
      <c r="A172" s="133" t="s">
        <v>286</v>
      </c>
      <c r="B172" s="10"/>
      <c r="C172" s="10"/>
      <c r="D172" s="10"/>
      <c r="M172" s="133"/>
      <c r="N172" t="s">
        <v>654</v>
      </c>
      <c r="P172" s="133" t="s">
        <v>286</v>
      </c>
    </row>
    <row r="173" spans="1:16">
      <c r="A173" s="133" t="s">
        <v>287</v>
      </c>
      <c r="B173" s="10"/>
      <c r="C173" s="10"/>
      <c r="D173" s="10"/>
      <c r="M173" s="133"/>
      <c r="N173" t="s">
        <v>654</v>
      </c>
      <c r="P173" s="133" t="s">
        <v>287</v>
      </c>
    </row>
    <row r="174" spans="1:16">
      <c r="A174" s="133" t="s">
        <v>288</v>
      </c>
      <c r="B174" s="10"/>
      <c r="C174" s="10"/>
      <c r="D174" s="10"/>
      <c r="M174" s="133"/>
      <c r="N174" t="s">
        <v>654</v>
      </c>
      <c r="P174" s="133" t="s">
        <v>288</v>
      </c>
    </row>
    <row r="175" spans="1:16">
      <c r="A175" s="133" t="s">
        <v>289</v>
      </c>
      <c r="B175" s="10"/>
      <c r="C175" s="10"/>
      <c r="D175" s="10"/>
      <c r="M175" s="133"/>
      <c r="N175" t="s">
        <v>654</v>
      </c>
      <c r="P175" s="133" t="s">
        <v>289</v>
      </c>
    </row>
    <row r="176" spans="1:16">
      <c r="A176" s="203" t="s">
        <v>118</v>
      </c>
      <c r="B176" s="10"/>
      <c r="C176" s="10"/>
      <c r="D176" s="10"/>
      <c r="M176" s="203"/>
      <c r="N176" s="203" t="s">
        <v>118</v>
      </c>
      <c r="P176" s="203" t="s">
        <v>118</v>
      </c>
    </row>
    <row r="177" spans="1:16">
      <c r="A177" s="133" t="s">
        <v>290</v>
      </c>
      <c r="B177" s="10"/>
      <c r="C177" s="10"/>
      <c r="D177" s="10"/>
      <c r="M177" s="133"/>
      <c r="N177" t="s">
        <v>654</v>
      </c>
      <c r="P177" s="133" t="s">
        <v>290</v>
      </c>
    </row>
    <row r="178" spans="1:16">
      <c r="A178" s="203" t="s">
        <v>291</v>
      </c>
      <c r="B178" s="10"/>
      <c r="C178" s="10"/>
      <c r="D178" s="10"/>
      <c r="M178" s="203"/>
      <c r="N178" s="203" t="s">
        <v>291</v>
      </c>
      <c r="P178" s="203" t="s">
        <v>291</v>
      </c>
    </row>
    <row r="179" spans="1:16">
      <c r="A179" s="133" t="s">
        <v>292</v>
      </c>
      <c r="B179" s="10"/>
      <c r="C179" s="10"/>
      <c r="D179" s="10"/>
      <c r="M179" s="133"/>
      <c r="N179" t="s">
        <v>654</v>
      </c>
      <c r="P179" s="133" t="s">
        <v>292</v>
      </c>
    </row>
    <row r="180" spans="1:16">
      <c r="A180" s="133" t="s">
        <v>293</v>
      </c>
      <c r="M180" s="133"/>
      <c r="N180" t="s">
        <v>654</v>
      </c>
      <c r="P180" s="133" t="s">
        <v>293</v>
      </c>
    </row>
    <row r="181" spans="1:16">
      <c r="A181" s="203" t="s">
        <v>119</v>
      </c>
      <c r="M181" s="203"/>
      <c r="N181" s="203" t="s">
        <v>119</v>
      </c>
      <c r="P181" s="203" t="s">
        <v>119</v>
      </c>
    </row>
    <row r="182" spans="1:16">
      <c r="A182" s="133" t="s">
        <v>294</v>
      </c>
      <c r="M182" s="133"/>
      <c r="N182" t="s">
        <v>654</v>
      </c>
      <c r="P182" s="133" t="s">
        <v>294</v>
      </c>
    </row>
    <row r="183" spans="1:16">
      <c r="A183" s="133" t="s">
        <v>295</v>
      </c>
      <c r="M183" s="133"/>
      <c r="N183" t="s">
        <v>654</v>
      </c>
      <c r="P183" s="133" t="s">
        <v>295</v>
      </c>
    </row>
    <row r="184" spans="1:16">
      <c r="A184" s="133" t="s">
        <v>296</v>
      </c>
      <c r="M184" s="133"/>
      <c r="N184" t="s">
        <v>654</v>
      </c>
      <c r="P184" s="133" t="s">
        <v>296</v>
      </c>
    </row>
    <row r="185" spans="1:16">
      <c r="A185" s="133" t="s">
        <v>297</v>
      </c>
      <c r="M185" s="133"/>
      <c r="N185" t="s">
        <v>654</v>
      </c>
      <c r="P185" s="133" t="s">
        <v>297</v>
      </c>
    </row>
    <row r="186" spans="1:16">
      <c r="A186" s="203" t="s">
        <v>120</v>
      </c>
      <c r="M186" s="203"/>
      <c r="N186" s="203" t="s">
        <v>120</v>
      </c>
      <c r="P186" s="203" t="s">
        <v>120</v>
      </c>
    </row>
    <row r="187" spans="1:16">
      <c r="A187" s="203" t="s">
        <v>121</v>
      </c>
      <c r="M187" s="203"/>
      <c r="N187" s="203" t="s">
        <v>121</v>
      </c>
      <c r="P187" s="203" t="s">
        <v>121</v>
      </c>
    </row>
    <row r="188" spans="1:16">
      <c r="A188" s="203" t="s">
        <v>122</v>
      </c>
      <c r="M188" s="203"/>
      <c r="N188" s="203" t="s">
        <v>122</v>
      </c>
      <c r="P188" s="203" t="s">
        <v>122</v>
      </c>
    </row>
    <row r="189" spans="1:16">
      <c r="A189" s="133" t="s">
        <v>298</v>
      </c>
      <c r="M189" s="133"/>
      <c r="N189" t="s">
        <v>654</v>
      </c>
      <c r="P189" s="133" t="s">
        <v>298</v>
      </c>
    </row>
    <row r="190" spans="1:16">
      <c r="A190" s="133" t="s">
        <v>299</v>
      </c>
      <c r="M190" s="133"/>
      <c r="N190" t="s">
        <v>654</v>
      </c>
      <c r="P190" s="133" t="s">
        <v>299</v>
      </c>
    </row>
    <row r="191" spans="1:16">
      <c r="A191" s="133" t="s">
        <v>300</v>
      </c>
      <c r="M191" s="133"/>
      <c r="N191" t="s">
        <v>654</v>
      </c>
      <c r="P191" s="133" t="s">
        <v>300</v>
      </c>
    </row>
    <row r="192" spans="1:16">
      <c r="A192" s="133" t="s">
        <v>301</v>
      </c>
      <c r="M192" s="133"/>
      <c r="N192" t="s">
        <v>654</v>
      </c>
      <c r="P192" s="133" t="s">
        <v>301</v>
      </c>
    </row>
    <row r="193" spans="1:16">
      <c r="A193" s="133" t="s">
        <v>302</v>
      </c>
      <c r="M193" s="133"/>
      <c r="N193" t="s">
        <v>654</v>
      </c>
      <c r="P193" s="133" t="s">
        <v>302</v>
      </c>
    </row>
    <row r="194" spans="1:16">
      <c r="A194" s="133" t="s">
        <v>303</v>
      </c>
      <c r="M194" s="133"/>
      <c r="N194" t="s">
        <v>654</v>
      </c>
      <c r="P194" s="133" t="s">
        <v>303</v>
      </c>
    </row>
    <row r="195" spans="1:16">
      <c r="A195" s="133" t="s">
        <v>304</v>
      </c>
      <c r="M195" s="133"/>
      <c r="N195" t="s">
        <v>654</v>
      </c>
      <c r="P195" s="133" t="s">
        <v>304</v>
      </c>
    </row>
    <row r="196" spans="1:16">
      <c r="A196" s="133" t="s">
        <v>305</v>
      </c>
      <c r="M196" s="133"/>
      <c r="N196" t="s">
        <v>654</v>
      </c>
      <c r="P196" s="133" t="s">
        <v>305</v>
      </c>
    </row>
    <row r="197" spans="1:16">
      <c r="A197" s="203" t="s">
        <v>123</v>
      </c>
      <c r="M197" s="203"/>
      <c r="N197" s="203" t="s">
        <v>123</v>
      </c>
      <c r="P197" s="203" t="s">
        <v>123</v>
      </c>
    </row>
    <row r="198" spans="1:16">
      <c r="A198" s="203" t="s">
        <v>124</v>
      </c>
      <c r="M198" s="203"/>
      <c r="N198" s="203" t="s">
        <v>124</v>
      </c>
      <c r="P198" s="203" t="s">
        <v>124</v>
      </c>
    </row>
    <row r="199" spans="1:16">
      <c r="A199" s="133" t="s">
        <v>306</v>
      </c>
      <c r="M199" s="133"/>
      <c r="N199" t="s">
        <v>654</v>
      </c>
      <c r="P199" s="133" t="s">
        <v>306</v>
      </c>
    </row>
    <row r="200" spans="1:16">
      <c r="A200" s="203" t="s">
        <v>125</v>
      </c>
      <c r="M200" s="203"/>
      <c r="N200" s="203" t="s">
        <v>125</v>
      </c>
      <c r="P200" s="203" t="s">
        <v>125</v>
      </c>
    </row>
    <row r="201" spans="1:16">
      <c r="A201" s="203" t="s">
        <v>307</v>
      </c>
      <c r="M201" s="203"/>
      <c r="N201" s="203" t="s">
        <v>307</v>
      </c>
      <c r="P201" s="203" t="s">
        <v>307</v>
      </c>
    </row>
    <row r="202" spans="1:16">
      <c r="A202" s="203" t="s">
        <v>126</v>
      </c>
      <c r="M202" s="203"/>
      <c r="N202" s="203" t="s">
        <v>126</v>
      </c>
      <c r="P202" s="203" t="s">
        <v>126</v>
      </c>
    </row>
    <row r="203" spans="1:16">
      <c r="A203" s="133" t="s">
        <v>308</v>
      </c>
      <c r="M203" s="133"/>
      <c r="N203" t="s">
        <v>654</v>
      </c>
      <c r="P203" s="133" t="s">
        <v>308</v>
      </c>
    </row>
    <row r="204" spans="1:16">
      <c r="A204" s="133" t="s">
        <v>309</v>
      </c>
      <c r="M204" s="133"/>
      <c r="N204" t="s">
        <v>654</v>
      </c>
      <c r="P204" s="133" t="s">
        <v>309</v>
      </c>
    </row>
    <row r="205" spans="1:16">
      <c r="A205" s="133" t="s">
        <v>310</v>
      </c>
      <c r="M205" s="133"/>
      <c r="N205" t="s">
        <v>654</v>
      </c>
      <c r="P205" s="133" t="s">
        <v>310</v>
      </c>
    </row>
    <row r="206" spans="1:16">
      <c r="A206" s="133" t="s">
        <v>311</v>
      </c>
      <c r="G206" t="s">
        <v>650</v>
      </c>
      <c r="M206" s="133"/>
      <c r="N206" t="s">
        <v>654</v>
      </c>
      <c r="P206" s="133" t="s">
        <v>311</v>
      </c>
    </row>
    <row r="207" spans="1:16">
      <c r="A207" s="133" t="s">
        <v>312</v>
      </c>
      <c r="E207" s="283" t="s">
        <v>170</v>
      </c>
      <c r="G207" s="282" t="s">
        <v>649</v>
      </c>
      <c r="M207" s="133"/>
      <c r="N207" t="s">
        <v>654</v>
      </c>
      <c r="P207" s="133" t="s">
        <v>312</v>
      </c>
    </row>
    <row r="208" spans="1:16">
      <c r="A208" s="133" t="s">
        <v>313</v>
      </c>
      <c r="E208" s="283" t="s">
        <v>172</v>
      </c>
      <c r="G208" t="s">
        <v>651</v>
      </c>
      <c r="M208" s="133"/>
      <c r="N208" t="s">
        <v>654</v>
      </c>
      <c r="P208" s="133" t="s">
        <v>313</v>
      </c>
    </row>
    <row r="209" spans="1:16">
      <c r="A209" s="133" t="s">
        <v>314</v>
      </c>
      <c r="E209" s="283" t="s">
        <v>175</v>
      </c>
      <c r="G209" s="282" t="s">
        <v>656</v>
      </c>
      <c r="M209" s="133"/>
      <c r="N209" t="s">
        <v>654</v>
      </c>
      <c r="P209" s="133" t="s">
        <v>314</v>
      </c>
    </row>
    <row r="210" spans="1:16">
      <c r="A210" s="203" t="s">
        <v>523</v>
      </c>
      <c r="E210" s="283" t="s">
        <v>212</v>
      </c>
      <c r="G210" t="s">
        <v>640</v>
      </c>
      <c r="M210" s="203"/>
      <c r="N210" s="203" t="s">
        <v>523</v>
      </c>
      <c r="P210" s="203" t="s">
        <v>523</v>
      </c>
    </row>
    <row r="211" spans="1:16">
      <c r="A211" s="133" t="s">
        <v>315</v>
      </c>
      <c r="E211" t="s">
        <v>218</v>
      </c>
      <c r="G211" s="282" t="s">
        <v>652</v>
      </c>
      <c r="M211" s="133"/>
      <c r="N211" t="s">
        <v>654</v>
      </c>
      <c r="P211" s="133" t="s">
        <v>315</v>
      </c>
    </row>
    <row r="212" spans="1:16">
      <c r="A212" s="203" t="s">
        <v>316</v>
      </c>
      <c r="E212" t="s">
        <v>235</v>
      </c>
      <c r="G212" t="s">
        <v>641</v>
      </c>
      <c r="M212" s="203"/>
      <c r="N212" s="203" t="s">
        <v>316</v>
      </c>
      <c r="P212" s="203" t="s">
        <v>316</v>
      </c>
    </row>
    <row r="213" spans="1:16">
      <c r="A213" s="133" t="s">
        <v>317</v>
      </c>
      <c r="E213" t="s">
        <v>522</v>
      </c>
      <c r="G213" s="282" t="s">
        <v>653</v>
      </c>
      <c r="M213" s="133"/>
      <c r="N213" t="s">
        <v>654</v>
      </c>
      <c r="P213" s="133" t="s">
        <v>317</v>
      </c>
    </row>
    <row r="214" spans="1:16">
      <c r="A214" s="203" t="s">
        <v>329</v>
      </c>
      <c r="E214" t="s">
        <v>242</v>
      </c>
      <c r="M214" s="203"/>
      <c r="N214" s="203" t="s">
        <v>329</v>
      </c>
      <c r="P214" s="203" t="s">
        <v>329</v>
      </c>
    </row>
    <row r="215" spans="1:16">
      <c r="A215" s="203" t="s">
        <v>127</v>
      </c>
      <c r="E215" t="s">
        <v>261</v>
      </c>
      <c r="M215" s="203"/>
      <c r="N215" s="203" t="s">
        <v>127</v>
      </c>
      <c r="P215" s="203" t="s">
        <v>127</v>
      </c>
    </row>
    <row r="216" spans="1:16">
      <c r="A216" s="203" t="s">
        <v>128</v>
      </c>
      <c r="E216" t="s">
        <v>307</v>
      </c>
      <c r="M216" s="203"/>
      <c r="N216" s="203" t="s">
        <v>128</v>
      </c>
      <c r="P216" s="203" t="s">
        <v>128</v>
      </c>
    </row>
    <row r="217" spans="1:16">
      <c r="A217" s="133" t="s">
        <v>318</v>
      </c>
      <c r="E217" t="s">
        <v>523</v>
      </c>
      <c r="M217" s="133"/>
      <c r="N217" t="s">
        <v>654</v>
      </c>
      <c r="P217" s="133" t="s">
        <v>318</v>
      </c>
    </row>
    <row r="218" spans="1:16">
      <c r="A218" s="133" t="s">
        <v>319</v>
      </c>
      <c r="E218" s="283" t="s">
        <v>524</v>
      </c>
      <c r="M218" s="133"/>
      <c r="N218" t="s">
        <v>654</v>
      </c>
      <c r="P218" s="133" t="s">
        <v>319</v>
      </c>
    </row>
    <row r="219" spans="1:16">
      <c r="A219" s="203" t="s">
        <v>330</v>
      </c>
      <c r="E219" s="283" t="s">
        <v>525</v>
      </c>
      <c r="M219" s="203"/>
      <c r="N219" s="203" t="s">
        <v>330</v>
      </c>
      <c r="P219" s="203" t="s">
        <v>330</v>
      </c>
    </row>
    <row r="220" spans="1:16">
      <c r="A220" s="133" t="s">
        <v>320</v>
      </c>
      <c r="E220" s="283" t="s">
        <v>648</v>
      </c>
      <c r="M220" s="133"/>
      <c r="N220" t="s">
        <v>654</v>
      </c>
      <c r="P220" s="133" t="s">
        <v>320</v>
      </c>
    </row>
    <row r="221" spans="1:16">
      <c r="A221" s="203" t="s">
        <v>129</v>
      </c>
      <c r="M221" s="203"/>
      <c r="N221" s="203" t="s">
        <v>129</v>
      </c>
      <c r="P221" s="203" t="s">
        <v>129</v>
      </c>
    </row>
    <row r="222" spans="1:16">
      <c r="A222" s="203" t="s">
        <v>130</v>
      </c>
      <c r="M222" s="203"/>
      <c r="N222" s="203" t="s">
        <v>130</v>
      </c>
      <c r="P222" s="203" t="s">
        <v>130</v>
      </c>
    </row>
    <row r="223" spans="1:16">
      <c r="A223" s="133" t="s">
        <v>321</v>
      </c>
      <c r="E223" t="s">
        <v>526</v>
      </c>
      <c r="M223" s="133"/>
      <c r="N223" t="s">
        <v>654</v>
      </c>
      <c r="P223" s="133" t="s">
        <v>321</v>
      </c>
    </row>
    <row r="224" spans="1:16">
      <c r="A224" s="133" t="s">
        <v>322</v>
      </c>
      <c r="E224" t="s">
        <v>242</v>
      </c>
      <c r="M224" s="133"/>
      <c r="N224" t="s">
        <v>654</v>
      </c>
      <c r="P224" s="133" t="s">
        <v>322</v>
      </c>
    </row>
    <row r="225" spans="1:16">
      <c r="A225" s="133" t="s">
        <v>323</v>
      </c>
      <c r="E225" t="s">
        <v>212</v>
      </c>
      <c r="M225" s="133"/>
      <c r="N225" t="s">
        <v>654</v>
      </c>
      <c r="P225" s="133" t="s">
        <v>323</v>
      </c>
    </row>
    <row r="226" spans="1:16">
      <c r="A226" s="133" t="s">
        <v>324</v>
      </c>
      <c r="E226" t="s">
        <v>527</v>
      </c>
      <c r="M226" s="133"/>
      <c r="N226" t="s">
        <v>654</v>
      </c>
      <c r="P226" s="133" t="s">
        <v>324</v>
      </c>
    </row>
    <row r="227" spans="1:16">
      <c r="A227" s="133" t="s">
        <v>325</v>
      </c>
      <c r="M227" s="133"/>
      <c r="N227" t="s">
        <v>654</v>
      </c>
      <c r="P227" s="133" t="s">
        <v>325</v>
      </c>
    </row>
    <row r="228" spans="1:16">
      <c r="A228" s="133" t="s">
        <v>326</v>
      </c>
      <c r="M228" s="133"/>
      <c r="N228" t="s">
        <v>654</v>
      </c>
      <c r="P228" s="133" t="s">
        <v>326</v>
      </c>
    </row>
    <row r="229" spans="1:16">
      <c r="A229" s="133" t="s">
        <v>327</v>
      </c>
      <c r="M229" s="133"/>
      <c r="N229" t="s">
        <v>654</v>
      </c>
      <c r="P229" s="133" t="s">
        <v>327</v>
      </c>
    </row>
    <row r="230" spans="1:16">
      <c r="A230" s="133" t="s">
        <v>328</v>
      </c>
      <c r="M230" s="133"/>
      <c r="N230" t="s">
        <v>654</v>
      </c>
      <c r="P230" s="133" t="s">
        <v>328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D16"/>
  <sheetViews>
    <sheetView workbookViewId="0">
      <selection activeCell="C19" sqref="C19"/>
    </sheetView>
  </sheetViews>
  <sheetFormatPr defaultColWidth="9" defaultRowHeight="15.6"/>
  <cols>
    <col min="1" max="1" width="24.88671875" style="8" bestFit="1" customWidth="1"/>
    <col min="2" max="2" width="12.44140625" style="19" customWidth="1"/>
    <col min="3" max="3" width="18.88671875" style="8" customWidth="1"/>
    <col min="4" max="4" width="25.33203125" style="8" customWidth="1"/>
    <col min="5" max="16384" width="9" style="8"/>
  </cols>
  <sheetData>
    <row r="1" spans="1:4">
      <c r="A1" s="22" t="s">
        <v>43</v>
      </c>
      <c r="B1" s="22" t="s">
        <v>42</v>
      </c>
    </row>
    <row r="2" spans="1:4">
      <c r="A2" s="21" t="s">
        <v>48</v>
      </c>
      <c r="B2" s="35" t="s">
        <v>69</v>
      </c>
      <c r="D2" s="17"/>
    </row>
    <row r="3" spans="1:4">
      <c r="A3" s="21" t="s">
        <v>58</v>
      </c>
      <c r="B3" s="35" t="s">
        <v>70</v>
      </c>
      <c r="D3" s="16"/>
    </row>
    <row r="4" spans="1:4">
      <c r="A4" s="35" t="s">
        <v>59</v>
      </c>
      <c r="B4" s="20" t="s">
        <v>50</v>
      </c>
      <c r="D4" s="16"/>
    </row>
    <row r="5" spans="1:4" ht="15.75" customHeight="1">
      <c r="A5" s="35" t="s">
        <v>60</v>
      </c>
      <c r="B5" s="20" t="s">
        <v>51</v>
      </c>
      <c r="D5" s="2"/>
    </row>
    <row r="6" spans="1:4">
      <c r="A6" s="35" t="s">
        <v>61</v>
      </c>
      <c r="B6" s="20" t="s">
        <v>52</v>
      </c>
      <c r="D6" s="2"/>
    </row>
    <row r="7" spans="1:4">
      <c r="A7" s="35" t="s">
        <v>134</v>
      </c>
      <c r="B7" s="20" t="s">
        <v>53</v>
      </c>
      <c r="D7" s="2"/>
    </row>
    <row r="8" spans="1:4" ht="15.75" customHeight="1">
      <c r="A8" s="35" t="s">
        <v>62</v>
      </c>
      <c r="B8" s="21" t="s">
        <v>54</v>
      </c>
      <c r="D8" s="2"/>
    </row>
    <row r="9" spans="1:4">
      <c r="A9" s="35" t="s">
        <v>63</v>
      </c>
      <c r="B9" s="21" t="s">
        <v>55</v>
      </c>
      <c r="D9" s="2"/>
    </row>
    <row r="10" spans="1:4">
      <c r="A10" s="35" t="s">
        <v>64</v>
      </c>
      <c r="B10" s="20" t="s">
        <v>56</v>
      </c>
      <c r="D10" s="2"/>
    </row>
    <row r="11" spans="1:4">
      <c r="A11" s="35" t="s">
        <v>49</v>
      </c>
      <c r="B11" s="20" t="s">
        <v>57</v>
      </c>
      <c r="D11" s="2"/>
    </row>
    <row r="12" spans="1:4">
      <c r="A12" s="20"/>
      <c r="C12" s="14"/>
      <c r="D12" s="2"/>
    </row>
    <row r="13" spans="1:4">
      <c r="A13" s="20"/>
      <c r="C13" s="14"/>
      <c r="D13" s="2"/>
    </row>
    <row r="14" spans="1:4">
      <c r="A14" s="20"/>
      <c r="C14" s="14"/>
      <c r="D14" s="2"/>
    </row>
    <row r="15" spans="1:4">
      <c r="A15" s="14"/>
      <c r="B15" s="15"/>
      <c r="C15" s="2"/>
      <c r="D15" s="2"/>
    </row>
    <row r="16" spans="1:4">
      <c r="A16" s="18"/>
      <c r="B16" s="15"/>
      <c r="C16" s="2"/>
      <c r="D16" s="2"/>
    </row>
  </sheetData>
  <phoneticPr fontId="18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DailyRecord</vt:lpstr>
      <vt:lpstr>DAE2_Auto</vt:lpstr>
      <vt:lpstr>MonthlyRecord</vt:lpstr>
      <vt:lpstr>AE DAE-1B by Country (Sum) </vt:lpstr>
      <vt:lpstr>Management</vt:lpstr>
      <vt:lpstr>AEType</vt:lpstr>
      <vt:lpstr>AEType</vt:lpstr>
      <vt:lpstr>CountryNames</vt:lpstr>
      <vt:lpstr>Date</vt:lpstr>
      <vt:lpstr>MonthMaster</vt:lpstr>
      <vt:lpstr>NumberOfRooms</vt:lpstr>
      <vt:lpstr>'AE DAE-1B by Country (Sum) '!Print_Area</vt:lpstr>
      <vt:lpstr>DAE2_Auto!Print_Area</vt:lpstr>
      <vt:lpstr>DailyRecord!Print_Area</vt:lpstr>
      <vt:lpstr>MonthlyRecord!Print_Area</vt:lpstr>
      <vt:lpstr>'AE DAE-1B by Country (Sum) '!Print_Titles</vt:lpstr>
      <vt:lpstr>YearMaster</vt:lpstr>
      <vt:lpstr>YesNo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kamimura</dc:creator>
  <cp:lastModifiedBy>Minardski Flores</cp:lastModifiedBy>
  <cp:lastPrinted>2011-10-05T06:14:27Z</cp:lastPrinted>
  <dcterms:created xsi:type="dcterms:W3CDTF">2009-06-09T03:16:28Z</dcterms:created>
  <dcterms:modified xsi:type="dcterms:W3CDTF">2024-07-22T08:18:34Z</dcterms:modified>
</cp:coreProperties>
</file>